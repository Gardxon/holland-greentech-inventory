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VETORY FILE AND SALES\"/>
    </mc:Choice>
  </mc:AlternateContent>
  <xr:revisionPtr revIDLastSave="0" documentId="8_{DD8B671B-A3E7-4C54-9F32-B1C47AC85337}" xr6:coauthVersionLast="47" xr6:coauthVersionMax="47" xr10:uidLastSave="{00000000-0000-0000-0000-000000000000}"/>
  <bookViews>
    <workbookView xWindow="1044" yWindow="852" windowWidth="13140" windowHeight="11388" xr2:uid="{1BCB4220-A581-4699-91A5-380A477AF27E}"/>
  </bookViews>
  <sheets>
    <sheet name="Start Here" sheetId="1" r:id="rId1"/>
    <sheet name="Master Products" sheetId="2" r:id="rId2"/>
    <sheet name="RZ Pricelist" sheetId="3" r:id="rId3"/>
    <sheet name="Sales Log" sheetId="4" r:id="rId4"/>
    <sheet name="Sales Lines" sheetId="5" r:id="rId5"/>
    <sheet name="Stock Movements" sheetId="6" r:id="rId6"/>
    <sheet name="Dashboar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7" l="1"/>
  <c r="C17" i="7"/>
  <c r="C16" i="7"/>
  <c r="C15" i="7"/>
  <c r="C14" i="7"/>
  <c r="C13" i="7"/>
  <c r="C10" i="7"/>
  <c r="C9" i="7"/>
  <c r="C8" i="7"/>
  <c r="C7" i="7"/>
  <c r="C6" i="7"/>
  <c r="C5" i="7"/>
  <c r="N198" i="2"/>
  <c r="M198" i="2"/>
  <c r="L198" i="2"/>
  <c r="N197" i="2"/>
  <c r="M197" i="2"/>
  <c r="L197" i="2"/>
  <c r="N196" i="2"/>
  <c r="M196" i="2"/>
  <c r="L196" i="2"/>
  <c r="N195" i="2"/>
  <c r="M195" i="2"/>
  <c r="L195" i="2"/>
  <c r="N194" i="2"/>
  <c r="M194" i="2"/>
  <c r="L194" i="2"/>
  <c r="N193" i="2"/>
  <c r="M193" i="2"/>
  <c r="L193" i="2"/>
  <c r="N192" i="2"/>
  <c r="M192" i="2"/>
  <c r="L192" i="2"/>
  <c r="N191" i="2"/>
  <c r="M191" i="2"/>
  <c r="L191" i="2"/>
  <c r="N190" i="2"/>
  <c r="M190" i="2"/>
  <c r="L190" i="2"/>
  <c r="N189" i="2"/>
  <c r="M189" i="2"/>
  <c r="L189" i="2"/>
  <c r="N188" i="2"/>
  <c r="M188" i="2"/>
  <c r="L188" i="2"/>
  <c r="N187" i="2"/>
  <c r="M187" i="2"/>
  <c r="L187" i="2"/>
  <c r="N186" i="2"/>
  <c r="M186" i="2"/>
  <c r="L186" i="2"/>
  <c r="N185" i="2"/>
  <c r="M185" i="2"/>
  <c r="L185" i="2"/>
  <c r="N184" i="2"/>
  <c r="M184" i="2"/>
  <c r="L184" i="2"/>
  <c r="N183" i="2"/>
  <c r="M183" i="2"/>
  <c r="L183" i="2"/>
  <c r="N182" i="2"/>
  <c r="M182" i="2"/>
  <c r="L182" i="2"/>
  <c r="N181" i="2"/>
  <c r="M181" i="2"/>
  <c r="L181" i="2"/>
  <c r="N180" i="2"/>
  <c r="M180" i="2"/>
  <c r="L180" i="2"/>
  <c r="N179" i="2"/>
  <c r="M179" i="2"/>
  <c r="L179" i="2"/>
  <c r="N178" i="2"/>
  <c r="M178" i="2"/>
  <c r="L178" i="2"/>
  <c r="N177" i="2"/>
  <c r="M177" i="2"/>
  <c r="L177" i="2"/>
  <c r="N176" i="2"/>
  <c r="M176" i="2"/>
  <c r="L176" i="2"/>
  <c r="N175" i="2"/>
  <c r="M175" i="2"/>
  <c r="L175" i="2"/>
  <c r="N174" i="2"/>
  <c r="M174" i="2"/>
  <c r="L174" i="2"/>
  <c r="N173" i="2"/>
  <c r="M173" i="2"/>
  <c r="L173" i="2"/>
  <c r="N172" i="2"/>
  <c r="M172" i="2"/>
  <c r="L172" i="2"/>
  <c r="N171" i="2"/>
  <c r="M171" i="2"/>
  <c r="L171" i="2"/>
  <c r="N170" i="2"/>
  <c r="M170" i="2"/>
  <c r="L170" i="2"/>
  <c r="N169" i="2"/>
  <c r="M169" i="2"/>
  <c r="L169" i="2"/>
  <c r="N168" i="2"/>
  <c r="M168" i="2"/>
  <c r="L168" i="2"/>
  <c r="N167" i="2"/>
  <c r="M167" i="2"/>
  <c r="L167" i="2"/>
  <c r="N166" i="2"/>
  <c r="M166" i="2"/>
  <c r="L166" i="2"/>
  <c r="N165" i="2"/>
  <c r="M165" i="2"/>
  <c r="L165" i="2"/>
  <c r="N164" i="2"/>
  <c r="M164" i="2"/>
  <c r="L164" i="2"/>
  <c r="N163" i="2"/>
  <c r="M163" i="2"/>
  <c r="L163" i="2"/>
  <c r="N162" i="2"/>
  <c r="M162" i="2"/>
  <c r="L162" i="2"/>
  <c r="N161" i="2"/>
  <c r="M161" i="2"/>
  <c r="L161" i="2"/>
  <c r="N160" i="2"/>
  <c r="M160" i="2"/>
  <c r="L160" i="2"/>
  <c r="N159" i="2"/>
  <c r="M159" i="2"/>
  <c r="L159" i="2"/>
  <c r="N158" i="2"/>
  <c r="M158" i="2"/>
  <c r="L158" i="2"/>
  <c r="N157" i="2"/>
  <c r="M157" i="2"/>
  <c r="L157" i="2"/>
  <c r="N156" i="2"/>
  <c r="M156" i="2"/>
  <c r="L156" i="2"/>
  <c r="N155" i="2"/>
  <c r="M155" i="2"/>
  <c r="L155" i="2"/>
  <c r="N154" i="2"/>
  <c r="M154" i="2"/>
  <c r="L154" i="2"/>
  <c r="N153" i="2"/>
  <c r="M153" i="2"/>
  <c r="L153" i="2"/>
  <c r="N152" i="2"/>
  <c r="M152" i="2"/>
  <c r="L152" i="2"/>
  <c r="N151" i="2"/>
  <c r="M151" i="2"/>
  <c r="L151" i="2"/>
  <c r="N150" i="2"/>
  <c r="M150" i="2"/>
  <c r="L150" i="2"/>
  <c r="N149" i="2"/>
  <c r="M149" i="2"/>
  <c r="L149" i="2"/>
  <c r="N148" i="2"/>
  <c r="M148" i="2"/>
  <c r="L148" i="2"/>
  <c r="N147" i="2"/>
  <c r="M147" i="2"/>
  <c r="L147" i="2"/>
  <c r="N146" i="2"/>
  <c r="M146" i="2"/>
  <c r="L146" i="2"/>
  <c r="N145" i="2"/>
  <c r="M145" i="2"/>
  <c r="L145" i="2"/>
  <c r="N144" i="2"/>
  <c r="M144" i="2"/>
  <c r="L144" i="2"/>
  <c r="N143" i="2"/>
  <c r="M143" i="2"/>
  <c r="L143" i="2"/>
  <c r="N142" i="2"/>
  <c r="M142" i="2"/>
  <c r="L142" i="2"/>
  <c r="N141" i="2"/>
  <c r="M141" i="2"/>
  <c r="L141" i="2"/>
  <c r="N140" i="2"/>
  <c r="M140" i="2"/>
  <c r="L140" i="2"/>
  <c r="N139" i="2"/>
  <c r="M139" i="2"/>
  <c r="L139" i="2"/>
  <c r="N138" i="2"/>
  <c r="M138" i="2"/>
  <c r="L138" i="2"/>
  <c r="N137" i="2"/>
  <c r="M137" i="2"/>
  <c r="L137" i="2"/>
  <c r="N136" i="2"/>
  <c r="M136" i="2"/>
  <c r="L136" i="2"/>
  <c r="N135" i="2"/>
  <c r="M135" i="2"/>
  <c r="L135" i="2"/>
  <c r="N134" i="2"/>
  <c r="M134" i="2"/>
  <c r="L134" i="2"/>
  <c r="N133" i="2"/>
  <c r="M133" i="2"/>
  <c r="L133" i="2"/>
  <c r="N132" i="2"/>
  <c r="M132" i="2"/>
  <c r="L132" i="2"/>
  <c r="N131" i="2"/>
  <c r="M131" i="2"/>
  <c r="L131" i="2"/>
  <c r="N130" i="2"/>
  <c r="M130" i="2"/>
  <c r="L130" i="2"/>
  <c r="N129" i="2"/>
  <c r="M129" i="2"/>
  <c r="L129" i="2"/>
  <c r="N128" i="2"/>
  <c r="M128" i="2"/>
  <c r="L128" i="2"/>
  <c r="N127" i="2"/>
  <c r="M127" i="2"/>
  <c r="L127" i="2"/>
  <c r="N126" i="2"/>
  <c r="M126" i="2"/>
  <c r="L126" i="2"/>
  <c r="N125" i="2"/>
  <c r="M125" i="2"/>
  <c r="L125" i="2"/>
  <c r="N124" i="2"/>
  <c r="M124" i="2"/>
  <c r="L124" i="2"/>
  <c r="N123" i="2"/>
  <c r="M123" i="2"/>
  <c r="L123" i="2"/>
  <c r="N122" i="2"/>
  <c r="M122" i="2"/>
  <c r="L122" i="2"/>
  <c r="N121" i="2"/>
  <c r="M121" i="2"/>
  <c r="L121" i="2"/>
  <c r="N120" i="2"/>
  <c r="M120" i="2"/>
  <c r="L120" i="2"/>
  <c r="N119" i="2"/>
  <c r="M119" i="2"/>
  <c r="L119" i="2"/>
  <c r="N118" i="2"/>
  <c r="M118" i="2"/>
  <c r="L118" i="2"/>
  <c r="N117" i="2"/>
  <c r="M117" i="2"/>
  <c r="L117" i="2"/>
  <c r="N116" i="2"/>
  <c r="M116" i="2"/>
  <c r="L116" i="2"/>
  <c r="N115" i="2"/>
  <c r="M115" i="2"/>
  <c r="L115" i="2"/>
  <c r="N114" i="2"/>
  <c r="M114" i="2"/>
  <c r="L114" i="2"/>
  <c r="N113" i="2"/>
  <c r="M113" i="2"/>
  <c r="L113" i="2"/>
  <c r="N112" i="2"/>
  <c r="M112" i="2"/>
  <c r="L112" i="2"/>
  <c r="N111" i="2"/>
  <c r="M111" i="2"/>
  <c r="L111" i="2"/>
  <c r="N110" i="2"/>
  <c r="M110" i="2"/>
  <c r="L110" i="2"/>
  <c r="N109" i="2"/>
  <c r="M109" i="2"/>
  <c r="L109" i="2"/>
  <c r="N108" i="2"/>
  <c r="M108" i="2"/>
  <c r="L108" i="2"/>
  <c r="N107" i="2"/>
  <c r="M107" i="2"/>
  <c r="L107" i="2"/>
  <c r="N106" i="2"/>
  <c r="M106" i="2"/>
  <c r="L106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8" i="2"/>
  <c r="M98" i="2"/>
  <c r="L98" i="2"/>
  <c r="N97" i="2"/>
  <c r="M97" i="2"/>
  <c r="L97" i="2"/>
  <c r="N96" i="2"/>
  <c r="M96" i="2"/>
  <c r="L96" i="2"/>
  <c r="N95" i="2"/>
  <c r="M95" i="2"/>
  <c r="L95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80" i="2"/>
  <c r="M80" i="2"/>
  <c r="L80" i="2"/>
  <c r="N79" i="2"/>
  <c r="M79" i="2"/>
  <c r="L79" i="2"/>
  <c r="N78" i="2"/>
  <c r="M78" i="2"/>
  <c r="L7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N54" i="2"/>
  <c r="M54" i="2"/>
  <c r="L54" i="2"/>
  <c r="N53" i="2"/>
  <c r="M53" i="2"/>
  <c r="L53" i="2"/>
  <c r="N52" i="2"/>
  <c r="M52" i="2"/>
  <c r="L52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L5" i="2"/>
  <c r="N4" i="2"/>
  <c r="M4" i="2"/>
  <c r="L4" i="2"/>
  <c r="N3" i="2"/>
  <c r="M3" i="2"/>
  <c r="L3" i="2"/>
  <c r="N2" i="2"/>
  <c r="M2" i="2"/>
  <c r="L2" i="2"/>
</calcChain>
</file>

<file path=xl/sharedStrings.xml><?xml version="1.0" encoding="utf-8"?>
<sst xmlns="http://schemas.openxmlformats.org/spreadsheetml/2006/main" count="1201" uniqueCount="633">
  <si>
    <t>HGT INVENTORY &amp; SALES SYSTEM</t>
  </si>
  <si>
    <t>This workbook is the OFFLINE COMPANION to the live web system.</t>
  </si>
  <si>
    <t>LIVE SYSTEM  (use this day to day - shared across Arusha, Moro, Dar, Dodoma, Iringa, Manyara):</t>
  </si>
  <si>
    <t>https://claude.ai/code/artifact/d9eabf92-dff3-47a3-b214-ff88089f12fe</t>
  </si>
  <si>
    <t xml:space="preserve">   - Point of Sale: ring up sales, auto-price from the RZ pricelist (per seed x pack size), print invoices.</t>
  </si>
  <si>
    <t xml:space="preserve">   - Inventory: receive stock (by origin country), transfer between locations, adjust after a physical count.</t>
  </si>
  <si>
    <t xml:space="preserve">   - Every sale decrements stock automatically. Dashboard shows live KPIs. Data is shared live between all locations.</t>
  </si>
  <si>
    <t>THIS WORKBOOK  (reporting / backup / accountant):</t>
  </si>
  <si>
    <t xml:space="preserve">   - Master Products : the full catalogue with pricelist-derived pack prices and opening stock (5-Sep-2026 close).</t>
  </si>
  <si>
    <t xml:space="preserve">   - RZ Pricelist    : the March 2026 Rijk Zwaan per-seed price reference used to build selling prices.</t>
  </si>
  <si>
    <t xml:space="preserve">   - Sales Log / Sales Lines / Stock Movements : paste the CSV exports from the web app here (headers already match).</t>
  </si>
  <si>
    <t xml:space="preserve">   - Dashboard       : formulas that summarise whatever you have pasted into the log sheets.</t>
  </si>
  <si>
    <t>HOW TO REFRESH THIS WORKBOOK:</t>
  </si>
  <si>
    <t xml:space="preserve">   1. In the web app open Settings &gt; Data tools, or any list's 'Export CSV'.</t>
  </si>
  <si>
    <t xml:space="preserve">   2. Open the CSV, copy the rows (without the header), paste under the matching table here.</t>
  </si>
  <si>
    <t xml:space="preserve">   3. The Dashboard and Status columns recalculate automatically.</t>
  </si>
  <si>
    <t>Pricing basis: selling price per pack = RZ price per seed x pack size (seeds per pack). Non-seed items priced manually.</t>
  </si>
  <si>
    <t>Currency: Tanzanian Shilling (TZS). Pricelist valid from 1 March 2026.</t>
  </si>
  <si>
    <t>Generated 09 Sep 2026 from 'HGT Inventory Control System.xlsx' + 'holland greentech pricelist.pdf'.</t>
  </si>
  <si>
    <t>SKU</t>
  </si>
  <si>
    <t>Product</t>
  </si>
  <si>
    <t>Pack Size</t>
  </si>
  <si>
    <t>Category</t>
  </si>
  <si>
    <t>Type</t>
  </si>
  <si>
    <t>RZ Variety</t>
  </si>
  <si>
    <t>Price / Seed (TZS)</t>
  </si>
  <si>
    <t>Selling Price / Pack (TZS)</t>
  </si>
  <si>
    <t>Reorder Point</t>
  </si>
  <si>
    <t>Stock Arusha</t>
  </si>
  <si>
    <t>Stock Moro</t>
  </si>
  <si>
    <t>Total On Hand</t>
  </si>
  <si>
    <t>Stock Value (TZS)</t>
  </si>
  <si>
    <t>Status</t>
  </si>
  <si>
    <t>HGT-001</t>
  </si>
  <si>
    <t>30-WC773</t>
  </si>
  <si>
    <t>SEED</t>
  </si>
  <si>
    <t>COMMERCIAL</t>
  </si>
  <si>
    <t>HGT-002</t>
  </si>
  <si>
    <t>Afadja</t>
  </si>
  <si>
    <t>CUSTOM&amp;TRIAL</t>
  </si>
  <si>
    <t>AFADJA</t>
  </si>
  <si>
    <t>HGT-003</t>
  </si>
  <si>
    <t>African eggplant BENUE F1</t>
  </si>
  <si>
    <t>BENUE</t>
  </si>
  <si>
    <t>HGT-004</t>
  </si>
  <si>
    <t>African eggplant KAZINGA RZ F1</t>
  </si>
  <si>
    <t>KAZINGA</t>
  </si>
  <si>
    <t>HGT-005</t>
  </si>
  <si>
    <t>African eggplant KERIO RZ F1</t>
  </si>
  <si>
    <t>HGT-006</t>
  </si>
  <si>
    <t>African eggplant LIMPOPO RZ F3</t>
  </si>
  <si>
    <t>LIMPOPO</t>
  </si>
  <si>
    <t>HGT-008</t>
  </si>
  <si>
    <t>African hot pepper AFADJA RZ F7</t>
  </si>
  <si>
    <t>HGT-007</t>
  </si>
  <si>
    <t>HGT-009</t>
  </si>
  <si>
    <t>African hot pepper LENGAI RZ F2</t>
  </si>
  <si>
    <t>LENGAI</t>
  </si>
  <si>
    <t>HGT-010</t>
  </si>
  <si>
    <t>African hot pepper LENGAI RZ F3</t>
  </si>
  <si>
    <t>HGT-012</t>
  </si>
  <si>
    <t>African Hot Pepper Loleza RZ</t>
  </si>
  <si>
    <t>LOLEZA</t>
  </si>
  <si>
    <t>HGT-011</t>
  </si>
  <si>
    <t>HGT-014</t>
  </si>
  <si>
    <t>African Hot Pepper Mawenzili</t>
  </si>
  <si>
    <t>MAWENZILI</t>
  </si>
  <si>
    <t>HGT-013</t>
  </si>
  <si>
    <t>HGT-015</t>
  </si>
  <si>
    <t>alaine</t>
  </si>
  <si>
    <t>MASIFIO CUSTOM</t>
  </si>
  <si>
    <t>ALAINE</t>
  </si>
  <si>
    <t>HGT-016</t>
  </si>
  <si>
    <t>Alboreto</t>
  </si>
  <si>
    <t>ALBORETO</t>
  </si>
  <si>
    <t>HGT-018</t>
  </si>
  <si>
    <t>Allegreto</t>
  </si>
  <si>
    <t>ALLEGRETO</t>
  </si>
  <si>
    <t>HGT-017</t>
  </si>
  <si>
    <t>HGT-020</t>
  </si>
  <si>
    <t>Alpes</t>
  </si>
  <si>
    <t>ALPES</t>
  </si>
  <si>
    <t>HGT-019</t>
  </si>
  <si>
    <t>HGT-022</t>
  </si>
  <si>
    <t>amburana</t>
  </si>
  <si>
    <t>AMBURANA</t>
  </si>
  <si>
    <t>HGT-021</t>
  </si>
  <si>
    <t>HGT-023</t>
  </si>
  <si>
    <t>Aubergine BRIGITTE RZ F2</t>
  </si>
  <si>
    <t>BRIGITTE</t>
  </si>
  <si>
    <t>HGT-024</t>
  </si>
  <si>
    <t>Aubergine FANTASTIC RZ F3</t>
  </si>
  <si>
    <t>FANTASTIC</t>
  </si>
  <si>
    <t>HGT-025</t>
  </si>
  <si>
    <t>barlach</t>
  </si>
  <si>
    <t>BARLACH</t>
  </si>
  <si>
    <t>HGT-026</t>
  </si>
  <si>
    <t>Barldralla</t>
  </si>
  <si>
    <t>HGT-027</t>
  </si>
  <si>
    <t>Baronesa</t>
  </si>
  <si>
    <t>BARONESA</t>
  </si>
  <si>
    <t>HGT-028</t>
  </si>
  <si>
    <t>Batavia lettuce INVICTA RZ</t>
  </si>
  <si>
    <t>INVICTA</t>
  </si>
  <si>
    <t>HGT-029</t>
  </si>
  <si>
    <t>Batavia lettuce TOURBILLON RZ</t>
  </si>
  <si>
    <t>TOURBILLON</t>
  </si>
  <si>
    <t>HGT-030</t>
  </si>
  <si>
    <t>Beetroot LARKA RZ</t>
  </si>
  <si>
    <t>HGT-031</t>
  </si>
  <si>
    <t>Beetroot Zeppo</t>
  </si>
  <si>
    <t>HGT-032</t>
  </si>
  <si>
    <t>Bellaire</t>
  </si>
  <si>
    <t>BELLAIRE</t>
  </si>
  <si>
    <t>HGT-033</t>
  </si>
  <si>
    <t>benue</t>
  </si>
  <si>
    <t>HGT-034</t>
  </si>
  <si>
    <t>Blanched celery KYLIAN RZ</t>
  </si>
  <si>
    <t>KYLIAN</t>
  </si>
  <si>
    <t>HGT-035</t>
  </si>
  <si>
    <t>Boelli</t>
  </si>
  <si>
    <t>BOELLI</t>
  </si>
  <si>
    <t>HGT-036</t>
  </si>
  <si>
    <t>Bologna</t>
  </si>
  <si>
    <t>BOLOGNA</t>
  </si>
  <si>
    <t>HGT-037</t>
  </si>
  <si>
    <t>Bottas</t>
  </si>
  <si>
    <t>BOTTAS</t>
  </si>
  <si>
    <t>HGT-038</t>
  </si>
  <si>
    <t>Bourdais</t>
  </si>
  <si>
    <t>HGT-039</t>
  </si>
  <si>
    <t>Bravura</t>
  </si>
  <si>
    <t>BRAVURA</t>
  </si>
  <si>
    <t>HGT-040</t>
  </si>
  <si>
    <t>Brigitte</t>
  </si>
  <si>
    <t>HGT-041</t>
  </si>
  <si>
    <t>Broccoli TAHOE RZ F3</t>
  </si>
  <si>
    <t>TAHOE</t>
  </si>
  <si>
    <t>HGT-042</t>
  </si>
  <si>
    <t>Calazina</t>
  </si>
  <si>
    <t>CALAZINA</t>
  </si>
  <si>
    <t>HGT-043</t>
  </si>
  <si>
    <t>Cantrell</t>
  </si>
  <si>
    <t>HGT-045</t>
  </si>
  <si>
    <t>Caribbean Gold</t>
  </si>
  <si>
    <t>CARIBBEAN GOLD</t>
  </si>
  <si>
    <t>HGT-044</t>
  </si>
  <si>
    <t>HGT-046</t>
  </si>
  <si>
    <t>Caribbean king</t>
  </si>
  <si>
    <t>CARIBBEAN KING</t>
  </si>
  <si>
    <t>HGT-047</t>
  </si>
  <si>
    <t>Cartegeneous</t>
  </si>
  <si>
    <t>HGT-048</t>
  </si>
  <si>
    <t>Cauliflower CASPER RZ F1</t>
  </si>
  <si>
    <t>CASPER</t>
  </si>
  <si>
    <t>HGT-049</t>
  </si>
  <si>
    <t>Cauliflower CASPER RZ F4</t>
  </si>
  <si>
    <t>HGT-050</t>
  </si>
  <si>
    <t>Cauliflower MONEERA RZ F4</t>
  </si>
  <si>
    <t>MONEERA</t>
  </si>
  <si>
    <t>HGT-051</t>
  </si>
  <si>
    <t>Chromis</t>
  </si>
  <si>
    <t>HGT-052</t>
  </si>
  <si>
    <t>Codex</t>
  </si>
  <si>
    <t>CODEX</t>
  </si>
  <si>
    <t>HGT-053</t>
  </si>
  <si>
    <t>concorde</t>
  </si>
  <si>
    <t>CONCORDE</t>
  </si>
  <si>
    <t>HGT-054</t>
  </si>
  <si>
    <t>cook</t>
  </si>
  <si>
    <t>COOK</t>
  </si>
  <si>
    <t>HGT-055</t>
  </si>
  <si>
    <t>Cos lettuce MAXIMUS RZ</t>
  </si>
  <si>
    <t>MAXIMUS</t>
  </si>
  <si>
    <t>HGT-056</t>
  </si>
  <si>
    <t>Coulthard</t>
  </si>
  <si>
    <t>COULTHARD</t>
  </si>
  <si>
    <t>HGT-057</t>
  </si>
  <si>
    <t>Cucumber LARINO RZ F1</t>
  </si>
  <si>
    <t>LARINO</t>
  </si>
  <si>
    <t>HGT-058</t>
  </si>
  <si>
    <t>Daywalt</t>
  </si>
  <si>
    <t>DAYWALT</t>
  </si>
  <si>
    <t>HGT-059</t>
  </si>
  <si>
    <t>Diapson</t>
  </si>
  <si>
    <t>HGT-060</t>
  </si>
  <si>
    <t>DRIP KIT DK500-G</t>
  </si>
  <si>
    <t>IRRIGATION</t>
  </si>
  <si>
    <t>HGT-061</t>
  </si>
  <si>
    <t>Exact</t>
  </si>
  <si>
    <t>EXACT</t>
  </si>
  <si>
    <t>HGT-062</t>
  </si>
  <si>
    <t>excentric</t>
  </si>
  <si>
    <t>HGT-063</t>
  </si>
  <si>
    <t>Excurcus</t>
  </si>
  <si>
    <t>HGT-064</t>
  </si>
  <si>
    <t>fantastic</t>
  </si>
  <si>
    <t>HGT-065</t>
  </si>
  <si>
    <t>Fennel BOELLI</t>
  </si>
  <si>
    <t>HGT-066</t>
  </si>
  <si>
    <t>Floccus</t>
  </si>
  <si>
    <t>FLOCCUS</t>
  </si>
  <si>
    <t>HGT-067</t>
  </si>
  <si>
    <t>Gamhar</t>
  </si>
  <si>
    <t>GAMHAR</t>
  </si>
  <si>
    <t>HGT-068</t>
  </si>
  <si>
    <t>Gibbard</t>
  </si>
  <si>
    <t>GIBBARD</t>
  </si>
  <si>
    <t>HGT-069</t>
  </si>
  <si>
    <t>Gimli</t>
  </si>
  <si>
    <t>GIMLI</t>
  </si>
  <si>
    <t>HGT-070</t>
  </si>
  <si>
    <t>Gladial</t>
  </si>
  <si>
    <t>GLADIAL</t>
  </si>
  <si>
    <t>HGT-071</t>
  </si>
  <si>
    <t>Gourami</t>
  </si>
  <si>
    <t>GOURAMI</t>
  </si>
  <si>
    <t>HGT-072</t>
  </si>
  <si>
    <t>grecale</t>
  </si>
  <si>
    <t>HGT-073</t>
  </si>
  <si>
    <t>GREEN HOUSE</t>
  </si>
  <si>
    <t>NOT COMPLETE</t>
  </si>
  <si>
    <t>HGT-074</t>
  </si>
  <si>
    <t>Hazleton</t>
  </si>
  <si>
    <t>HAZLETON</t>
  </si>
  <si>
    <t>HGT-075</t>
  </si>
  <si>
    <t>Hilbert</t>
  </si>
  <si>
    <t>HILBERT</t>
  </si>
  <si>
    <t>HGT-076</t>
  </si>
  <si>
    <t>Horiver Blue</t>
  </si>
  <si>
    <t>IPM</t>
  </si>
  <si>
    <t>HGT-077</t>
  </si>
  <si>
    <t>Horiver Yellow</t>
  </si>
  <si>
    <t>HGT-078</t>
  </si>
  <si>
    <t>Hot pepper HABIB RZ F1</t>
  </si>
  <si>
    <t>HABIB</t>
  </si>
  <si>
    <t>HGT-079</t>
  </si>
  <si>
    <t>Hot pepper MEXTIZO RZ F3</t>
  </si>
  <si>
    <t>MEXTIZO</t>
  </si>
  <si>
    <t>HGT-080</t>
  </si>
  <si>
    <t>Hot pepper MEXTIZO RZ F4</t>
  </si>
  <si>
    <t>HGT-081</t>
  </si>
  <si>
    <t>Iceberg lettuce Bruma RZ</t>
  </si>
  <si>
    <t>BRUMA</t>
  </si>
  <si>
    <t>HGT-082</t>
  </si>
  <si>
    <t>Ilanga</t>
  </si>
  <si>
    <t>ILANGA</t>
  </si>
  <si>
    <t>HGT-084</t>
  </si>
  <si>
    <t>Jarrah</t>
  </si>
  <si>
    <t>JARRAH</t>
  </si>
  <si>
    <t>HGT-083</t>
  </si>
  <si>
    <t>HGT-085</t>
  </si>
  <si>
    <t>Jerada</t>
  </si>
  <si>
    <t>JERADA</t>
  </si>
  <si>
    <t>HGT-086</t>
  </si>
  <si>
    <t>Kariba</t>
  </si>
  <si>
    <t>HGT-087</t>
  </si>
  <si>
    <t>Kazinga</t>
  </si>
  <si>
    <t>HGT-088</t>
  </si>
  <si>
    <t>kivu</t>
  </si>
  <si>
    <t>KIVU</t>
  </si>
  <si>
    <t>HGT-089</t>
  </si>
  <si>
    <t>Klee</t>
  </si>
  <si>
    <t>KLEE</t>
  </si>
  <si>
    <t>HGT-090</t>
  </si>
  <si>
    <t>Kohl Rabi Eder RZ F2</t>
  </si>
  <si>
    <t>EDER</t>
  </si>
  <si>
    <t>HGT-091</t>
  </si>
  <si>
    <t>Kohl Rabi Ukza RZ F1</t>
  </si>
  <si>
    <t>UKZA</t>
  </si>
  <si>
    <t>HGT-092</t>
  </si>
  <si>
    <t>kristine</t>
  </si>
  <si>
    <t>KRISTINE</t>
  </si>
  <si>
    <t>HGT-093</t>
  </si>
  <si>
    <t>lalique</t>
  </si>
  <si>
    <t>HGT-094</t>
  </si>
  <si>
    <t>Larsson</t>
  </si>
  <si>
    <t>HGT-095</t>
  </si>
  <si>
    <t>Lavender</t>
  </si>
  <si>
    <t>LAVENDER</t>
  </si>
  <si>
    <t>HGT-096</t>
  </si>
  <si>
    <t>Leaf lettuce CONCORDE RZ</t>
  </si>
  <si>
    <t>HGT-097</t>
  </si>
  <si>
    <t>leirre</t>
  </si>
  <si>
    <t>HGT-098</t>
  </si>
  <si>
    <t>LENARA</t>
  </si>
  <si>
    <t>HGT-099</t>
  </si>
  <si>
    <t>libero</t>
  </si>
  <si>
    <t>LIBERO</t>
  </si>
  <si>
    <t>HGT-100</t>
  </si>
  <si>
    <t>Ligier</t>
  </si>
  <si>
    <t>LIGIER</t>
  </si>
  <si>
    <t>HGT-101</t>
  </si>
  <si>
    <t>Limpopo</t>
  </si>
  <si>
    <t>HGT-102</t>
  </si>
  <si>
    <t>Litoral</t>
  </si>
  <si>
    <t>LITORAL</t>
  </si>
  <si>
    <t>HGT-103</t>
  </si>
  <si>
    <t>Long cucumber BOLOGNA RZ F1</t>
  </si>
  <si>
    <t>HGT-104</t>
  </si>
  <si>
    <t>Maggino</t>
  </si>
  <si>
    <t>MAGGINO</t>
  </si>
  <si>
    <t>HGT-105</t>
  </si>
  <si>
    <t>Matejko</t>
  </si>
  <si>
    <t>MATEJKO</t>
  </si>
  <si>
    <t>HGT-106</t>
  </si>
  <si>
    <t>Mawenzili</t>
  </si>
  <si>
    <t>HGT-107</t>
  </si>
  <si>
    <t>Melon ALPES RZ F1</t>
  </si>
  <si>
    <t>HGT-108</t>
  </si>
  <si>
    <t>Melon CARIBBEAN GOLD RZ F6</t>
  </si>
  <si>
    <t>HGT-109</t>
  </si>
  <si>
    <t>Melon CARIBBEAN KING RZ F2</t>
  </si>
  <si>
    <t>HGT-110</t>
  </si>
  <si>
    <t>Melon GLADIAL RZ F1</t>
  </si>
  <si>
    <t>HGT-111</t>
  </si>
  <si>
    <t>Melon GLADIAL RZ F16</t>
  </si>
  <si>
    <t>HGT-112</t>
  </si>
  <si>
    <t>Melon GLADIAL RZ F17</t>
  </si>
  <si>
    <t>HGT-113</t>
  </si>
  <si>
    <t>Messina</t>
  </si>
  <si>
    <t>MESSINA</t>
  </si>
  <si>
    <t>HGT-115</t>
  </si>
  <si>
    <t>Mondial</t>
  </si>
  <si>
    <t>MONDIAL</t>
  </si>
  <si>
    <t>HGT-114</t>
  </si>
  <si>
    <t>HGT-116</t>
  </si>
  <si>
    <t>Morelia</t>
  </si>
  <si>
    <t>MORELIA</t>
  </si>
  <si>
    <t>HGT-117</t>
  </si>
  <si>
    <t>Morgan</t>
  </si>
  <si>
    <t>MORGAN</t>
  </si>
  <si>
    <t>HGT-118</t>
  </si>
  <si>
    <t>multistar</t>
  </si>
  <si>
    <t>MULTISTAR</t>
  </si>
  <si>
    <t>HGT-119</t>
  </si>
  <si>
    <t>Nanaki</t>
  </si>
  <si>
    <t>HGT-120</t>
  </si>
  <si>
    <t>Oak leaf lettuce KRISTINE RZ</t>
  </si>
  <si>
    <t>HGT-121</t>
  </si>
  <si>
    <t>Oak leaf lettuce MONDAI RZ</t>
  </si>
  <si>
    <t>MONDAI</t>
  </si>
  <si>
    <t>HGT-122</t>
  </si>
  <si>
    <t>Orange Tarta</t>
  </si>
  <si>
    <t>ORANGE TARTA</t>
  </si>
  <si>
    <t>HGT-123</t>
  </si>
  <si>
    <t>Palermo river</t>
  </si>
  <si>
    <t>PALERMO RIVER</t>
  </si>
  <si>
    <t>HGT-124</t>
  </si>
  <si>
    <t>Papeletto</t>
  </si>
  <si>
    <t>HGT-125</t>
  </si>
  <si>
    <t>Pasarella</t>
  </si>
  <si>
    <t>PASARELLA</t>
  </si>
  <si>
    <t>HGT-126</t>
  </si>
  <si>
    <t>PEATMOSS</t>
  </si>
  <si>
    <t>45KG</t>
  </si>
  <si>
    <t>PEAT</t>
  </si>
  <si>
    <t>HGT-127</t>
  </si>
  <si>
    <t>Piccolima</t>
  </si>
  <si>
    <t>HGT-128</t>
  </si>
  <si>
    <t>Ponderet</t>
  </si>
  <si>
    <t>HGT-129</t>
  </si>
  <si>
    <t>Primarino</t>
  </si>
  <si>
    <t>PRIMARINO</t>
  </si>
  <si>
    <t>HGT-130</t>
  </si>
  <si>
    <t>Puntoverde</t>
  </si>
  <si>
    <t>PUNTOVERDE</t>
  </si>
  <si>
    <t>HGT-131</t>
  </si>
  <si>
    <t>Rasbora</t>
  </si>
  <si>
    <t>RASBORA</t>
  </si>
  <si>
    <t>HGT-132</t>
  </si>
  <si>
    <t>Red cabbage - redma</t>
  </si>
  <si>
    <t>REDMA</t>
  </si>
  <si>
    <t>HGT-133</t>
  </si>
  <si>
    <t>Red Tatin</t>
  </si>
  <si>
    <t>RED TATIN</t>
  </si>
  <si>
    <t>HGT-134</t>
  </si>
  <si>
    <t>Reggaeton</t>
  </si>
  <si>
    <t>REGGAETON</t>
  </si>
  <si>
    <t>HGT-135</t>
  </si>
  <si>
    <t>Rincon</t>
  </si>
  <si>
    <t>RINCON</t>
  </si>
  <si>
    <t>HGT-136</t>
  </si>
  <si>
    <t>romietto</t>
  </si>
  <si>
    <t>HGT-137</t>
  </si>
  <si>
    <t>Rugantino</t>
  </si>
  <si>
    <t>RUGANTINO</t>
  </si>
  <si>
    <t>HGT-138</t>
  </si>
  <si>
    <t>Shelter</t>
  </si>
  <si>
    <t>SHELTER</t>
  </si>
  <si>
    <t>HGT-139</t>
  </si>
  <si>
    <t>Shinefit</t>
  </si>
  <si>
    <t>SHINEFIT</t>
  </si>
  <si>
    <t>HGT-141</t>
  </si>
  <si>
    <t>Slicer cucumber MYDAS RZ F1</t>
  </si>
  <si>
    <t>MYDAS</t>
  </si>
  <si>
    <t>HGT-140</t>
  </si>
  <si>
    <t>HGT-143</t>
  </si>
  <si>
    <t>Sondela</t>
  </si>
  <si>
    <t>SONDELA</t>
  </si>
  <si>
    <t>HGT-142</t>
  </si>
  <si>
    <t>sondela</t>
  </si>
  <si>
    <t>HGT-144</t>
  </si>
  <si>
    <t>sungari</t>
  </si>
  <si>
    <t>HGT-145</t>
  </si>
  <si>
    <t>Sweet pepper ILANGA RZ F9</t>
  </si>
  <si>
    <t>HGT-146</t>
  </si>
  <si>
    <t>Sweet pepper MASSILIA RZ F6</t>
  </si>
  <si>
    <t>MASSILIA</t>
  </si>
  <si>
    <t>HGT-147</t>
  </si>
  <si>
    <t>Sweet pepper PASARELLA RZ F8</t>
  </si>
  <si>
    <t>HGT-148</t>
  </si>
  <si>
    <t>Sweet pepper RED JET RZ F8</t>
  </si>
  <si>
    <t>RED JET</t>
  </si>
  <si>
    <t>HGT-149</t>
  </si>
  <si>
    <t>Sweet pepper RED JET RZ F9</t>
  </si>
  <si>
    <t>HGT-150</t>
  </si>
  <si>
    <t>Sweet pepper Reggaeton</t>
  </si>
  <si>
    <t>HGT-151</t>
  </si>
  <si>
    <t>Sweet pepper Snack Triora</t>
  </si>
  <si>
    <t>TRIORA</t>
  </si>
  <si>
    <t>HGT-152</t>
  </si>
  <si>
    <t>Sweet pepper Snack Triyello</t>
  </si>
  <si>
    <t>TRIYELLO</t>
  </si>
  <si>
    <t>HGT-153</t>
  </si>
  <si>
    <t>Swisschard charsano</t>
  </si>
  <si>
    <t>CHARSANO</t>
  </si>
  <si>
    <t>HGT-154</t>
  </si>
  <si>
    <t>Tacoma</t>
  </si>
  <si>
    <t>TACOMA</t>
  </si>
  <si>
    <t>HGT-155</t>
  </si>
  <si>
    <t>Tahoe</t>
  </si>
  <si>
    <t>HGT-156</t>
  </si>
  <si>
    <t>Tejal</t>
  </si>
  <si>
    <t>TEJAL</t>
  </si>
  <si>
    <t>HGT-157</t>
  </si>
  <si>
    <t>Tendita</t>
  </si>
  <si>
    <t>TENDITA</t>
  </si>
  <si>
    <t>HGT-159</t>
  </si>
  <si>
    <t>Tirsuli</t>
  </si>
  <si>
    <t>HGT-158</t>
  </si>
  <si>
    <t>tirsuli</t>
  </si>
  <si>
    <t>HGT-160</t>
  </si>
  <si>
    <t>Tomato Amburana</t>
  </si>
  <si>
    <t>HGT-161</t>
  </si>
  <si>
    <t>Tomato FORTESA RZ F4</t>
  </si>
  <si>
    <t>FORTESA</t>
  </si>
  <si>
    <t>HGT-164</t>
  </si>
  <si>
    <t>Tomato GAMHAR RZ F7</t>
  </si>
  <si>
    <t>HGT-163</t>
  </si>
  <si>
    <t>HGT-162</t>
  </si>
  <si>
    <t>HGT-165</t>
  </si>
  <si>
    <t>Tomato JARRAH RZ F2</t>
  </si>
  <si>
    <t>HGT-166</t>
  </si>
  <si>
    <t>Tomato JARRAH RZ F3</t>
  </si>
  <si>
    <t>HGT-167</t>
  </si>
  <si>
    <t>Tomato MONTEAZUL RZ F3</t>
  </si>
  <si>
    <t>HGT-168</t>
  </si>
  <si>
    <t>Tomato PRIMARINO RZ F6</t>
  </si>
  <si>
    <t>HGT-169</t>
  </si>
  <si>
    <t>Tomato UWEZO RZ F4</t>
  </si>
  <si>
    <t>UWEZO</t>
  </si>
  <si>
    <t>HGT-170</t>
  </si>
  <si>
    <t>Tomato VALOURO RZ F1</t>
  </si>
  <si>
    <t>VALOURO</t>
  </si>
  <si>
    <t>HGT-171</t>
  </si>
  <si>
    <t>Toughma</t>
  </si>
  <si>
    <t>TOUGHMA</t>
  </si>
  <si>
    <t>HGT-172</t>
  </si>
  <si>
    <t>tourbillion</t>
  </si>
  <si>
    <t>HGT-173</t>
  </si>
  <si>
    <t>Tralex</t>
  </si>
  <si>
    <t>TRALEX</t>
  </si>
  <si>
    <t>HGT-174</t>
  </si>
  <si>
    <t>trambelinno</t>
  </si>
  <si>
    <t>HGT-175</t>
  </si>
  <si>
    <t>Trianum</t>
  </si>
  <si>
    <t>500g</t>
  </si>
  <si>
    <t>HGT-176</t>
  </si>
  <si>
    <t>Trirosso</t>
  </si>
  <si>
    <t>TRIROSSO</t>
  </si>
  <si>
    <t>HGT-177</t>
  </si>
  <si>
    <t>Tropical Sunshine</t>
  </si>
  <si>
    <t>TROPICAL SUNSHINE</t>
  </si>
  <si>
    <t>HGT-178</t>
  </si>
  <si>
    <t>twistma</t>
  </si>
  <si>
    <t>TWISTMA</t>
  </si>
  <si>
    <t>HGT-179</t>
  </si>
  <si>
    <t>Ty 12 RZ</t>
  </si>
  <si>
    <t>TY 12</t>
  </si>
  <si>
    <t>HGT-180</t>
  </si>
  <si>
    <t>Ukza</t>
  </si>
  <si>
    <t>HGT-181</t>
  </si>
  <si>
    <t>Uwezo</t>
  </si>
  <si>
    <t>HGT-182</t>
  </si>
  <si>
    <t>Valdivia</t>
  </si>
  <si>
    <t>HGT-183</t>
  </si>
  <si>
    <t>valerioso</t>
  </si>
  <si>
    <t>HGT-184</t>
  </si>
  <si>
    <t>vicinity</t>
  </si>
  <si>
    <t>HGT-185</t>
  </si>
  <si>
    <t>Webber</t>
  </si>
  <si>
    <t>WEBBER</t>
  </si>
  <si>
    <t>HGT-186</t>
  </si>
  <si>
    <t>White cabbage TOUGHMA RZ F3</t>
  </si>
  <si>
    <t>HGT-187</t>
  </si>
  <si>
    <t>White cabbage-Bluesma</t>
  </si>
  <si>
    <t>BLUESMA</t>
  </si>
  <si>
    <t>HGT-188</t>
  </si>
  <si>
    <t>White cabbage-Swingma</t>
  </si>
  <si>
    <t>SWINGMA</t>
  </si>
  <si>
    <t>HGT-190</t>
  </si>
  <si>
    <t>White cabbage-TACOMA</t>
  </si>
  <si>
    <t>HGT-189</t>
  </si>
  <si>
    <t>HGT-192</t>
  </si>
  <si>
    <t>White cabbage-Twistma</t>
  </si>
  <si>
    <t>HGT-191</t>
  </si>
  <si>
    <t>HGT-193</t>
  </si>
  <si>
    <t>Woodpeker</t>
  </si>
  <si>
    <t>HGT-194</t>
  </si>
  <si>
    <t>Yellow zuppa</t>
  </si>
  <si>
    <t>YELLOW ZUPPA</t>
  </si>
  <si>
    <t>HGT-195</t>
  </si>
  <si>
    <t>Zanardi</t>
  </si>
  <si>
    <t>ZANARDI</t>
  </si>
  <si>
    <t>HGT-196</t>
  </si>
  <si>
    <t>Zarnadi</t>
  </si>
  <si>
    <t>HGT-197</t>
  </si>
  <si>
    <t>zeppo</t>
  </si>
  <si>
    <t>Rijk Zwaan / Holland Greentech Tanzania - price per seed (TZS) - valid from 1 March 2026</t>
  </si>
  <si>
    <t>Variety (key)</t>
  </si>
  <si>
    <t>SHARAPOVA</t>
  </si>
  <si>
    <t>SABELLE</t>
  </si>
  <si>
    <t>VITAVERDE</t>
  </si>
  <si>
    <t>BISHOP</t>
  </si>
  <si>
    <t>FLORENCE</t>
  </si>
  <si>
    <t>CILEMA</t>
  </si>
  <si>
    <t>STETHAM</t>
  </si>
  <si>
    <t>CIRILLA</t>
  </si>
  <si>
    <t>TANTALOS</t>
  </si>
  <si>
    <t>BOREAL</t>
  </si>
  <si>
    <t>DIAPASON</t>
  </si>
  <si>
    <t>NEBULUS</t>
  </si>
  <si>
    <t>LIDIVIA</t>
  </si>
  <si>
    <t>CHAPMAN</t>
  </si>
  <si>
    <t>NOVELSKI</t>
  </si>
  <si>
    <t>BALLERINA</t>
  </si>
  <si>
    <t>SKYPHOS</t>
  </si>
  <si>
    <t>TUDELA</t>
  </si>
  <si>
    <t>DORNAS</t>
  </si>
  <si>
    <t>CARTAGENAS</t>
  </si>
  <si>
    <t>NOMUGI</t>
  </si>
  <si>
    <t>EXCURSUS</t>
  </si>
  <si>
    <t>STRONEX</t>
  </si>
  <si>
    <t>LUMIREX</t>
  </si>
  <si>
    <t>LEVISTRO</t>
  </si>
  <si>
    <t>CHALMERS</t>
  </si>
  <si>
    <t>COUSTEAU</t>
  </si>
  <si>
    <t>KANDINSKY</t>
  </si>
  <si>
    <t>KALAT</t>
  </si>
  <si>
    <t>XANDRA</t>
  </si>
  <si>
    <t>TENORIO</t>
  </si>
  <si>
    <t>SANVICENTE</t>
  </si>
  <si>
    <t>DUCRAL</t>
  </si>
  <si>
    <t>GOSPEL</t>
  </si>
  <si>
    <t>STARLET</t>
  </si>
  <si>
    <t>ORANGERY</t>
  </si>
  <si>
    <t>BOOGIE</t>
  </si>
  <si>
    <t>SYMPATHY</t>
  </si>
  <si>
    <t>SVEN</t>
  </si>
  <si>
    <t>CHOCOLONY</t>
  </si>
  <si>
    <t>SPARKLE</t>
  </si>
  <si>
    <t>THEMISTO</t>
  </si>
  <si>
    <t>SINOPE</t>
  </si>
  <si>
    <t>LIZARD</t>
  </si>
  <si>
    <t>NANCY</t>
  </si>
  <si>
    <t>MOSCATEL</t>
  </si>
  <si>
    <t>ABALE</t>
  </si>
  <si>
    <t>TRAMBELLINO</t>
  </si>
  <si>
    <t>PALERMO</t>
  </si>
  <si>
    <t>RED TABBY</t>
  </si>
  <si>
    <t>Invoice</t>
  </si>
  <si>
    <t>Date</t>
  </si>
  <si>
    <t>Customer</t>
  </si>
  <si>
    <t>Location</t>
  </si>
  <si>
    <t>Cashier</t>
  </si>
  <si>
    <t>Items</t>
  </si>
  <si>
    <t>Subtotal</t>
  </si>
  <si>
    <t>Discount</t>
  </si>
  <si>
    <t>Tax</t>
  </si>
  <si>
    <t>Total</t>
  </si>
  <si>
    <t>Paid</t>
  </si>
  <si>
    <t>Balance</t>
  </si>
  <si>
    <t>Payment method</t>
  </si>
  <si>
    <t>Note</t>
  </si>
  <si>
    <t>(example row - overwrite when you paste real exports)</t>
  </si>
  <si>
    <t>Arusha</t>
  </si>
  <si>
    <t>paid</t>
  </si>
  <si>
    <t>Line-item detail - paste 'Invoice / Date / Location / SKU / Product / Pack / Qty / Unit Price / Discount % / Line Total' here for per-product analysis.</t>
  </si>
  <si>
    <t>Pack</t>
  </si>
  <si>
    <t>Qty</t>
  </si>
  <si>
    <t>Unit Price</t>
  </si>
  <si>
    <t>Discount %</t>
  </si>
  <si>
    <t>Line Total</t>
  </si>
  <si>
    <t>HGT-000</t>
  </si>
  <si>
    <t>(example row)</t>
  </si>
  <si>
    <t>When</t>
  </si>
  <si>
    <t>From</t>
  </si>
  <si>
    <t>To</t>
  </si>
  <si>
    <t>Change</t>
  </si>
  <si>
    <t>Reason</t>
  </si>
  <si>
    <t>Origin</t>
  </si>
  <si>
    <t>Reference</t>
  </si>
  <si>
    <t>By</t>
  </si>
  <si>
    <t>receipt</t>
  </si>
  <si>
    <t>HGT DASHBOARD</t>
  </si>
  <si>
    <t>Inventory figures are live from Master Products. Sales figures summarise whatever is pasted into Sales Log / Sales Lines.</t>
  </si>
  <si>
    <t>Inventory</t>
  </si>
  <si>
    <t>SKUs in catalogue</t>
  </si>
  <si>
    <t>Total units on hand</t>
  </si>
  <si>
    <t>Stock value (TZS)</t>
  </si>
  <si>
    <t>SKUs OUT of stock</t>
  </si>
  <si>
    <t>SKUs LOW (at/below reorder)</t>
  </si>
  <si>
    <t>SKUs with no selling price</t>
  </si>
  <si>
    <t>Sales (from pasted logs)</t>
  </si>
  <si>
    <t>Invoices logged</t>
  </si>
  <si>
    <t>Gross sales value (TZS)</t>
  </si>
  <si>
    <t>Collected (TZS)</t>
  </si>
  <si>
    <t>Outstanding balance (TZS)</t>
  </si>
  <si>
    <t>Line items logged</t>
  </si>
  <si>
    <t>Units sold</t>
  </si>
  <si>
    <t>Tip: build a PivotTable on the 'Sales Lines' sheet (Product in Rows, Sum of Qty and Sum of Line Total in Values) for a live top-sellers report.</t>
  </si>
  <si>
    <t>Tip: PivotTable on 'Stock Movements' (Type in Rows, Sum of Change in Values) to see receipts vs sales vs adjustments per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</si>
</sst>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3C8E3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BFBFBF"/>
      <name val="Calibri"/>
      <family val="2"/>
      <scheme val="minor"/>
    </font>
    <font>
      <b/>
      <sz val="18"/>
      <color rgb="FF3C8E38"/>
      <name val="Calibri"/>
      <family val="2"/>
      <scheme val="minor"/>
    </font>
    <font>
      <b/>
      <sz val="11"/>
      <color rgb="FF3C8E3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8E3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4" fillId="2" borderId="0" xfId="0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3" fontId="4" fillId="2" borderId="0" xfId="0" applyNumberFormat="1" applyFont="1" applyFill="1" applyAlignment="1">
      <alignment horizontal="center"/>
    </xf>
    <xf numFmtId="3" fontId="6" fillId="0" borderId="0" xfId="0" applyNumberFormat="1" applyFont="1"/>
    <xf numFmtId="164" fontId="4" fillId="2" borderId="0" xfId="0" applyNumberFormat="1" applyFont="1" applyFill="1" applyAlignment="1">
      <alignment horizontal="center"/>
    </xf>
    <xf numFmtId="164" fontId="6" fillId="0" borderId="0" xfId="0" applyNumberFormat="1" applyFont="1"/>
    <xf numFmtId="164" fontId="0" fillId="0" borderId="0" xfId="0" applyNumberFormat="1"/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53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  <numFmt numFmtId="164" formatCode="#,##0;[Red]\-#,##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C8E38"/>
        </patternFill>
      </fill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  <numFmt numFmtId="19" formatCode="m/d/yyyy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  <numFmt numFmtId="3" formatCode="#,##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  <numFmt numFmtId="3" formatCode="#,##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C8E38"/>
        </patternFill>
      </fill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  <numFmt numFmtId="19" formatCode="m/d/yyyy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  <numFmt numFmtId="3" formatCode="#,##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  <numFmt numFmtId="3" formatCode="#,##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  <numFmt numFmtId="3" formatCode="#,##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  <numFmt numFmtId="3" formatCode="#,##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  <numFmt numFmtId="3" formatCode="#,##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  <numFmt numFmtId="3" formatCode="#,##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C8E38"/>
        </patternFill>
      </fill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  <numFmt numFmtId="19" formatCode="m/d/yyyy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BFBFBF"/>
        <name val="Calibri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C8E38"/>
        </patternFill>
      </fill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C8E3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F48BB-8BDE-4412-9ED9-28A0023E73D1}" name="tblProducts" displayName="tblProducts" ref="A1:N198" totalsRowShown="0" headerRowDxfId="52">
  <autoFilter ref="A1:N198" xr:uid="{DBEF48BB-8BDE-4412-9ED9-28A0023E73D1}"/>
  <tableColumns count="14">
    <tableColumn id="1" xr3:uid="{D7C58FDC-7624-4873-A2B5-EA5DCD04D8BC}" name="SKU"/>
    <tableColumn id="2" xr3:uid="{0C89D587-E1C8-453A-AAD1-7A4478CD8B97}" name="Product"/>
    <tableColumn id="3" xr3:uid="{E1B43209-D7A5-4EDD-B2CF-5419DEF17348}" name="Pack Size"/>
    <tableColumn id="4" xr3:uid="{07E7A246-41B4-4701-B1BE-94077ACDE974}" name="Category"/>
    <tableColumn id="5" xr3:uid="{CB3A81F7-D9D8-4AE0-8E9B-F3436C93FC4C}" name="Type"/>
    <tableColumn id="6" xr3:uid="{FDAB1407-EA35-4729-A3B2-33566D941888}" name="RZ Variety"/>
    <tableColumn id="7" xr3:uid="{165A9E9E-BB95-4A65-879D-32BC3AD870F1}" name="Price / Seed (TZS)" dataDxfId="51"/>
    <tableColumn id="8" xr3:uid="{7B38906E-CAB3-47F0-81C5-05AB8A24D6BF}" name="Selling Price / Pack (TZS)" dataDxfId="50"/>
    <tableColumn id="9" xr3:uid="{720274AD-26B7-4EE8-9006-A2D34BBFF66A}" name="Reorder Point"/>
    <tableColumn id="10" xr3:uid="{E25EEC2A-42BC-49E0-9539-5D8FCF347669}" name="Stock Arusha" dataDxfId="49"/>
    <tableColumn id="11" xr3:uid="{6EFA8F5A-3C23-4BB7-8540-52D4F7C6A5CD}" name="Stock Moro" dataDxfId="48"/>
    <tableColumn id="12" xr3:uid="{EA364E8A-949E-4F04-92E8-49BA706F47F2}" name="Total On Hand" dataDxfId="46">
      <calculatedColumnFormula>J2+K2</calculatedColumnFormula>
    </tableColumn>
    <tableColumn id="13" xr3:uid="{EF15D9E7-2172-4DD0-966B-77FDB447E795}" name="Stock Value (TZS)" dataDxfId="47">
      <calculatedColumnFormula>L2*N(H2)</calculatedColumnFormula>
    </tableColumn>
    <tableColumn id="14" xr3:uid="{87631FB8-8D80-4A32-B11A-04F79931EA21}" name="Status">
      <calculatedColumnFormula>IF(L2&lt;=0,"OUT",IF(L2&lt;=MAX(I2,5),"LOW","OK"))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129071-D66E-4446-82E8-DC11E30CF6A4}" name="tblPricelist" displayName="tblPricelist" ref="A3:B159" totalsRowShown="0" headerRowDxfId="45">
  <autoFilter ref="A3:B159" xr:uid="{77129071-D66E-4446-82E8-DC11E30CF6A4}"/>
  <tableColumns count="2">
    <tableColumn id="1" xr3:uid="{D22AE141-A770-4D02-AB94-391F5925FB27}" name="Variety (key)"/>
    <tableColumn id="2" xr3:uid="{C9BCB704-E196-4CCD-AF4D-C725FF333E48}" name="Price / Seed (TZS)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0A267B-5499-4163-8C62-A223FC9A92D0}" name="tblSales" displayName="tblSales" ref="A1:O2" totalsRowShown="0" headerRowDxfId="35" dataDxfId="36">
  <autoFilter ref="A1:O2" xr:uid="{6E0A267B-5499-4163-8C62-A223FC9A92D0}"/>
  <tableColumns count="15">
    <tableColumn id="1" xr3:uid="{95ED61CB-4DF4-4083-93F8-297BF39EC198}" name="Invoice" dataDxfId="43"/>
    <tableColumn id="2" xr3:uid="{461100DB-4619-471A-8785-C418E7A20307}" name="Date" dataDxfId="42"/>
    <tableColumn id="3" xr3:uid="{154E21F4-5A49-4B3D-AE9E-25F152F2F64D}" name="Customer" dataDxfId="41"/>
    <tableColumn id="4" xr3:uid="{4A3D4FD5-7855-4D6C-9DFE-E044A4750550}" name="Location" dataDxfId="40"/>
    <tableColumn id="5" xr3:uid="{115A2672-F349-4187-8F05-FBD178BF5BF9}" name="Cashier" dataDxfId="39"/>
    <tableColumn id="6" xr3:uid="{437E26AF-B7BD-4FD3-BA86-6AB0107F7E3A}" name="Items" dataDxfId="34"/>
    <tableColumn id="7" xr3:uid="{ADECF047-E7E9-43E2-987F-C9F10029001B}" name="Subtotal" dataDxfId="33"/>
    <tableColumn id="8" xr3:uid="{FC1EC261-1C44-4510-B615-D22CFC6D01BD}" name="Discount" dataDxfId="32"/>
    <tableColumn id="9" xr3:uid="{B918569E-3B0E-4595-9C3B-6EA1874E081A}" name="Tax" dataDxfId="31"/>
    <tableColumn id="10" xr3:uid="{2C1DDB22-BD57-45FB-B19A-503B9BA453A5}" name="Total" dataDxfId="30"/>
    <tableColumn id="11" xr3:uid="{3D8AADBA-8340-4C8A-B6CF-CC30C6A110A8}" name="Paid" dataDxfId="29"/>
    <tableColumn id="12" xr3:uid="{AD037CF7-6451-4FE6-91E2-6A68600547E5}" name="Balance" dataDxfId="27"/>
    <tableColumn id="13" xr3:uid="{2A3C0270-D9D5-4A1B-8481-6922D8A1D9DF}" name="Payment method" dataDxfId="28"/>
    <tableColumn id="14" xr3:uid="{2D3D01F7-1C1C-4558-BC4F-9F17D3584CF0}" name="Status" dataDxfId="38"/>
    <tableColumn id="15" xr3:uid="{ABEB486C-BD1D-4171-A70C-7035290AFC25}" name="Note" dataDxfId="37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7A95E7-A6B5-4DDC-AB4D-85F315900132}" name="tblSalesLines" displayName="tblSalesLines" ref="A3:J4" totalsRowShown="0" headerRowDxfId="19" dataDxfId="20">
  <autoFilter ref="A3:J4" xr:uid="{F27A95E7-A6B5-4DDC-AB4D-85F315900132}"/>
  <tableColumns count="10">
    <tableColumn id="1" xr3:uid="{86A0D03D-F63D-4D7B-AF50-7D0868565A9B}" name="Invoice" dataDxfId="26"/>
    <tableColumn id="2" xr3:uid="{370D6288-9938-4F8E-A1C3-C0CEF48D6349}" name="Date" dataDxfId="25"/>
    <tableColumn id="3" xr3:uid="{B41F7624-D104-4796-90A5-1A2BEAE5805F}" name="Location" dataDxfId="24"/>
    <tableColumn id="4" xr3:uid="{A3175DDB-FFFE-4752-B25E-FBC7D8AC3657}" name="SKU" dataDxfId="23"/>
    <tableColumn id="5" xr3:uid="{297CCF32-3226-4575-A56C-3B8AB64923D9}" name="Product" dataDxfId="22"/>
    <tableColumn id="6" xr3:uid="{CA78E24B-1A67-46DE-A456-AFBC721B6F37}" name="Pack" dataDxfId="21"/>
    <tableColumn id="7" xr3:uid="{87F932F1-9B83-4F07-B12A-DFB3E29CDA89}" name="Qty" dataDxfId="18"/>
    <tableColumn id="8" xr3:uid="{3E288C3A-D82F-4245-8F39-123846A71017}" name="Unit Price" dataDxfId="17"/>
    <tableColumn id="9" xr3:uid="{ECDEA5F5-4226-426B-A69C-B6E11C107684}" name="Discount %" dataDxfId="16"/>
    <tableColumn id="10" xr3:uid="{9634BE0B-F49B-49A2-AE55-C1A6BA903333}" name="Line Total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50F97A-AFED-47E1-B4D9-496FECB8A7A4}" name="tblMovements" displayName="tblMovements" ref="A1:M2" totalsRowShown="0" headerRowDxfId="3" dataDxfId="4">
  <autoFilter ref="A1:M2" xr:uid="{5950F97A-AFED-47E1-B4D9-496FECB8A7A4}"/>
  <tableColumns count="13">
    <tableColumn id="1" xr3:uid="{055867A4-E6D2-4F93-98D2-98293D8776A8}" name="When" dataDxfId="14"/>
    <tableColumn id="2" xr3:uid="{858B8522-4C18-4E86-BD31-44939CBB70CB}" name="Type" dataDxfId="13"/>
    <tableColumn id="3" xr3:uid="{7DC54D03-C3C9-44B9-A63A-F360727E205B}" name="Product" dataDxfId="12"/>
    <tableColumn id="4" xr3:uid="{EE7D91FF-4B16-4049-BE80-731D96FFC394}" name="SKU" dataDxfId="11"/>
    <tableColumn id="5" xr3:uid="{AB4BF8F1-E657-42FA-9012-FFF5CA08152E}" name="Location" dataDxfId="10"/>
    <tableColumn id="6" xr3:uid="{960C9287-FD92-4102-B437-A5D42A673358}" name="From" dataDxfId="9"/>
    <tableColumn id="7" xr3:uid="{2065281A-33A6-4F55-8BBF-DFF42B0B5356}" name="To" dataDxfId="2"/>
    <tableColumn id="8" xr3:uid="{FAEDBB40-E4B7-4377-B2A9-26354A6973E4}" name="Change" dataDxfId="0"/>
    <tableColumn id="9" xr3:uid="{8C9A3804-52E0-425F-84F3-2C5DDF7653C5}" name="Reason" dataDxfId="1"/>
    <tableColumn id="10" xr3:uid="{F44EF7BE-E7A3-4B97-A3C9-9BB2D0CE4AD1}" name="Origin" dataDxfId="8"/>
    <tableColumn id="11" xr3:uid="{A6DD166E-5D68-4E5F-B216-3D52002F64C5}" name="Reference" dataDxfId="7"/>
    <tableColumn id="12" xr3:uid="{0E45DFDD-99C4-46F2-9D0B-8191312A12CC}" name="Note" dataDxfId="6"/>
    <tableColumn id="13" xr3:uid="{D150E613-A01F-4E27-96F8-2E0EF7147234}" name="By" dataDxfId="5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aude.ai/code/artifact/d9eabf92-dff3-47a3-b214-ff88089f12f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6296-6660-41B3-8FDF-569055978165}">
  <dimension ref="A1:A24"/>
  <sheetViews>
    <sheetView showGridLines="0" tabSelected="1" workbookViewId="0"/>
  </sheetViews>
  <sheetFormatPr defaultRowHeight="14.4" x14ac:dyDescent="0.3"/>
  <cols>
    <col min="1" max="1" width="118.77734375" customWidth="1"/>
  </cols>
  <sheetData>
    <row r="1" spans="1:1" ht="25.8" x14ac:dyDescent="0.5">
      <c r="A1" s="1" t="s">
        <v>0</v>
      </c>
    </row>
    <row r="3" spans="1:1" x14ac:dyDescent="0.3">
      <c r="A3" t="s">
        <v>1</v>
      </c>
    </row>
    <row r="5" spans="1:1" x14ac:dyDescent="0.3">
      <c r="A5" s="2" t="s">
        <v>2</v>
      </c>
    </row>
    <row r="6" spans="1:1" x14ac:dyDescent="0.3">
      <c r="A6" s="3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1" spans="1:1" x14ac:dyDescent="0.3">
      <c r="A11" s="2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7" spans="1:1" x14ac:dyDescent="0.3">
      <c r="A17" s="2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2" spans="1:1" x14ac:dyDescent="0.3">
      <c r="A22" t="s">
        <v>16</v>
      </c>
    </row>
    <row r="23" spans="1:1" x14ac:dyDescent="0.3">
      <c r="A23" t="s">
        <v>17</v>
      </c>
    </row>
    <row r="24" spans="1:1" x14ac:dyDescent="0.3">
      <c r="A24" t="s">
        <v>18</v>
      </c>
    </row>
  </sheetData>
  <hyperlinks>
    <hyperlink ref="A6" r:id="rId1" xr:uid="{437C7576-F2BF-4670-82AE-2220BF171F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0872-75E6-4FA5-8185-AC797403E722}">
  <dimension ref="A1:N198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.77734375" customWidth="1"/>
    <col min="2" max="2" width="40.77734375" customWidth="1"/>
    <col min="3" max="6" width="15.77734375" customWidth="1"/>
    <col min="7" max="14" width="16.77734375" customWidth="1"/>
  </cols>
  <sheetData>
    <row r="1" spans="1:14" ht="25.95" customHeight="1" x14ac:dyDescent="0.3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</row>
    <row r="2" spans="1:14" x14ac:dyDescent="0.3">
      <c r="A2" t="s">
        <v>33</v>
      </c>
      <c r="B2" t="s">
        <v>34</v>
      </c>
      <c r="C2">
        <v>1000</v>
      </c>
      <c r="D2" t="s">
        <v>35</v>
      </c>
      <c r="E2" t="s">
        <v>36</v>
      </c>
      <c r="G2" s="5"/>
      <c r="H2" s="5"/>
      <c r="I2">
        <v>0</v>
      </c>
      <c r="J2" s="5">
        <v>1</v>
      </c>
      <c r="K2" s="5">
        <v>0</v>
      </c>
      <c r="L2" s="5">
        <f>J2+K2</f>
        <v>1</v>
      </c>
      <c r="M2" s="5">
        <f>L2*N(H2)</f>
        <v>0</v>
      </c>
      <c r="N2" t="str">
        <f>IF(L2&lt;=0,"OUT",IF(L2&lt;=MAX(I2,5),"LOW","OK"))</f>
        <v>LOW</v>
      </c>
    </row>
    <row r="3" spans="1:14" x14ac:dyDescent="0.3">
      <c r="A3" t="s">
        <v>37</v>
      </c>
      <c r="B3" t="s">
        <v>38</v>
      </c>
      <c r="C3">
        <v>500</v>
      </c>
      <c r="D3" t="s">
        <v>35</v>
      </c>
      <c r="E3" t="s">
        <v>39</v>
      </c>
      <c r="F3" t="s">
        <v>40</v>
      </c>
      <c r="G3" s="5">
        <v>208</v>
      </c>
      <c r="H3" s="5">
        <v>104000</v>
      </c>
      <c r="I3">
        <v>0</v>
      </c>
      <c r="J3" s="5">
        <v>0</v>
      </c>
      <c r="K3" s="5">
        <v>0</v>
      </c>
      <c r="L3" s="5">
        <f>J3+K3</f>
        <v>0</v>
      </c>
      <c r="M3" s="5">
        <f>L3*N(H3)</f>
        <v>0</v>
      </c>
      <c r="N3" t="str">
        <f>IF(L3&lt;=0,"OUT",IF(L3&lt;=MAX(I3,5),"LOW","OK"))</f>
        <v>OUT</v>
      </c>
    </row>
    <row r="4" spans="1:14" x14ac:dyDescent="0.3">
      <c r="A4" t="s">
        <v>41</v>
      </c>
      <c r="B4" t="s">
        <v>42</v>
      </c>
      <c r="C4">
        <v>100</v>
      </c>
      <c r="D4" t="s">
        <v>35</v>
      </c>
      <c r="E4" t="s">
        <v>36</v>
      </c>
      <c r="F4" t="s">
        <v>43</v>
      </c>
      <c r="G4" s="5">
        <v>105</v>
      </c>
      <c r="H4" s="5">
        <v>10500</v>
      </c>
      <c r="I4">
        <v>0</v>
      </c>
      <c r="J4" s="5">
        <v>0</v>
      </c>
      <c r="K4" s="5">
        <v>3</v>
      </c>
      <c r="L4" s="5">
        <f>J4+K4</f>
        <v>3</v>
      </c>
      <c r="M4" s="5">
        <f>L4*N(H4)</f>
        <v>31500</v>
      </c>
      <c r="N4" t="str">
        <f>IF(L4&lt;=0,"OUT",IF(L4&lt;=MAX(I4,5),"LOW","OK"))</f>
        <v>LOW</v>
      </c>
    </row>
    <row r="5" spans="1:14" x14ac:dyDescent="0.3">
      <c r="A5" t="s">
        <v>44</v>
      </c>
      <c r="B5" t="s">
        <v>45</v>
      </c>
      <c r="C5">
        <v>100</v>
      </c>
      <c r="D5" t="s">
        <v>35</v>
      </c>
      <c r="E5" t="s">
        <v>36</v>
      </c>
      <c r="F5" t="s">
        <v>46</v>
      </c>
      <c r="G5" s="5">
        <v>74</v>
      </c>
      <c r="H5" s="5">
        <v>7400</v>
      </c>
      <c r="I5">
        <v>0</v>
      </c>
      <c r="J5" s="5">
        <v>0</v>
      </c>
      <c r="K5" s="5">
        <v>0</v>
      </c>
      <c r="L5" s="5">
        <f>J5+K5</f>
        <v>0</v>
      </c>
      <c r="M5" s="5">
        <f>L5*N(H5)</f>
        <v>0</v>
      </c>
      <c r="N5" t="str">
        <f>IF(L5&lt;=0,"OUT",IF(L5&lt;=MAX(I5,5),"LOW","OK"))</f>
        <v>OUT</v>
      </c>
    </row>
    <row r="6" spans="1:14" x14ac:dyDescent="0.3">
      <c r="A6" t="s">
        <v>47</v>
      </c>
      <c r="B6" t="s">
        <v>48</v>
      </c>
      <c r="C6">
        <v>100</v>
      </c>
      <c r="D6" t="s">
        <v>35</v>
      </c>
      <c r="E6" t="s">
        <v>36</v>
      </c>
      <c r="G6" s="5"/>
      <c r="H6" s="5"/>
      <c r="I6">
        <v>0</v>
      </c>
      <c r="J6" s="5">
        <v>0</v>
      </c>
      <c r="K6" s="5">
        <v>20</v>
      </c>
      <c r="L6" s="5">
        <f>J6+K6</f>
        <v>20</v>
      </c>
      <c r="M6" s="5">
        <f>L6*N(H6)</f>
        <v>0</v>
      </c>
      <c r="N6" t="str">
        <f>IF(L6&lt;=0,"OUT",IF(L6&lt;=MAX(I6,5),"LOW","OK"))</f>
        <v>OK</v>
      </c>
    </row>
    <row r="7" spans="1:14" x14ac:dyDescent="0.3">
      <c r="A7" t="s">
        <v>49</v>
      </c>
      <c r="B7" t="s">
        <v>50</v>
      </c>
      <c r="C7">
        <v>100</v>
      </c>
      <c r="D7" t="s">
        <v>35</v>
      </c>
      <c r="E7" t="s">
        <v>36</v>
      </c>
      <c r="F7" t="s">
        <v>51</v>
      </c>
      <c r="G7" s="5">
        <v>74</v>
      </c>
      <c r="H7" s="5">
        <v>7400</v>
      </c>
      <c r="I7">
        <v>0</v>
      </c>
      <c r="J7" s="5">
        <v>5</v>
      </c>
      <c r="K7" s="5">
        <v>17</v>
      </c>
      <c r="L7" s="5">
        <f>J7+K7</f>
        <v>22</v>
      </c>
      <c r="M7" s="5">
        <f>L7*N(H7)</f>
        <v>162800</v>
      </c>
      <c r="N7" t="str">
        <f>IF(L7&lt;=0,"OUT",IF(L7&lt;=MAX(I7,5),"LOW","OK"))</f>
        <v>OK</v>
      </c>
    </row>
    <row r="8" spans="1:14" x14ac:dyDescent="0.3">
      <c r="A8" t="s">
        <v>52</v>
      </c>
      <c r="B8" t="s">
        <v>53</v>
      </c>
      <c r="C8">
        <v>500</v>
      </c>
      <c r="D8" t="s">
        <v>35</v>
      </c>
      <c r="E8" t="s">
        <v>36</v>
      </c>
      <c r="F8" t="s">
        <v>40</v>
      </c>
      <c r="G8" s="5">
        <v>208</v>
      </c>
      <c r="H8" s="5">
        <v>104000</v>
      </c>
      <c r="I8">
        <v>0</v>
      </c>
      <c r="J8" s="5">
        <v>0</v>
      </c>
      <c r="K8" s="5">
        <v>0</v>
      </c>
      <c r="L8" s="5">
        <f>J8+K8</f>
        <v>0</v>
      </c>
      <c r="M8" s="5">
        <f>L8*N(H8)</f>
        <v>0</v>
      </c>
      <c r="N8" t="str">
        <f>IF(L8&lt;=0,"OUT",IF(L8&lt;=MAX(I8,5),"LOW","OK"))</f>
        <v>OUT</v>
      </c>
    </row>
    <row r="9" spans="1:14" x14ac:dyDescent="0.3">
      <c r="A9" t="s">
        <v>54</v>
      </c>
      <c r="B9" t="s">
        <v>53</v>
      </c>
      <c r="C9">
        <v>100</v>
      </c>
      <c r="D9" t="s">
        <v>35</v>
      </c>
      <c r="E9" t="s">
        <v>36</v>
      </c>
      <c r="F9" t="s">
        <v>40</v>
      </c>
      <c r="G9" s="5">
        <v>208</v>
      </c>
      <c r="H9" s="5">
        <v>20800</v>
      </c>
      <c r="I9">
        <v>0</v>
      </c>
      <c r="J9" s="5">
        <v>150</v>
      </c>
      <c r="K9" s="5">
        <v>0</v>
      </c>
      <c r="L9" s="5">
        <f>J9+K9</f>
        <v>150</v>
      </c>
      <c r="M9" s="5">
        <f>L9*N(H9)</f>
        <v>3120000</v>
      </c>
      <c r="N9" t="str">
        <f>IF(L9&lt;=0,"OUT",IF(L9&lt;=MAX(I9,5),"LOW","OK"))</f>
        <v>OK</v>
      </c>
    </row>
    <row r="10" spans="1:14" x14ac:dyDescent="0.3">
      <c r="A10" t="s">
        <v>55</v>
      </c>
      <c r="B10" t="s">
        <v>56</v>
      </c>
      <c r="C10">
        <v>100</v>
      </c>
      <c r="D10" t="s">
        <v>35</v>
      </c>
      <c r="E10" t="s">
        <v>36</v>
      </c>
      <c r="F10" t="s">
        <v>57</v>
      </c>
      <c r="G10" s="5">
        <v>208</v>
      </c>
      <c r="H10" s="5">
        <v>20800</v>
      </c>
      <c r="I10">
        <v>0</v>
      </c>
      <c r="J10" s="5">
        <v>331</v>
      </c>
      <c r="K10" s="5">
        <v>178</v>
      </c>
      <c r="L10" s="5">
        <f>J10+K10</f>
        <v>509</v>
      </c>
      <c r="M10" s="5">
        <f>L10*N(H10)</f>
        <v>10587200</v>
      </c>
      <c r="N10" t="str">
        <f>IF(L10&lt;=0,"OUT",IF(L10&lt;=MAX(I10,5),"LOW","OK"))</f>
        <v>OK</v>
      </c>
    </row>
    <row r="11" spans="1:14" x14ac:dyDescent="0.3">
      <c r="A11" t="s">
        <v>58</v>
      </c>
      <c r="B11" t="s">
        <v>59</v>
      </c>
      <c r="C11">
        <v>500</v>
      </c>
      <c r="D11" t="s">
        <v>35</v>
      </c>
      <c r="E11" t="s">
        <v>36</v>
      </c>
      <c r="F11" t="s">
        <v>57</v>
      </c>
      <c r="G11" s="5">
        <v>208</v>
      </c>
      <c r="H11" s="5">
        <v>104000</v>
      </c>
      <c r="I11">
        <v>0</v>
      </c>
      <c r="J11" s="5">
        <v>8</v>
      </c>
      <c r="K11" s="5">
        <v>0</v>
      </c>
      <c r="L11" s="5">
        <f>J11+K11</f>
        <v>8</v>
      </c>
      <c r="M11" s="5">
        <f>L11*N(H11)</f>
        <v>832000</v>
      </c>
      <c r="N11" t="str">
        <f>IF(L11&lt;=0,"OUT",IF(L11&lt;=MAX(I11,5),"LOW","OK"))</f>
        <v>OK</v>
      </c>
    </row>
    <row r="12" spans="1:14" x14ac:dyDescent="0.3">
      <c r="A12" t="s">
        <v>60</v>
      </c>
      <c r="B12" t="s">
        <v>61</v>
      </c>
      <c r="C12">
        <v>500</v>
      </c>
      <c r="D12" t="s">
        <v>35</v>
      </c>
      <c r="E12" t="s">
        <v>36</v>
      </c>
      <c r="F12" t="s">
        <v>62</v>
      </c>
      <c r="G12" s="5">
        <v>200</v>
      </c>
      <c r="H12" s="5">
        <v>100000</v>
      </c>
      <c r="I12">
        <v>0</v>
      </c>
      <c r="J12" s="5">
        <v>0</v>
      </c>
      <c r="K12" s="5">
        <v>0</v>
      </c>
      <c r="L12" s="5">
        <f>J12+K12</f>
        <v>0</v>
      </c>
      <c r="M12" s="5">
        <f>L12*N(H12)</f>
        <v>0</v>
      </c>
      <c r="N12" t="str">
        <f>IF(L12&lt;=0,"OUT",IF(L12&lt;=MAX(I12,5),"LOW","OK"))</f>
        <v>OUT</v>
      </c>
    </row>
    <row r="13" spans="1:14" x14ac:dyDescent="0.3">
      <c r="A13" t="s">
        <v>63</v>
      </c>
      <c r="B13" t="s">
        <v>61</v>
      </c>
      <c r="C13">
        <v>100</v>
      </c>
      <c r="D13" t="s">
        <v>35</v>
      </c>
      <c r="E13" t="s">
        <v>36</v>
      </c>
      <c r="F13" t="s">
        <v>62</v>
      </c>
      <c r="G13" s="5">
        <v>200</v>
      </c>
      <c r="H13" s="5">
        <v>20000</v>
      </c>
      <c r="I13">
        <v>0</v>
      </c>
      <c r="J13" s="5">
        <v>4270</v>
      </c>
      <c r="K13" s="5">
        <v>-2</v>
      </c>
      <c r="L13" s="5">
        <f>J13+K13</f>
        <v>4268</v>
      </c>
      <c r="M13" s="5">
        <f>L13*N(H13)</f>
        <v>85360000</v>
      </c>
      <c r="N13" t="str">
        <f>IF(L13&lt;=0,"OUT",IF(L13&lt;=MAX(I13,5),"LOW","OK"))</f>
        <v>OK</v>
      </c>
    </row>
    <row r="14" spans="1:14" x14ac:dyDescent="0.3">
      <c r="A14" t="s">
        <v>64</v>
      </c>
      <c r="B14" t="s">
        <v>65</v>
      </c>
      <c r="C14">
        <v>1000</v>
      </c>
      <c r="D14" t="s">
        <v>35</v>
      </c>
      <c r="E14" t="s">
        <v>36</v>
      </c>
      <c r="F14" t="s">
        <v>66</v>
      </c>
      <c r="G14" s="5">
        <v>231</v>
      </c>
      <c r="H14" s="5">
        <v>231000</v>
      </c>
      <c r="I14">
        <v>0</v>
      </c>
      <c r="J14" s="5">
        <v>0</v>
      </c>
      <c r="K14" s="5">
        <v>0</v>
      </c>
      <c r="L14" s="5">
        <f>J14+K14</f>
        <v>0</v>
      </c>
      <c r="M14" s="5">
        <f>L14*N(H14)</f>
        <v>0</v>
      </c>
      <c r="N14" t="str">
        <f>IF(L14&lt;=0,"OUT",IF(L14&lt;=MAX(I14,5),"LOW","OK"))</f>
        <v>OUT</v>
      </c>
    </row>
    <row r="15" spans="1:14" x14ac:dyDescent="0.3">
      <c r="A15" t="s">
        <v>67</v>
      </c>
      <c r="B15" t="s">
        <v>65</v>
      </c>
      <c r="C15">
        <v>100</v>
      </c>
      <c r="D15" t="s">
        <v>35</v>
      </c>
      <c r="E15" t="s">
        <v>36</v>
      </c>
      <c r="F15" t="s">
        <v>66</v>
      </c>
      <c r="G15" s="5">
        <v>231</v>
      </c>
      <c r="H15" s="5">
        <v>23100</v>
      </c>
      <c r="I15">
        <v>0</v>
      </c>
      <c r="J15" s="5">
        <v>23</v>
      </c>
      <c r="K15" s="5">
        <v>40</v>
      </c>
      <c r="L15" s="5">
        <f>J15+K15</f>
        <v>63</v>
      </c>
      <c r="M15" s="5">
        <f>L15*N(H15)</f>
        <v>1455300</v>
      </c>
      <c r="N15" t="str">
        <f>IF(L15&lt;=0,"OUT",IF(L15&lt;=MAX(I15,5),"LOW","OK"))</f>
        <v>OK</v>
      </c>
    </row>
    <row r="16" spans="1:14" x14ac:dyDescent="0.3">
      <c r="A16" t="s">
        <v>68</v>
      </c>
      <c r="B16" t="s">
        <v>69</v>
      </c>
      <c r="C16">
        <v>1000</v>
      </c>
      <c r="D16" t="s">
        <v>35</v>
      </c>
      <c r="E16" t="s">
        <v>70</v>
      </c>
      <c r="F16" t="s">
        <v>71</v>
      </c>
      <c r="G16" s="5">
        <v>94</v>
      </c>
      <c r="H16" s="5">
        <v>94000</v>
      </c>
      <c r="I16">
        <v>0</v>
      </c>
      <c r="J16" s="5">
        <v>3</v>
      </c>
      <c r="K16" s="5">
        <v>0</v>
      </c>
      <c r="L16" s="5">
        <f>J16+K16</f>
        <v>3</v>
      </c>
      <c r="M16" s="5">
        <f>L16*N(H16)</f>
        <v>282000</v>
      </c>
      <c r="N16" t="str">
        <f>IF(L16&lt;=0,"OUT",IF(L16&lt;=MAX(I16,5),"LOW","OK"))</f>
        <v>LOW</v>
      </c>
    </row>
    <row r="17" spans="1:14" x14ac:dyDescent="0.3">
      <c r="A17" t="s">
        <v>72</v>
      </c>
      <c r="B17" t="s">
        <v>73</v>
      </c>
      <c r="C17">
        <v>100000</v>
      </c>
      <c r="D17" t="s">
        <v>35</v>
      </c>
      <c r="E17" t="s">
        <v>70</v>
      </c>
      <c r="F17" t="s">
        <v>74</v>
      </c>
      <c r="G17" s="5">
        <v>6</v>
      </c>
      <c r="H17" s="5">
        <v>600000</v>
      </c>
      <c r="I17">
        <v>0</v>
      </c>
      <c r="J17" s="5">
        <v>2</v>
      </c>
      <c r="K17" s="5">
        <v>0</v>
      </c>
      <c r="L17" s="5">
        <f>J17+K17</f>
        <v>2</v>
      </c>
      <c r="M17" s="5">
        <f>L17*N(H17)</f>
        <v>1200000</v>
      </c>
      <c r="N17" t="str">
        <f>IF(L17&lt;=0,"OUT",IF(L17&lt;=MAX(I17,5),"LOW","OK"))</f>
        <v>LOW</v>
      </c>
    </row>
    <row r="18" spans="1:14" x14ac:dyDescent="0.3">
      <c r="A18" t="s">
        <v>75</v>
      </c>
      <c r="B18" t="s">
        <v>76</v>
      </c>
      <c r="C18">
        <v>1000</v>
      </c>
      <c r="D18" t="s">
        <v>35</v>
      </c>
      <c r="E18" t="s">
        <v>39</v>
      </c>
      <c r="F18" t="s">
        <v>77</v>
      </c>
      <c r="G18" s="5">
        <v>823</v>
      </c>
      <c r="H18" s="5">
        <v>823000</v>
      </c>
      <c r="I18">
        <v>0</v>
      </c>
      <c r="J18" s="5">
        <v>9</v>
      </c>
      <c r="K18" s="5">
        <v>0</v>
      </c>
      <c r="L18" s="5">
        <f>J18+K18</f>
        <v>9</v>
      </c>
      <c r="M18" s="5">
        <f>L18*N(H18)</f>
        <v>7407000</v>
      </c>
      <c r="N18" t="str">
        <f>IF(L18&lt;=0,"OUT",IF(L18&lt;=MAX(I18,5),"LOW","OK"))</f>
        <v>OK</v>
      </c>
    </row>
    <row r="19" spans="1:14" x14ac:dyDescent="0.3">
      <c r="A19" t="s">
        <v>78</v>
      </c>
      <c r="B19" t="s">
        <v>76</v>
      </c>
      <c r="C19">
        <v>1000</v>
      </c>
      <c r="D19" t="s">
        <v>35</v>
      </c>
      <c r="E19" t="s">
        <v>36</v>
      </c>
      <c r="F19" t="s">
        <v>77</v>
      </c>
      <c r="G19" s="5">
        <v>823</v>
      </c>
      <c r="H19" s="5">
        <v>823000</v>
      </c>
      <c r="I19">
        <v>0</v>
      </c>
      <c r="J19" s="5">
        <v>9</v>
      </c>
      <c r="K19" s="5">
        <v>0</v>
      </c>
      <c r="L19" s="5">
        <f>J19+K19</f>
        <v>9</v>
      </c>
      <c r="M19" s="5">
        <f>L19*N(H19)</f>
        <v>7407000</v>
      </c>
      <c r="N19" t="str">
        <f>IF(L19&lt;=0,"OUT",IF(L19&lt;=MAX(I19,5),"LOW","OK"))</f>
        <v>OK</v>
      </c>
    </row>
    <row r="20" spans="1:14" x14ac:dyDescent="0.3">
      <c r="A20" t="s">
        <v>79</v>
      </c>
      <c r="B20" t="s">
        <v>80</v>
      </c>
      <c r="C20">
        <v>1000</v>
      </c>
      <c r="D20" t="s">
        <v>35</v>
      </c>
      <c r="E20" t="s">
        <v>36</v>
      </c>
      <c r="F20" t="s">
        <v>81</v>
      </c>
      <c r="G20" s="5">
        <v>533</v>
      </c>
      <c r="H20" s="5">
        <v>533000</v>
      </c>
      <c r="I20">
        <v>0</v>
      </c>
      <c r="J20" s="5">
        <v>8</v>
      </c>
      <c r="K20" s="5">
        <v>0</v>
      </c>
      <c r="L20" s="5">
        <f>J20+K20</f>
        <v>8</v>
      </c>
      <c r="M20" s="5">
        <f>L20*N(H20)</f>
        <v>4264000</v>
      </c>
      <c r="N20" t="str">
        <f>IF(L20&lt;=0,"OUT",IF(L20&lt;=MAX(I20,5),"LOW","OK"))</f>
        <v>OK</v>
      </c>
    </row>
    <row r="21" spans="1:14" x14ac:dyDescent="0.3">
      <c r="A21" t="s">
        <v>82</v>
      </c>
      <c r="B21" t="s">
        <v>80</v>
      </c>
      <c r="C21">
        <v>100</v>
      </c>
      <c r="D21" t="s">
        <v>35</v>
      </c>
      <c r="E21" t="s">
        <v>36</v>
      </c>
      <c r="F21" t="s">
        <v>81</v>
      </c>
      <c r="G21" s="5">
        <v>533</v>
      </c>
      <c r="H21" s="5">
        <v>53300</v>
      </c>
      <c r="I21">
        <v>0</v>
      </c>
      <c r="J21" s="5">
        <v>4</v>
      </c>
      <c r="K21" s="5">
        <v>0</v>
      </c>
      <c r="L21" s="5">
        <f>J21+K21</f>
        <v>4</v>
      </c>
      <c r="M21" s="5">
        <f>L21*N(H21)</f>
        <v>213200</v>
      </c>
      <c r="N21" t="str">
        <f>IF(L21&lt;=0,"OUT",IF(L21&lt;=MAX(I21,5),"LOW","OK"))</f>
        <v>LOW</v>
      </c>
    </row>
    <row r="22" spans="1:14" x14ac:dyDescent="0.3">
      <c r="A22" t="s">
        <v>83</v>
      </c>
      <c r="B22" t="s">
        <v>84</v>
      </c>
      <c r="C22">
        <v>500</v>
      </c>
      <c r="D22" t="s">
        <v>35</v>
      </c>
      <c r="E22" t="s">
        <v>39</v>
      </c>
      <c r="F22" t="s">
        <v>85</v>
      </c>
      <c r="G22" s="5">
        <v>133</v>
      </c>
      <c r="H22" s="5">
        <v>66500</v>
      </c>
      <c r="I22">
        <v>0</v>
      </c>
      <c r="J22" s="5">
        <v>1</v>
      </c>
      <c r="K22" s="5">
        <v>0</v>
      </c>
      <c r="L22" s="5">
        <f>J22+K22</f>
        <v>1</v>
      </c>
      <c r="M22" s="5">
        <f>L22*N(H22)</f>
        <v>66500</v>
      </c>
      <c r="N22" t="str">
        <f>IF(L22&lt;=0,"OUT",IF(L22&lt;=MAX(I22,5),"LOW","OK"))</f>
        <v>LOW</v>
      </c>
    </row>
    <row r="23" spans="1:14" x14ac:dyDescent="0.3">
      <c r="A23" t="s">
        <v>86</v>
      </c>
      <c r="B23" t="s">
        <v>84</v>
      </c>
      <c r="C23">
        <v>100</v>
      </c>
      <c r="D23" t="s">
        <v>35</v>
      </c>
      <c r="E23" t="s">
        <v>39</v>
      </c>
      <c r="F23" t="s">
        <v>85</v>
      </c>
      <c r="G23" s="5">
        <v>133</v>
      </c>
      <c r="H23" s="5">
        <v>13300</v>
      </c>
      <c r="I23">
        <v>0</v>
      </c>
      <c r="J23" s="5">
        <v>18</v>
      </c>
      <c r="K23" s="5">
        <v>0</v>
      </c>
      <c r="L23" s="5">
        <f>J23+K23</f>
        <v>18</v>
      </c>
      <c r="M23" s="5">
        <f>L23*N(H23)</f>
        <v>239400</v>
      </c>
      <c r="N23" t="str">
        <f>IF(L23&lt;=0,"OUT",IF(L23&lt;=MAX(I23,5),"LOW","OK"))</f>
        <v>OK</v>
      </c>
    </row>
    <row r="24" spans="1:14" x14ac:dyDescent="0.3">
      <c r="A24" t="s">
        <v>87</v>
      </c>
      <c r="B24" t="s">
        <v>88</v>
      </c>
      <c r="C24">
        <v>100</v>
      </c>
      <c r="D24" t="s">
        <v>35</v>
      </c>
      <c r="E24" t="s">
        <v>36</v>
      </c>
      <c r="F24" t="s">
        <v>89</v>
      </c>
      <c r="G24" s="5">
        <v>308</v>
      </c>
      <c r="H24" s="5">
        <v>30800</v>
      </c>
      <c r="I24">
        <v>0</v>
      </c>
      <c r="J24" s="5">
        <v>1</v>
      </c>
      <c r="K24" s="5">
        <v>136</v>
      </c>
      <c r="L24" s="5">
        <f>J24+K24</f>
        <v>137</v>
      </c>
      <c r="M24" s="5">
        <f>L24*N(H24)</f>
        <v>4219600</v>
      </c>
      <c r="N24" t="str">
        <f>IF(L24&lt;=0,"OUT",IF(L24&lt;=MAX(I24,5),"LOW","OK"))</f>
        <v>OK</v>
      </c>
    </row>
    <row r="25" spans="1:14" x14ac:dyDescent="0.3">
      <c r="A25" t="s">
        <v>90</v>
      </c>
      <c r="B25" t="s">
        <v>91</v>
      </c>
      <c r="C25">
        <v>100</v>
      </c>
      <c r="D25" t="s">
        <v>35</v>
      </c>
      <c r="E25" t="s">
        <v>36</v>
      </c>
      <c r="F25" t="s">
        <v>92</v>
      </c>
      <c r="G25" s="5">
        <v>249</v>
      </c>
      <c r="H25" s="5">
        <v>24900</v>
      </c>
      <c r="I25">
        <v>0</v>
      </c>
      <c r="J25" s="5">
        <v>77</v>
      </c>
      <c r="K25" s="5">
        <v>15</v>
      </c>
      <c r="L25" s="5">
        <f>J25+K25</f>
        <v>92</v>
      </c>
      <c r="M25" s="5">
        <f>L25*N(H25)</f>
        <v>2290800</v>
      </c>
      <c r="N25" t="str">
        <f>IF(L25&lt;=0,"OUT",IF(L25&lt;=MAX(I25,5),"LOW","OK"))</f>
        <v>OK</v>
      </c>
    </row>
    <row r="26" spans="1:14" x14ac:dyDescent="0.3">
      <c r="A26" t="s">
        <v>93</v>
      </c>
      <c r="B26" t="s">
        <v>94</v>
      </c>
      <c r="C26">
        <v>1000</v>
      </c>
      <c r="D26" t="s">
        <v>35</v>
      </c>
      <c r="E26" t="s">
        <v>70</v>
      </c>
      <c r="F26" t="s">
        <v>95</v>
      </c>
      <c r="G26" s="5">
        <v>152</v>
      </c>
      <c r="H26" s="5">
        <v>152000</v>
      </c>
      <c r="I26">
        <v>0</v>
      </c>
      <c r="J26" s="5">
        <v>2</v>
      </c>
      <c r="K26" s="5">
        <v>0</v>
      </c>
      <c r="L26" s="5">
        <f>J26+K26</f>
        <v>2</v>
      </c>
      <c r="M26" s="5">
        <f>L26*N(H26)</f>
        <v>304000</v>
      </c>
      <c r="N26" t="str">
        <f>IF(L26&lt;=0,"OUT",IF(L26&lt;=MAX(I26,5),"LOW","OK"))</f>
        <v>LOW</v>
      </c>
    </row>
    <row r="27" spans="1:14" x14ac:dyDescent="0.3">
      <c r="A27" t="s">
        <v>96</v>
      </c>
      <c r="B27" t="s">
        <v>97</v>
      </c>
      <c r="C27">
        <v>100</v>
      </c>
      <c r="D27" t="s">
        <v>35</v>
      </c>
      <c r="E27" t="s">
        <v>70</v>
      </c>
      <c r="G27" s="5"/>
      <c r="H27" s="5"/>
      <c r="I27">
        <v>0</v>
      </c>
      <c r="J27" s="5">
        <v>6</v>
      </c>
      <c r="K27" s="5">
        <v>0</v>
      </c>
      <c r="L27" s="5">
        <f>J27+K27</f>
        <v>6</v>
      </c>
      <c r="M27" s="5">
        <f>L27*N(H27)</f>
        <v>0</v>
      </c>
      <c r="N27" t="str">
        <f>IF(L27&lt;=0,"OUT",IF(L27&lt;=MAX(I27,5),"LOW","OK"))</f>
        <v>OK</v>
      </c>
    </row>
    <row r="28" spans="1:14" x14ac:dyDescent="0.3">
      <c r="A28" t="s">
        <v>98</v>
      </c>
      <c r="B28" t="s">
        <v>99</v>
      </c>
      <c r="C28">
        <v>100</v>
      </c>
      <c r="D28" t="s">
        <v>35</v>
      </c>
      <c r="E28" t="s">
        <v>36</v>
      </c>
      <c r="F28" t="s">
        <v>100</v>
      </c>
      <c r="G28" s="5">
        <v>262</v>
      </c>
      <c r="H28" s="5">
        <v>26200</v>
      </c>
      <c r="I28">
        <v>0</v>
      </c>
      <c r="J28" s="5">
        <v>0</v>
      </c>
      <c r="K28" s="5">
        <v>0</v>
      </c>
      <c r="L28" s="5">
        <f>J28+K28</f>
        <v>0</v>
      </c>
      <c r="M28" s="5">
        <f>L28*N(H28)</f>
        <v>0</v>
      </c>
      <c r="N28" t="str">
        <f>IF(L28&lt;=0,"OUT",IF(L28&lt;=MAX(I28,5),"LOW","OK"))</f>
        <v>OUT</v>
      </c>
    </row>
    <row r="29" spans="1:14" x14ac:dyDescent="0.3">
      <c r="A29" t="s">
        <v>101</v>
      </c>
      <c r="B29" t="s">
        <v>102</v>
      </c>
      <c r="C29">
        <v>1000</v>
      </c>
      <c r="D29" t="s">
        <v>35</v>
      </c>
      <c r="E29" t="s">
        <v>36</v>
      </c>
      <c r="F29" t="s">
        <v>103</v>
      </c>
      <c r="G29" s="5">
        <v>25</v>
      </c>
      <c r="H29" s="5">
        <v>25000</v>
      </c>
      <c r="I29">
        <v>0</v>
      </c>
      <c r="J29" s="5">
        <v>0</v>
      </c>
      <c r="K29" s="5">
        <v>4</v>
      </c>
      <c r="L29" s="5">
        <f>J29+K29</f>
        <v>4</v>
      </c>
      <c r="M29" s="5">
        <f>L29*N(H29)</f>
        <v>100000</v>
      </c>
      <c r="N29" t="str">
        <f>IF(L29&lt;=0,"OUT",IF(L29&lt;=MAX(I29,5),"LOW","OK"))</f>
        <v>LOW</v>
      </c>
    </row>
    <row r="30" spans="1:14" x14ac:dyDescent="0.3">
      <c r="A30" t="s">
        <v>104</v>
      </c>
      <c r="B30" t="s">
        <v>105</v>
      </c>
      <c r="C30">
        <v>1000</v>
      </c>
      <c r="D30" t="s">
        <v>35</v>
      </c>
      <c r="E30" t="s">
        <v>36</v>
      </c>
      <c r="F30" t="s">
        <v>106</v>
      </c>
      <c r="G30" s="5">
        <v>99</v>
      </c>
      <c r="H30" s="5">
        <v>99000</v>
      </c>
      <c r="I30">
        <v>0</v>
      </c>
      <c r="J30" s="5">
        <v>23</v>
      </c>
      <c r="K30" s="5">
        <v>2</v>
      </c>
      <c r="L30" s="5">
        <f>J30+K30</f>
        <v>25</v>
      </c>
      <c r="M30" s="5">
        <f>L30*N(H30)</f>
        <v>2475000</v>
      </c>
      <c r="N30" t="str">
        <f>IF(L30&lt;=0,"OUT",IF(L30&lt;=MAX(I30,5),"LOW","OK"))</f>
        <v>OK</v>
      </c>
    </row>
    <row r="31" spans="1:14" x14ac:dyDescent="0.3">
      <c r="A31" t="s">
        <v>107</v>
      </c>
      <c r="B31" t="s">
        <v>108</v>
      </c>
      <c r="C31">
        <v>25000</v>
      </c>
      <c r="D31" t="s">
        <v>35</v>
      </c>
      <c r="E31" t="s">
        <v>36</v>
      </c>
      <c r="G31" s="5"/>
      <c r="H31" s="5"/>
      <c r="I31">
        <v>0</v>
      </c>
      <c r="J31" s="5">
        <v>4</v>
      </c>
      <c r="K31" s="5">
        <v>0</v>
      </c>
      <c r="L31" s="5">
        <f>J31+K31</f>
        <v>4</v>
      </c>
      <c r="M31" s="5">
        <f>L31*N(H31)</f>
        <v>0</v>
      </c>
      <c r="N31" t="str">
        <f>IF(L31&lt;=0,"OUT",IF(L31&lt;=MAX(I31,5),"LOW","OK"))</f>
        <v>LOW</v>
      </c>
    </row>
    <row r="32" spans="1:14" x14ac:dyDescent="0.3">
      <c r="A32" t="s">
        <v>109</v>
      </c>
      <c r="B32" t="s">
        <v>110</v>
      </c>
      <c r="C32">
        <v>25000</v>
      </c>
      <c r="D32" t="s">
        <v>35</v>
      </c>
      <c r="E32" t="s">
        <v>36</v>
      </c>
      <c r="G32" s="5"/>
      <c r="H32" s="5"/>
      <c r="I32">
        <v>0</v>
      </c>
      <c r="J32" s="5">
        <v>2</v>
      </c>
      <c r="K32" s="5">
        <v>3</v>
      </c>
      <c r="L32" s="5">
        <f>J32+K32</f>
        <v>5</v>
      </c>
      <c r="M32" s="5">
        <f>L32*N(H32)</f>
        <v>0</v>
      </c>
      <c r="N32" t="str">
        <f>IF(L32&lt;=0,"OUT",IF(L32&lt;=MAX(I32,5),"LOW","OK"))</f>
        <v>LOW</v>
      </c>
    </row>
    <row r="33" spans="1:14" x14ac:dyDescent="0.3">
      <c r="A33" t="s">
        <v>111</v>
      </c>
      <c r="B33" t="s">
        <v>112</v>
      </c>
      <c r="C33">
        <v>1000</v>
      </c>
      <c r="D33" t="s">
        <v>35</v>
      </c>
      <c r="E33" t="s">
        <v>70</v>
      </c>
      <c r="F33" t="s">
        <v>113</v>
      </c>
      <c r="G33" s="5">
        <v>82</v>
      </c>
      <c r="H33" s="5">
        <v>82000</v>
      </c>
      <c r="I33">
        <v>0</v>
      </c>
      <c r="J33" s="5">
        <v>2</v>
      </c>
      <c r="K33" s="5">
        <v>0</v>
      </c>
      <c r="L33" s="5">
        <f>J33+K33</f>
        <v>2</v>
      </c>
      <c r="M33" s="5">
        <f>L33*N(H33)</f>
        <v>164000</v>
      </c>
      <c r="N33" t="str">
        <f>IF(L33&lt;=0,"OUT",IF(L33&lt;=MAX(I33,5),"LOW","OK"))</f>
        <v>LOW</v>
      </c>
    </row>
    <row r="34" spans="1:14" x14ac:dyDescent="0.3">
      <c r="A34" t="s">
        <v>114</v>
      </c>
      <c r="B34" t="s">
        <v>115</v>
      </c>
      <c r="C34">
        <v>100</v>
      </c>
      <c r="D34" t="s">
        <v>35</v>
      </c>
      <c r="E34" t="s">
        <v>39</v>
      </c>
      <c r="F34" t="s">
        <v>43</v>
      </c>
      <c r="G34" s="5">
        <v>105</v>
      </c>
      <c r="H34" s="5">
        <v>10500</v>
      </c>
      <c r="I34">
        <v>0</v>
      </c>
      <c r="J34" s="5">
        <v>1</v>
      </c>
      <c r="K34" s="5">
        <v>0</v>
      </c>
      <c r="L34" s="5">
        <f>J34+K34</f>
        <v>1</v>
      </c>
      <c r="M34" s="5">
        <f>L34*N(H34)</f>
        <v>10500</v>
      </c>
      <c r="N34" t="str">
        <f>IF(L34&lt;=0,"OUT",IF(L34&lt;=MAX(I34,5),"LOW","OK"))</f>
        <v>LOW</v>
      </c>
    </row>
    <row r="35" spans="1:14" x14ac:dyDescent="0.3">
      <c r="A35" t="s">
        <v>116</v>
      </c>
      <c r="B35" t="s">
        <v>117</v>
      </c>
      <c r="C35">
        <v>1000</v>
      </c>
      <c r="D35" t="s">
        <v>35</v>
      </c>
      <c r="E35" t="s">
        <v>36</v>
      </c>
      <c r="F35" t="s">
        <v>118</v>
      </c>
      <c r="G35" s="5">
        <v>21</v>
      </c>
      <c r="H35" s="5">
        <v>21000</v>
      </c>
      <c r="I35">
        <v>0</v>
      </c>
      <c r="J35" s="5">
        <v>10</v>
      </c>
      <c r="K35" s="5">
        <v>0</v>
      </c>
      <c r="L35" s="5">
        <f>J35+K35</f>
        <v>10</v>
      </c>
      <c r="M35" s="5">
        <f>L35*N(H35)</f>
        <v>210000</v>
      </c>
      <c r="N35" t="str">
        <f>IF(L35&lt;=0,"OUT",IF(L35&lt;=MAX(I35,5),"LOW","OK"))</f>
        <v>OK</v>
      </c>
    </row>
    <row r="36" spans="1:14" x14ac:dyDescent="0.3">
      <c r="A36" t="s">
        <v>119</v>
      </c>
      <c r="B36" t="s">
        <v>120</v>
      </c>
      <c r="C36">
        <v>1000</v>
      </c>
      <c r="D36" t="s">
        <v>35</v>
      </c>
      <c r="E36" t="s">
        <v>70</v>
      </c>
      <c r="F36" t="s">
        <v>121</v>
      </c>
      <c r="G36" s="5">
        <v>58</v>
      </c>
      <c r="H36" s="5">
        <v>58000</v>
      </c>
      <c r="I36">
        <v>0</v>
      </c>
      <c r="J36" s="5">
        <v>5</v>
      </c>
      <c r="K36" s="5">
        <v>0</v>
      </c>
      <c r="L36" s="5">
        <f>J36+K36</f>
        <v>5</v>
      </c>
      <c r="M36" s="5">
        <f>L36*N(H36)</f>
        <v>290000</v>
      </c>
      <c r="N36" t="str">
        <f>IF(L36&lt;=0,"OUT",IF(L36&lt;=MAX(I36,5),"LOW","OK"))</f>
        <v>LOW</v>
      </c>
    </row>
    <row r="37" spans="1:14" x14ac:dyDescent="0.3">
      <c r="A37" t="s">
        <v>122</v>
      </c>
      <c r="B37" t="s">
        <v>123</v>
      </c>
      <c r="C37">
        <v>100</v>
      </c>
      <c r="D37" t="s">
        <v>35</v>
      </c>
      <c r="E37" t="s">
        <v>39</v>
      </c>
      <c r="F37" t="s">
        <v>124</v>
      </c>
      <c r="G37" s="5">
        <v>699</v>
      </c>
      <c r="H37" s="5">
        <v>69900</v>
      </c>
      <c r="I37">
        <v>0</v>
      </c>
      <c r="J37" s="5">
        <v>0</v>
      </c>
      <c r="K37" s="5">
        <v>0</v>
      </c>
      <c r="L37" s="5">
        <f>J37+K37</f>
        <v>0</v>
      </c>
      <c r="M37" s="5">
        <f>L37*N(H37)</f>
        <v>0</v>
      </c>
      <c r="N37" t="str">
        <f>IF(L37&lt;=0,"OUT",IF(L37&lt;=MAX(I37,5),"LOW","OK"))</f>
        <v>OUT</v>
      </c>
    </row>
    <row r="38" spans="1:14" x14ac:dyDescent="0.3">
      <c r="A38" t="s">
        <v>125</v>
      </c>
      <c r="B38" t="s">
        <v>126</v>
      </c>
      <c r="C38">
        <v>100000</v>
      </c>
      <c r="D38" t="s">
        <v>35</v>
      </c>
      <c r="E38" t="s">
        <v>70</v>
      </c>
      <c r="F38" t="s">
        <v>127</v>
      </c>
      <c r="G38" s="5">
        <v>6</v>
      </c>
      <c r="H38" s="5">
        <v>600000</v>
      </c>
      <c r="I38">
        <v>0</v>
      </c>
      <c r="J38" s="5">
        <v>2</v>
      </c>
      <c r="K38" s="5">
        <v>0</v>
      </c>
      <c r="L38" s="5">
        <f>J38+K38</f>
        <v>2</v>
      </c>
      <c r="M38" s="5">
        <f>L38*N(H38)</f>
        <v>1200000</v>
      </c>
      <c r="N38" t="str">
        <f>IF(L38&lt;=0,"OUT",IF(L38&lt;=MAX(I38,5),"LOW","OK"))</f>
        <v>LOW</v>
      </c>
    </row>
    <row r="39" spans="1:14" x14ac:dyDescent="0.3">
      <c r="A39" t="s">
        <v>128</v>
      </c>
      <c r="B39" t="s">
        <v>129</v>
      </c>
      <c r="C39">
        <v>100000</v>
      </c>
      <c r="D39" t="s">
        <v>35</v>
      </c>
      <c r="E39" t="s">
        <v>70</v>
      </c>
      <c r="G39" s="5"/>
      <c r="H39" s="5"/>
      <c r="I39">
        <v>0</v>
      </c>
      <c r="J39" s="5">
        <v>1</v>
      </c>
      <c r="K39" s="5">
        <v>0</v>
      </c>
      <c r="L39" s="5">
        <f>J39+K39</f>
        <v>1</v>
      </c>
      <c r="M39" s="5">
        <f>L39*N(H39)</f>
        <v>0</v>
      </c>
      <c r="N39" t="str">
        <f>IF(L39&lt;=0,"OUT",IF(L39&lt;=MAX(I39,5),"LOW","OK"))</f>
        <v>LOW</v>
      </c>
    </row>
    <row r="40" spans="1:14" x14ac:dyDescent="0.3">
      <c r="A40" t="s">
        <v>130</v>
      </c>
      <c r="B40" t="s">
        <v>131</v>
      </c>
      <c r="C40">
        <v>100</v>
      </c>
      <c r="D40" t="s">
        <v>35</v>
      </c>
      <c r="E40" t="s">
        <v>36</v>
      </c>
      <c r="F40" t="s">
        <v>132</v>
      </c>
      <c r="G40" s="5">
        <v>935</v>
      </c>
      <c r="H40" s="5">
        <v>93500</v>
      </c>
      <c r="I40">
        <v>0</v>
      </c>
      <c r="J40" s="5">
        <v>9</v>
      </c>
      <c r="K40" s="5">
        <v>0</v>
      </c>
      <c r="L40" s="5">
        <f>J40+K40</f>
        <v>9</v>
      </c>
      <c r="M40" s="5">
        <f>L40*N(H40)</f>
        <v>841500</v>
      </c>
      <c r="N40" t="str">
        <f>IF(L40&lt;=0,"OUT",IF(L40&lt;=MAX(I40,5),"LOW","OK"))</f>
        <v>OK</v>
      </c>
    </row>
    <row r="41" spans="1:14" x14ac:dyDescent="0.3">
      <c r="A41" t="s">
        <v>133</v>
      </c>
      <c r="B41" t="s">
        <v>134</v>
      </c>
      <c r="C41">
        <v>100</v>
      </c>
      <c r="D41" t="s">
        <v>35</v>
      </c>
      <c r="E41" t="s">
        <v>39</v>
      </c>
      <c r="F41" t="s">
        <v>89</v>
      </c>
      <c r="G41" s="5">
        <v>308</v>
      </c>
      <c r="H41" s="5">
        <v>30800</v>
      </c>
      <c r="I41">
        <v>0</v>
      </c>
      <c r="J41" s="5">
        <v>9</v>
      </c>
      <c r="K41" s="5">
        <v>0</v>
      </c>
      <c r="L41" s="5">
        <f>J41+K41</f>
        <v>9</v>
      </c>
      <c r="M41" s="5">
        <f>L41*N(H41)</f>
        <v>277200</v>
      </c>
      <c r="N41" t="str">
        <f>IF(L41&lt;=0,"OUT",IF(L41&lt;=MAX(I41,5),"LOW","OK"))</f>
        <v>OK</v>
      </c>
    </row>
    <row r="42" spans="1:14" x14ac:dyDescent="0.3">
      <c r="A42" t="s">
        <v>135</v>
      </c>
      <c r="B42" t="s">
        <v>136</v>
      </c>
      <c r="C42">
        <v>1000</v>
      </c>
      <c r="D42" t="s">
        <v>35</v>
      </c>
      <c r="E42" t="s">
        <v>36</v>
      </c>
      <c r="F42" t="s">
        <v>137</v>
      </c>
      <c r="G42" s="5">
        <v>30</v>
      </c>
      <c r="H42" s="5">
        <v>30000</v>
      </c>
      <c r="I42">
        <v>0</v>
      </c>
      <c r="J42" s="5">
        <v>31</v>
      </c>
      <c r="K42" s="5">
        <v>75</v>
      </c>
      <c r="L42" s="5">
        <f>J42+K42</f>
        <v>106</v>
      </c>
      <c r="M42" s="5">
        <f>L42*N(H42)</f>
        <v>3180000</v>
      </c>
      <c r="N42" t="str">
        <f>IF(L42&lt;=0,"OUT",IF(L42&lt;=MAX(I42,5),"LOW","OK"))</f>
        <v>OK</v>
      </c>
    </row>
    <row r="43" spans="1:14" x14ac:dyDescent="0.3">
      <c r="A43" t="s">
        <v>138</v>
      </c>
      <c r="B43" t="s">
        <v>139</v>
      </c>
      <c r="C43">
        <v>100</v>
      </c>
      <c r="D43" t="s">
        <v>35</v>
      </c>
      <c r="E43" t="s">
        <v>70</v>
      </c>
      <c r="F43" t="s">
        <v>140</v>
      </c>
      <c r="G43" s="5">
        <v>378</v>
      </c>
      <c r="H43" s="5">
        <v>37800</v>
      </c>
      <c r="I43">
        <v>0</v>
      </c>
      <c r="J43" s="5">
        <v>4</v>
      </c>
      <c r="K43" s="5">
        <v>0</v>
      </c>
      <c r="L43" s="5">
        <f>J43+K43</f>
        <v>4</v>
      </c>
      <c r="M43" s="5">
        <f>L43*N(H43)</f>
        <v>151200</v>
      </c>
      <c r="N43" t="str">
        <f>IF(L43&lt;=0,"OUT",IF(L43&lt;=MAX(I43,5),"LOW","OK"))</f>
        <v>LOW</v>
      </c>
    </row>
    <row r="44" spans="1:14" x14ac:dyDescent="0.3">
      <c r="A44" t="s">
        <v>141</v>
      </c>
      <c r="B44" t="s">
        <v>142</v>
      </c>
      <c r="C44">
        <v>100000</v>
      </c>
      <c r="D44" t="s">
        <v>35</v>
      </c>
      <c r="E44" t="s">
        <v>70</v>
      </c>
      <c r="G44" s="5"/>
      <c r="H44" s="5"/>
      <c r="I44">
        <v>0</v>
      </c>
      <c r="J44" s="5">
        <v>2</v>
      </c>
      <c r="K44" s="5">
        <v>0</v>
      </c>
      <c r="L44" s="5">
        <f>J44+K44</f>
        <v>2</v>
      </c>
      <c r="M44" s="5">
        <f>L44*N(H44)</f>
        <v>0</v>
      </c>
      <c r="N44" t="str">
        <f>IF(L44&lt;=0,"OUT",IF(L44&lt;=MAX(I44,5),"LOW","OK"))</f>
        <v>LOW</v>
      </c>
    </row>
    <row r="45" spans="1:14" x14ac:dyDescent="0.3">
      <c r="A45" t="s">
        <v>143</v>
      </c>
      <c r="B45" t="s">
        <v>144</v>
      </c>
      <c r="C45">
        <v>100</v>
      </c>
      <c r="D45" t="s">
        <v>35</v>
      </c>
      <c r="E45" t="s">
        <v>39</v>
      </c>
      <c r="F45" t="s">
        <v>145</v>
      </c>
      <c r="G45" s="5">
        <v>435</v>
      </c>
      <c r="H45" s="5">
        <v>43500</v>
      </c>
      <c r="I45">
        <v>0</v>
      </c>
      <c r="J45" s="5">
        <v>1</v>
      </c>
      <c r="K45" s="5">
        <v>0</v>
      </c>
      <c r="L45" s="5">
        <f>J45+K45</f>
        <v>1</v>
      </c>
      <c r="M45" s="5">
        <f>L45*N(H45)</f>
        <v>43500</v>
      </c>
      <c r="N45" t="str">
        <f>IF(L45&lt;=0,"OUT",IF(L45&lt;=MAX(I45,5),"LOW","OK"))</f>
        <v>LOW</v>
      </c>
    </row>
    <row r="46" spans="1:14" x14ac:dyDescent="0.3">
      <c r="A46" t="s">
        <v>146</v>
      </c>
      <c r="B46" t="s">
        <v>144</v>
      </c>
      <c r="C46">
        <v>100</v>
      </c>
      <c r="D46" t="s">
        <v>35</v>
      </c>
      <c r="E46" t="s">
        <v>36</v>
      </c>
      <c r="F46" t="s">
        <v>145</v>
      </c>
      <c r="G46" s="5">
        <v>435</v>
      </c>
      <c r="H46" s="5">
        <v>43500</v>
      </c>
      <c r="I46">
        <v>0</v>
      </c>
      <c r="J46" s="5">
        <v>1</v>
      </c>
      <c r="K46" s="5">
        <v>0</v>
      </c>
      <c r="L46" s="5">
        <f>J46+K46</f>
        <v>1</v>
      </c>
      <c r="M46" s="5">
        <f>L46*N(H46)</f>
        <v>43500</v>
      </c>
      <c r="N46" t="str">
        <f>IF(L46&lt;=0,"OUT",IF(L46&lt;=MAX(I46,5),"LOW","OK"))</f>
        <v>LOW</v>
      </c>
    </row>
    <row r="47" spans="1:14" x14ac:dyDescent="0.3">
      <c r="A47" t="s">
        <v>147</v>
      </c>
      <c r="B47" t="s">
        <v>148</v>
      </c>
      <c r="C47">
        <v>100</v>
      </c>
      <c r="D47" t="s">
        <v>35</v>
      </c>
      <c r="E47" t="s">
        <v>39</v>
      </c>
      <c r="F47" t="s">
        <v>149</v>
      </c>
      <c r="G47" s="5">
        <v>435</v>
      </c>
      <c r="H47" s="5">
        <v>43500</v>
      </c>
      <c r="I47">
        <v>0</v>
      </c>
      <c r="J47" s="5">
        <v>1</v>
      </c>
      <c r="K47" s="5">
        <v>0</v>
      </c>
      <c r="L47" s="5">
        <f>J47+K47</f>
        <v>1</v>
      </c>
      <c r="M47" s="5">
        <f>L47*N(H47)</f>
        <v>43500</v>
      </c>
      <c r="N47" t="str">
        <f>IF(L47&lt;=0,"OUT",IF(L47&lt;=MAX(I47,5),"LOW","OK"))</f>
        <v>LOW</v>
      </c>
    </row>
    <row r="48" spans="1:14" x14ac:dyDescent="0.3">
      <c r="A48" t="s">
        <v>150</v>
      </c>
      <c r="B48" t="s">
        <v>151</v>
      </c>
      <c r="C48">
        <v>1000</v>
      </c>
      <c r="E48" t="s">
        <v>36</v>
      </c>
      <c r="G48" s="5"/>
      <c r="H48" s="5"/>
      <c r="I48">
        <v>0</v>
      </c>
      <c r="J48" s="5">
        <v>0</v>
      </c>
      <c r="K48" s="5">
        <v>0</v>
      </c>
      <c r="L48" s="5">
        <f>J48+K48</f>
        <v>0</v>
      </c>
      <c r="M48" s="5">
        <f>L48*N(H48)</f>
        <v>0</v>
      </c>
      <c r="N48" t="str">
        <f>IF(L48&lt;=0,"OUT",IF(L48&lt;=MAX(I48,5),"LOW","OK"))</f>
        <v>OUT</v>
      </c>
    </row>
    <row r="49" spans="1:14" x14ac:dyDescent="0.3">
      <c r="A49" t="s">
        <v>152</v>
      </c>
      <c r="B49" t="s">
        <v>153</v>
      </c>
      <c r="C49">
        <v>1000</v>
      </c>
      <c r="D49" t="s">
        <v>35</v>
      </c>
      <c r="E49" t="s">
        <v>36</v>
      </c>
      <c r="F49" t="s">
        <v>154</v>
      </c>
      <c r="G49" s="5">
        <v>15</v>
      </c>
      <c r="H49" s="5">
        <v>15000</v>
      </c>
      <c r="I49">
        <v>0</v>
      </c>
      <c r="J49" s="5">
        <v>17</v>
      </c>
      <c r="K49" s="5">
        <v>9</v>
      </c>
      <c r="L49" s="5">
        <f>J49+K49</f>
        <v>26</v>
      </c>
      <c r="M49" s="5">
        <f>L49*N(H49)</f>
        <v>390000</v>
      </c>
      <c r="N49" t="str">
        <f>IF(L49&lt;=0,"OUT",IF(L49&lt;=MAX(I49,5),"LOW","OK"))</f>
        <v>OK</v>
      </c>
    </row>
    <row r="50" spans="1:14" x14ac:dyDescent="0.3">
      <c r="A50" t="s">
        <v>155</v>
      </c>
      <c r="B50" t="s">
        <v>156</v>
      </c>
      <c r="C50">
        <v>1000</v>
      </c>
      <c r="D50" t="s">
        <v>35</v>
      </c>
      <c r="E50" t="s">
        <v>36</v>
      </c>
      <c r="F50" t="s">
        <v>154</v>
      </c>
      <c r="G50" s="5">
        <v>15</v>
      </c>
      <c r="H50" s="5">
        <v>15000</v>
      </c>
      <c r="I50">
        <v>0</v>
      </c>
      <c r="J50" s="5">
        <v>3</v>
      </c>
      <c r="K50" s="5">
        <v>17</v>
      </c>
      <c r="L50" s="5">
        <f>J50+K50</f>
        <v>20</v>
      </c>
      <c r="M50" s="5">
        <f>L50*N(H50)</f>
        <v>300000</v>
      </c>
      <c r="N50" t="str">
        <f>IF(L50&lt;=0,"OUT",IF(L50&lt;=MAX(I50,5),"LOW","OK"))</f>
        <v>OK</v>
      </c>
    </row>
    <row r="51" spans="1:14" x14ac:dyDescent="0.3">
      <c r="A51" t="s">
        <v>157</v>
      </c>
      <c r="B51" t="s">
        <v>158</v>
      </c>
      <c r="C51">
        <v>1000</v>
      </c>
      <c r="D51" t="s">
        <v>35</v>
      </c>
      <c r="E51" t="s">
        <v>36</v>
      </c>
      <c r="F51" t="s">
        <v>159</v>
      </c>
      <c r="G51" s="5">
        <v>15</v>
      </c>
      <c r="H51" s="5">
        <v>15000</v>
      </c>
      <c r="I51">
        <v>0</v>
      </c>
      <c r="J51" s="5">
        <v>2</v>
      </c>
      <c r="K51" s="5">
        <v>1</v>
      </c>
      <c r="L51" s="5">
        <f>J51+K51</f>
        <v>3</v>
      </c>
      <c r="M51" s="5">
        <f>L51*N(H51)</f>
        <v>45000</v>
      </c>
      <c r="N51" t="str">
        <f>IF(L51&lt;=0,"OUT",IF(L51&lt;=MAX(I51,5),"LOW","OK"))</f>
        <v>LOW</v>
      </c>
    </row>
    <row r="52" spans="1:14" x14ac:dyDescent="0.3">
      <c r="A52" t="s">
        <v>160</v>
      </c>
      <c r="B52" t="s">
        <v>161</v>
      </c>
      <c r="C52">
        <v>100</v>
      </c>
      <c r="D52" t="s">
        <v>35</v>
      </c>
      <c r="E52" t="s">
        <v>70</v>
      </c>
      <c r="G52" s="5"/>
      <c r="H52" s="5"/>
      <c r="I52">
        <v>0</v>
      </c>
      <c r="J52" s="5">
        <v>3</v>
      </c>
      <c r="K52" s="5">
        <v>0</v>
      </c>
      <c r="L52" s="5">
        <f>J52+K52</f>
        <v>3</v>
      </c>
      <c r="M52" s="5">
        <f>L52*N(H52)</f>
        <v>0</v>
      </c>
      <c r="N52" t="str">
        <f>IF(L52&lt;=0,"OUT",IF(L52&lt;=MAX(I52,5),"LOW","OK"))</f>
        <v>LOW</v>
      </c>
    </row>
    <row r="53" spans="1:14" x14ac:dyDescent="0.3">
      <c r="A53" t="s">
        <v>162</v>
      </c>
      <c r="B53" t="s">
        <v>163</v>
      </c>
      <c r="C53">
        <v>1000</v>
      </c>
      <c r="D53" t="s">
        <v>35</v>
      </c>
      <c r="E53" t="s">
        <v>70</v>
      </c>
      <c r="F53" t="s">
        <v>164</v>
      </c>
      <c r="G53" s="5">
        <v>152</v>
      </c>
      <c r="H53" s="5">
        <v>152000</v>
      </c>
      <c r="I53">
        <v>0</v>
      </c>
      <c r="J53" s="5">
        <v>3</v>
      </c>
      <c r="K53" s="5">
        <v>0</v>
      </c>
      <c r="L53" s="5">
        <f>J53+K53</f>
        <v>3</v>
      </c>
      <c r="M53" s="5">
        <f>L53*N(H53)</f>
        <v>456000</v>
      </c>
      <c r="N53" t="str">
        <f>IF(L53&lt;=0,"OUT",IF(L53&lt;=MAX(I53,5),"LOW","OK"))</f>
        <v>LOW</v>
      </c>
    </row>
    <row r="54" spans="1:14" x14ac:dyDescent="0.3">
      <c r="A54" t="s">
        <v>165</v>
      </c>
      <c r="B54" t="s">
        <v>166</v>
      </c>
      <c r="C54">
        <v>5000</v>
      </c>
      <c r="D54" t="s">
        <v>35</v>
      </c>
      <c r="E54" t="s">
        <v>39</v>
      </c>
      <c r="F54" t="s">
        <v>167</v>
      </c>
      <c r="G54" s="5">
        <v>37</v>
      </c>
      <c r="H54" s="5">
        <v>185000</v>
      </c>
      <c r="I54">
        <v>0</v>
      </c>
      <c r="J54" s="5">
        <v>1</v>
      </c>
      <c r="K54" s="5">
        <v>0</v>
      </c>
      <c r="L54" s="5">
        <f>J54+K54</f>
        <v>1</v>
      </c>
      <c r="M54" s="5">
        <f>L54*N(H54)</f>
        <v>185000</v>
      </c>
      <c r="N54" t="str">
        <f>IF(L54&lt;=0,"OUT",IF(L54&lt;=MAX(I54,5),"LOW","OK"))</f>
        <v>LOW</v>
      </c>
    </row>
    <row r="55" spans="1:14" x14ac:dyDescent="0.3">
      <c r="A55" t="s">
        <v>168</v>
      </c>
      <c r="B55" t="s">
        <v>169</v>
      </c>
      <c r="C55">
        <v>1000</v>
      </c>
      <c r="D55" t="s">
        <v>35</v>
      </c>
      <c r="E55" t="s">
        <v>70</v>
      </c>
      <c r="F55" t="s">
        <v>170</v>
      </c>
      <c r="G55" s="5">
        <v>152</v>
      </c>
      <c r="H55" s="5">
        <v>152000</v>
      </c>
      <c r="I55">
        <v>0</v>
      </c>
      <c r="J55" s="5">
        <v>1</v>
      </c>
      <c r="K55" s="5">
        <v>0</v>
      </c>
      <c r="L55" s="5">
        <f>J55+K55</f>
        <v>1</v>
      </c>
      <c r="M55" s="5">
        <f>L55*N(H55)</f>
        <v>152000</v>
      </c>
      <c r="N55" t="str">
        <f>IF(L55&lt;=0,"OUT",IF(L55&lt;=MAX(I55,5),"LOW","OK"))</f>
        <v>LOW</v>
      </c>
    </row>
    <row r="56" spans="1:14" x14ac:dyDescent="0.3">
      <c r="A56" t="s">
        <v>171</v>
      </c>
      <c r="B56" t="s">
        <v>172</v>
      </c>
      <c r="C56">
        <v>1000</v>
      </c>
      <c r="D56" t="s">
        <v>35</v>
      </c>
      <c r="E56" t="s">
        <v>36</v>
      </c>
      <c r="F56" t="s">
        <v>173</v>
      </c>
      <c r="G56" s="5">
        <v>48</v>
      </c>
      <c r="H56" s="5">
        <v>48000</v>
      </c>
      <c r="I56">
        <v>0</v>
      </c>
      <c r="J56" s="5">
        <v>0</v>
      </c>
      <c r="K56" s="5">
        <v>1</v>
      </c>
      <c r="L56" s="5">
        <f>J56+K56</f>
        <v>1</v>
      </c>
      <c r="M56" s="5">
        <f>L56*N(H56)</f>
        <v>48000</v>
      </c>
      <c r="N56" t="str">
        <f>IF(L56&lt;=0,"OUT",IF(L56&lt;=MAX(I56,5),"LOW","OK"))</f>
        <v>LOW</v>
      </c>
    </row>
    <row r="57" spans="1:14" x14ac:dyDescent="0.3">
      <c r="A57" t="s">
        <v>174</v>
      </c>
      <c r="B57" t="s">
        <v>175</v>
      </c>
      <c r="C57">
        <v>100000</v>
      </c>
      <c r="D57" t="s">
        <v>35</v>
      </c>
      <c r="E57" t="s">
        <v>70</v>
      </c>
      <c r="F57" t="s">
        <v>176</v>
      </c>
      <c r="G57" s="5">
        <v>6</v>
      </c>
      <c r="H57" s="5">
        <v>600000</v>
      </c>
      <c r="I57">
        <v>0</v>
      </c>
      <c r="J57" s="5">
        <v>2</v>
      </c>
      <c r="K57" s="5">
        <v>0</v>
      </c>
      <c r="L57" s="5">
        <f>J57+K57</f>
        <v>2</v>
      </c>
      <c r="M57" s="5">
        <f>L57*N(H57)</f>
        <v>1200000</v>
      </c>
      <c r="N57" t="str">
        <f>IF(L57&lt;=0,"OUT",IF(L57&lt;=MAX(I57,5),"LOW","OK"))</f>
        <v>LOW</v>
      </c>
    </row>
    <row r="58" spans="1:14" x14ac:dyDescent="0.3">
      <c r="A58" t="s">
        <v>177</v>
      </c>
      <c r="B58" t="s">
        <v>178</v>
      </c>
      <c r="C58">
        <v>100</v>
      </c>
      <c r="D58" t="s">
        <v>35</v>
      </c>
      <c r="E58" t="s">
        <v>36</v>
      </c>
      <c r="F58" t="s">
        <v>179</v>
      </c>
      <c r="G58" s="5">
        <v>1399</v>
      </c>
      <c r="H58" s="5">
        <v>139900</v>
      </c>
      <c r="I58">
        <v>0</v>
      </c>
      <c r="J58" s="5">
        <v>5</v>
      </c>
      <c r="K58" s="5">
        <v>0</v>
      </c>
      <c r="L58" s="5">
        <f>J58+K58</f>
        <v>5</v>
      </c>
      <c r="M58" s="5">
        <f>L58*N(H58)</f>
        <v>699500</v>
      </c>
      <c r="N58" t="str">
        <f>IF(L58&lt;=0,"OUT",IF(L58&lt;=MAX(I58,5),"LOW","OK"))</f>
        <v>LOW</v>
      </c>
    </row>
    <row r="59" spans="1:14" x14ac:dyDescent="0.3">
      <c r="A59" t="s">
        <v>180</v>
      </c>
      <c r="B59" t="s">
        <v>181</v>
      </c>
      <c r="C59">
        <v>100000</v>
      </c>
      <c r="D59" t="s">
        <v>35</v>
      </c>
      <c r="E59" t="s">
        <v>70</v>
      </c>
      <c r="F59" t="s">
        <v>182</v>
      </c>
      <c r="G59" s="5">
        <v>6</v>
      </c>
      <c r="H59" s="5">
        <v>600000</v>
      </c>
      <c r="I59">
        <v>0</v>
      </c>
      <c r="J59" s="5">
        <v>5</v>
      </c>
      <c r="K59" s="5">
        <v>0</v>
      </c>
      <c r="L59" s="5">
        <f>J59+K59</f>
        <v>5</v>
      </c>
      <c r="M59" s="5">
        <f>L59*N(H59)</f>
        <v>3000000</v>
      </c>
      <c r="N59" t="str">
        <f>IF(L59&lt;=0,"OUT",IF(L59&lt;=MAX(I59,5),"LOW","OK"))</f>
        <v>LOW</v>
      </c>
    </row>
    <row r="60" spans="1:14" x14ac:dyDescent="0.3">
      <c r="A60" t="s">
        <v>183</v>
      </c>
      <c r="B60" t="s">
        <v>184</v>
      </c>
      <c r="C60">
        <v>100</v>
      </c>
      <c r="D60" t="s">
        <v>35</v>
      </c>
      <c r="E60" t="s">
        <v>70</v>
      </c>
      <c r="G60" s="5"/>
      <c r="H60" s="5"/>
      <c r="I60">
        <v>0</v>
      </c>
      <c r="J60" s="5">
        <v>3</v>
      </c>
      <c r="K60" s="5">
        <v>0</v>
      </c>
      <c r="L60" s="5">
        <f>J60+K60</f>
        <v>3</v>
      </c>
      <c r="M60" s="5">
        <f>L60*N(H60)</f>
        <v>0</v>
      </c>
      <c r="N60" t="str">
        <f>IF(L60&lt;=0,"OUT",IF(L60&lt;=MAX(I60,5),"LOW","OK"))</f>
        <v>LOW</v>
      </c>
    </row>
    <row r="61" spans="1:14" x14ac:dyDescent="0.3">
      <c r="A61" t="s">
        <v>185</v>
      </c>
      <c r="B61" t="s">
        <v>186</v>
      </c>
      <c r="C61">
        <v>0</v>
      </c>
      <c r="D61" t="s">
        <v>187</v>
      </c>
      <c r="E61" t="s">
        <v>36</v>
      </c>
      <c r="G61" s="5"/>
      <c r="H61" s="5"/>
      <c r="I61">
        <v>0</v>
      </c>
      <c r="J61" s="5">
        <v>2</v>
      </c>
      <c r="K61" s="5">
        <v>0</v>
      </c>
      <c r="L61" s="5">
        <f>J61+K61</f>
        <v>2</v>
      </c>
      <c r="M61" s="5">
        <f>L61*N(H61)</f>
        <v>0</v>
      </c>
      <c r="N61" t="str">
        <f>IF(L61&lt;=0,"OUT",IF(L61&lt;=MAX(I61,5),"LOW","OK"))</f>
        <v>LOW</v>
      </c>
    </row>
    <row r="62" spans="1:14" x14ac:dyDescent="0.3">
      <c r="A62" t="s">
        <v>188</v>
      </c>
      <c r="B62" t="s">
        <v>189</v>
      </c>
      <c r="C62">
        <v>1000</v>
      </c>
      <c r="D62" t="s">
        <v>35</v>
      </c>
      <c r="E62" t="s">
        <v>70</v>
      </c>
      <c r="F62" t="s">
        <v>190</v>
      </c>
      <c r="G62" s="5">
        <v>145</v>
      </c>
      <c r="H62" s="5">
        <v>145000</v>
      </c>
      <c r="I62">
        <v>0</v>
      </c>
      <c r="J62" s="5">
        <v>3</v>
      </c>
      <c r="K62" s="5">
        <v>0</v>
      </c>
      <c r="L62" s="5">
        <f>J62+K62</f>
        <v>3</v>
      </c>
      <c r="M62" s="5">
        <f>L62*N(H62)</f>
        <v>435000</v>
      </c>
      <c r="N62" t="str">
        <f>IF(L62&lt;=0,"OUT",IF(L62&lt;=MAX(I62,5),"LOW","OK"))</f>
        <v>LOW</v>
      </c>
    </row>
    <row r="63" spans="1:14" x14ac:dyDescent="0.3">
      <c r="A63" t="s">
        <v>191</v>
      </c>
      <c r="B63" t="s">
        <v>192</v>
      </c>
      <c r="C63">
        <v>1000</v>
      </c>
      <c r="D63" t="s">
        <v>35</v>
      </c>
      <c r="E63" t="s">
        <v>70</v>
      </c>
      <c r="G63" s="5"/>
      <c r="H63" s="5"/>
      <c r="I63">
        <v>0</v>
      </c>
      <c r="J63" s="5">
        <v>2</v>
      </c>
      <c r="K63" s="5">
        <v>0</v>
      </c>
      <c r="L63" s="5">
        <f>J63+K63</f>
        <v>2</v>
      </c>
      <c r="M63" s="5">
        <f>L63*N(H63)</f>
        <v>0</v>
      </c>
      <c r="N63" t="str">
        <f>IF(L63&lt;=0,"OUT",IF(L63&lt;=MAX(I63,5),"LOW","OK"))</f>
        <v>LOW</v>
      </c>
    </row>
    <row r="64" spans="1:14" x14ac:dyDescent="0.3">
      <c r="A64" t="s">
        <v>193</v>
      </c>
      <c r="B64" t="s">
        <v>194</v>
      </c>
      <c r="C64">
        <v>1000</v>
      </c>
      <c r="D64" t="s">
        <v>35</v>
      </c>
      <c r="E64" t="s">
        <v>70</v>
      </c>
      <c r="G64" s="5"/>
      <c r="H64" s="5"/>
      <c r="I64">
        <v>0</v>
      </c>
      <c r="J64" s="5">
        <v>4</v>
      </c>
      <c r="K64" s="5">
        <v>0</v>
      </c>
      <c r="L64" s="5">
        <f>J64+K64</f>
        <v>4</v>
      </c>
      <c r="M64" s="5">
        <f>L64*N(H64)</f>
        <v>0</v>
      </c>
      <c r="N64" t="str">
        <f>IF(L64&lt;=0,"OUT",IF(L64&lt;=MAX(I64,5),"LOW","OK"))</f>
        <v>LOW</v>
      </c>
    </row>
    <row r="65" spans="1:14" x14ac:dyDescent="0.3">
      <c r="A65" t="s">
        <v>195</v>
      </c>
      <c r="B65" t="s">
        <v>196</v>
      </c>
      <c r="C65">
        <v>100</v>
      </c>
      <c r="D65" t="s">
        <v>35</v>
      </c>
      <c r="E65" t="s">
        <v>39</v>
      </c>
      <c r="F65" t="s">
        <v>92</v>
      </c>
      <c r="G65" s="5">
        <v>249</v>
      </c>
      <c r="H65" s="5">
        <v>24900</v>
      </c>
      <c r="I65">
        <v>0</v>
      </c>
      <c r="J65" s="5">
        <v>2</v>
      </c>
      <c r="K65" s="5">
        <v>0</v>
      </c>
      <c r="L65" s="5">
        <f>J65+K65</f>
        <v>2</v>
      </c>
      <c r="M65" s="5">
        <f>L65*N(H65)</f>
        <v>49800</v>
      </c>
      <c r="N65" t="str">
        <f>IF(L65&lt;=0,"OUT",IF(L65&lt;=MAX(I65,5),"LOW","OK"))</f>
        <v>LOW</v>
      </c>
    </row>
    <row r="66" spans="1:14" x14ac:dyDescent="0.3">
      <c r="A66" t="s">
        <v>197</v>
      </c>
      <c r="B66" t="s">
        <v>198</v>
      </c>
      <c r="C66">
        <v>1000</v>
      </c>
      <c r="D66" t="s">
        <v>35</v>
      </c>
      <c r="E66" t="s">
        <v>36</v>
      </c>
      <c r="F66" t="s">
        <v>121</v>
      </c>
      <c r="G66" s="5">
        <v>58</v>
      </c>
      <c r="H66" s="5">
        <v>58000</v>
      </c>
      <c r="I66">
        <v>0</v>
      </c>
      <c r="J66" s="5">
        <v>1</v>
      </c>
      <c r="K66" s="5">
        <v>0</v>
      </c>
      <c r="L66" s="5">
        <f>J66+K66</f>
        <v>1</v>
      </c>
      <c r="M66" s="5">
        <f>L66*N(H66)</f>
        <v>58000</v>
      </c>
      <c r="N66" t="str">
        <f>IF(L66&lt;=0,"OUT",IF(L66&lt;=MAX(I66,5),"LOW","OK"))</f>
        <v>LOW</v>
      </c>
    </row>
    <row r="67" spans="1:14" x14ac:dyDescent="0.3">
      <c r="A67" t="s">
        <v>199</v>
      </c>
      <c r="B67" t="s">
        <v>200</v>
      </c>
      <c r="C67">
        <v>5000</v>
      </c>
      <c r="D67" t="s">
        <v>35</v>
      </c>
      <c r="E67" t="s">
        <v>70</v>
      </c>
      <c r="F67" t="s">
        <v>201</v>
      </c>
      <c r="G67" s="5">
        <v>65</v>
      </c>
      <c r="H67" s="5">
        <v>325000</v>
      </c>
      <c r="I67">
        <v>0</v>
      </c>
      <c r="J67" s="5">
        <v>1</v>
      </c>
      <c r="K67" s="5">
        <v>0</v>
      </c>
      <c r="L67" s="5">
        <f>J67+K67</f>
        <v>1</v>
      </c>
      <c r="M67" s="5">
        <f>L67*N(H67)</f>
        <v>325000</v>
      </c>
      <c r="N67" t="str">
        <f>IF(L67&lt;=0,"OUT",IF(L67&lt;=MAX(I67,5),"LOW","OK"))</f>
        <v>LOW</v>
      </c>
    </row>
    <row r="68" spans="1:14" x14ac:dyDescent="0.3">
      <c r="A68" t="s">
        <v>202</v>
      </c>
      <c r="B68" t="s">
        <v>203</v>
      </c>
      <c r="C68">
        <v>100</v>
      </c>
      <c r="D68" t="s">
        <v>35</v>
      </c>
      <c r="E68" t="s">
        <v>39</v>
      </c>
      <c r="F68" t="s">
        <v>204</v>
      </c>
      <c r="G68" s="5">
        <v>70</v>
      </c>
      <c r="H68" s="5">
        <v>7000</v>
      </c>
      <c r="I68">
        <v>0</v>
      </c>
      <c r="J68" s="5">
        <v>7</v>
      </c>
      <c r="K68" s="5">
        <v>0</v>
      </c>
      <c r="L68" s="5">
        <f>J68+K68</f>
        <v>7</v>
      </c>
      <c r="M68" s="5">
        <f>L68*N(H68)</f>
        <v>49000</v>
      </c>
      <c r="N68" t="str">
        <f>IF(L68&lt;=0,"OUT",IF(L68&lt;=MAX(I68,5),"LOW","OK"))</f>
        <v>OK</v>
      </c>
    </row>
    <row r="69" spans="1:14" x14ac:dyDescent="0.3">
      <c r="A69" t="s">
        <v>205</v>
      </c>
      <c r="B69" t="s">
        <v>206</v>
      </c>
      <c r="C69">
        <v>5000</v>
      </c>
      <c r="D69" t="s">
        <v>35</v>
      </c>
      <c r="E69" t="s">
        <v>70</v>
      </c>
      <c r="F69" t="s">
        <v>207</v>
      </c>
      <c r="G69" s="5">
        <v>152</v>
      </c>
      <c r="H69" s="5">
        <v>760000</v>
      </c>
      <c r="I69">
        <v>0</v>
      </c>
      <c r="J69" s="5">
        <v>3</v>
      </c>
      <c r="K69" s="5">
        <v>0</v>
      </c>
      <c r="L69" s="5">
        <f>J69+K69</f>
        <v>3</v>
      </c>
      <c r="M69" s="5">
        <f>L69*N(H69)</f>
        <v>2280000</v>
      </c>
      <c r="N69" t="str">
        <f>IF(L69&lt;=0,"OUT",IF(L69&lt;=MAX(I69,5),"LOW","OK"))</f>
        <v>LOW</v>
      </c>
    </row>
    <row r="70" spans="1:14" x14ac:dyDescent="0.3">
      <c r="A70" t="s">
        <v>208</v>
      </c>
      <c r="B70" t="s">
        <v>209</v>
      </c>
      <c r="C70">
        <v>100</v>
      </c>
      <c r="D70" t="s">
        <v>35</v>
      </c>
      <c r="E70" t="s">
        <v>70</v>
      </c>
      <c r="F70" t="s">
        <v>210</v>
      </c>
      <c r="G70" s="5">
        <v>104</v>
      </c>
      <c r="H70" s="5">
        <v>10400</v>
      </c>
      <c r="I70">
        <v>0</v>
      </c>
      <c r="J70" s="5">
        <v>0</v>
      </c>
      <c r="K70" s="5">
        <v>0</v>
      </c>
      <c r="L70" s="5">
        <f>J70+K70</f>
        <v>0</v>
      </c>
      <c r="M70" s="5">
        <f>L70*N(H70)</f>
        <v>0</v>
      </c>
      <c r="N70" t="str">
        <f>IF(L70&lt;=0,"OUT",IF(L70&lt;=MAX(I70,5),"LOW","OK"))</f>
        <v>OUT</v>
      </c>
    </row>
    <row r="71" spans="1:14" x14ac:dyDescent="0.3">
      <c r="A71" t="s">
        <v>211</v>
      </c>
      <c r="B71" t="s">
        <v>212</v>
      </c>
      <c r="C71">
        <v>100</v>
      </c>
      <c r="D71" t="s">
        <v>35</v>
      </c>
      <c r="E71" t="s">
        <v>39</v>
      </c>
      <c r="F71" t="s">
        <v>213</v>
      </c>
      <c r="G71" s="5">
        <v>379</v>
      </c>
      <c r="H71" s="5">
        <v>37900</v>
      </c>
      <c r="I71">
        <v>0</v>
      </c>
      <c r="J71" s="5">
        <v>2</v>
      </c>
      <c r="K71" s="5">
        <v>0</v>
      </c>
      <c r="L71" s="5">
        <f>J71+K71</f>
        <v>2</v>
      </c>
      <c r="M71" s="5">
        <f>L71*N(H71)</f>
        <v>75800</v>
      </c>
      <c r="N71" t="str">
        <f>IF(L71&lt;=0,"OUT",IF(L71&lt;=MAX(I71,5),"LOW","OK"))</f>
        <v>LOW</v>
      </c>
    </row>
    <row r="72" spans="1:14" x14ac:dyDescent="0.3">
      <c r="A72" t="s">
        <v>214</v>
      </c>
      <c r="B72" t="s">
        <v>215</v>
      </c>
      <c r="C72">
        <v>100</v>
      </c>
      <c r="D72" t="s">
        <v>35</v>
      </c>
      <c r="E72" t="s">
        <v>70</v>
      </c>
      <c r="F72" t="s">
        <v>216</v>
      </c>
      <c r="G72" s="5">
        <v>4658</v>
      </c>
      <c r="H72" s="5">
        <v>465800</v>
      </c>
      <c r="I72">
        <v>0</v>
      </c>
      <c r="J72" s="5">
        <v>5</v>
      </c>
      <c r="K72" s="5">
        <v>0</v>
      </c>
      <c r="L72" s="5">
        <f>J72+K72</f>
        <v>5</v>
      </c>
      <c r="M72" s="5">
        <f>L72*N(H72)</f>
        <v>2329000</v>
      </c>
      <c r="N72" t="str">
        <f>IF(L72&lt;=0,"OUT",IF(L72&lt;=MAX(I72,5),"LOW","OK"))</f>
        <v>LOW</v>
      </c>
    </row>
    <row r="73" spans="1:14" x14ac:dyDescent="0.3">
      <c r="A73" t="s">
        <v>217</v>
      </c>
      <c r="B73" t="s">
        <v>218</v>
      </c>
      <c r="C73">
        <v>1000</v>
      </c>
      <c r="D73" t="s">
        <v>35</v>
      </c>
      <c r="E73" t="s">
        <v>70</v>
      </c>
      <c r="G73" s="5"/>
      <c r="H73" s="5"/>
      <c r="I73">
        <v>0</v>
      </c>
      <c r="J73" s="5">
        <v>2</v>
      </c>
      <c r="K73" s="5">
        <v>0</v>
      </c>
      <c r="L73" s="5">
        <f>J73+K73</f>
        <v>2</v>
      </c>
      <c r="M73" s="5">
        <f>L73*N(H73)</f>
        <v>0</v>
      </c>
      <c r="N73" t="str">
        <f>IF(L73&lt;=0,"OUT",IF(L73&lt;=MAX(I73,5),"LOW","OK"))</f>
        <v>LOW</v>
      </c>
    </row>
    <row r="74" spans="1:14" x14ac:dyDescent="0.3">
      <c r="A74" t="s">
        <v>219</v>
      </c>
      <c r="B74" t="s">
        <v>220</v>
      </c>
      <c r="C74" t="s">
        <v>221</v>
      </c>
      <c r="D74" t="s">
        <v>220</v>
      </c>
      <c r="E74" t="s">
        <v>36</v>
      </c>
      <c r="G74" s="5"/>
      <c r="H74" s="5"/>
      <c r="I74">
        <v>0</v>
      </c>
      <c r="J74" s="5">
        <v>1</v>
      </c>
      <c r="K74" s="5">
        <v>0</v>
      </c>
      <c r="L74" s="5">
        <f>J74+K74</f>
        <v>1</v>
      </c>
      <c r="M74" s="5">
        <f>L74*N(H74)</f>
        <v>0</v>
      </c>
      <c r="N74" t="str">
        <f>IF(L74&lt;=0,"OUT",IF(L74&lt;=MAX(I74,5),"LOW","OK"))</f>
        <v>LOW</v>
      </c>
    </row>
    <row r="75" spans="1:14" x14ac:dyDescent="0.3">
      <c r="A75" t="s">
        <v>222</v>
      </c>
      <c r="B75" t="s">
        <v>223</v>
      </c>
      <c r="C75">
        <v>1000</v>
      </c>
      <c r="D75" t="s">
        <v>35</v>
      </c>
      <c r="E75" t="s">
        <v>70</v>
      </c>
      <c r="F75" t="s">
        <v>224</v>
      </c>
      <c r="G75" s="5">
        <v>31</v>
      </c>
      <c r="H75" s="5">
        <v>31000</v>
      </c>
      <c r="I75">
        <v>0</v>
      </c>
      <c r="J75" s="5">
        <v>2</v>
      </c>
      <c r="K75" s="5">
        <v>0</v>
      </c>
      <c r="L75" s="5">
        <f>J75+K75</f>
        <v>2</v>
      </c>
      <c r="M75" s="5">
        <f>L75*N(H75)</f>
        <v>62000</v>
      </c>
      <c r="N75" t="str">
        <f>IF(L75&lt;=0,"OUT",IF(L75&lt;=MAX(I75,5),"LOW","OK"))</f>
        <v>LOW</v>
      </c>
    </row>
    <row r="76" spans="1:14" x14ac:dyDescent="0.3">
      <c r="A76" t="s">
        <v>225</v>
      </c>
      <c r="B76" t="s">
        <v>226</v>
      </c>
      <c r="C76">
        <v>1000</v>
      </c>
      <c r="D76" t="s">
        <v>35</v>
      </c>
      <c r="E76" t="s">
        <v>70</v>
      </c>
      <c r="F76" t="s">
        <v>227</v>
      </c>
      <c r="G76" s="5">
        <v>152</v>
      </c>
      <c r="H76" s="5">
        <v>152000</v>
      </c>
      <c r="I76">
        <v>0</v>
      </c>
      <c r="J76" s="5">
        <v>3</v>
      </c>
      <c r="K76" s="5">
        <v>0</v>
      </c>
      <c r="L76" s="5">
        <f>J76+K76</f>
        <v>3</v>
      </c>
      <c r="M76" s="5">
        <f>L76*N(H76)</f>
        <v>456000</v>
      </c>
      <c r="N76" t="str">
        <f>IF(L76&lt;=0,"OUT",IF(L76&lt;=MAX(I76,5),"LOW","OK"))</f>
        <v>LOW</v>
      </c>
    </row>
    <row r="77" spans="1:14" x14ac:dyDescent="0.3">
      <c r="A77" t="s">
        <v>228</v>
      </c>
      <c r="B77" t="s">
        <v>229</v>
      </c>
      <c r="C77">
        <v>0</v>
      </c>
      <c r="D77" t="s">
        <v>230</v>
      </c>
      <c r="E77" t="s">
        <v>36</v>
      </c>
      <c r="G77" s="5"/>
      <c r="H77" s="5"/>
      <c r="I77">
        <v>0</v>
      </c>
      <c r="J77" s="5">
        <v>108</v>
      </c>
      <c r="K77" s="5">
        <v>6</v>
      </c>
      <c r="L77" s="5">
        <f>J77+K77</f>
        <v>114</v>
      </c>
      <c r="M77" s="5">
        <f>L77*N(H77)</f>
        <v>0</v>
      </c>
      <c r="N77" t="str">
        <f>IF(L77&lt;=0,"OUT",IF(L77&lt;=MAX(I77,5),"LOW","OK"))</f>
        <v>OK</v>
      </c>
    </row>
    <row r="78" spans="1:14" x14ac:dyDescent="0.3">
      <c r="A78" t="s">
        <v>231</v>
      </c>
      <c r="B78" t="s">
        <v>232</v>
      </c>
      <c r="C78">
        <v>0</v>
      </c>
      <c r="D78" t="s">
        <v>230</v>
      </c>
      <c r="E78" t="s">
        <v>36</v>
      </c>
      <c r="G78" s="5"/>
      <c r="H78" s="5"/>
      <c r="I78">
        <v>0</v>
      </c>
      <c r="J78" s="5">
        <v>45</v>
      </c>
      <c r="K78" s="5">
        <v>4</v>
      </c>
      <c r="L78" s="5">
        <f>J78+K78</f>
        <v>49</v>
      </c>
      <c r="M78" s="5">
        <f>L78*N(H78)</f>
        <v>0</v>
      </c>
      <c r="N78" t="str">
        <f>IF(L78&lt;=0,"OUT",IF(L78&lt;=MAX(I78,5),"LOW","OK"))</f>
        <v>OK</v>
      </c>
    </row>
    <row r="79" spans="1:14" x14ac:dyDescent="0.3">
      <c r="A79" t="s">
        <v>233</v>
      </c>
      <c r="B79" t="s">
        <v>234</v>
      </c>
      <c r="C79">
        <v>100</v>
      </c>
      <c r="D79" t="s">
        <v>35</v>
      </c>
      <c r="E79" t="s">
        <v>36</v>
      </c>
      <c r="F79" t="s">
        <v>235</v>
      </c>
      <c r="G79" s="5">
        <v>236</v>
      </c>
      <c r="H79" s="5">
        <v>23600</v>
      </c>
      <c r="I79">
        <v>0</v>
      </c>
      <c r="J79" s="5">
        <v>109</v>
      </c>
      <c r="K79" s="5">
        <v>111</v>
      </c>
      <c r="L79" s="5">
        <f>J79+K79</f>
        <v>220</v>
      </c>
      <c r="M79" s="5">
        <f>L79*N(H79)</f>
        <v>5192000</v>
      </c>
      <c r="N79" t="str">
        <f>IF(L79&lt;=0,"OUT",IF(L79&lt;=MAX(I79,5),"LOW","OK"))</f>
        <v>OK</v>
      </c>
    </row>
    <row r="80" spans="1:14" x14ac:dyDescent="0.3">
      <c r="A80" t="s">
        <v>236</v>
      </c>
      <c r="B80" t="s">
        <v>237</v>
      </c>
      <c r="C80">
        <v>500</v>
      </c>
      <c r="D80" t="s">
        <v>35</v>
      </c>
      <c r="E80" t="s">
        <v>36</v>
      </c>
      <c r="F80" t="s">
        <v>238</v>
      </c>
      <c r="G80" s="5">
        <v>188</v>
      </c>
      <c r="H80" s="5">
        <v>94000</v>
      </c>
      <c r="I80">
        <v>0</v>
      </c>
      <c r="J80" s="5">
        <v>6</v>
      </c>
      <c r="K80" s="5">
        <v>0</v>
      </c>
      <c r="L80" s="5">
        <f>J80+K80</f>
        <v>6</v>
      </c>
      <c r="M80" s="5">
        <f>L80*N(H80)</f>
        <v>564000</v>
      </c>
      <c r="N80" t="str">
        <f>IF(L80&lt;=0,"OUT",IF(L80&lt;=MAX(I80,5),"LOW","OK"))</f>
        <v>OK</v>
      </c>
    </row>
    <row r="81" spans="1:14" x14ac:dyDescent="0.3">
      <c r="A81" t="s">
        <v>239</v>
      </c>
      <c r="B81" t="s">
        <v>240</v>
      </c>
      <c r="C81">
        <v>100</v>
      </c>
      <c r="D81" t="s">
        <v>35</v>
      </c>
      <c r="E81" t="s">
        <v>36</v>
      </c>
      <c r="F81" t="s">
        <v>238</v>
      </c>
      <c r="G81" s="5">
        <v>188</v>
      </c>
      <c r="H81" s="5">
        <v>18800</v>
      </c>
      <c r="I81">
        <v>0</v>
      </c>
      <c r="J81" s="5">
        <v>98</v>
      </c>
      <c r="K81" s="5">
        <v>279</v>
      </c>
      <c r="L81" s="5">
        <f>J81+K81</f>
        <v>377</v>
      </c>
      <c r="M81" s="5">
        <f>L81*N(H81)</f>
        <v>7087600</v>
      </c>
      <c r="N81" t="str">
        <f>IF(L81&lt;=0,"OUT",IF(L81&lt;=MAX(I81,5),"LOW","OK"))</f>
        <v>OK</v>
      </c>
    </row>
    <row r="82" spans="1:14" x14ac:dyDescent="0.3">
      <c r="A82" t="s">
        <v>241</v>
      </c>
      <c r="B82" t="s">
        <v>242</v>
      </c>
      <c r="C82">
        <v>1000</v>
      </c>
      <c r="D82" t="s">
        <v>35</v>
      </c>
      <c r="E82" t="s">
        <v>36</v>
      </c>
      <c r="F82" t="s">
        <v>243</v>
      </c>
      <c r="G82" s="5">
        <v>25</v>
      </c>
      <c r="H82" s="5">
        <v>25000</v>
      </c>
      <c r="I82">
        <v>0</v>
      </c>
      <c r="J82" s="5">
        <v>0</v>
      </c>
      <c r="K82" s="5">
        <v>0</v>
      </c>
      <c r="L82" s="5">
        <f>J82+K82</f>
        <v>0</v>
      </c>
      <c r="M82" s="5">
        <f>L82*N(H82)</f>
        <v>0</v>
      </c>
      <c r="N82" t="str">
        <f>IF(L82&lt;=0,"OUT",IF(L82&lt;=MAX(I82,5),"LOW","OK"))</f>
        <v>OUT</v>
      </c>
    </row>
    <row r="83" spans="1:14" x14ac:dyDescent="0.3">
      <c r="A83" t="s">
        <v>244</v>
      </c>
      <c r="B83" t="s">
        <v>245</v>
      </c>
      <c r="C83">
        <v>100</v>
      </c>
      <c r="D83" t="s">
        <v>35</v>
      </c>
      <c r="E83" t="s">
        <v>39</v>
      </c>
      <c r="F83" t="s">
        <v>246</v>
      </c>
      <c r="G83" s="5">
        <v>313</v>
      </c>
      <c r="H83" s="5">
        <v>31300</v>
      </c>
      <c r="I83">
        <v>0</v>
      </c>
      <c r="J83" s="5">
        <v>3</v>
      </c>
      <c r="K83" s="5">
        <v>0</v>
      </c>
      <c r="L83" s="5">
        <f>J83+K83</f>
        <v>3</v>
      </c>
      <c r="M83" s="5">
        <f>L83*N(H83)</f>
        <v>93900</v>
      </c>
      <c r="N83" t="str">
        <f>IF(L83&lt;=0,"OUT",IF(L83&lt;=MAX(I83,5),"LOW","OK"))</f>
        <v>LOW</v>
      </c>
    </row>
    <row r="84" spans="1:14" x14ac:dyDescent="0.3">
      <c r="A84" t="s">
        <v>247</v>
      </c>
      <c r="B84" t="s">
        <v>248</v>
      </c>
      <c r="C84">
        <v>1000</v>
      </c>
      <c r="D84" t="s">
        <v>35</v>
      </c>
      <c r="E84" t="s">
        <v>39</v>
      </c>
      <c r="F84" t="s">
        <v>249</v>
      </c>
      <c r="G84" s="5">
        <v>82</v>
      </c>
      <c r="H84" s="5">
        <v>82000</v>
      </c>
      <c r="I84">
        <v>0</v>
      </c>
      <c r="J84" s="5">
        <v>1</v>
      </c>
      <c r="K84" s="5">
        <v>0</v>
      </c>
      <c r="L84" s="5">
        <f>J84+K84</f>
        <v>1</v>
      </c>
      <c r="M84" s="5">
        <f>L84*N(H84)</f>
        <v>82000</v>
      </c>
      <c r="N84" t="str">
        <f>IF(L84&lt;=0,"OUT",IF(L84&lt;=MAX(I84,5),"LOW","OK"))</f>
        <v>LOW</v>
      </c>
    </row>
    <row r="85" spans="1:14" x14ac:dyDescent="0.3">
      <c r="A85" t="s">
        <v>250</v>
      </c>
      <c r="B85" t="s">
        <v>248</v>
      </c>
      <c r="C85">
        <v>100</v>
      </c>
      <c r="D85" t="s">
        <v>35</v>
      </c>
      <c r="E85" t="s">
        <v>39</v>
      </c>
      <c r="F85" t="s">
        <v>249</v>
      </c>
      <c r="G85" s="5">
        <v>82</v>
      </c>
      <c r="H85" s="5">
        <v>8200</v>
      </c>
      <c r="I85">
        <v>0</v>
      </c>
      <c r="J85" s="5">
        <v>4</v>
      </c>
      <c r="K85" s="5">
        <v>0</v>
      </c>
      <c r="L85" s="5">
        <f>J85+K85</f>
        <v>4</v>
      </c>
      <c r="M85" s="5">
        <f>L85*N(H85)</f>
        <v>32800</v>
      </c>
      <c r="N85" t="str">
        <f>IF(L85&lt;=0,"OUT",IF(L85&lt;=MAX(I85,5),"LOW","OK"))</f>
        <v>LOW</v>
      </c>
    </row>
    <row r="86" spans="1:14" x14ac:dyDescent="0.3">
      <c r="A86" t="s">
        <v>251</v>
      </c>
      <c r="B86" t="s">
        <v>252</v>
      </c>
      <c r="C86">
        <v>100000</v>
      </c>
      <c r="D86" t="s">
        <v>35</v>
      </c>
      <c r="E86" t="s">
        <v>70</v>
      </c>
      <c r="F86" t="s">
        <v>253</v>
      </c>
      <c r="G86" s="5">
        <v>3</v>
      </c>
      <c r="H86" s="5">
        <v>300000</v>
      </c>
      <c r="I86">
        <v>0</v>
      </c>
      <c r="J86" s="5">
        <v>1</v>
      </c>
      <c r="K86" s="5">
        <v>0</v>
      </c>
      <c r="L86" s="5">
        <f>J86+K86</f>
        <v>1</v>
      </c>
      <c r="M86" s="5">
        <f>L86*N(H86)</f>
        <v>300000</v>
      </c>
      <c r="N86" t="str">
        <f>IF(L86&lt;=0,"OUT",IF(L86&lt;=MAX(I86,5),"LOW","OK"))</f>
        <v>LOW</v>
      </c>
    </row>
    <row r="87" spans="1:14" x14ac:dyDescent="0.3">
      <c r="A87" t="s">
        <v>254</v>
      </c>
      <c r="B87" t="s">
        <v>255</v>
      </c>
      <c r="C87">
        <v>1000</v>
      </c>
      <c r="D87" t="s">
        <v>35</v>
      </c>
      <c r="E87" t="s">
        <v>70</v>
      </c>
      <c r="G87" s="5"/>
      <c r="H87" s="5"/>
      <c r="I87">
        <v>0</v>
      </c>
      <c r="J87" s="5">
        <v>5</v>
      </c>
      <c r="K87" s="5">
        <v>0</v>
      </c>
      <c r="L87" s="5">
        <f>J87+K87</f>
        <v>5</v>
      </c>
      <c r="M87" s="5">
        <f>L87*N(H87)</f>
        <v>0</v>
      </c>
      <c r="N87" t="str">
        <f>IF(L87&lt;=0,"OUT",IF(L87&lt;=MAX(I87,5),"LOW","OK"))</f>
        <v>LOW</v>
      </c>
    </row>
    <row r="88" spans="1:14" x14ac:dyDescent="0.3">
      <c r="A88" t="s">
        <v>256</v>
      </c>
      <c r="B88" t="s">
        <v>257</v>
      </c>
      <c r="C88">
        <v>100</v>
      </c>
      <c r="D88" t="s">
        <v>35</v>
      </c>
      <c r="E88" t="s">
        <v>39</v>
      </c>
      <c r="F88" t="s">
        <v>46</v>
      </c>
      <c r="G88" s="5">
        <v>74</v>
      </c>
      <c r="H88" s="5">
        <v>7400</v>
      </c>
      <c r="I88">
        <v>0</v>
      </c>
      <c r="J88" s="5">
        <v>1</v>
      </c>
      <c r="K88" s="5">
        <v>0</v>
      </c>
      <c r="L88" s="5">
        <f>J88+K88</f>
        <v>1</v>
      </c>
      <c r="M88" s="5">
        <f>L88*N(H88)</f>
        <v>7400</v>
      </c>
      <c r="N88" t="str">
        <f>IF(L88&lt;=0,"OUT",IF(L88&lt;=MAX(I88,5),"LOW","OK"))</f>
        <v>LOW</v>
      </c>
    </row>
    <row r="89" spans="1:14" x14ac:dyDescent="0.3">
      <c r="A89" t="s">
        <v>258</v>
      </c>
      <c r="B89" t="s">
        <v>259</v>
      </c>
      <c r="C89">
        <v>100</v>
      </c>
      <c r="D89" t="s">
        <v>35</v>
      </c>
      <c r="E89" t="s">
        <v>70</v>
      </c>
      <c r="F89" t="s">
        <v>260</v>
      </c>
      <c r="G89" s="5">
        <v>2107</v>
      </c>
      <c r="H89" s="5">
        <v>210700</v>
      </c>
      <c r="I89">
        <v>0</v>
      </c>
      <c r="J89" s="5">
        <v>8</v>
      </c>
      <c r="K89" s="5">
        <v>0</v>
      </c>
      <c r="L89" s="5">
        <f>J89+K89</f>
        <v>8</v>
      </c>
      <c r="M89" s="5">
        <f>L89*N(H89)</f>
        <v>1685600</v>
      </c>
      <c r="N89" t="str">
        <f>IF(L89&lt;=0,"OUT",IF(L89&lt;=MAX(I89,5),"LOW","OK"))</f>
        <v>OK</v>
      </c>
    </row>
    <row r="90" spans="1:14" x14ac:dyDescent="0.3">
      <c r="A90" t="s">
        <v>261</v>
      </c>
      <c r="B90" t="s">
        <v>262</v>
      </c>
      <c r="C90">
        <v>1000</v>
      </c>
      <c r="D90" t="s">
        <v>35</v>
      </c>
      <c r="E90" t="s">
        <v>70</v>
      </c>
      <c r="F90" t="s">
        <v>263</v>
      </c>
      <c r="G90" s="5">
        <v>152</v>
      </c>
      <c r="H90" s="5">
        <v>152000</v>
      </c>
      <c r="I90">
        <v>0</v>
      </c>
      <c r="J90" s="5">
        <v>7</v>
      </c>
      <c r="K90" s="5">
        <v>0</v>
      </c>
      <c r="L90" s="5">
        <f>J90+K90</f>
        <v>7</v>
      </c>
      <c r="M90" s="5">
        <f>L90*N(H90)</f>
        <v>1064000</v>
      </c>
      <c r="N90" t="str">
        <f>IF(L90&lt;=0,"OUT",IF(L90&lt;=MAX(I90,5),"LOW","OK"))</f>
        <v>OK</v>
      </c>
    </row>
    <row r="91" spans="1:14" x14ac:dyDescent="0.3">
      <c r="A91" t="s">
        <v>264</v>
      </c>
      <c r="B91" t="s">
        <v>265</v>
      </c>
      <c r="C91">
        <v>1000</v>
      </c>
      <c r="D91" t="s">
        <v>35</v>
      </c>
      <c r="E91" t="s">
        <v>36</v>
      </c>
      <c r="F91" t="s">
        <v>266</v>
      </c>
      <c r="G91" s="5">
        <v>49</v>
      </c>
      <c r="H91" s="5">
        <v>49000</v>
      </c>
      <c r="I91">
        <v>0</v>
      </c>
      <c r="J91" s="5">
        <v>4</v>
      </c>
      <c r="K91" s="5">
        <v>0</v>
      </c>
      <c r="L91" s="5">
        <f>J91+K91</f>
        <v>4</v>
      </c>
      <c r="M91" s="5">
        <f>L91*N(H91)</f>
        <v>196000</v>
      </c>
      <c r="N91" t="str">
        <f>IF(L91&lt;=0,"OUT",IF(L91&lt;=MAX(I91,5),"LOW","OK"))</f>
        <v>LOW</v>
      </c>
    </row>
    <row r="92" spans="1:14" x14ac:dyDescent="0.3">
      <c r="A92" t="s">
        <v>267</v>
      </c>
      <c r="B92" t="s">
        <v>268</v>
      </c>
      <c r="C92">
        <v>100</v>
      </c>
      <c r="D92" t="s">
        <v>35</v>
      </c>
      <c r="E92" t="s">
        <v>36</v>
      </c>
      <c r="F92" t="s">
        <v>269</v>
      </c>
      <c r="G92" s="5">
        <v>56</v>
      </c>
      <c r="H92" s="5">
        <v>5600</v>
      </c>
      <c r="I92">
        <v>0</v>
      </c>
      <c r="J92" s="5">
        <v>1</v>
      </c>
      <c r="K92" s="5">
        <v>0</v>
      </c>
      <c r="L92" s="5">
        <f>J92+K92</f>
        <v>1</v>
      </c>
      <c r="M92" s="5">
        <f>L92*N(H92)</f>
        <v>5600</v>
      </c>
      <c r="N92" t="str">
        <f>IF(L92&lt;=0,"OUT",IF(L92&lt;=MAX(I92,5),"LOW","OK"))</f>
        <v>LOW</v>
      </c>
    </row>
    <row r="93" spans="1:14" x14ac:dyDescent="0.3">
      <c r="A93" t="s">
        <v>270</v>
      </c>
      <c r="B93" t="s">
        <v>271</v>
      </c>
      <c r="C93">
        <v>1000</v>
      </c>
      <c r="D93" t="s">
        <v>35</v>
      </c>
      <c r="E93" t="s">
        <v>39</v>
      </c>
      <c r="F93" t="s">
        <v>272</v>
      </c>
      <c r="G93" s="5">
        <v>32</v>
      </c>
      <c r="H93" s="5">
        <v>32000</v>
      </c>
      <c r="I93">
        <v>0</v>
      </c>
      <c r="J93" s="5">
        <v>1</v>
      </c>
      <c r="K93" s="5">
        <v>0</v>
      </c>
      <c r="L93" s="5">
        <f>J93+K93</f>
        <v>1</v>
      </c>
      <c r="M93" s="5">
        <f>L93*N(H93)</f>
        <v>32000</v>
      </c>
      <c r="N93" t="str">
        <f>IF(L93&lt;=0,"OUT",IF(L93&lt;=MAX(I93,5),"LOW","OK"))</f>
        <v>LOW</v>
      </c>
    </row>
    <row r="94" spans="1:14" x14ac:dyDescent="0.3">
      <c r="A94" t="s">
        <v>273</v>
      </c>
      <c r="B94" t="s">
        <v>274</v>
      </c>
      <c r="C94">
        <v>1000</v>
      </c>
      <c r="D94" t="s">
        <v>35</v>
      </c>
      <c r="E94" t="s">
        <v>70</v>
      </c>
      <c r="G94" s="5"/>
      <c r="H94" s="5"/>
      <c r="I94">
        <v>0</v>
      </c>
      <c r="J94" s="5">
        <v>0</v>
      </c>
      <c r="K94" s="5">
        <v>0</v>
      </c>
      <c r="L94" s="5">
        <f>J94+K94</f>
        <v>0</v>
      </c>
      <c r="M94" s="5">
        <f>L94*N(H94)</f>
        <v>0</v>
      </c>
      <c r="N94" t="str">
        <f>IF(L94&lt;=0,"OUT",IF(L94&lt;=MAX(I94,5),"LOW","OK"))</f>
        <v>OUT</v>
      </c>
    </row>
    <row r="95" spans="1:14" x14ac:dyDescent="0.3">
      <c r="A95" t="s">
        <v>275</v>
      </c>
      <c r="B95" t="s">
        <v>276</v>
      </c>
      <c r="C95">
        <v>1000</v>
      </c>
      <c r="D95" t="s">
        <v>35</v>
      </c>
      <c r="E95" t="s">
        <v>70</v>
      </c>
      <c r="G95" s="5"/>
      <c r="H95" s="5"/>
      <c r="I95">
        <v>0</v>
      </c>
      <c r="J95" s="5">
        <v>5</v>
      </c>
      <c r="K95" s="5">
        <v>0</v>
      </c>
      <c r="L95" s="5">
        <f>J95+K95</f>
        <v>5</v>
      </c>
      <c r="M95" s="5">
        <f>L95*N(H95)</f>
        <v>0</v>
      </c>
      <c r="N95" t="str">
        <f>IF(L95&lt;=0,"OUT",IF(L95&lt;=MAX(I95,5),"LOW","OK"))</f>
        <v>LOW</v>
      </c>
    </row>
    <row r="96" spans="1:14" x14ac:dyDescent="0.3">
      <c r="A96" t="s">
        <v>277</v>
      </c>
      <c r="B96" t="s">
        <v>278</v>
      </c>
      <c r="C96">
        <v>1000</v>
      </c>
      <c r="D96" t="s">
        <v>35</v>
      </c>
      <c r="E96" t="s">
        <v>70</v>
      </c>
      <c r="F96" t="s">
        <v>279</v>
      </c>
      <c r="G96" s="5">
        <v>239</v>
      </c>
      <c r="H96" s="5">
        <v>239000</v>
      </c>
      <c r="I96">
        <v>0</v>
      </c>
      <c r="J96" s="5">
        <v>0</v>
      </c>
      <c r="K96" s="5">
        <v>0</v>
      </c>
      <c r="L96" s="5">
        <f>J96+K96</f>
        <v>0</v>
      </c>
      <c r="M96" s="5">
        <f>L96*N(H96)</f>
        <v>0</v>
      </c>
      <c r="N96" t="str">
        <f>IF(L96&lt;=0,"OUT",IF(L96&lt;=MAX(I96,5),"LOW","OK"))</f>
        <v>OUT</v>
      </c>
    </row>
    <row r="97" spans="1:14" x14ac:dyDescent="0.3">
      <c r="A97" t="s">
        <v>280</v>
      </c>
      <c r="B97" t="s">
        <v>281</v>
      </c>
      <c r="C97">
        <v>1000</v>
      </c>
      <c r="D97" t="s">
        <v>35</v>
      </c>
      <c r="E97" t="s">
        <v>36</v>
      </c>
      <c r="F97" t="s">
        <v>167</v>
      </c>
      <c r="G97" s="5">
        <v>37</v>
      </c>
      <c r="H97" s="5">
        <v>37000</v>
      </c>
      <c r="I97">
        <v>0</v>
      </c>
      <c r="J97" s="5">
        <v>23</v>
      </c>
      <c r="K97" s="5">
        <v>0</v>
      </c>
      <c r="L97" s="5">
        <f>J97+K97</f>
        <v>23</v>
      </c>
      <c r="M97" s="5">
        <f>L97*N(H97)</f>
        <v>851000</v>
      </c>
      <c r="N97" t="str">
        <f>IF(L97&lt;=0,"OUT",IF(L97&lt;=MAX(I97,5),"LOW","OK"))</f>
        <v>OK</v>
      </c>
    </row>
    <row r="98" spans="1:14" x14ac:dyDescent="0.3">
      <c r="A98" t="s">
        <v>282</v>
      </c>
      <c r="B98" t="s">
        <v>283</v>
      </c>
      <c r="C98">
        <v>100</v>
      </c>
      <c r="D98" t="s">
        <v>35</v>
      </c>
      <c r="E98" t="s">
        <v>39</v>
      </c>
      <c r="G98" s="5"/>
      <c r="H98" s="5"/>
      <c r="I98">
        <v>0</v>
      </c>
      <c r="J98" s="5">
        <v>2</v>
      </c>
      <c r="K98" s="5">
        <v>0</v>
      </c>
      <c r="L98" s="5">
        <f>J98+K98</f>
        <v>2</v>
      </c>
      <c r="M98" s="5">
        <f>L98*N(H98)</f>
        <v>0</v>
      </c>
      <c r="N98" t="str">
        <f>IF(L98&lt;=0,"OUT",IF(L98&lt;=MAX(I98,5),"LOW","OK"))</f>
        <v>LOW</v>
      </c>
    </row>
    <row r="99" spans="1:14" x14ac:dyDescent="0.3">
      <c r="A99" t="s">
        <v>284</v>
      </c>
      <c r="B99" t="s">
        <v>285</v>
      </c>
      <c r="C99">
        <v>250</v>
      </c>
      <c r="D99" t="s">
        <v>35</v>
      </c>
      <c r="E99" t="s">
        <v>36</v>
      </c>
      <c r="G99" s="5"/>
      <c r="H99" s="5"/>
      <c r="I99">
        <v>0</v>
      </c>
      <c r="J99" s="5">
        <v>1</v>
      </c>
      <c r="K99" s="5">
        <v>0</v>
      </c>
      <c r="L99" s="5">
        <f>J99+K99</f>
        <v>1</v>
      </c>
      <c r="M99" s="5">
        <f>L99*N(H99)</f>
        <v>0</v>
      </c>
      <c r="N99" t="str">
        <f>IF(L99&lt;=0,"OUT",IF(L99&lt;=MAX(I99,5),"LOW","OK"))</f>
        <v>LOW</v>
      </c>
    </row>
    <row r="100" spans="1:14" x14ac:dyDescent="0.3">
      <c r="A100" t="s">
        <v>286</v>
      </c>
      <c r="B100" t="s">
        <v>287</v>
      </c>
      <c r="C100">
        <v>10000</v>
      </c>
      <c r="D100" t="s">
        <v>35</v>
      </c>
      <c r="E100" t="s">
        <v>70</v>
      </c>
      <c r="F100" t="s">
        <v>288</v>
      </c>
      <c r="G100" s="5">
        <v>3</v>
      </c>
      <c r="H100" s="5">
        <v>30000</v>
      </c>
      <c r="I100">
        <v>0</v>
      </c>
      <c r="J100" s="5">
        <v>1</v>
      </c>
      <c r="K100" s="5">
        <v>0</v>
      </c>
      <c r="L100" s="5">
        <f>J100+K100</f>
        <v>1</v>
      </c>
      <c r="M100" s="5">
        <f>L100*N(H100)</f>
        <v>30000</v>
      </c>
      <c r="N100" t="str">
        <f>IF(L100&lt;=0,"OUT",IF(L100&lt;=MAX(I100,5),"LOW","OK"))</f>
        <v>LOW</v>
      </c>
    </row>
    <row r="101" spans="1:14" x14ac:dyDescent="0.3">
      <c r="A101" t="s">
        <v>289</v>
      </c>
      <c r="B101" t="s">
        <v>290</v>
      </c>
      <c r="C101">
        <v>100000</v>
      </c>
      <c r="D101" t="s">
        <v>35</v>
      </c>
      <c r="E101" t="s">
        <v>70</v>
      </c>
      <c r="F101" t="s">
        <v>291</v>
      </c>
      <c r="G101" s="5">
        <v>6</v>
      </c>
      <c r="H101" s="5">
        <v>600000</v>
      </c>
      <c r="I101">
        <v>0</v>
      </c>
      <c r="J101" s="5">
        <v>2</v>
      </c>
      <c r="K101" s="5">
        <v>0</v>
      </c>
      <c r="L101" s="5">
        <f>J101+K101</f>
        <v>2</v>
      </c>
      <c r="M101" s="5">
        <f>L101*N(H101)</f>
        <v>1200000</v>
      </c>
      <c r="N101" t="str">
        <f>IF(L101&lt;=0,"OUT",IF(L101&lt;=MAX(I101,5),"LOW","OK"))</f>
        <v>LOW</v>
      </c>
    </row>
    <row r="102" spans="1:14" x14ac:dyDescent="0.3">
      <c r="A102" t="s">
        <v>292</v>
      </c>
      <c r="B102" t="s">
        <v>293</v>
      </c>
      <c r="C102">
        <v>500</v>
      </c>
      <c r="D102" t="s">
        <v>35</v>
      </c>
      <c r="E102" t="s">
        <v>39</v>
      </c>
      <c r="F102" t="s">
        <v>51</v>
      </c>
      <c r="G102" s="5">
        <v>74</v>
      </c>
      <c r="H102" s="5">
        <v>37000</v>
      </c>
      <c r="I102">
        <v>0</v>
      </c>
      <c r="J102" s="5">
        <v>1</v>
      </c>
      <c r="K102" s="5">
        <v>0</v>
      </c>
      <c r="L102" s="5">
        <f>J102+K102</f>
        <v>1</v>
      </c>
      <c r="M102" s="5">
        <f>L102*N(H102)</f>
        <v>37000</v>
      </c>
      <c r="N102" t="str">
        <f>IF(L102&lt;=0,"OUT",IF(L102&lt;=MAX(I102,5),"LOW","OK"))</f>
        <v>LOW</v>
      </c>
    </row>
    <row r="103" spans="1:14" x14ac:dyDescent="0.3">
      <c r="A103" t="s">
        <v>294</v>
      </c>
      <c r="B103" t="s">
        <v>295</v>
      </c>
      <c r="C103">
        <v>100</v>
      </c>
      <c r="D103" t="s">
        <v>35</v>
      </c>
      <c r="E103" t="s">
        <v>70</v>
      </c>
      <c r="F103" t="s">
        <v>296</v>
      </c>
      <c r="G103" s="5">
        <v>1389</v>
      </c>
      <c r="H103" s="5">
        <v>138900</v>
      </c>
      <c r="I103">
        <v>0</v>
      </c>
      <c r="J103" s="5">
        <v>0</v>
      </c>
      <c r="K103" s="5">
        <v>0</v>
      </c>
      <c r="L103" s="5">
        <f>J103+K103</f>
        <v>0</v>
      </c>
      <c r="M103" s="5">
        <f>L103*N(H103)</f>
        <v>0</v>
      </c>
      <c r="N103" t="str">
        <f>IF(L103&lt;=0,"OUT",IF(L103&lt;=MAX(I103,5),"LOW","OK"))</f>
        <v>OUT</v>
      </c>
    </row>
    <row r="104" spans="1:14" x14ac:dyDescent="0.3">
      <c r="A104" t="s">
        <v>297</v>
      </c>
      <c r="B104" t="s">
        <v>298</v>
      </c>
      <c r="C104">
        <v>100</v>
      </c>
      <c r="D104" t="s">
        <v>35</v>
      </c>
      <c r="E104" t="s">
        <v>36</v>
      </c>
      <c r="F104" t="s">
        <v>124</v>
      </c>
      <c r="G104" s="5">
        <v>699</v>
      </c>
      <c r="H104" s="5">
        <v>69900</v>
      </c>
      <c r="I104">
        <v>0</v>
      </c>
      <c r="J104" s="5">
        <v>55</v>
      </c>
      <c r="K104" s="5">
        <v>0</v>
      </c>
      <c r="L104" s="5">
        <f>J104+K104</f>
        <v>55</v>
      </c>
      <c r="M104" s="5">
        <f>L104*N(H104)</f>
        <v>3844500</v>
      </c>
      <c r="N104" t="str">
        <f>IF(L104&lt;=0,"OUT",IF(L104&lt;=MAX(I104,5),"LOW","OK"))</f>
        <v>OK</v>
      </c>
    </row>
    <row r="105" spans="1:14" x14ac:dyDescent="0.3">
      <c r="A105" t="s">
        <v>299</v>
      </c>
      <c r="B105" t="s">
        <v>300</v>
      </c>
      <c r="C105">
        <v>100</v>
      </c>
      <c r="D105" t="s">
        <v>35</v>
      </c>
      <c r="E105" t="s">
        <v>70</v>
      </c>
      <c r="F105" t="s">
        <v>301</v>
      </c>
      <c r="G105" s="5">
        <v>2597</v>
      </c>
      <c r="H105" s="5">
        <v>259700</v>
      </c>
      <c r="I105">
        <v>0</v>
      </c>
      <c r="J105" s="5">
        <v>1</v>
      </c>
      <c r="K105" s="5">
        <v>0</v>
      </c>
      <c r="L105" s="5">
        <f>J105+K105</f>
        <v>1</v>
      </c>
      <c r="M105" s="5">
        <f>L105*N(H105)</f>
        <v>259700</v>
      </c>
      <c r="N105" t="str">
        <f>IF(L105&lt;=0,"OUT",IF(L105&lt;=MAX(I105,5),"LOW","OK"))</f>
        <v>LOW</v>
      </c>
    </row>
    <row r="106" spans="1:14" x14ac:dyDescent="0.3">
      <c r="A106" t="s">
        <v>302</v>
      </c>
      <c r="B106" t="s">
        <v>303</v>
      </c>
      <c r="C106">
        <v>2500</v>
      </c>
      <c r="D106" t="s">
        <v>35</v>
      </c>
      <c r="E106" t="s">
        <v>70</v>
      </c>
      <c r="F106" t="s">
        <v>304</v>
      </c>
      <c r="G106" s="5">
        <v>62</v>
      </c>
      <c r="H106" s="5">
        <v>155000</v>
      </c>
      <c r="I106">
        <v>0</v>
      </c>
      <c r="J106" s="5">
        <v>0</v>
      </c>
      <c r="K106" s="5">
        <v>0</v>
      </c>
      <c r="L106" s="5">
        <f>J106+K106</f>
        <v>0</v>
      </c>
      <c r="M106" s="5">
        <f>L106*N(H106)</f>
        <v>0</v>
      </c>
      <c r="N106" t="str">
        <f>IF(L106&lt;=0,"OUT",IF(L106&lt;=MAX(I106,5),"LOW","OK"))</f>
        <v>OUT</v>
      </c>
    </row>
    <row r="107" spans="1:14" x14ac:dyDescent="0.3">
      <c r="A107" t="s">
        <v>305</v>
      </c>
      <c r="B107" t="s">
        <v>306</v>
      </c>
      <c r="C107">
        <v>100</v>
      </c>
      <c r="D107" t="s">
        <v>35</v>
      </c>
      <c r="E107" t="s">
        <v>39</v>
      </c>
      <c r="F107" t="s">
        <v>66</v>
      </c>
      <c r="G107" s="5">
        <v>231</v>
      </c>
      <c r="H107" s="5">
        <v>23100</v>
      </c>
      <c r="I107">
        <v>0</v>
      </c>
      <c r="J107" s="5">
        <v>0</v>
      </c>
      <c r="K107" s="5">
        <v>0</v>
      </c>
      <c r="L107" s="5">
        <f>J107+K107</f>
        <v>0</v>
      </c>
      <c r="M107" s="5">
        <f>L107*N(H107)</f>
        <v>0</v>
      </c>
      <c r="N107" t="str">
        <f>IF(L107&lt;=0,"OUT",IF(L107&lt;=MAX(I107,5),"LOW","OK"))</f>
        <v>OUT</v>
      </c>
    </row>
    <row r="108" spans="1:14" x14ac:dyDescent="0.3">
      <c r="A108" t="s">
        <v>307</v>
      </c>
      <c r="B108" t="s">
        <v>308</v>
      </c>
      <c r="C108">
        <v>100</v>
      </c>
      <c r="D108" t="s">
        <v>35</v>
      </c>
      <c r="E108" t="s">
        <v>36</v>
      </c>
      <c r="F108" t="s">
        <v>81</v>
      </c>
      <c r="G108" s="5">
        <v>533</v>
      </c>
      <c r="H108" s="5">
        <v>53300</v>
      </c>
      <c r="I108">
        <v>0</v>
      </c>
      <c r="J108" s="5">
        <v>29</v>
      </c>
      <c r="K108" s="5">
        <v>0</v>
      </c>
      <c r="L108" s="5">
        <f>J108+K108</f>
        <v>29</v>
      </c>
      <c r="M108" s="5">
        <f>L108*N(H108)</f>
        <v>1545700</v>
      </c>
      <c r="N108" t="str">
        <f>IF(L108&lt;=0,"OUT",IF(L108&lt;=MAX(I108,5),"LOW","OK"))</f>
        <v>OK</v>
      </c>
    </row>
    <row r="109" spans="1:14" x14ac:dyDescent="0.3">
      <c r="A109" t="s">
        <v>309</v>
      </c>
      <c r="B109" t="s">
        <v>310</v>
      </c>
      <c r="C109">
        <v>100</v>
      </c>
      <c r="D109" t="s">
        <v>35</v>
      </c>
      <c r="E109" t="s">
        <v>36</v>
      </c>
      <c r="F109" t="s">
        <v>145</v>
      </c>
      <c r="G109" s="5">
        <v>435</v>
      </c>
      <c r="H109" s="5">
        <v>43500</v>
      </c>
      <c r="I109">
        <v>0</v>
      </c>
      <c r="J109" s="5">
        <v>74</v>
      </c>
      <c r="K109" s="5">
        <v>0</v>
      </c>
      <c r="L109" s="5">
        <f>J109+K109</f>
        <v>74</v>
      </c>
      <c r="M109" s="5">
        <f>L109*N(H109)</f>
        <v>3219000</v>
      </c>
      <c r="N109" t="str">
        <f>IF(L109&lt;=0,"OUT",IF(L109&lt;=MAX(I109,5),"LOW","OK"))</f>
        <v>OK</v>
      </c>
    </row>
    <row r="110" spans="1:14" x14ac:dyDescent="0.3">
      <c r="A110" t="s">
        <v>311</v>
      </c>
      <c r="B110" t="s">
        <v>312</v>
      </c>
      <c r="C110">
        <v>100</v>
      </c>
      <c r="D110" t="s">
        <v>35</v>
      </c>
      <c r="E110" t="s">
        <v>36</v>
      </c>
      <c r="F110" t="s">
        <v>149</v>
      </c>
      <c r="G110" s="5">
        <v>435</v>
      </c>
      <c r="H110" s="5">
        <v>43500</v>
      </c>
      <c r="I110">
        <v>0</v>
      </c>
      <c r="J110" s="5">
        <v>99</v>
      </c>
      <c r="K110" s="5">
        <v>4</v>
      </c>
      <c r="L110" s="5">
        <f>J110+K110</f>
        <v>103</v>
      </c>
      <c r="M110" s="5">
        <f>L110*N(H110)</f>
        <v>4480500</v>
      </c>
      <c r="N110" t="str">
        <f>IF(L110&lt;=0,"OUT",IF(L110&lt;=MAX(I110,5),"LOW","OK"))</f>
        <v>OK</v>
      </c>
    </row>
    <row r="111" spans="1:14" x14ac:dyDescent="0.3">
      <c r="A111" t="s">
        <v>313</v>
      </c>
      <c r="B111" t="s">
        <v>314</v>
      </c>
      <c r="C111">
        <v>100</v>
      </c>
      <c r="D111" t="s">
        <v>35</v>
      </c>
      <c r="E111" t="s">
        <v>36</v>
      </c>
      <c r="F111" t="s">
        <v>213</v>
      </c>
      <c r="G111" s="5">
        <v>379</v>
      </c>
      <c r="H111" s="5">
        <v>37900</v>
      </c>
      <c r="I111">
        <v>0</v>
      </c>
      <c r="J111" s="5">
        <v>0</v>
      </c>
      <c r="K111" s="5">
        <v>58</v>
      </c>
      <c r="L111" s="5">
        <f>J111+K111</f>
        <v>58</v>
      </c>
      <c r="M111" s="5">
        <f>L111*N(H111)</f>
        <v>2198200</v>
      </c>
      <c r="N111" t="str">
        <f>IF(L111&lt;=0,"OUT",IF(L111&lt;=MAX(I111,5),"LOW","OK"))</f>
        <v>OK</v>
      </c>
    </row>
    <row r="112" spans="1:14" x14ac:dyDescent="0.3">
      <c r="A112" t="s">
        <v>315</v>
      </c>
      <c r="B112" t="s">
        <v>316</v>
      </c>
      <c r="C112">
        <v>1000</v>
      </c>
      <c r="D112" t="s">
        <v>35</v>
      </c>
      <c r="E112" t="s">
        <v>36</v>
      </c>
      <c r="F112" t="s">
        <v>213</v>
      </c>
      <c r="G112" s="5">
        <v>379</v>
      </c>
      <c r="H112" s="5">
        <v>379000</v>
      </c>
      <c r="I112">
        <v>0</v>
      </c>
      <c r="J112" s="5">
        <v>0</v>
      </c>
      <c r="K112" s="5">
        <v>7</v>
      </c>
      <c r="L112" s="5">
        <f>J112+K112</f>
        <v>7</v>
      </c>
      <c r="M112" s="5">
        <f>L112*N(H112)</f>
        <v>2653000</v>
      </c>
      <c r="N112" t="str">
        <f>IF(L112&lt;=0,"OUT",IF(L112&lt;=MAX(I112,5),"LOW","OK"))</f>
        <v>OK</v>
      </c>
    </row>
    <row r="113" spans="1:14" x14ac:dyDescent="0.3">
      <c r="A113" t="s">
        <v>317</v>
      </c>
      <c r="B113" t="s">
        <v>318</v>
      </c>
      <c r="C113">
        <v>500</v>
      </c>
      <c r="D113" t="s">
        <v>35</v>
      </c>
      <c r="E113" t="s">
        <v>36</v>
      </c>
      <c r="F113" t="s">
        <v>213</v>
      </c>
      <c r="G113" s="5">
        <v>379</v>
      </c>
      <c r="H113" s="5">
        <v>189500</v>
      </c>
      <c r="I113">
        <v>0</v>
      </c>
      <c r="J113" s="5">
        <v>0</v>
      </c>
      <c r="K113" s="5">
        <v>2</v>
      </c>
      <c r="L113" s="5">
        <f>J113+K113</f>
        <v>2</v>
      </c>
      <c r="M113" s="5">
        <f>L113*N(H113)</f>
        <v>379000</v>
      </c>
      <c r="N113" t="str">
        <f>IF(L113&lt;=0,"OUT",IF(L113&lt;=MAX(I113,5),"LOW","OK"))</f>
        <v>LOW</v>
      </c>
    </row>
    <row r="114" spans="1:14" x14ac:dyDescent="0.3">
      <c r="A114" t="s">
        <v>319</v>
      </c>
      <c r="B114" t="s">
        <v>320</v>
      </c>
      <c r="C114">
        <v>100</v>
      </c>
      <c r="D114" t="s">
        <v>35</v>
      </c>
      <c r="E114" t="s">
        <v>70</v>
      </c>
      <c r="F114" t="s">
        <v>321</v>
      </c>
      <c r="G114" s="5">
        <v>2059</v>
      </c>
      <c r="H114" s="5">
        <v>205900</v>
      </c>
      <c r="I114">
        <v>0</v>
      </c>
      <c r="J114" s="5">
        <v>2</v>
      </c>
      <c r="K114" s="5">
        <v>0</v>
      </c>
      <c r="L114" s="5">
        <f>J114+K114</f>
        <v>2</v>
      </c>
      <c r="M114" s="5">
        <f>L114*N(H114)</f>
        <v>411800</v>
      </c>
      <c r="N114" t="str">
        <f>IF(L114&lt;=0,"OUT",IF(L114&lt;=MAX(I114,5),"LOW","OK"))</f>
        <v>LOW</v>
      </c>
    </row>
    <row r="115" spans="1:14" x14ac:dyDescent="0.3">
      <c r="A115" t="s">
        <v>322</v>
      </c>
      <c r="B115" t="s">
        <v>323</v>
      </c>
      <c r="C115">
        <v>25000</v>
      </c>
      <c r="D115" t="s">
        <v>35</v>
      </c>
      <c r="E115" t="s">
        <v>70</v>
      </c>
      <c r="F115" t="s">
        <v>324</v>
      </c>
      <c r="G115" s="5">
        <v>4</v>
      </c>
      <c r="H115" s="5">
        <v>100000</v>
      </c>
      <c r="I115">
        <v>0</v>
      </c>
      <c r="J115" s="5">
        <v>0</v>
      </c>
      <c r="K115" s="5">
        <v>0</v>
      </c>
      <c r="L115" s="5">
        <f>J115+K115</f>
        <v>0</v>
      </c>
      <c r="M115" s="5">
        <f>L115*N(H115)</f>
        <v>0</v>
      </c>
      <c r="N115" t="str">
        <f>IF(L115&lt;=0,"OUT",IF(L115&lt;=MAX(I115,5),"LOW","OK"))</f>
        <v>OUT</v>
      </c>
    </row>
    <row r="116" spans="1:14" x14ac:dyDescent="0.3">
      <c r="A116" t="s">
        <v>325</v>
      </c>
      <c r="B116" t="s">
        <v>323</v>
      </c>
      <c r="C116">
        <v>100000</v>
      </c>
      <c r="D116" t="s">
        <v>35</v>
      </c>
      <c r="E116" t="s">
        <v>70</v>
      </c>
      <c r="F116" t="s">
        <v>324</v>
      </c>
      <c r="G116" s="5">
        <v>4</v>
      </c>
      <c r="H116" s="5">
        <v>400000</v>
      </c>
      <c r="I116">
        <v>0</v>
      </c>
      <c r="J116" s="5">
        <v>2</v>
      </c>
      <c r="K116" s="5">
        <v>0</v>
      </c>
      <c r="L116" s="5">
        <f>J116+K116</f>
        <v>2</v>
      </c>
      <c r="M116" s="5">
        <f>L116*N(H116)</f>
        <v>800000</v>
      </c>
      <c r="N116" t="str">
        <f>IF(L116&lt;=0,"OUT",IF(L116&lt;=MAX(I116,5),"LOW","OK"))</f>
        <v>LOW</v>
      </c>
    </row>
    <row r="117" spans="1:14" x14ac:dyDescent="0.3">
      <c r="A117" t="s">
        <v>326</v>
      </c>
      <c r="B117" t="s">
        <v>327</v>
      </c>
      <c r="C117">
        <v>100000</v>
      </c>
      <c r="D117" t="s">
        <v>35</v>
      </c>
      <c r="E117" t="s">
        <v>70</v>
      </c>
      <c r="F117" t="s">
        <v>328</v>
      </c>
      <c r="G117" s="5">
        <v>2</v>
      </c>
      <c r="H117" s="5">
        <v>200000</v>
      </c>
      <c r="I117">
        <v>0</v>
      </c>
      <c r="J117" s="5">
        <v>0</v>
      </c>
      <c r="K117" s="5">
        <v>0</v>
      </c>
      <c r="L117" s="5">
        <f>J117+K117</f>
        <v>0</v>
      </c>
      <c r="M117" s="5">
        <f>L117*N(H117)</f>
        <v>0</v>
      </c>
      <c r="N117" t="str">
        <f>IF(L117&lt;=0,"OUT",IF(L117&lt;=MAX(I117,5),"LOW","OK"))</f>
        <v>OUT</v>
      </c>
    </row>
    <row r="118" spans="1:14" x14ac:dyDescent="0.3">
      <c r="A118" t="s">
        <v>329</v>
      </c>
      <c r="B118" t="s">
        <v>330</v>
      </c>
      <c r="C118">
        <v>100</v>
      </c>
      <c r="D118" t="s">
        <v>35</v>
      </c>
      <c r="E118" t="s">
        <v>36</v>
      </c>
      <c r="F118" t="s">
        <v>331</v>
      </c>
      <c r="G118" s="5">
        <v>344</v>
      </c>
      <c r="H118" s="5">
        <v>34400</v>
      </c>
      <c r="I118">
        <v>0</v>
      </c>
      <c r="J118" s="5">
        <v>117</v>
      </c>
      <c r="K118" s="5">
        <v>0</v>
      </c>
      <c r="L118" s="5">
        <f>J118+K118</f>
        <v>117</v>
      </c>
      <c r="M118" s="5">
        <f>L118*N(H118)</f>
        <v>4024800</v>
      </c>
      <c r="N118" t="str">
        <f>IF(L118&lt;=0,"OUT",IF(L118&lt;=MAX(I118,5),"LOW","OK"))</f>
        <v>OK</v>
      </c>
    </row>
    <row r="119" spans="1:14" x14ac:dyDescent="0.3">
      <c r="A119" t="s">
        <v>332</v>
      </c>
      <c r="B119" t="s">
        <v>333</v>
      </c>
      <c r="C119">
        <v>100</v>
      </c>
      <c r="D119" t="s">
        <v>35</v>
      </c>
      <c r="E119" t="s">
        <v>70</v>
      </c>
      <c r="F119" t="s">
        <v>334</v>
      </c>
      <c r="G119" s="5">
        <v>613</v>
      </c>
      <c r="H119" s="5">
        <v>61300</v>
      </c>
      <c r="I119">
        <v>0</v>
      </c>
      <c r="J119" s="5">
        <v>1</v>
      </c>
      <c r="K119" s="5">
        <v>0</v>
      </c>
      <c r="L119" s="5">
        <f>J119+K119</f>
        <v>1</v>
      </c>
      <c r="M119" s="5">
        <f>L119*N(H119)</f>
        <v>61300</v>
      </c>
      <c r="N119" t="str">
        <f>IF(L119&lt;=0,"OUT",IF(L119&lt;=MAX(I119,5),"LOW","OK"))</f>
        <v>LOW</v>
      </c>
    </row>
    <row r="120" spans="1:14" x14ac:dyDescent="0.3">
      <c r="A120" t="s">
        <v>335</v>
      </c>
      <c r="B120" t="s">
        <v>336</v>
      </c>
      <c r="C120">
        <v>1000</v>
      </c>
      <c r="D120" t="s">
        <v>35</v>
      </c>
      <c r="E120" t="s">
        <v>70</v>
      </c>
      <c r="G120" s="5"/>
      <c r="H120" s="5"/>
      <c r="I120">
        <v>0</v>
      </c>
      <c r="J120" s="5">
        <v>2</v>
      </c>
      <c r="K120" s="5">
        <v>0</v>
      </c>
      <c r="L120" s="5">
        <f>J120+K120</f>
        <v>2</v>
      </c>
      <c r="M120" s="5">
        <f>L120*N(H120)</f>
        <v>0</v>
      </c>
      <c r="N120" t="str">
        <f>IF(L120&lt;=0,"OUT",IF(L120&lt;=MAX(I120,5),"LOW","OK"))</f>
        <v>LOW</v>
      </c>
    </row>
    <row r="121" spans="1:14" x14ac:dyDescent="0.3">
      <c r="A121" t="s">
        <v>337</v>
      </c>
      <c r="B121" t="s">
        <v>338</v>
      </c>
      <c r="C121">
        <v>1000</v>
      </c>
      <c r="D121" t="s">
        <v>35</v>
      </c>
      <c r="E121" t="s">
        <v>36</v>
      </c>
      <c r="F121" t="s">
        <v>272</v>
      </c>
      <c r="G121" s="5">
        <v>32</v>
      </c>
      <c r="H121" s="5">
        <v>32000</v>
      </c>
      <c r="I121">
        <v>0</v>
      </c>
      <c r="J121" s="5">
        <v>16</v>
      </c>
      <c r="K121" s="5">
        <v>0</v>
      </c>
      <c r="L121" s="5">
        <f>J121+K121</f>
        <v>16</v>
      </c>
      <c r="M121" s="5">
        <f>L121*N(H121)</f>
        <v>512000</v>
      </c>
      <c r="N121" t="str">
        <f>IF(L121&lt;=0,"OUT",IF(L121&lt;=MAX(I121,5),"LOW","OK"))</f>
        <v>OK</v>
      </c>
    </row>
    <row r="122" spans="1:14" x14ac:dyDescent="0.3">
      <c r="A122" t="s">
        <v>339</v>
      </c>
      <c r="B122" t="s">
        <v>340</v>
      </c>
      <c r="C122">
        <v>1000</v>
      </c>
      <c r="D122" t="s">
        <v>35</v>
      </c>
      <c r="E122" t="s">
        <v>36</v>
      </c>
      <c r="F122" t="s">
        <v>341</v>
      </c>
      <c r="G122" s="5">
        <v>36</v>
      </c>
      <c r="H122" s="5">
        <v>36000</v>
      </c>
      <c r="I122">
        <v>0</v>
      </c>
      <c r="J122" s="5">
        <v>0</v>
      </c>
      <c r="K122" s="5">
        <v>2</v>
      </c>
      <c r="L122" s="5">
        <f>J122+K122</f>
        <v>2</v>
      </c>
      <c r="M122" s="5">
        <f>L122*N(H122)</f>
        <v>72000</v>
      </c>
      <c r="N122" t="str">
        <f>IF(L122&lt;=0,"OUT",IF(L122&lt;=MAX(I122,5),"LOW","OK"))</f>
        <v>LOW</v>
      </c>
    </row>
    <row r="123" spans="1:14" x14ac:dyDescent="0.3">
      <c r="A123" t="s">
        <v>342</v>
      </c>
      <c r="B123" t="s">
        <v>343</v>
      </c>
      <c r="C123">
        <v>100</v>
      </c>
      <c r="D123" t="s">
        <v>35</v>
      </c>
      <c r="E123" t="s">
        <v>70</v>
      </c>
      <c r="F123" t="s">
        <v>344</v>
      </c>
      <c r="G123" s="5">
        <v>1898</v>
      </c>
      <c r="H123" s="5">
        <v>189800</v>
      </c>
      <c r="I123">
        <v>0</v>
      </c>
      <c r="J123" s="5">
        <v>10</v>
      </c>
      <c r="K123" s="5">
        <v>0</v>
      </c>
      <c r="L123" s="5">
        <f>J123+K123</f>
        <v>10</v>
      </c>
      <c r="M123" s="5">
        <f>L123*N(H123)</f>
        <v>1898000</v>
      </c>
      <c r="N123" t="str">
        <f>IF(L123&lt;=0,"OUT",IF(L123&lt;=MAX(I123,5),"LOW","OK"))</f>
        <v>OK</v>
      </c>
    </row>
    <row r="124" spans="1:14" x14ac:dyDescent="0.3">
      <c r="A124" t="s">
        <v>345</v>
      </c>
      <c r="B124" t="s">
        <v>346</v>
      </c>
      <c r="C124">
        <v>100</v>
      </c>
      <c r="D124" t="s">
        <v>35</v>
      </c>
      <c r="E124" t="s">
        <v>70</v>
      </c>
      <c r="F124" t="s">
        <v>347</v>
      </c>
      <c r="G124" s="5">
        <v>2340</v>
      </c>
      <c r="H124" s="5">
        <v>234000</v>
      </c>
      <c r="I124">
        <v>0</v>
      </c>
      <c r="J124" s="5">
        <v>10</v>
      </c>
      <c r="K124" s="5">
        <v>0</v>
      </c>
      <c r="L124" s="5">
        <f>J124+K124</f>
        <v>10</v>
      </c>
      <c r="M124" s="5">
        <f>L124*N(H124)</f>
        <v>2340000</v>
      </c>
      <c r="N124" t="str">
        <f>IF(L124&lt;=0,"OUT",IF(L124&lt;=MAX(I124,5),"LOW","OK"))</f>
        <v>OK</v>
      </c>
    </row>
    <row r="125" spans="1:14" x14ac:dyDescent="0.3">
      <c r="A125" t="s">
        <v>348</v>
      </c>
      <c r="B125" t="s">
        <v>349</v>
      </c>
      <c r="C125">
        <v>100</v>
      </c>
      <c r="D125" t="s">
        <v>35</v>
      </c>
      <c r="E125" t="s">
        <v>70</v>
      </c>
      <c r="G125" s="5"/>
      <c r="H125" s="5"/>
      <c r="I125">
        <v>0</v>
      </c>
      <c r="J125" s="5">
        <v>4</v>
      </c>
      <c r="K125" s="5">
        <v>0</v>
      </c>
      <c r="L125" s="5">
        <f>J125+K125</f>
        <v>4</v>
      </c>
      <c r="M125" s="5">
        <f>L125*N(H125)</f>
        <v>0</v>
      </c>
      <c r="N125" t="str">
        <f>IF(L125&lt;=0,"OUT",IF(L125&lt;=MAX(I125,5),"LOW","OK"))</f>
        <v>LOW</v>
      </c>
    </row>
    <row r="126" spans="1:14" x14ac:dyDescent="0.3">
      <c r="A126" t="s">
        <v>350</v>
      </c>
      <c r="B126" t="s">
        <v>351</v>
      </c>
      <c r="C126">
        <v>100</v>
      </c>
      <c r="D126" t="s">
        <v>35</v>
      </c>
      <c r="E126" t="s">
        <v>39</v>
      </c>
      <c r="F126" t="s">
        <v>352</v>
      </c>
      <c r="G126" s="5">
        <v>313</v>
      </c>
      <c r="H126" s="5">
        <v>31300</v>
      </c>
      <c r="I126">
        <v>0</v>
      </c>
      <c r="J126" s="5">
        <v>1</v>
      </c>
      <c r="K126" s="5">
        <v>0</v>
      </c>
      <c r="L126" s="5">
        <f>J126+K126</f>
        <v>1</v>
      </c>
      <c r="M126" s="5">
        <f>L126*N(H126)</f>
        <v>31300</v>
      </c>
      <c r="N126" t="str">
        <f>IF(L126&lt;=0,"OUT",IF(L126&lt;=MAX(I126,5),"LOW","OK"))</f>
        <v>LOW</v>
      </c>
    </row>
    <row r="127" spans="1:14" x14ac:dyDescent="0.3">
      <c r="A127" t="s">
        <v>353</v>
      </c>
      <c r="B127" t="s">
        <v>354</v>
      </c>
      <c r="C127" t="s">
        <v>355</v>
      </c>
      <c r="D127" t="s">
        <v>356</v>
      </c>
      <c r="E127" t="s">
        <v>36</v>
      </c>
      <c r="G127" s="5"/>
      <c r="H127" s="5"/>
      <c r="I127">
        <v>0</v>
      </c>
      <c r="J127" s="5">
        <v>419</v>
      </c>
      <c r="K127" s="5">
        <v>100</v>
      </c>
      <c r="L127" s="5">
        <f>J127+K127</f>
        <v>519</v>
      </c>
      <c r="M127" s="5">
        <f>L127*N(H127)</f>
        <v>0</v>
      </c>
      <c r="N127" t="str">
        <f>IF(L127&lt;=0,"OUT",IF(L127&lt;=MAX(I127,5),"LOW","OK"))</f>
        <v>OK</v>
      </c>
    </row>
    <row r="128" spans="1:14" x14ac:dyDescent="0.3">
      <c r="A128" t="s">
        <v>357</v>
      </c>
      <c r="B128" t="s">
        <v>358</v>
      </c>
      <c r="C128">
        <v>2500</v>
      </c>
      <c r="D128" t="s">
        <v>35</v>
      </c>
      <c r="E128" t="s">
        <v>70</v>
      </c>
      <c r="G128" s="5"/>
      <c r="H128" s="5"/>
      <c r="I128">
        <v>0</v>
      </c>
      <c r="J128" s="5">
        <v>2</v>
      </c>
      <c r="K128" s="5">
        <v>0</v>
      </c>
      <c r="L128" s="5">
        <f>J128+K128</f>
        <v>2</v>
      </c>
      <c r="M128" s="5">
        <f>L128*N(H128)</f>
        <v>0</v>
      </c>
      <c r="N128" t="str">
        <f>IF(L128&lt;=0,"OUT",IF(L128&lt;=MAX(I128,5),"LOW","OK"))</f>
        <v>LOW</v>
      </c>
    </row>
    <row r="129" spans="1:14" x14ac:dyDescent="0.3">
      <c r="A129" t="s">
        <v>359</v>
      </c>
      <c r="B129" t="s">
        <v>360</v>
      </c>
      <c r="C129">
        <v>1000</v>
      </c>
      <c r="D129" t="s">
        <v>35</v>
      </c>
      <c r="E129" t="s">
        <v>70</v>
      </c>
      <c r="G129" s="5"/>
      <c r="H129" s="5"/>
      <c r="I129">
        <v>0</v>
      </c>
      <c r="J129" s="5">
        <v>2</v>
      </c>
      <c r="K129" s="5">
        <v>0</v>
      </c>
      <c r="L129" s="5">
        <f>J129+K129</f>
        <v>2</v>
      </c>
      <c r="M129" s="5">
        <f>L129*N(H129)</f>
        <v>0</v>
      </c>
      <c r="N129" t="str">
        <f>IF(L129&lt;=0,"OUT",IF(L129&lt;=MAX(I129,5),"LOW","OK"))</f>
        <v>LOW</v>
      </c>
    </row>
    <row r="130" spans="1:14" x14ac:dyDescent="0.3">
      <c r="A130" t="s">
        <v>361</v>
      </c>
      <c r="B130" t="s">
        <v>362</v>
      </c>
      <c r="C130">
        <v>100</v>
      </c>
      <c r="D130" t="s">
        <v>35</v>
      </c>
      <c r="E130" t="s">
        <v>39</v>
      </c>
      <c r="F130" t="s">
        <v>363</v>
      </c>
      <c r="G130" s="5">
        <v>753</v>
      </c>
      <c r="H130" s="5">
        <v>75300</v>
      </c>
      <c r="I130">
        <v>0</v>
      </c>
      <c r="J130" s="5">
        <v>4</v>
      </c>
      <c r="K130" s="5">
        <v>0</v>
      </c>
      <c r="L130" s="5">
        <f>J130+K130</f>
        <v>4</v>
      </c>
      <c r="M130" s="5">
        <f>L130*N(H130)</f>
        <v>301200</v>
      </c>
      <c r="N130" t="str">
        <f>IF(L130&lt;=0,"OUT",IF(L130&lt;=MAX(I130,5),"LOW","OK"))</f>
        <v>LOW</v>
      </c>
    </row>
    <row r="131" spans="1:14" x14ac:dyDescent="0.3">
      <c r="A131" t="s">
        <v>364</v>
      </c>
      <c r="B131" t="s">
        <v>365</v>
      </c>
      <c r="C131">
        <v>1000</v>
      </c>
      <c r="D131" t="s">
        <v>35</v>
      </c>
      <c r="E131" t="s">
        <v>70</v>
      </c>
      <c r="F131" t="s">
        <v>366</v>
      </c>
      <c r="G131" s="5">
        <v>220</v>
      </c>
      <c r="H131" s="5">
        <v>220000</v>
      </c>
      <c r="I131">
        <v>0</v>
      </c>
      <c r="J131" s="5">
        <v>4</v>
      </c>
      <c r="K131" s="5">
        <v>0</v>
      </c>
      <c r="L131" s="5">
        <f>J131+K131</f>
        <v>4</v>
      </c>
      <c r="M131" s="5">
        <f>L131*N(H131)</f>
        <v>880000</v>
      </c>
      <c r="N131" t="str">
        <f>IF(L131&lt;=0,"OUT",IF(L131&lt;=MAX(I131,5),"LOW","OK"))</f>
        <v>LOW</v>
      </c>
    </row>
    <row r="132" spans="1:14" x14ac:dyDescent="0.3">
      <c r="A132" t="s">
        <v>367</v>
      </c>
      <c r="B132" t="s">
        <v>368</v>
      </c>
      <c r="C132">
        <v>100</v>
      </c>
      <c r="D132" t="s">
        <v>35</v>
      </c>
      <c r="E132" t="s">
        <v>70</v>
      </c>
      <c r="F132" t="s">
        <v>369</v>
      </c>
      <c r="G132" s="5">
        <v>4658</v>
      </c>
      <c r="H132" s="5">
        <v>465800</v>
      </c>
      <c r="I132">
        <v>0</v>
      </c>
      <c r="J132" s="5">
        <v>2</v>
      </c>
      <c r="K132" s="5">
        <v>0</v>
      </c>
      <c r="L132" s="5">
        <f>J132+K132</f>
        <v>2</v>
      </c>
      <c r="M132" s="5">
        <f>L132*N(H132)</f>
        <v>931600</v>
      </c>
      <c r="N132" t="str">
        <f>IF(L132&lt;=0,"OUT",IF(L132&lt;=MAX(I132,5),"LOW","OK"))</f>
        <v>LOW</v>
      </c>
    </row>
    <row r="133" spans="1:14" x14ac:dyDescent="0.3">
      <c r="A133" t="s">
        <v>370</v>
      </c>
      <c r="B133" t="s">
        <v>371</v>
      </c>
      <c r="C133">
        <v>1000</v>
      </c>
      <c r="D133" t="s">
        <v>35</v>
      </c>
      <c r="E133" t="s">
        <v>36</v>
      </c>
      <c r="F133" t="s">
        <v>372</v>
      </c>
      <c r="G133" s="5">
        <v>41</v>
      </c>
      <c r="H133" s="5">
        <v>41000</v>
      </c>
      <c r="I133">
        <v>0</v>
      </c>
      <c r="J133" s="5">
        <v>12</v>
      </c>
      <c r="K133" s="5">
        <v>2</v>
      </c>
      <c r="L133" s="5">
        <f>J133+K133</f>
        <v>14</v>
      </c>
      <c r="M133" s="5">
        <f>L133*N(H133)</f>
        <v>574000</v>
      </c>
      <c r="N133" t="str">
        <f>IF(L133&lt;=0,"OUT",IF(L133&lt;=MAX(I133,5),"LOW","OK"))</f>
        <v>OK</v>
      </c>
    </row>
    <row r="134" spans="1:14" x14ac:dyDescent="0.3">
      <c r="A134" t="s">
        <v>373</v>
      </c>
      <c r="B134" t="s">
        <v>374</v>
      </c>
      <c r="C134">
        <v>100</v>
      </c>
      <c r="D134" t="s">
        <v>35</v>
      </c>
      <c r="E134" t="s">
        <v>70</v>
      </c>
      <c r="F134" t="s">
        <v>375</v>
      </c>
      <c r="G134" s="5">
        <v>1898</v>
      </c>
      <c r="H134" s="5">
        <v>189800</v>
      </c>
      <c r="I134">
        <v>0</v>
      </c>
      <c r="J134" s="5">
        <v>6</v>
      </c>
      <c r="K134" s="5">
        <v>0</v>
      </c>
      <c r="L134" s="5">
        <f>J134+K134</f>
        <v>6</v>
      </c>
      <c r="M134" s="5">
        <f>L134*N(H134)</f>
        <v>1138800</v>
      </c>
      <c r="N134" t="str">
        <f>IF(L134&lt;=0,"OUT",IF(L134&lt;=MAX(I134,5),"LOW","OK"))</f>
        <v>OK</v>
      </c>
    </row>
    <row r="135" spans="1:14" x14ac:dyDescent="0.3">
      <c r="A135" t="s">
        <v>376</v>
      </c>
      <c r="B135" t="s">
        <v>377</v>
      </c>
      <c r="C135">
        <v>100</v>
      </c>
      <c r="D135" t="s">
        <v>35</v>
      </c>
      <c r="E135" t="s">
        <v>39</v>
      </c>
      <c r="F135" t="s">
        <v>378</v>
      </c>
      <c r="G135" s="5">
        <v>326</v>
      </c>
      <c r="H135" s="5">
        <v>32600</v>
      </c>
      <c r="I135">
        <v>0</v>
      </c>
      <c r="J135" s="5">
        <v>2</v>
      </c>
      <c r="K135" s="5">
        <v>0</v>
      </c>
      <c r="L135" s="5">
        <f>J135+K135</f>
        <v>2</v>
      </c>
      <c r="M135" s="5">
        <f>L135*N(H135)</f>
        <v>65200</v>
      </c>
      <c r="N135" t="str">
        <f>IF(L135&lt;=0,"OUT",IF(L135&lt;=MAX(I135,5),"LOW","OK"))</f>
        <v>LOW</v>
      </c>
    </row>
    <row r="136" spans="1:14" x14ac:dyDescent="0.3">
      <c r="A136" t="s">
        <v>379</v>
      </c>
      <c r="B136" t="s">
        <v>380</v>
      </c>
      <c r="C136">
        <v>1000</v>
      </c>
      <c r="D136" t="s">
        <v>35</v>
      </c>
      <c r="E136" t="s">
        <v>70</v>
      </c>
      <c r="F136" t="s">
        <v>381</v>
      </c>
      <c r="G136" s="5">
        <v>60</v>
      </c>
      <c r="H136" s="5">
        <v>60000</v>
      </c>
      <c r="I136">
        <v>0</v>
      </c>
      <c r="J136" s="5">
        <v>1</v>
      </c>
      <c r="K136" s="5">
        <v>0</v>
      </c>
      <c r="L136" s="5">
        <f>J136+K136</f>
        <v>1</v>
      </c>
      <c r="M136" s="5">
        <f>L136*N(H136)</f>
        <v>60000</v>
      </c>
      <c r="N136" t="str">
        <f>IF(L136&lt;=0,"OUT",IF(L136&lt;=MAX(I136,5),"LOW","OK"))</f>
        <v>LOW</v>
      </c>
    </row>
    <row r="137" spans="1:14" x14ac:dyDescent="0.3">
      <c r="A137" t="s">
        <v>382</v>
      </c>
      <c r="B137" t="s">
        <v>383</v>
      </c>
      <c r="C137">
        <v>100</v>
      </c>
      <c r="D137" t="s">
        <v>35</v>
      </c>
      <c r="E137" t="s">
        <v>39</v>
      </c>
      <c r="G137" s="5"/>
      <c r="H137" s="5"/>
      <c r="I137">
        <v>0</v>
      </c>
      <c r="J137" s="5">
        <v>3</v>
      </c>
      <c r="K137" s="5">
        <v>0</v>
      </c>
      <c r="L137" s="5">
        <f>J137+K137</f>
        <v>3</v>
      </c>
      <c r="M137" s="5">
        <f>L137*N(H137)</f>
        <v>0</v>
      </c>
      <c r="N137" t="str">
        <f>IF(L137&lt;=0,"OUT",IF(L137&lt;=MAX(I137,5),"LOW","OK"))</f>
        <v>LOW</v>
      </c>
    </row>
    <row r="138" spans="1:14" x14ac:dyDescent="0.3">
      <c r="A138" t="s">
        <v>384</v>
      </c>
      <c r="B138" t="s">
        <v>385</v>
      </c>
      <c r="C138">
        <v>100</v>
      </c>
      <c r="D138" t="s">
        <v>35</v>
      </c>
      <c r="E138" t="s">
        <v>70</v>
      </c>
      <c r="F138" t="s">
        <v>386</v>
      </c>
      <c r="G138" s="5">
        <v>951</v>
      </c>
      <c r="H138" s="5">
        <v>95100</v>
      </c>
      <c r="I138">
        <v>0</v>
      </c>
      <c r="J138" s="5">
        <v>0</v>
      </c>
      <c r="K138" s="5">
        <v>0</v>
      </c>
      <c r="L138" s="5">
        <f>J138+K138</f>
        <v>0</v>
      </c>
      <c r="M138" s="5">
        <f>L138*N(H138)</f>
        <v>0</v>
      </c>
      <c r="N138" t="str">
        <f>IF(L138&lt;=0,"OUT",IF(L138&lt;=MAX(I138,5),"LOW","OK"))</f>
        <v>OUT</v>
      </c>
    </row>
    <row r="139" spans="1:14" x14ac:dyDescent="0.3">
      <c r="A139" t="s">
        <v>387</v>
      </c>
      <c r="B139" t="s">
        <v>388</v>
      </c>
      <c r="C139">
        <v>100</v>
      </c>
      <c r="D139" t="s">
        <v>35</v>
      </c>
      <c r="E139" t="s">
        <v>39</v>
      </c>
      <c r="F139" t="s">
        <v>389</v>
      </c>
      <c r="G139" s="5">
        <v>262</v>
      </c>
      <c r="H139" s="5">
        <v>26200</v>
      </c>
      <c r="I139">
        <v>0</v>
      </c>
      <c r="J139" s="5">
        <v>3</v>
      </c>
      <c r="K139" s="5">
        <v>0</v>
      </c>
      <c r="L139" s="5">
        <f>J139+K139</f>
        <v>3</v>
      </c>
      <c r="M139" s="5">
        <f>L139*N(H139)</f>
        <v>78600</v>
      </c>
      <c r="N139" t="str">
        <f>IF(L139&lt;=0,"OUT",IF(L139&lt;=MAX(I139,5),"LOW","OK"))</f>
        <v>LOW</v>
      </c>
    </row>
    <row r="140" spans="1:14" x14ac:dyDescent="0.3">
      <c r="A140" t="s">
        <v>390</v>
      </c>
      <c r="B140" t="s">
        <v>391</v>
      </c>
      <c r="C140">
        <v>100</v>
      </c>
      <c r="D140" t="s">
        <v>35</v>
      </c>
      <c r="E140" t="s">
        <v>70</v>
      </c>
      <c r="F140" t="s">
        <v>392</v>
      </c>
      <c r="G140" s="5">
        <v>1301</v>
      </c>
      <c r="H140" s="5">
        <v>130100</v>
      </c>
      <c r="I140">
        <v>0</v>
      </c>
      <c r="J140" s="5">
        <v>2</v>
      </c>
      <c r="K140" s="5">
        <v>0</v>
      </c>
      <c r="L140" s="5">
        <f>J140+K140</f>
        <v>2</v>
      </c>
      <c r="M140" s="5">
        <f>L140*N(H140)</f>
        <v>260200</v>
      </c>
      <c r="N140" t="str">
        <f>IF(L140&lt;=0,"OUT",IF(L140&lt;=MAX(I140,5),"LOW","OK"))</f>
        <v>LOW</v>
      </c>
    </row>
    <row r="141" spans="1:14" x14ac:dyDescent="0.3">
      <c r="A141" t="s">
        <v>393</v>
      </c>
      <c r="B141" t="s">
        <v>394</v>
      </c>
      <c r="C141">
        <v>500</v>
      </c>
      <c r="D141" t="s">
        <v>35</v>
      </c>
      <c r="E141" t="s">
        <v>36</v>
      </c>
      <c r="F141" t="s">
        <v>395</v>
      </c>
      <c r="G141" s="5">
        <v>308</v>
      </c>
      <c r="H141" s="5">
        <v>154000</v>
      </c>
      <c r="I141">
        <v>0</v>
      </c>
      <c r="J141" s="5">
        <v>0</v>
      </c>
      <c r="K141" s="5">
        <v>0</v>
      </c>
      <c r="L141" s="5">
        <f>J141+K141</f>
        <v>0</v>
      </c>
      <c r="M141" s="5">
        <f>L141*N(H141)</f>
        <v>0</v>
      </c>
      <c r="N141" t="str">
        <f>IF(L141&lt;=0,"OUT",IF(L141&lt;=MAX(I141,5),"LOW","OK"))</f>
        <v>OUT</v>
      </c>
    </row>
    <row r="142" spans="1:14" x14ac:dyDescent="0.3">
      <c r="A142" t="s">
        <v>396</v>
      </c>
      <c r="B142" t="s">
        <v>394</v>
      </c>
      <c r="C142">
        <v>100</v>
      </c>
      <c r="D142" t="s">
        <v>35</v>
      </c>
      <c r="E142" t="s">
        <v>36</v>
      </c>
      <c r="F142" t="s">
        <v>395</v>
      </c>
      <c r="G142" s="5">
        <v>308</v>
      </c>
      <c r="H142" s="5">
        <v>30800</v>
      </c>
      <c r="I142">
        <v>0</v>
      </c>
      <c r="J142" s="5">
        <v>3475</v>
      </c>
      <c r="K142" s="5">
        <v>236</v>
      </c>
      <c r="L142" s="5">
        <f>J142+K142</f>
        <v>3711</v>
      </c>
      <c r="M142" s="5">
        <f>L142*N(H142)</f>
        <v>114298800</v>
      </c>
      <c r="N142" t="str">
        <f>IF(L142&lt;=0,"OUT",IF(L142&lt;=MAX(I142,5),"LOW","OK"))</f>
        <v>OK</v>
      </c>
    </row>
    <row r="143" spans="1:14" x14ac:dyDescent="0.3">
      <c r="A143" t="s">
        <v>397</v>
      </c>
      <c r="B143" t="s">
        <v>398</v>
      </c>
      <c r="C143">
        <v>1000</v>
      </c>
      <c r="E143" t="s">
        <v>36</v>
      </c>
      <c r="F143" t="s">
        <v>399</v>
      </c>
      <c r="G143" s="5">
        <v>756</v>
      </c>
      <c r="H143" s="5">
        <v>756000</v>
      </c>
      <c r="I143">
        <v>0</v>
      </c>
      <c r="J143" s="5">
        <v>0</v>
      </c>
      <c r="K143" s="5">
        <v>0</v>
      </c>
      <c r="L143" s="5">
        <f>J143+K143</f>
        <v>0</v>
      </c>
      <c r="M143" s="5">
        <f>L143*N(H143)</f>
        <v>0</v>
      </c>
      <c r="N143" t="str">
        <f>IF(L143&lt;=0,"OUT",IF(L143&lt;=MAX(I143,5),"LOW","OK"))</f>
        <v>OUT</v>
      </c>
    </row>
    <row r="144" spans="1:14" x14ac:dyDescent="0.3">
      <c r="A144" t="s">
        <v>400</v>
      </c>
      <c r="B144" t="s">
        <v>401</v>
      </c>
      <c r="C144">
        <v>100</v>
      </c>
      <c r="D144" t="s">
        <v>35</v>
      </c>
      <c r="E144" t="s">
        <v>39</v>
      </c>
      <c r="F144" t="s">
        <v>399</v>
      </c>
      <c r="G144" s="5">
        <v>756</v>
      </c>
      <c r="H144" s="5">
        <v>75600</v>
      </c>
      <c r="I144">
        <v>0</v>
      </c>
      <c r="J144" s="5">
        <v>2</v>
      </c>
      <c r="K144" s="5">
        <v>0</v>
      </c>
      <c r="L144" s="5">
        <f>J144+K144</f>
        <v>2</v>
      </c>
      <c r="M144" s="5">
        <f>L144*N(H144)</f>
        <v>151200</v>
      </c>
      <c r="N144" t="str">
        <f>IF(L144&lt;=0,"OUT",IF(L144&lt;=MAX(I144,5),"LOW","OK"))</f>
        <v>LOW</v>
      </c>
    </row>
    <row r="145" spans="1:14" x14ac:dyDescent="0.3">
      <c r="A145" t="s">
        <v>402</v>
      </c>
      <c r="B145" t="s">
        <v>403</v>
      </c>
      <c r="C145">
        <v>1000</v>
      </c>
      <c r="D145" t="s">
        <v>35</v>
      </c>
      <c r="E145" t="s">
        <v>70</v>
      </c>
      <c r="G145" s="5"/>
      <c r="H145" s="5"/>
      <c r="I145">
        <v>0</v>
      </c>
      <c r="J145" s="5">
        <v>2</v>
      </c>
      <c r="K145" s="5">
        <v>0</v>
      </c>
      <c r="L145" s="5">
        <f>J145+K145</f>
        <v>2</v>
      </c>
      <c r="M145" s="5">
        <f>L145*N(H145)</f>
        <v>0</v>
      </c>
      <c r="N145" t="str">
        <f>IF(L145&lt;=0,"OUT",IF(L145&lt;=MAX(I145,5),"LOW","OK"))</f>
        <v>LOW</v>
      </c>
    </row>
    <row r="146" spans="1:14" x14ac:dyDescent="0.3">
      <c r="A146" t="s">
        <v>404</v>
      </c>
      <c r="B146" t="s">
        <v>405</v>
      </c>
      <c r="C146">
        <v>100</v>
      </c>
      <c r="D146" t="s">
        <v>35</v>
      </c>
      <c r="E146" t="s">
        <v>36</v>
      </c>
      <c r="F146" t="s">
        <v>246</v>
      </c>
      <c r="G146" s="5">
        <v>313</v>
      </c>
      <c r="H146" s="5">
        <v>31300</v>
      </c>
      <c r="I146">
        <v>0</v>
      </c>
      <c r="J146" s="5">
        <v>152</v>
      </c>
      <c r="K146" s="5">
        <v>120</v>
      </c>
      <c r="L146" s="5">
        <f>J146+K146</f>
        <v>272</v>
      </c>
      <c r="M146" s="5">
        <f>L146*N(H146)</f>
        <v>8513600</v>
      </c>
      <c r="N146" t="str">
        <f>IF(L146&lt;=0,"OUT",IF(L146&lt;=MAX(I146,5),"LOW","OK"))</f>
        <v>OK</v>
      </c>
    </row>
    <row r="147" spans="1:14" x14ac:dyDescent="0.3">
      <c r="A147" t="s">
        <v>406</v>
      </c>
      <c r="B147" t="s">
        <v>407</v>
      </c>
      <c r="C147">
        <v>100</v>
      </c>
      <c r="D147" t="s">
        <v>35</v>
      </c>
      <c r="E147" t="s">
        <v>36</v>
      </c>
      <c r="F147" t="s">
        <v>408</v>
      </c>
      <c r="G147" s="5">
        <v>681</v>
      </c>
      <c r="H147" s="5">
        <v>68100</v>
      </c>
      <c r="I147">
        <v>0</v>
      </c>
      <c r="J147" s="5">
        <v>0</v>
      </c>
      <c r="K147" s="5">
        <v>0</v>
      </c>
      <c r="L147" s="5">
        <f>J147+K147</f>
        <v>0</v>
      </c>
      <c r="M147" s="5">
        <f>L147*N(H147)</f>
        <v>0</v>
      </c>
      <c r="N147" t="str">
        <f>IF(L147&lt;=0,"OUT",IF(L147&lt;=MAX(I147,5),"LOW","OK"))</f>
        <v>OUT</v>
      </c>
    </row>
    <row r="148" spans="1:14" x14ac:dyDescent="0.3">
      <c r="A148" t="s">
        <v>409</v>
      </c>
      <c r="B148" t="s">
        <v>410</v>
      </c>
      <c r="C148">
        <v>100</v>
      </c>
      <c r="D148" t="s">
        <v>35</v>
      </c>
      <c r="E148" t="s">
        <v>36</v>
      </c>
      <c r="F148" t="s">
        <v>352</v>
      </c>
      <c r="G148" s="5">
        <v>313</v>
      </c>
      <c r="H148" s="5">
        <v>31300</v>
      </c>
      <c r="I148">
        <v>0</v>
      </c>
      <c r="J148" s="5">
        <v>0</v>
      </c>
      <c r="K148" s="5">
        <v>0</v>
      </c>
      <c r="L148" s="5">
        <f>J148+K148</f>
        <v>0</v>
      </c>
      <c r="M148" s="5">
        <f>L148*N(H148)</f>
        <v>0</v>
      </c>
      <c r="N148" t="str">
        <f>IF(L148&lt;=0,"OUT",IF(L148&lt;=MAX(I148,5),"LOW","OK"))</f>
        <v>OUT</v>
      </c>
    </row>
    <row r="149" spans="1:14" x14ac:dyDescent="0.3">
      <c r="A149" t="s">
        <v>411</v>
      </c>
      <c r="B149" t="s">
        <v>412</v>
      </c>
      <c r="C149">
        <v>500</v>
      </c>
      <c r="D149" t="s">
        <v>35</v>
      </c>
      <c r="E149" t="s">
        <v>36</v>
      </c>
      <c r="F149" t="s">
        <v>413</v>
      </c>
      <c r="G149" s="5">
        <v>313</v>
      </c>
      <c r="H149" s="5">
        <v>156500</v>
      </c>
      <c r="I149">
        <v>0</v>
      </c>
      <c r="J149" s="5">
        <v>0</v>
      </c>
      <c r="K149" s="5">
        <v>1</v>
      </c>
      <c r="L149" s="5">
        <f>J149+K149</f>
        <v>1</v>
      </c>
      <c r="M149" s="5">
        <f>L149*N(H149)</f>
        <v>156500</v>
      </c>
      <c r="N149" t="str">
        <f>IF(L149&lt;=0,"OUT",IF(L149&lt;=MAX(I149,5),"LOW","OK"))</f>
        <v>LOW</v>
      </c>
    </row>
    <row r="150" spans="1:14" x14ac:dyDescent="0.3">
      <c r="A150" t="s">
        <v>414</v>
      </c>
      <c r="B150" t="s">
        <v>415</v>
      </c>
      <c r="C150">
        <v>100</v>
      </c>
      <c r="D150" t="s">
        <v>35</v>
      </c>
      <c r="E150" t="s">
        <v>36</v>
      </c>
      <c r="F150" t="s">
        <v>413</v>
      </c>
      <c r="G150" s="5">
        <v>313</v>
      </c>
      <c r="H150" s="5">
        <v>31300</v>
      </c>
      <c r="I150">
        <v>0</v>
      </c>
      <c r="J150" s="5">
        <v>136</v>
      </c>
      <c r="K150" s="5">
        <v>50</v>
      </c>
      <c r="L150" s="5">
        <f>J150+K150</f>
        <v>186</v>
      </c>
      <c r="M150" s="5">
        <f>L150*N(H150)</f>
        <v>5821800</v>
      </c>
      <c r="N150" t="str">
        <f>IF(L150&lt;=0,"OUT",IF(L150&lt;=MAX(I150,5),"LOW","OK"))</f>
        <v>OK</v>
      </c>
    </row>
    <row r="151" spans="1:14" x14ac:dyDescent="0.3">
      <c r="A151" t="s">
        <v>416</v>
      </c>
      <c r="B151" t="s">
        <v>417</v>
      </c>
      <c r="C151">
        <v>100</v>
      </c>
      <c r="D151" t="s">
        <v>35</v>
      </c>
      <c r="E151" t="s">
        <v>36</v>
      </c>
      <c r="F151" t="s">
        <v>378</v>
      </c>
      <c r="G151" s="5">
        <v>326</v>
      </c>
      <c r="H151" s="5">
        <v>32600</v>
      </c>
      <c r="I151">
        <v>0</v>
      </c>
      <c r="J151" s="5">
        <v>8</v>
      </c>
      <c r="K151" s="5">
        <v>31</v>
      </c>
      <c r="L151" s="5">
        <f>J151+K151</f>
        <v>39</v>
      </c>
      <c r="M151" s="5">
        <f>L151*N(H151)</f>
        <v>1271400</v>
      </c>
      <c r="N151" t="str">
        <f>IF(L151&lt;=0,"OUT",IF(L151&lt;=MAX(I151,5),"LOW","OK"))</f>
        <v>OK</v>
      </c>
    </row>
    <row r="152" spans="1:14" x14ac:dyDescent="0.3">
      <c r="A152" t="s">
        <v>418</v>
      </c>
      <c r="B152" t="s">
        <v>419</v>
      </c>
      <c r="C152">
        <v>100</v>
      </c>
      <c r="D152" t="s">
        <v>35</v>
      </c>
      <c r="E152" t="s">
        <v>36</v>
      </c>
      <c r="F152" t="s">
        <v>420</v>
      </c>
      <c r="G152" s="5">
        <v>2400</v>
      </c>
      <c r="H152" s="5">
        <v>240000</v>
      </c>
      <c r="I152">
        <v>0</v>
      </c>
      <c r="J152" s="5">
        <v>13</v>
      </c>
      <c r="K152" s="5">
        <v>0</v>
      </c>
      <c r="L152" s="5">
        <f>J152+K152</f>
        <v>13</v>
      </c>
      <c r="M152" s="5">
        <f>L152*N(H152)</f>
        <v>3120000</v>
      </c>
      <c r="N152" t="str">
        <f>IF(L152&lt;=0,"OUT",IF(L152&lt;=MAX(I152,5),"LOW","OK"))</f>
        <v>OK</v>
      </c>
    </row>
    <row r="153" spans="1:14" x14ac:dyDescent="0.3">
      <c r="A153" t="s">
        <v>421</v>
      </c>
      <c r="B153" t="s">
        <v>422</v>
      </c>
      <c r="C153">
        <v>100</v>
      </c>
      <c r="D153" t="s">
        <v>35</v>
      </c>
      <c r="E153" t="s">
        <v>36</v>
      </c>
      <c r="F153" t="s">
        <v>423</v>
      </c>
      <c r="G153" s="5">
        <v>2400</v>
      </c>
      <c r="H153" s="5">
        <v>240000</v>
      </c>
      <c r="I153">
        <v>0</v>
      </c>
      <c r="J153" s="5">
        <v>13</v>
      </c>
      <c r="K153" s="5">
        <v>0</v>
      </c>
      <c r="L153" s="5">
        <f>J153+K153</f>
        <v>13</v>
      </c>
      <c r="M153" s="5">
        <f>L153*N(H153)</f>
        <v>3120000</v>
      </c>
      <c r="N153" t="str">
        <f>IF(L153&lt;=0,"OUT",IF(L153&lt;=MAX(I153,5),"LOW","OK"))</f>
        <v>OK</v>
      </c>
    </row>
    <row r="154" spans="1:14" x14ac:dyDescent="0.3">
      <c r="A154" t="s">
        <v>424</v>
      </c>
      <c r="B154" t="s">
        <v>425</v>
      </c>
      <c r="C154">
        <v>10000</v>
      </c>
      <c r="D154" t="s">
        <v>35</v>
      </c>
      <c r="E154" t="s">
        <v>36</v>
      </c>
      <c r="F154" t="s">
        <v>426</v>
      </c>
      <c r="G154" s="5">
        <v>3</v>
      </c>
      <c r="H154" s="5">
        <v>30000</v>
      </c>
      <c r="I154">
        <v>0</v>
      </c>
      <c r="J154" s="5">
        <v>1</v>
      </c>
      <c r="K154" s="5">
        <v>0</v>
      </c>
      <c r="L154" s="5">
        <f>J154+K154</f>
        <v>1</v>
      </c>
      <c r="M154" s="5">
        <f>L154*N(H154)</f>
        <v>30000</v>
      </c>
      <c r="N154" t="str">
        <f>IF(L154&lt;=0,"OUT",IF(L154&lt;=MAX(I154,5),"LOW","OK"))</f>
        <v>LOW</v>
      </c>
    </row>
    <row r="155" spans="1:14" x14ac:dyDescent="0.3">
      <c r="A155" t="s">
        <v>427</v>
      </c>
      <c r="B155" t="s">
        <v>428</v>
      </c>
      <c r="C155">
        <v>1000</v>
      </c>
      <c r="D155" t="s">
        <v>35</v>
      </c>
      <c r="E155" t="s">
        <v>39</v>
      </c>
      <c r="F155" t="s">
        <v>429</v>
      </c>
      <c r="G155" s="5">
        <v>15</v>
      </c>
      <c r="H155" s="5">
        <v>15000</v>
      </c>
      <c r="I155">
        <v>0</v>
      </c>
      <c r="J155" s="5">
        <v>1</v>
      </c>
      <c r="K155" s="5">
        <v>0</v>
      </c>
      <c r="L155" s="5">
        <f>J155+K155</f>
        <v>1</v>
      </c>
      <c r="M155" s="5">
        <f>L155*N(H155)</f>
        <v>15000</v>
      </c>
      <c r="N155" t="str">
        <f>IF(L155&lt;=0,"OUT",IF(L155&lt;=MAX(I155,5),"LOW","OK"))</f>
        <v>LOW</v>
      </c>
    </row>
    <row r="156" spans="1:14" x14ac:dyDescent="0.3">
      <c r="A156" t="s">
        <v>430</v>
      </c>
      <c r="B156" t="s">
        <v>431</v>
      </c>
      <c r="C156">
        <v>1000</v>
      </c>
      <c r="D156" t="s">
        <v>35</v>
      </c>
      <c r="E156" t="s">
        <v>39</v>
      </c>
      <c r="F156" t="s">
        <v>137</v>
      </c>
      <c r="G156" s="5">
        <v>30</v>
      </c>
      <c r="H156" s="5">
        <v>30000</v>
      </c>
      <c r="I156">
        <v>0</v>
      </c>
      <c r="J156" s="5">
        <v>2</v>
      </c>
      <c r="K156" s="5">
        <v>0</v>
      </c>
      <c r="L156" s="5">
        <f>J156+K156</f>
        <v>2</v>
      </c>
      <c r="M156" s="5">
        <f>L156*N(H156)</f>
        <v>60000</v>
      </c>
      <c r="N156" t="str">
        <f>IF(L156&lt;=0,"OUT",IF(L156&lt;=MAX(I156,5),"LOW","OK"))</f>
        <v>LOW</v>
      </c>
    </row>
    <row r="157" spans="1:14" x14ac:dyDescent="0.3">
      <c r="A157" t="s">
        <v>432</v>
      </c>
      <c r="B157" t="s">
        <v>433</v>
      </c>
      <c r="C157">
        <v>1000</v>
      </c>
      <c r="D157" t="s">
        <v>35</v>
      </c>
      <c r="E157" t="s">
        <v>70</v>
      </c>
      <c r="F157" t="s">
        <v>434</v>
      </c>
      <c r="G157" s="5">
        <v>26</v>
      </c>
      <c r="H157" s="5">
        <v>26000</v>
      </c>
      <c r="I157">
        <v>0</v>
      </c>
      <c r="J157" s="5">
        <v>3</v>
      </c>
      <c r="K157" s="5">
        <v>0</v>
      </c>
      <c r="L157" s="5">
        <f>J157+K157</f>
        <v>3</v>
      </c>
      <c r="M157" s="5">
        <f>L157*N(H157)</f>
        <v>78000</v>
      </c>
      <c r="N157" t="str">
        <f>IF(L157&lt;=0,"OUT",IF(L157&lt;=MAX(I157,5),"LOW","OK"))</f>
        <v>LOW</v>
      </c>
    </row>
    <row r="158" spans="1:14" x14ac:dyDescent="0.3">
      <c r="A158" t="s">
        <v>435</v>
      </c>
      <c r="B158" t="s">
        <v>436</v>
      </c>
      <c r="C158">
        <v>1000</v>
      </c>
      <c r="D158" t="s">
        <v>35</v>
      </c>
      <c r="E158" t="s">
        <v>70</v>
      </c>
      <c r="F158" t="s">
        <v>437</v>
      </c>
      <c r="G158" s="5">
        <v>97</v>
      </c>
      <c r="H158" s="5">
        <v>97000</v>
      </c>
      <c r="I158">
        <v>0</v>
      </c>
      <c r="J158" s="5">
        <v>9</v>
      </c>
      <c r="K158" s="5">
        <v>0</v>
      </c>
      <c r="L158" s="5">
        <f>J158+K158</f>
        <v>9</v>
      </c>
      <c r="M158" s="5">
        <f>L158*N(H158)</f>
        <v>873000</v>
      </c>
      <c r="N158" t="str">
        <f>IF(L158&lt;=0,"OUT",IF(L158&lt;=MAX(I158,5),"LOW","OK"))</f>
        <v>OK</v>
      </c>
    </row>
    <row r="159" spans="1:14" x14ac:dyDescent="0.3">
      <c r="A159" t="s">
        <v>438</v>
      </c>
      <c r="B159" t="s">
        <v>439</v>
      </c>
      <c r="C159">
        <v>1000</v>
      </c>
      <c r="D159" t="s">
        <v>35</v>
      </c>
      <c r="E159" t="s">
        <v>70</v>
      </c>
      <c r="G159" s="5"/>
      <c r="H159" s="5"/>
      <c r="I159">
        <v>0</v>
      </c>
      <c r="J159" s="5">
        <v>3</v>
      </c>
      <c r="K159" s="5">
        <v>0</v>
      </c>
      <c r="L159" s="5">
        <f>J159+K159</f>
        <v>3</v>
      </c>
      <c r="M159" s="5">
        <f>L159*N(H159)</f>
        <v>0</v>
      </c>
      <c r="N159" t="str">
        <f>IF(L159&lt;=0,"OUT",IF(L159&lt;=MAX(I159,5),"LOW","OK"))</f>
        <v>LOW</v>
      </c>
    </row>
    <row r="160" spans="1:14" x14ac:dyDescent="0.3">
      <c r="A160" t="s">
        <v>440</v>
      </c>
      <c r="B160" t="s">
        <v>441</v>
      </c>
      <c r="C160">
        <v>100</v>
      </c>
      <c r="D160" t="s">
        <v>35</v>
      </c>
      <c r="E160" t="s">
        <v>39</v>
      </c>
      <c r="G160" s="5"/>
      <c r="H160" s="5"/>
      <c r="I160">
        <v>0</v>
      </c>
      <c r="J160" s="5">
        <v>1</v>
      </c>
      <c r="K160" s="5">
        <v>0</v>
      </c>
      <c r="L160" s="5">
        <f>J160+K160</f>
        <v>1</v>
      </c>
      <c r="M160" s="5">
        <f>L160*N(H160)</f>
        <v>0</v>
      </c>
      <c r="N160" t="str">
        <f>IF(L160&lt;=0,"OUT",IF(L160&lt;=MAX(I160,5),"LOW","OK"))</f>
        <v>LOW</v>
      </c>
    </row>
    <row r="161" spans="1:14" x14ac:dyDescent="0.3">
      <c r="A161" t="s">
        <v>442</v>
      </c>
      <c r="B161" t="s">
        <v>443</v>
      </c>
      <c r="C161">
        <v>100</v>
      </c>
      <c r="D161" t="s">
        <v>35</v>
      </c>
      <c r="E161" t="s">
        <v>36</v>
      </c>
      <c r="F161" t="s">
        <v>85</v>
      </c>
      <c r="G161" s="5">
        <v>133</v>
      </c>
      <c r="H161" s="5">
        <v>13300</v>
      </c>
      <c r="I161">
        <v>0</v>
      </c>
      <c r="J161" s="5">
        <v>107</v>
      </c>
      <c r="K161" s="5">
        <v>49</v>
      </c>
      <c r="L161" s="5">
        <f>J161+K161</f>
        <v>156</v>
      </c>
      <c r="M161" s="5">
        <f>L161*N(H161)</f>
        <v>2074800</v>
      </c>
      <c r="N161" t="str">
        <f>IF(L161&lt;=0,"OUT",IF(L161&lt;=MAX(I161,5),"LOW","OK"))</f>
        <v>OK</v>
      </c>
    </row>
    <row r="162" spans="1:14" x14ac:dyDescent="0.3">
      <c r="A162" t="s">
        <v>444</v>
      </c>
      <c r="B162" t="s">
        <v>445</v>
      </c>
      <c r="C162">
        <v>100</v>
      </c>
      <c r="D162" t="s">
        <v>35</v>
      </c>
      <c r="E162" t="s">
        <v>36</v>
      </c>
      <c r="F162" t="s">
        <v>446</v>
      </c>
      <c r="G162" s="5">
        <v>1088</v>
      </c>
      <c r="H162" s="5">
        <v>108800</v>
      </c>
      <c r="I162">
        <v>0</v>
      </c>
      <c r="J162" s="5">
        <v>3</v>
      </c>
      <c r="K162" s="5">
        <v>0</v>
      </c>
      <c r="L162" s="5">
        <f>J162+K162</f>
        <v>3</v>
      </c>
      <c r="M162" s="5">
        <f>L162*N(H162)</f>
        <v>326400</v>
      </c>
      <c r="N162" t="str">
        <f>IF(L162&lt;=0,"OUT",IF(L162&lt;=MAX(I162,5),"LOW","OK"))</f>
        <v>LOW</v>
      </c>
    </row>
    <row r="163" spans="1:14" x14ac:dyDescent="0.3">
      <c r="A163" t="s">
        <v>447</v>
      </c>
      <c r="B163" t="s">
        <v>448</v>
      </c>
      <c r="C163">
        <v>500</v>
      </c>
      <c r="D163" t="s">
        <v>35</v>
      </c>
      <c r="E163" t="s">
        <v>36</v>
      </c>
      <c r="F163" t="s">
        <v>204</v>
      </c>
      <c r="G163" s="5">
        <v>70</v>
      </c>
      <c r="H163" s="5">
        <v>35000</v>
      </c>
      <c r="I163">
        <v>0</v>
      </c>
      <c r="J163" s="5">
        <v>110</v>
      </c>
      <c r="K163" s="5">
        <v>0</v>
      </c>
      <c r="L163" s="5">
        <f>J163+K163</f>
        <v>110</v>
      </c>
      <c r="M163" s="5">
        <f>L163*N(H163)</f>
        <v>3850000</v>
      </c>
      <c r="N163" t="str">
        <f>IF(L163&lt;=0,"OUT",IF(L163&lt;=MAX(I163,5),"LOW","OK"))</f>
        <v>OK</v>
      </c>
    </row>
    <row r="164" spans="1:14" x14ac:dyDescent="0.3">
      <c r="A164" t="s">
        <v>449</v>
      </c>
      <c r="B164" t="s">
        <v>448</v>
      </c>
      <c r="C164">
        <v>1000</v>
      </c>
      <c r="D164" t="s">
        <v>35</v>
      </c>
      <c r="E164" t="s">
        <v>36</v>
      </c>
      <c r="F164" t="s">
        <v>204</v>
      </c>
      <c r="G164" s="5">
        <v>70</v>
      </c>
      <c r="H164" s="5">
        <v>70000</v>
      </c>
      <c r="I164">
        <v>0</v>
      </c>
      <c r="J164" s="5">
        <v>460</v>
      </c>
      <c r="K164" s="5">
        <v>131</v>
      </c>
      <c r="L164" s="5">
        <f>J164+K164</f>
        <v>591</v>
      </c>
      <c r="M164" s="5">
        <f>L164*N(H164)</f>
        <v>41370000</v>
      </c>
      <c r="N164" t="str">
        <f>IF(L164&lt;=0,"OUT",IF(L164&lt;=MAX(I164,5),"LOW","OK"))</f>
        <v>OK</v>
      </c>
    </row>
    <row r="165" spans="1:14" x14ac:dyDescent="0.3">
      <c r="A165" t="s">
        <v>450</v>
      </c>
      <c r="B165" t="s">
        <v>448</v>
      </c>
      <c r="C165">
        <v>100</v>
      </c>
      <c r="D165" t="s">
        <v>35</v>
      </c>
      <c r="E165" t="s">
        <v>36</v>
      </c>
      <c r="F165" t="s">
        <v>204</v>
      </c>
      <c r="G165" s="5">
        <v>70</v>
      </c>
      <c r="H165" s="5">
        <v>7000</v>
      </c>
      <c r="I165">
        <v>0</v>
      </c>
      <c r="J165" s="5">
        <v>511</v>
      </c>
      <c r="K165" s="5">
        <v>85</v>
      </c>
      <c r="L165" s="5">
        <f>J165+K165</f>
        <v>596</v>
      </c>
      <c r="M165" s="5">
        <f>L165*N(H165)</f>
        <v>4172000</v>
      </c>
      <c r="N165" t="str">
        <f>IF(L165&lt;=0,"OUT",IF(L165&lt;=MAX(I165,5),"LOW","OK"))</f>
        <v>OK</v>
      </c>
    </row>
    <row r="166" spans="1:14" x14ac:dyDescent="0.3">
      <c r="A166" t="s">
        <v>451</v>
      </c>
      <c r="B166" t="s">
        <v>452</v>
      </c>
      <c r="C166">
        <v>1000</v>
      </c>
      <c r="D166" t="s">
        <v>35</v>
      </c>
      <c r="E166" t="s">
        <v>36</v>
      </c>
      <c r="F166" t="s">
        <v>249</v>
      </c>
      <c r="G166" s="5">
        <v>82</v>
      </c>
      <c r="H166" s="5">
        <v>82000</v>
      </c>
      <c r="I166">
        <v>0</v>
      </c>
      <c r="J166" s="5">
        <v>1360</v>
      </c>
      <c r="K166" s="5">
        <v>0</v>
      </c>
      <c r="L166" s="5">
        <f>J166+K166</f>
        <v>1360</v>
      </c>
      <c r="M166" s="5">
        <f>L166*N(H166)</f>
        <v>111520000</v>
      </c>
      <c r="N166" t="str">
        <f>IF(L166&lt;=0,"OUT",IF(L166&lt;=MAX(I166,5),"LOW","OK"))</f>
        <v>OK</v>
      </c>
    </row>
    <row r="167" spans="1:14" x14ac:dyDescent="0.3">
      <c r="A167" t="s">
        <v>453</v>
      </c>
      <c r="B167" t="s">
        <v>454</v>
      </c>
      <c r="C167">
        <v>100</v>
      </c>
      <c r="D167" t="s">
        <v>35</v>
      </c>
      <c r="E167" t="s">
        <v>36</v>
      </c>
      <c r="F167" t="s">
        <v>249</v>
      </c>
      <c r="G167" s="5">
        <v>82</v>
      </c>
      <c r="H167" s="5">
        <v>8200</v>
      </c>
      <c r="I167">
        <v>0</v>
      </c>
      <c r="J167" s="5">
        <v>5604</v>
      </c>
      <c r="K167" s="5">
        <v>642</v>
      </c>
      <c r="L167" s="5">
        <f>J167+K167</f>
        <v>6246</v>
      </c>
      <c r="M167" s="5">
        <f>L167*N(H167)</f>
        <v>51217200</v>
      </c>
      <c r="N167" t="str">
        <f>IF(L167&lt;=0,"OUT",IF(L167&lt;=MAX(I167,5),"LOW","OK"))</f>
        <v>OK</v>
      </c>
    </row>
    <row r="168" spans="1:14" x14ac:dyDescent="0.3">
      <c r="A168" t="s">
        <v>455</v>
      </c>
      <c r="B168" t="s">
        <v>456</v>
      </c>
      <c r="C168">
        <v>100</v>
      </c>
      <c r="D168" t="s">
        <v>35</v>
      </c>
      <c r="E168" t="s">
        <v>36</v>
      </c>
      <c r="G168" s="5"/>
      <c r="H168" s="5"/>
      <c r="I168">
        <v>0</v>
      </c>
      <c r="J168" s="5">
        <v>0</v>
      </c>
      <c r="K168" s="5">
        <v>9</v>
      </c>
      <c r="L168" s="5">
        <f>J168+K168</f>
        <v>9</v>
      </c>
      <c r="M168" s="5">
        <f>L168*N(H168)</f>
        <v>0</v>
      </c>
      <c r="N168" t="str">
        <f>IF(L168&lt;=0,"OUT",IF(L168&lt;=MAX(I168,5),"LOW","OK"))</f>
        <v>OK</v>
      </c>
    </row>
    <row r="169" spans="1:14" x14ac:dyDescent="0.3">
      <c r="A169" t="s">
        <v>457</v>
      </c>
      <c r="B169" t="s">
        <v>458</v>
      </c>
      <c r="C169">
        <v>100</v>
      </c>
      <c r="D169" t="s">
        <v>35</v>
      </c>
      <c r="E169" t="s">
        <v>36</v>
      </c>
      <c r="F169" t="s">
        <v>363</v>
      </c>
      <c r="G169" s="5">
        <v>753</v>
      </c>
      <c r="H169" s="5">
        <v>75300</v>
      </c>
      <c r="I169">
        <v>0</v>
      </c>
      <c r="J169" s="5">
        <v>20</v>
      </c>
      <c r="K169" s="5">
        <v>5</v>
      </c>
      <c r="L169" s="5">
        <f>J169+K169</f>
        <v>25</v>
      </c>
      <c r="M169" s="5">
        <f>L169*N(H169)</f>
        <v>1882500</v>
      </c>
      <c r="N169" t="str">
        <f>IF(L169&lt;=0,"OUT",IF(L169&lt;=MAX(I169,5),"LOW","OK"))</f>
        <v>OK</v>
      </c>
    </row>
    <row r="170" spans="1:14" x14ac:dyDescent="0.3">
      <c r="A170" t="s">
        <v>459</v>
      </c>
      <c r="B170" t="s">
        <v>460</v>
      </c>
      <c r="C170">
        <v>100</v>
      </c>
      <c r="D170" t="s">
        <v>35</v>
      </c>
      <c r="E170" t="s">
        <v>36</v>
      </c>
      <c r="F170" t="s">
        <v>461</v>
      </c>
      <c r="G170" s="5">
        <v>254</v>
      </c>
      <c r="H170" s="5">
        <v>25400</v>
      </c>
      <c r="I170">
        <v>0</v>
      </c>
      <c r="J170" s="5">
        <v>232</v>
      </c>
      <c r="K170" s="5">
        <v>36</v>
      </c>
      <c r="L170" s="5">
        <f>J170+K170</f>
        <v>268</v>
      </c>
      <c r="M170" s="5">
        <f>L170*N(H170)</f>
        <v>6807200</v>
      </c>
      <c r="N170" t="str">
        <f>IF(L170&lt;=0,"OUT",IF(L170&lt;=MAX(I170,5),"LOW","OK"))</f>
        <v>OK</v>
      </c>
    </row>
    <row r="171" spans="1:14" x14ac:dyDescent="0.3">
      <c r="A171" t="s">
        <v>462</v>
      </c>
      <c r="B171" t="s">
        <v>463</v>
      </c>
      <c r="C171">
        <v>100</v>
      </c>
      <c r="D171" t="s">
        <v>35</v>
      </c>
      <c r="E171" t="s">
        <v>36</v>
      </c>
      <c r="F171" t="s">
        <v>464</v>
      </c>
      <c r="G171" s="5">
        <v>491</v>
      </c>
      <c r="H171" s="5">
        <v>49100</v>
      </c>
      <c r="I171">
        <v>0</v>
      </c>
      <c r="J171" s="5">
        <v>26</v>
      </c>
      <c r="K171" s="5">
        <v>1</v>
      </c>
      <c r="L171" s="5">
        <f>J171+K171</f>
        <v>27</v>
      </c>
      <c r="M171" s="5">
        <f>L171*N(H171)</f>
        <v>1325700</v>
      </c>
      <c r="N171" t="str">
        <f>IF(L171&lt;=0,"OUT",IF(L171&lt;=MAX(I171,5),"LOW","OK"))</f>
        <v>OK</v>
      </c>
    </row>
    <row r="172" spans="1:14" x14ac:dyDescent="0.3">
      <c r="A172" t="s">
        <v>465</v>
      </c>
      <c r="B172" t="s">
        <v>466</v>
      </c>
      <c r="C172">
        <v>1000</v>
      </c>
      <c r="D172" t="s">
        <v>35</v>
      </c>
      <c r="E172" t="s">
        <v>39</v>
      </c>
      <c r="F172" t="s">
        <v>467</v>
      </c>
      <c r="G172" s="5">
        <v>17</v>
      </c>
      <c r="H172" s="5">
        <v>17000</v>
      </c>
      <c r="I172">
        <v>0</v>
      </c>
      <c r="J172" s="5">
        <v>4</v>
      </c>
      <c r="K172" s="5">
        <v>0</v>
      </c>
      <c r="L172" s="5">
        <f>J172+K172</f>
        <v>4</v>
      </c>
      <c r="M172" s="5">
        <f>L172*N(H172)</f>
        <v>68000</v>
      </c>
      <c r="N172" t="str">
        <f>IF(L172&lt;=0,"OUT",IF(L172&lt;=MAX(I172,5),"LOW","OK"))</f>
        <v>LOW</v>
      </c>
    </row>
    <row r="173" spans="1:14" x14ac:dyDescent="0.3">
      <c r="A173" t="s">
        <v>468</v>
      </c>
      <c r="B173" t="s">
        <v>469</v>
      </c>
      <c r="C173">
        <v>1000</v>
      </c>
      <c r="D173" t="s">
        <v>35</v>
      </c>
      <c r="E173" t="s">
        <v>70</v>
      </c>
      <c r="G173" s="5"/>
      <c r="H173" s="5"/>
      <c r="I173">
        <v>0</v>
      </c>
      <c r="J173" s="5">
        <v>1</v>
      </c>
      <c r="K173" s="5">
        <v>0</v>
      </c>
      <c r="L173" s="5">
        <f>J173+K173</f>
        <v>1</v>
      </c>
      <c r="M173" s="5">
        <f>L173*N(H173)</f>
        <v>0</v>
      </c>
      <c r="N173" t="str">
        <f>IF(L173&lt;=0,"OUT",IF(L173&lt;=MAX(I173,5),"LOW","OK"))</f>
        <v>LOW</v>
      </c>
    </row>
    <row r="174" spans="1:14" x14ac:dyDescent="0.3">
      <c r="A174" t="s">
        <v>470</v>
      </c>
      <c r="B174" t="s">
        <v>471</v>
      </c>
      <c r="C174">
        <v>1000</v>
      </c>
      <c r="D174" t="s">
        <v>35</v>
      </c>
      <c r="E174" t="s">
        <v>70</v>
      </c>
      <c r="F174" t="s">
        <v>472</v>
      </c>
      <c r="G174" s="5">
        <v>145</v>
      </c>
      <c r="H174" s="5">
        <v>145000</v>
      </c>
      <c r="I174">
        <v>0</v>
      </c>
      <c r="J174" s="5">
        <v>2</v>
      </c>
      <c r="K174" s="5">
        <v>0</v>
      </c>
      <c r="L174" s="5">
        <f>J174+K174</f>
        <v>2</v>
      </c>
      <c r="M174" s="5">
        <f>L174*N(H174)</f>
        <v>290000</v>
      </c>
      <c r="N174" t="str">
        <f>IF(L174&lt;=0,"OUT",IF(L174&lt;=MAX(I174,5),"LOW","OK"))</f>
        <v>LOW</v>
      </c>
    </row>
    <row r="175" spans="1:14" x14ac:dyDescent="0.3">
      <c r="A175" t="s">
        <v>473</v>
      </c>
      <c r="B175" t="s">
        <v>474</v>
      </c>
      <c r="C175">
        <v>100</v>
      </c>
      <c r="D175" t="s">
        <v>35</v>
      </c>
      <c r="E175" t="s">
        <v>39</v>
      </c>
      <c r="G175" s="5"/>
      <c r="H175" s="5"/>
      <c r="I175">
        <v>0</v>
      </c>
      <c r="J175" s="5">
        <v>1</v>
      </c>
      <c r="K175" s="5">
        <v>0</v>
      </c>
      <c r="L175" s="5">
        <f>J175+K175</f>
        <v>1</v>
      </c>
      <c r="M175" s="5">
        <f>L175*N(H175)</f>
        <v>0</v>
      </c>
      <c r="N175" t="str">
        <f>IF(L175&lt;=0,"OUT",IF(L175&lt;=MAX(I175,5),"LOW","OK"))</f>
        <v>LOW</v>
      </c>
    </row>
    <row r="176" spans="1:14" x14ac:dyDescent="0.3">
      <c r="A176" t="s">
        <v>475</v>
      </c>
      <c r="B176" t="s">
        <v>476</v>
      </c>
      <c r="C176" t="s">
        <v>477</v>
      </c>
      <c r="D176" t="s">
        <v>35</v>
      </c>
      <c r="E176" t="s">
        <v>36</v>
      </c>
      <c r="G176" s="5"/>
      <c r="H176" s="5"/>
      <c r="I176">
        <v>0</v>
      </c>
      <c r="J176" s="5">
        <v>0</v>
      </c>
      <c r="K176" s="5">
        <v>4</v>
      </c>
      <c r="L176" s="5">
        <f>J176+K176</f>
        <v>4</v>
      </c>
      <c r="M176" s="5">
        <f>L176*N(H176)</f>
        <v>0</v>
      </c>
      <c r="N176" t="str">
        <f>IF(L176&lt;=0,"OUT",IF(L176&lt;=MAX(I176,5),"LOW","OK"))</f>
        <v>LOW</v>
      </c>
    </row>
    <row r="177" spans="1:14" x14ac:dyDescent="0.3">
      <c r="A177" t="s">
        <v>478</v>
      </c>
      <c r="B177" t="s">
        <v>479</v>
      </c>
      <c r="C177">
        <v>100</v>
      </c>
      <c r="D177" t="s">
        <v>35</v>
      </c>
      <c r="E177" t="s">
        <v>70</v>
      </c>
      <c r="F177" t="s">
        <v>480</v>
      </c>
      <c r="G177" s="5">
        <v>2400</v>
      </c>
      <c r="H177" s="5">
        <v>240000</v>
      </c>
      <c r="I177">
        <v>0</v>
      </c>
      <c r="J177" s="5">
        <v>2</v>
      </c>
      <c r="K177" s="5">
        <v>0</v>
      </c>
      <c r="L177" s="5">
        <f>J177+K177</f>
        <v>2</v>
      </c>
      <c r="M177" s="5">
        <f>L177*N(H177)</f>
        <v>480000</v>
      </c>
      <c r="N177" t="str">
        <f>IF(L177&lt;=0,"OUT",IF(L177&lt;=MAX(I177,5),"LOW","OK"))</f>
        <v>LOW</v>
      </c>
    </row>
    <row r="178" spans="1:14" x14ac:dyDescent="0.3">
      <c r="A178" t="s">
        <v>481</v>
      </c>
      <c r="B178" t="s">
        <v>482</v>
      </c>
      <c r="C178">
        <v>100</v>
      </c>
      <c r="D178" t="s">
        <v>35</v>
      </c>
      <c r="E178" t="s">
        <v>36</v>
      </c>
      <c r="F178" t="s">
        <v>483</v>
      </c>
      <c r="G178" s="5">
        <v>1368</v>
      </c>
      <c r="H178" s="5">
        <v>136800</v>
      </c>
      <c r="I178">
        <v>0</v>
      </c>
      <c r="J178" s="5">
        <v>70</v>
      </c>
      <c r="K178" s="5">
        <v>0</v>
      </c>
      <c r="L178" s="5">
        <f>J178+K178</f>
        <v>70</v>
      </c>
      <c r="M178" s="5">
        <f>L178*N(H178)</f>
        <v>9576000</v>
      </c>
      <c r="N178" t="str">
        <f>IF(L178&lt;=0,"OUT",IF(L178&lt;=MAX(I178,5),"LOW","OK"))</f>
        <v>OK</v>
      </c>
    </row>
    <row r="179" spans="1:14" x14ac:dyDescent="0.3">
      <c r="A179" t="s">
        <v>484</v>
      </c>
      <c r="B179" t="s">
        <v>485</v>
      </c>
      <c r="C179">
        <v>1000</v>
      </c>
      <c r="D179" t="s">
        <v>35</v>
      </c>
      <c r="E179" t="s">
        <v>39</v>
      </c>
      <c r="F179" t="s">
        <v>486</v>
      </c>
      <c r="G179" s="5">
        <v>16</v>
      </c>
      <c r="H179" s="5">
        <v>16000</v>
      </c>
      <c r="I179">
        <v>0</v>
      </c>
      <c r="J179" s="5">
        <v>5</v>
      </c>
      <c r="K179" s="5">
        <v>0</v>
      </c>
      <c r="L179" s="5">
        <f>J179+K179</f>
        <v>5</v>
      </c>
      <c r="M179" s="5">
        <f>L179*N(H179)</f>
        <v>80000</v>
      </c>
      <c r="N179" t="str">
        <f>IF(L179&lt;=0,"OUT",IF(L179&lt;=MAX(I179,5),"LOW","OK"))</f>
        <v>LOW</v>
      </c>
    </row>
    <row r="180" spans="1:14" x14ac:dyDescent="0.3">
      <c r="A180" t="s">
        <v>487</v>
      </c>
      <c r="B180" t="s">
        <v>488</v>
      </c>
      <c r="C180">
        <v>100</v>
      </c>
      <c r="D180" t="s">
        <v>35</v>
      </c>
      <c r="E180" t="s">
        <v>70</v>
      </c>
      <c r="F180" t="s">
        <v>489</v>
      </c>
      <c r="G180" s="5">
        <v>523</v>
      </c>
      <c r="H180" s="5">
        <v>52300</v>
      </c>
      <c r="I180">
        <v>0</v>
      </c>
      <c r="J180" s="5">
        <v>3</v>
      </c>
      <c r="K180" s="5">
        <v>0</v>
      </c>
      <c r="L180" s="5">
        <f>J180+K180</f>
        <v>3</v>
      </c>
      <c r="M180" s="5">
        <f>L180*N(H180)</f>
        <v>156900</v>
      </c>
      <c r="N180" t="str">
        <f>IF(L180&lt;=0,"OUT",IF(L180&lt;=MAX(I180,5),"LOW","OK"))</f>
        <v>LOW</v>
      </c>
    </row>
    <row r="181" spans="1:14" x14ac:dyDescent="0.3">
      <c r="A181" t="s">
        <v>490</v>
      </c>
      <c r="B181" t="s">
        <v>491</v>
      </c>
      <c r="C181">
        <v>1000</v>
      </c>
      <c r="D181" t="s">
        <v>35</v>
      </c>
      <c r="E181" t="s">
        <v>70</v>
      </c>
      <c r="F181" t="s">
        <v>269</v>
      </c>
      <c r="G181" s="5">
        <v>56</v>
      </c>
      <c r="H181" s="5">
        <v>56000</v>
      </c>
      <c r="I181">
        <v>0</v>
      </c>
      <c r="J181" s="5">
        <v>2</v>
      </c>
      <c r="K181" s="5">
        <v>0</v>
      </c>
      <c r="L181" s="5">
        <f>J181+K181</f>
        <v>2</v>
      </c>
      <c r="M181" s="5">
        <f>L181*N(H181)</f>
        <v>112000</v>
      </c>
      <c r="N181" t="str">
        <f>IF(L181&lt;=0,"OUT",IF(L181&lt;=MAX(I181,5),"LOW","OK"))</f>
        <v>LOW</v>
      </c>
    </row>
    <row r="182" spans="1:14" x14ac:dyDescent="0.3">
      <c r="A182" t="s">
        <v>492</v>
      </c>
      <c r="B182" t="s">
        <v>493</v>
      </c>
      <c r="C182">
        <v>100</v>
      </c>
      <c r="D182" t="s">
        <v>35</v>
      </c>
      <c r="E182" t="s">
        <v>39</v>
      </c>
      <c r="F182" t="s">
        <v>461</v>
      </c>
      <c r="G182" s="5">
        <v>254</v>
      </c>
      <c r="H182" s="5">
        <v>25400</v>
      </c>
      <c r="I182">
        <v>0</v>
      </c>
      <c r="J182" s="5">
        <v>0</v>
      </c>
      <c r="K182" s="5">
        <v>0</v>
      </c>
      <c r="L182" s="5">
        <f>J182+K182</f>
        <v>0</v>
      </c>
      <c r="M182" s="5">
        <f>L182*N(H182)</f>
        <v>0</v>
      </c>
      <c r="N182" t="str">
        <f>IF(L182&lt;=0,"OUT",IF(L182&lt;=MAX(I182,5),"LOW","OK"))</f>
        <v>OUT</v>
      </c>
    </row>
    <row r="183" spans="1:14" x14ac:dyDescent="0.3">
      <c r="A183" t="s">
        <v>494</v>
      </c>
      <c r="B183" t="s">
        <v>495</v>
      </c>
      <c r="C183">
        <v>100000</v>
      </c>
      <c r="D183" t="s">
        <v>35</v>
      </c>
      <c r="E183" t="s">
        <v>70</v>
      </c>
      <c r="G183" s="5"/>
      <c r="H183" s="5"/>
      <c r="I183">
        <v>0</v>
      </c>
      <c r="J183" s="5">
        <v>2</v>
      </c>
      <c r="K183" s="5">
        <v>0</v>
      </c>
      <c r="L183" s="5">
        <f>J183+K183</f>
        <v>2</v>
      </c>
      <c r="M183" s="5">
        <f>L183*N(H183)</f>
        <v>0</v>
      </c>
      <c r="N183" t="str">
        <f>IF(L183&lt;=0,"OUT",IF(L183&lt;=MAX(I183,5),"LOW","OK"))</f>
        <v>LOW</v>
      </c>
    </row>
    <row r="184" spans="1:14" x14ac:dyDescent="0.3">
      <c r="A184" t="s">
        <v>496</v>
      </c>
      <c r="B184" t="s">
        <v>497</v>
      </c>
      <c r="C184">
        <v>100</v>
      </c>
      <c r="D184" t="s">
        <v>35</v>
      </c>
      <c r="E184" t="s">
        <v>39</v>
      </c>
      <c r="G184" s="5"/>
      <c r="H184" s="5"/>
      <c r="I184">
        <v>0</v>
      </c>
      <c r="J184" s="5">
        <v>3</v>
      </c>
      <c r="K184" s="5">
        <v>0</v>
      </c>
      <c r="L184" s="5">
        <f>J184+K184</f>
        <v>3</v>
      </c>
      <c r="M184" s="5">
        <f>L184*N(H184)</f>
        <v>0</v>
      </c>
      <c r="N184" t="str">
        <f>IF(L184&lt;=0,"OUT",IF(L184&lt;=MAX(I184,5),"LOW","OK"))</f>
        <v>LOW</v>
      </c>
    </row>
    <row r="185" spans="1:14" x14ac:dyDescent="0.3">
      <c r="A185" t="s">
        <v>498</v>
      </c>
      <c r="B185" t="s">
        <v>499</v>
      </c>
      <c r="C185">
        <v>1000</v>
      </c>
      <c r="D185" t="s">
        <v>35</v>
      </c>
      <c r="E185" t="s">
        <v>70</v>
      </c>
      <c r="G185" s="5"/>
      <c r="H185" s="5"/>
      <c r="I185">
        <v>0</v>
      </c>
      <c r="J185" s="5">
        <v>2</v>
      </c>
      <c r="K185" s="5">
        <v>0</v>
      </c>
      <c r="L185" s="5">
        <f>J185+K185</f>
        <v>2</v>
      </c>
      <c r="M185" s="5">
        <f>L185*N(H185)</f>
        <v>0</v>
      </c>
      <c r="N185" t="str">
        <f>IF(L185&lt;=0,"OUT",IF(L185&lt;=MAX(I185,5),"LOW","OK"))</f>
        <v>LOW</v>
      </c>
    </row>
    <row r="186" spans="1:14" x14ac:dyDescent="0.3">
      <c r="A186" t="s">
        <v>500</v>
      </c>
      <c r="B186" t="s">
        <v>501</v>
      </c>
      <c r="C186">
        <v>100000</v>
      </c>
      <c r="D186" t="s">
        <v>35</v>
      </c>
      <c r="E186" t="s">
        <v>70</v>
      </c>
      <c r="F186" t="s">
        <v>502</v>
      </c>
      <c r="G186" s="5">
        <v>6</v>
      </c>
      <c r="H186" s="5">
        <v>600000</v>
      </c>
      <c r="I186">
        <v>0</v>
      </c>
      <c r="J186" s="5">
        <v>3</v>
      </c>
      <c r="K186" s="5">
        <v>0</v>
      </c>
      <c r="L186" s="5">
        <f>J186+K186</f>
        <v>3</v>
      </c>
      <c r="M186" s="5">
        <f>L186*N(H186)</f>
        <v>1800000</v>
      </c>
      <c r="N186" t="str">
        <f>IF(L186&lt;=0,"OUT",IF(L186&lt;=MAX(I186,5),"LOW","OK"))</f>
        <v>LOW</v>
      </c>
    </row>
    <row r="187" spans="1:14" x14ac:dyDescent="0.3">
      <c r="A187" t="s">
        <v>503</v>
      </c>
      <c r="B187" t="s">
        <v>504</v>
      </c>
      <c r="C187">
        <v>1000</v>
      </c>
      <c r="D187" t="s">
        <v>35</v>
      </c>
      <c r="E187" t="s">
        <v>36</v>
      </c>
      <c r="F187" t="s">
        <v>467</v>
      </c>
      <c r="G187" s="5">
        <v>17</v>
      </c>
      <c r="H187" s="5">
        <v>17000</v>
      </c>
      <c r="I187">
        <v>0</v>
      </c>
      <c r="J187" s="5">
        <v>13</v>
      </c>
      <c r="K187" s="5">
        <v>0</v>
      </c>
      <c r="L187" s="5">
        <f>J187+K187</f>
        <v>13</v>
      </c>
      <c r="M187" s="5">
        <f>L187*N(H187)</f>
        <v>221000</v>
      </c>
      <c r="N187" t="str">
        <f>IF(L187&lt;=0,"OUT",IF(L187&lt;=MAX(I187,5),"LOW","OK"))</f>
        <v>OK</v>
      </c>
    </row>
    <row r="188" spans="1:14" x14ac:dyDescent="0.3">
      <c r="A188" t="s">
        <v>505</v>
      </c>
      <c r="B188" t="s">
        <v>506</v>
      </c>
      <c r="C188">
        <v>1000</v>
      </c>
      <c r="D188" t="s">
        <v>35</v>
      </c>
      <c r="E188" t="s">
        <v>36</v>
      </c>
      <c r="F188" t="s">
        <v>507</v>
      </c>
      <c r="G188" s="5">
        <v>29</v>
      </c>
      <c r="H188" s="5">
        <v>29000</v>
      </c>
      <c r="I188">
        <v>0</v>
      </c>
      <c r="J188" s="5">
        <v>1</v>
      </c>
      <c r="K188" s="5">
        <v>27</v>
      </c>
      <c r="L188" s="5">
        <f>J188+K188</f>
        <v>28</v>
      </c>
      <c r="M188" s="5">
        <f>L188*N(H188)</f>
        <v>812000</v>
      </c>
      <c r="N188" t="str">
        <f>IF(L188&lt;=0,"OUT",IF(L188&lt;=MAX(I188,5),"LOW","OK"))</f>
        <v>OK</v>
      </c>
    </row>
    <row r="189" spans="1:14" x14ac:dyDescent="0.3">
      <c r="A189" t="s">
        <v>508</v>
      </c>
      <c r="B189" t="s">
        <v>509</v>
      </c>
      <c r="C189">
        <v>1000</v>
      </c>
      <c r="D189" t="s">
        <v>35</v>
      </c>
      <c r="E189" t="s">
        <v>36</v>
      </c>
      <c r="F189" t="s">
        <v>510</v>
      </c>
      <c r="G189" s="5">
        <v>29</v>
      </c>
      <c r="H189" s="5">
        <v>29000</v>
      </c>
      <c r="I189">
        <v>0</v>
      </c>
      <c r="J189" s="5">
        <v>3</v>
      </c>
      <c r="K189" s="5">
        <v>0</v>
      </c>
      <c r="L189" s="5">
        <f>J189+K189</f>
        <v>3</v>
      </c>
      <c r="M189" s="5">
        <f>L189*N(H189)</f>
        <v>87000</v>
      </c>
      <c r="N189" t="str">
        <f>IF(L189&lt;=0,"OUT",IF(L189&lt;=MAX(I189,5),"LOW","OK"))</f>
        <v>LOW</v>
      </c>
    </row>
    <row r="190" spans="1:14" x14ac:dyDescent="0.3">
      <c r="A190" t="s">
        <v>511</v>
      </c>
      <c r="B190" t="s">
        <v>512</v>
      </c>
      <c r="C190">
        <v>2500</v>
      </c>
      <c r="D190" t="s">
        <v>35</v>
      </c>
      <c r="E190" t="s">
        <v>36</v>
      </c>
      <c r="F190" t="s">
        <v>429</v>
      </c>
      <c r="G190" s="5">
        <v>15</v>
      </c>
      <c r="H190" s="5">
        <v>37500</v>
      </c>
      <c r="I190">
        <v>0</v>
      </c>
      <c r="J190" s="5">
        <v>0</v>
      </c>
      <c r="K190" s="5">
        <v>0</v>
      </c>
      <c r="L190" s="5">
        <f>J190+K190</f>
        <v>0</v>
      </c>
      <c r="M190" s="5">
        <f>L190*N(H190)</f>
        <v>0</v>
      </c>
      <c r="N190" t="str">
        <f>IF(L190&lt;=0,"OUT",IF(L190&lt;=MAX(I190,5),"LOW","OK"))</f>
        <v>OUT</v>
      </c>
    </row>
    <row r="191" spans="1:14" x14ac:dyDescent="0.3">
      <c r="A191" t="s">
        <v>513</v>
      </c>
      <c r="B191" t="s">
        <v>512</v>
      </c>
      <c r="C191">
        <v>1000</v>
      </c>
      <c r="D191" t="s">
        <v>35</v>
      </c>
      <c r="E191" t="s">
        <v>36</v>
      </c>
      <c r="F191" t="s">
        <v>429</v>
      </c>
      <c r="G191" s="5">
        <v>15</v>
      </c>
      <c r="H191" s="5">
        <v>15000</v>
      </c>
      <c r="I191">
        <v>0</v>
      </c>
      <c r="J191" s="5">
        <v>2</v>
      </c>
      <c r="K191" s="5">
        <v>0</v>
      </c>
      <c r="L191" s="5">
        <f>J191+K191</f>
        <v>2</v>
      </c>
      <c r="M191" s="5">
        <f>L191*N(H191)</f>
        <v>30000</v>
      </c>
      <c r="N191" t="str">
        <f>IF(L191&lt;=0,"OUT",IF(L191&lt;=MAX(I191,5),"LOW","OK"))</f>
        <v>LOW</v>
      </c>
    </row>
    <row r="192" spans="1:14" x14ac:dyDescent="0.3">
      <c r="A192" t="s">
        <v>514</v>
      </c>
      <c r="B192" t="s">
        <v>515</v>
      </c>
      <c r="C192">
        <v>1000</v>
      </c>
      <c r="D192" t="s">
        <v>35</v>
      </c>
      <c r="E192" t="s">
        <v>36</v>
      </c>
      <c r="F192" t="s">
        <v>486</v>
      </c>
      <c r="G192" s="5">
        <v>16</v>
      </c>
      <c r="H192" s="5">
        <v>16000</v>
      </c>
      <c r="I192">
        <v>0</v>
      </c>
      <c r="J192" s="5">
        <v>18</v>
      </c>
      <c r="K192" s="5">
        <v>0</v>
      </c>
      <c r="L192" s="5">
        <f>J192+K192</f>
        <v>18</v>
      </c>
      <c r="M192" s="5">
        <f>L192*N(H192)</f>
        <v>288000</v>
      </c>
      <c r="N192" t="str">
        <f>IF(L192&lt;=0,"OUT",IF(L192&lt;=MAX(I192,5),"LOW","OK"))</f>
        <v>OK</v>
      </c>
    </row>
    <row r="193" spans="1:14" x14ac:dyDescent="0.3">
      <c r="A193" t="s">
        <v>516</v>
      </c>
      <c r="B193" t="s">
        <v>515</v>
      </c>
      <c r="C193">
        <v>100</v>
      </c>
      <c r="D193" t="s">
        <v>35</v>
      </c>
      <c r="E193" t="s">
        <v>36</v>
      </c>
      <c r="F193" t="s">
        <v>486</v>
      </c>
      <c r="G193" s="5">
        <v>16</v>
      </c>
      <c r="H193" s="5">
        <v>1600</v>
      </c>
      <c r="I193">
        <v>0</v>
      </c>
      <c r="J193" s="5">
        <v>38</v>
      </c>
      <c r="K193" s="5">
        <v>0</v>
      </c>
      <c r="L193" s="5">
        <f>J193+K193</f>
        <v>38</v>
      </c>
      <c r="M193" s="5">
        <f>L193*N(H193)</f>
        <v>60800</v>
      </c>
      <c r="N193" t="str">
        <f>IF(L193&lt;=0,"OUT",IF(L193&lt;=MAX(I193,5),"LOW","OK"))</f>
        <v>OK</v>
      </c>
    </row>
    <row r="194" spans="1:14" x14ac:dyDescent="0.3">
      <c r="A194" t="s">
        <v>517</v>
      </c>
      <c r="B194" t="s">
        <v>518</v>
      </c>
      <c r="C194">
        <v>25000</v>
      </c>
      <c r="D194" t="s">
        <v>35</v>
      </c>
      <c r="E194" t="s">
        <v>70</v>
      </c>
      <c r="G194" s="5"/>
      <c r="H194" s="5"/>
      <c r="I194">
        <v>0</v>
      </c>
      <c r="J194" s="5">
        <v>0</v>
      </c>
      <c r="K194" s="5">
        <v>0</v>
      </c>
      <c r="L194" s="5">
        <f>J194+K194</f>
        <v>0</v>
      </c>
      <c r="M194" s="5">
        <f>L194*N(H194)</f>
        <v>0</v>
      </c>
      <c r="N194" t="str">
        <f>IF(L194&lt;=0,"OUT",IF(L194&lt;=MAX(I194,5),"LOW","OK"))</f>
        <v>OUT</v>
      </c>
    </row>
    <row r="195" spans="1:14" x14ac:dyDescent="0.3">
      <c r="A195" t="s">
        <v>519</v>
      </c>
      <c r="B195" t="s">
        <v>520</v>
      </c>
      <c r="C195">
        <v>100</v>
      </c>
      <c r="D195" t="s">
        <v>35</v>
      </c>
      <c r="E195" t="s">
        <v>70</v>
      </c>
      <c r="F195" t="s">
        <v>521</v>
      </c>
      <c r="G195" s="5">
        <v>1898</v>
      </c>
      <c r="H195" s="5">
        <v>189800</v>
      </c>
      <c r="I195">
        <v>0</v>
      </c>
      <c r="J195" s="5">
        <v>6</v>
      </c>
      <c r="K195" s="5">
        <v>0</v>
      </c>
      <c r="L195" s="5">
        <f>J195+K195</f>
        <v>6</v>
      </c>
      <c r="M195" s="5">
        <f>L195*N(H195)</f>
        <v>1138800</v>
      </c>
      <c r="N195" t="str">
        <f>IF(L195&lt;=0,"OUT",IF(L195&lt;=MAX(I195,5),"LOW","OK"))</f>
        <v>OK</v>
      </c>
    </row>
    <row r="196" spans="1:14" x14ac:dyDescent="0.3">
      <c r="A196" t="s">
        <v>522</v>
      </c>
      <c r="B196" t="s">
        <v>523</v>
      </c>
      <c r="C196">
        <v>100000</v>
      </c>
      <c r="D196" t="s">
        <v>35</v>
      </c>
      <c r="E196" t="s">
        <v>39</v>
      </c>
      <c r="F196" t="s">
        <v>524</v>
      </c>
      <c r="G196" s="5">
        <v>6</v>
      </c>
      <c r="H196" s="5">
        <v>600000</v>
      </c>
      <c r="I196">
        <v>0</v>
      </c>
      <c r="J196" s="5">
        <v>6</v>
      </c>
      <c r="K196" s="5">
        <v>0</v>
      </c>
      <c r="L196" s="5">
        <f>J196+K196</f>
        <v>6</v>
      </c>
      <c r="M196" s="5">
        <f>L196*N(H196)</f>
        <v>3600000</v>
      </c>
      <c r="N196" t="str">
        <f>IF(L196&lt;=0,"OUT",IF(L196&lt;=MAX(I196,5),"LOW","OK"))</f>
        <v>OK</v>
      </c>
    </row>
    <row r="197" spans="1:14" x14ac:dyDescent="0.3">
      <c r="A197" t="s">
        <v>525</v>
      </c>
      <c r="B197" t="s">
        <v>526</v>
      </c>
      <c r="C197">
        <v>100000</v>
      </c>
      <c r="E197" t="s">
        <v>36</v>
      </c>
      <c r="G197" s="5"/>
      <c r="H197" s="5"/>
      <c r="I197">
        <v>0</v>
      </c>
      <c r="J197" s="5">
        <v>0</v>
      </c>
      <c r="K197" s="5">
        <v>0</v>
      </c>
      <c r="L197" s="5">
        <f>J197+K197</f>
        <v>0</v>
      </c>
      <c r="M197" s="5">
        <f>L197*N(H197)</f>
        <v>0</v>
      </c>
      <c r="N197" t="str">
        <f>IF(L197&lt;=0,"OUT",IF(L197&lt;=MAX(I197,5),"LOW","OK"))</f>
        <v>OUT</v>
      </c>
    </row>
    <row r="198" spans="1:14" x14ac:dyDescent="0.3">
      <c r="A198" t="s">
        <v>527</v>
      </c>
      <c r="B198" t="s">
        <v>528</v>
      </c>
      <c r="C198">
        <v>25000</v>
      </c>
      <c r="D198" t="s">
        <v>35</v>
      </c>
      <c r="E198" t="s">
        <v>39</v>
      </c>
      <c r="G198" s="5"/>
      <c r="H198" s="5"/>
      <c r="I198">
        <v>0</v>
      </c>
      <c r="J198" s="5">
        <v>1</v>
      </c>
      <c r="K198" s="5">
        <v>0</v>
      </c>
      <c r="L198" s="5">
        <f>J198+K198</f>
        <v>1</v>
      </c>
      <c r="M198" s="5">
        <f>L198*N(H198)</f>
        <v>0</v>
      </c>
      <c r="N198" t="str">
        <f>IF(L198&lt;=0,"OUT",IF(L198&lt;=MAX(I198,5),"LOW","OK"))</f>
        <v>LOW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9BC1-45BE-4BC8-8E8A-2021E3DFCD93}">
  <dimension ref="A1:B159"/>
  <sheetViews>
    <sheetView workbookViewId="0"/>
  </sheetViews>
  <sheetFormatPr defaultRowHeight="14.4" x14ac:dyDescent="0.3"/>
  <cols>
    <col min="1" max="1" width="26.77734375" customWidth="1"/>
    <col min="2" max="2" width="20.77734375" customWidth="1"/>
  </cols>
  <sheetData>
    <row r="1" spans="1:2" x14ac:dyDescent="0.3">
      <c r="A1" s="2" t="s">
        <v>529</v>
      </c>
    </row>
    <row r="3" spans="1:2" ht="25.95" customHeight="1" x14ac:dyDescent="0.3">
      <c r="A3" s="4" t="s">
        <v>530</v>
      </c>
      <c r="B3" s="4" t="s">
        <v>25</v>
      </c>
    </row>
    <row r="4" spans="1:2" x14ac:dyDescent="0.3">
      <c r="A4" t="s">
        <v>51</v>
      </c>
      <c r="B4" s="5">
        <v>74</v>
      </c>
    </row>
    <row r="5" spans="1:2" x14ac:dyDescent="0.3">
      <c r="A5" t="s">
        <v>43</v>
      </c>
      <c r="B5" s="5">
        <v>105</v>
      </c>
    </row>
    <row r="6" spans="1:2" x14ac:dyDescent="0.3">
      <c r="A6" t="s">
        <v>46</v>
      </c>
      <c r="B6" s="5">
        <v>74</v>
      </c>
    </row>
    <row r="7" spans="1:2" x14ac:dyDescent="0.3">
      <c r="A7" t="s">
        <v>89</v>
      </c>
      <c r="B7" s="5">
        <v>308</v>
      </c>
    </row>
    <row r="8" spans="1:2" x14ac:dyDescent="0.3">
      <c r="A8" t="s">
        <v>531</v>
      </c>
      <c r="B8" s="5">
        <v>249</v>
      </c>
    </row>
    <row r="9" spans="1:2" x14ac:dyDescent="0.3">
      <c r="A9" t="s">
        <v>92</v>
      </c>
      <c r="B9" s="5">
        <v>249</v>
      </c>
    </row>
    <row r="10" spans="1:2" x14ac:dyDescent="0.3">
      <c r="A10" t="s">
        <v>532</v>
      </c>
      <c r="B10" s="5">
        <v>462</v>
      </c>
    </row>
    <row r="11" spans="1:2" x14ac:dyDescent="0.3">
      <c r="A11" t="s">
        <v>288</v>
      </c>
      <c r="B11" s="5">
        <v>3</v>
      </c>
    </row>
    <row r="12" spans="1:2" x14ac:dyDescent="0.3">
      <c r="A12" t="s">
        <v>426</v>
      </c>
      <c r="B12" s="5">
        <v>3</v>
      </c>
    </row>
    <row r="13" spans="1:2" x14ac:dyDescent="0.3">
      <c r="A13" t="s">
        <v>137</v>
      </c>
      <c r="B13" s="5">
        <v>30</v>
      </c>
    </row>
    <row r="14" spans="1:2" x14ac:dyDescent="0.3">
      <c r="A14" t="s">
        <v>533</v>
      </c>
      <c r="B14" s="5">
        <v>86</v>
      </c>
    </row>
    <row r="15" spans="1:2" x14ac:dyDescent="0.3">
      <c r="A15" t="s">
        <v>279</v>
      </c>
      <c r="B15" s="5">
        <v>239</v>
      </c>
    </row>
    <row r="16" spans="1:2" x14ac:dyDescent="0.3">
      <c r="A16" t="s">
        <v>366</v>
      </c>
      <c r="B16" s="5">
        <v>220</v>
      </c>
    </row>
    <row r="17" spans="1:2" x14ac:dyDescent="0.3">
      <c r="A17" t="s">
        <v>534</v>
      </c>
      <c r="B17" s="5">
        <v>15</v>
      </c>
    </row>
    <row r="18" spans="1:2" x14ac:dyDescent="0.3">
      <c r="A18" t="s">
        <v>113</v>
      </c>
      <c r="B18" s="5">
        <v>82</v>
      </c>
    </row>
    <row r="19" spans="1:2" x14ac:dyDescent="0.3">
      <c r="A19" t="s">
        <v>159</v>
      </c>
      <c r="B19" s="5">
        <v>15</v>
      </c>
    </row>
    <row r="20" spans="1:2" x14ac:dyDescent="0.3">
      <c r="A20" t="s">
        <v>154</v>
      </c>
      <c r="B20" s="5">
        <v>15</v>
      </c>
    </row>
    <row r="21" spans="1:2" x14ac:dyDescent="0.3">
      <c r="A21" t="s">
        <v>535</v>
      </c>
      <c r="B21" s="5">
        <v>31</v>
      </c>
    </row>
    <row r="22" spans="1:2" x14ac:dyDescent="0.3">
      <c r="A22" t="s">
        <v>224</v>
      </c>
      <c r="B22" s="5">
        <v>31</v>
      </c>
    </row>
    <row r="23" spans="1:2" x14ac:dyDescent="0.3">
      <c r="A23" t="s">
        <v>269</v>
      </c>
      <c r="B23" s="5">
        <v>56</v>
      </c>
    </row>
    <row r="24" spans="1:2" x14ac:dyDescent="0.3">
      <c r="A24" t="s">
        <v>266</v>
      </c>
      <c r="B24" s="5">
        <v>49</v>
      </c>
    </row>
    <row r="25" spans="1:2" x14ac:dyDescent="0.3">
      <c r="A25" t="s">
        <v>372</v>
      </c>
      <c r="B25" s="5">
        <v>41</v>
      </c>
    </row>
    <row r="26" spans="1:2" x14ac:dyDescent="0.3">
      <c r="A26" t="s">
        <v>536</v>
      </c>
      <c r="B26" s="5">
        <v>31</v>
      </c>
    </row>
    <row r="27" spans="1:2" x14ac:dyDescent="0.3">
      <c r="A27" t="s">
        <v>507</v>
      </c>
      <c r="B27" s="5">
        <v>29</v>
      </c>
    </row>
    <row r="28" spans="1:2" x14ac:dyDescent="0.3">
      <c r="A28" t="s">
        <v>429</v>
      </c>
      <c r="B28" s="5">
        <v>15</v>
      </c>
    </row>
    <row r="29" spans="1:2" x14ac:dyDescent="0.3">
      <c r="A29" t="s">
        <v>510</v>
      </c>
      <c r="B29" s="5">
        <v>29</v>
      </c>
    </row>
    <row r="30" spans="1:2" x14ac:dyDescent="0.3">
      <c r="A30" t="s">
        <v>467</v>
      </c>
      <c r="B30" s="5">
        <v>17</v>
      </c>
    </row>
    <row r="31" spans="1:2" x14ac:dyDescent="0.3">
      <c r="A31" t="s">
        <v>486</v>
      </c>
      <c r="B31" s="5">
        <v>16</v>
      </c>
    </row>
    <row r="32" spans="1:2" x14ac:dyDescent="0.3">
      <c r="A32" t="s">
        <v>328</v>
      </c>
      <c r="B32" s="5">
        <v>2</v>
      </c>
    </row>
    <row r="33" spans="1:2" x14ac:dyDescent="0.3">
      <c r="A33" t="s">
        <v>253</v>
      </c>
      <c r="B33" s="5">
        <v>3</v>
      </c>
    </row>
    <row r="34" spans="1:2" x14ac:dyDescent="0.3">
      <c r="A34" t="s">
        <v>434</v>
      </c>
      <c r="B34" s="5">
        <v>26</v>
      </c>
    </row>
    <row r="35" spans="1:2" x14ac:dyDescent="0.3">
      <c r="A35" t="s">
        <v>537</v>
      </c>
      <c r="B35" s="5">
        <v>25</v>
      </c>
    </row>
    <row r="36" spans="1:2" x14ac:dyDescent="0.3">
      <c r="A36" t="s">
        <v>210</v>
      </c>
      <c r="B36" s="5">
        <v>104</v>
      </c>
    </row>
    <row r="37" spans="1:2" x14ac:dyDescent="0.3">
      <c r="A37" t="s">
        <v>118</v>
      </c>
      <c r="B37" s="5">
        <v>21</v>
      </c>
    </row>
    <row r="38" spans="1:2" x14ac:dyDescent="0.3">
      <c r="A38" t="s">
        <v>538</v>
      </c>
      <c r="B38" s="5">
        <v>1</v>
      </c>
    </row>
    <row r="39" spans="1:2" x14ac:dyDescent="0.3">
      <c r="A39" t="s">
        <v>124</v>
      </c>
      <c r="B39" s="5">
        <v>699</v>
      </c>
    </row>
    <row r="40" spans="1:2" x14ac:dyDescent="0.3">
      <c r="A40" t="s">
        <v>296</v>
      </c>
      <c r="B40" s="5">
        <v>1389</v>
      </c>
    </row>
    <row r="41" spans="1:2" x14ac:dyDescent="0.3">
      <c r="A41" t="s">
        <v>539</v>
      </c>
      <c r="B41" s="5">
        <v>1533</v>
      </c>
    </row>
    <row r="42" spans="1:2" x14ac:dyDescent="0.3">
      <c r="A42" t="s">
        <v>540</v>
      </c>
      <c r="B42" s="5">
        <v>1360</v>
      </c>
    </row>
    <row r="43" spans="1:2" x14ac:dyDescent="0.3">
      <c r="A43" t="s">
        <v>541</v>
      </c>
      <c r="B43" s="5">
        <v>2817</v>
      </c>
    </row>
    <row r="44" spans="1:2" x14ac:dyDescent="0.3">
      <c r="A44" t="s">
        <v>334</v>
      </c>
      <c r="B44" s="5">
        <v>613</v>
      </c>
    </row>
    <row r="45" spans="1:2" x14ac:dyDescent="0.3">
      <c r="A45" t="s">
        <v>179</v>
      </c>
      <c r="B45" s="5">
        <v>1399</v>
      </c>
    </row>
    <row r="46" spans="1:2" x14ac:dyDescent="0.3">
      <c r="A46" t="s">
        <v>392</v>
      </c>
      <c r="B46" s="5">
        <v>1301</v>
      </c>
    </row>
    <row r="47" spans="1:2" x14ac:dyDescent="0.3">
      <c r="A47" t="s">
        <v>395</v>
      </c>
      <c r="B47" s="5">
        <v>308</v>
      </c>
    </row>
    <row r="48" spans="1:2" x14ac:dyDescent="0.3">
      <c r="A48" t="s">
        <v>121</v>
      </c>
      <c r="B48" s="5">
        <v>58</v>
      </c>
    </row>
    <row r="49" spans="1:2" x14ac:dyDescent="0.3">
      <c r="A49" t="s">
        <v>201</v>
      </c>
      <c r="B49" s="5">
        <v>65</v>
      </c>
    </row>
    <row r="50" spans="1:2" x14ac:dyDescent="0.3">
      <c r="A50" t="s">
        <v>304</v>
      </c>
      <c r="B50" s="5">
        <v>62</v>
      </c>
    </row>
    <row r="51" spans="1:2" x14ac:dyDescent="0.3">
      <c r="A51" t="s">
        <v>542</v>
      </c>
      <c r="B51" s="5">
        <v>65</v>
      </c>
    </row>
    <row r="52" spans="1:2" x14ac:dyDescent="0.3">
      <c r="A52" t="s">
        <v>176</v>
      </c>
      <c r="B52" s="5">
        <v>6</v>
      </c>
    </row>
    <row r="53" spans="1:2" x14ac:dyDescent="0.3">
      <c r="A53" t="s">
        <v>74</v>
      </c>
      <c r="B53" s="5">
        <v>6</v>
      </c>
    </row>
    <row r="54" spans="1:2" x14ac:dyDescent="0.3">
      <c r="A54" t="s">
        <v>543</v>
      </c>
      <c r="B54" s="5">
        <v>6</v>
      </c>
    </row>
    <row r="55" spans="1:2" x14ac:dyDescent="0.3">
      <c r="A55" t="s">
        <v>182</v>
      </c>
      <c r="B55" s="5">
        <v>6</v>
      </c>
    </row>
    <row r="56" spans="1:2" x14ac:dyDescent="0.3">
      <c r="A56" t="s">
        <v>524</v>
      </c>
      <c r="B56" s="5">
        <v>6</v>
      </c>
    </row>
    <row r="57" spans="1:2" x14ac:dyDescent="0.3">
      <c r="A57" t="s">
        <v>544</v>
      </c>
      <c r="B57" s="5">
        <v>6</v>
      </c>
    </row>
    <row r="58" spans="1:2" x14ac:dyDescent="0.3">
      <c r="A58" t="s">
        <v>291</v>
      </c>
      <c r="B58" s="5">
        <v>6</v>
      </c>
    </row>
    <row r="59" spans="1:2" x14ac:dyDescent="0.3">
      <c r="A59" t="s">
        <v>502</v>
      </c>
      <c r="B59" s="5">
        <v>6</v>
      </c>
    </row>
    <row r="60" spans="1:2" x14ac:dyDescent="0.3">
      <c r="A60" t="s">
        <v>127</v>
      </c>
      <c r="B60" s="5">
        <v>6</v>
      </c>
    </row>
    <row r="61" spans="1:2" x14ac:dyDescent="0.3">
      <c r="A61" t="s">
        <v>106</v>
      </c>
      <c r="B61" s="5">
        <v>99</v>
      </c>
    </row>
    <row r="62" spans="1:2" x14ac:dyDescent="0.3">
      <c r="A62" t="s">
        <v>103</v>
      </c>
      <c r="B62" s="5">
        <v>25</v>
      </c>
    </row>
    <row r="63" spans="1:2" x14ac:dyDescent="0.3">
      <c r="A63" t="s">
        <v>545</v>
      </c>
      <c r="B63" s="5">
        <v>103</v>
      </c>
    </row>
    <row r="64" spans="1:2" x14ac:dyDescent="0.3">
      <c r="A64" t="s">
        <v>546</v>
      </c>
      <c r="B64" s="5">
        <v>34</v>
      </c>
    </row>
    <row r="65" spans="1:2" x14ac:dyDescent="0.3">
      <c r="A65" t="s">
        <v>547</v>
      </c>
      <c r="B65" s="5">
        <v>101</v>
      </c>
    </row>
    <row r="66" spans="1:2" x14ac:dyDescent="0.3">
      <c r="A66" t="s">
        <v>173</v>
      </c>
      <c r="B66" s="5">
        <v>48</v>
      </c>
    </row>
    <row r="67" spans="1:2" x14ac:dyDescent="0.3">
      <c r="A67" t="s">
        <v>381</v>
      </c>
      <c r="B67" s="5">
        <v>60</v>
      </c>
    </row>
    <row r="68" spans="1:2" x14ac:dyDescent="0.3">
      <c r="A68" t="s">
        <v>437</v>
      </c>
      <c r="B68" s="5">
        <v>97</v>
      </c>
    </row>
    <row r="69" spans="1:2" x14ac:dyDescent="0.3">
      <c r="A69" t="s">
        <v>548</v>
      </c>
      <c r="B69" s="5">
        <v>32</v>
      </c>
    </row>
    <row r="70" spans="1:2" x14ac:dyDescent="0.3">
      <c r="A70" t="s">
        <v>71</v>
      </c>
      <c r="B70" s="5">
        <v>94</v>
      </c>
    </row>
    <row r="71" spans="1:2" x14ac:dyDescent="0.3">
      <c r="A71" t="s">
        <v>549</v>
      </c>
      <c r="B71" s="5">
        <v>49</v>
      </c>
    </row>
    <row r="72" spans="1:2" x14ac:dyDescent="0.3">
      <c r="A72" t="s">
        <v>550</v>
      </c>
      <c r="B72" s="5">
        <v>47</v>
      </c>
    </row>
    <row r="73" spans="1:2" x14ac:dyDescent="0.3">
      <c r="A73" t="s">
        <v>551</v>
      </c>
      <c r="B73" s="5">
        <v>30</v>
      </c>
    </row>
    <row r="74" spans="1:2" x14ac:dyDescent="0.3">
      <c r="A74" t="s">
        <v>243</v>
      </c>
      <c r="B74" s="5">
        <v>25</v>
      </c>
    </row>
    <row r="75" spans="1:2" x14ac:dyDescent="0.3">
      <c r="A75" t="s">
        <v>190</v>
      </c>
      <c r="B75" s="5">
        <v>145</v>
      </c>
    </row>
    <row r="76" spans="1:2" x14ac:dyDescent="0.3">
      <c r="A76" t="s">
        <v>552</v>
      </c>
      <c r="B76" s="5">
        <v>152</v>
      </c>
    </row>
    <row r="77" spans="1:2" x14ac:dyDescent="0.3">
      <c r="A77" t="s">
        <v>553</v>
      </c>
      <c r="B77" s="5">
        <v>152</v>
      </c>
    </row>
    <row r="78" spans="1:2" x14ac:dyDescent="0.3">
      <c r="A78" t="s">
        <v>554</v>
      </c>
      <c r="B78" s="5">
        <v>145</v>
      </c>
    </row>
    <row r="79" spans="1:2" x14ac:dyDescent="0.3">
      <c r="A79" t="s">
        <v>164</v>
      </c>
      <c r="B79" s="5">
        <v>152</v>
      </c>
    </row>
    <row r="80" spans="1:2" x14ac:dyDescent="0.3">
      <c r="A80" t="s">
        <v>472</v>
      </c>
      <c r="B80" s="5">
        <v>145</v>
      </c>
    </row>
    <row r="81" spans="1:2" x14ac:dyDescent="0.3">
      <c r="A81" t="s">
        <v>555</v>
      </c>
      <c r="B81" s="5">
        <v>56</v>
      </c>
    </row>
    <row r="82" spans="1:2" x14ac:dyDescent="0.3">
      <c r="A82" t="s">
        <v>167</v>
      </c>
      <c r="B82" s="5">
        <v>37</v>
      </c>
    </row>
    <row r="83" spans="1:2" x14ac:dyDescent="0.3">
      <c r="A83" t="s">
        <v>227</v>
      </c>
      <c r="B83" s="5">
        <v>152</v>
      </c>
    </row>
    <row r="84" spans="1:2" x14ac:dyDescent="0.3">
      <c r="A84" t="s">
        <v>556</v>
      </c>
      <c r="B84" s="5">
        <v>168</v>
      </c>
    </row>
    <row r="85" spans="1:2" x14ac:dyDescent="0.3">
      <c r="A85" t="s">
        <v>207</v>
      </c>
      <c r="B85" s="5">
        <v>152</v>
      </c>
    </row>
    <row r="86" spans="1:2" x14ac:dyDescent="0.3">
      <c r="A86" t="s">
        <v>170</v>
      </c>
      <c r="B86" s="5">
        <v>152</v>
      </c>
    </row>
    <row r="87" spans="1:2" x14ac:dyDescent="0.3">
      <c r="A87" t="s">
        <v>557</v>
      </c>
      <c r="B87" s="5">
        <v>152</v>
      </c>
    </row>
    <row r="88" spans="1:2" x14ac:dyDescent="0.3">
      <c r="A88" t="s">
        <v>263</v>
      </c>
      <c r="B88" s="5">
        <v>152</v>
      </c>
    </row>
    <row r="89" spans="1:2" x14ac:dyDescent="0.3">
      <c r="A89" t="s">
        <v>558</v>
      </c>
      <c r="B89" s="5">
        <v>157</v>
      </c>
    </row>
    <row r="90" spans="1:2" x14ac:dyDescent="0.3">
      <c r="A90" t="s">
        <v>95</v>
      </c>
      <c r="B90" s="5">
        <v>152</v>
      </c>
    </row>
    <row r="91" spans="1:2" x14ac:dyDescent="0.3">
      <c r="A91" t="s">
        <v>559</v>
      </c>
      <c r="B91" s="5">
        <v>161</v>
      </c>
    </row>
    <row r="92" spans="1:2" x14ac:dyDescent="0.3">
      <c r="A92" t="s">
        <v>560</v>
      </c>
      <c r="B92" s="5">
        <v>152</v>
      </c>
    </row>
    <row r="93" spans="1:2" x14ac:dyDescent="0.3">
      <c r="A93" t="s">
        <v>272</v>
      </c>
      <c r="B93" s="5">
        <v>32</v>
      </c>
    </row>
    <row r="94" spans="1:2" x14ac:dyDescent="0.3">
      <c r="A94" t="s">
        <v>341</v>
      </c>
      <c r="B94" s="5">
        <v>36</v>
      </c>
    </row>
    <row r="95" spans="1:2" x14ac:dyDescent="0.3">
      <c r="A95" t="s">
        <v>77</v>
      </c>
      <c r="B95" s="5">
        <v>823</v>
      </c>
    </row>
    <row r="96" spans="1:2" x14ac:dyDescent="0.3">
      <c r="A96" t="s">
        <v>561</v>
      </c>
      <c r="B96" s="5">
        <v>552</v>
      </c>
    </row>
    <row r="97" spans="1:2" x14ac:dyDescent="0.3">
      <c r="A97" t="s">
        <v>81</v>
      </c>
      <c r="B97" s="5">
        <v>533</v>
      </c>
    </row>
    <row r="98" spans="1:2" x14ac:dyDescent="0.3">
      <c r="A98" t="s">
        <v>132</v>
      </c>
      <c r="B98" s="5">
        <v>935</v>
      </c>
    </row>
    <row r="99" spans="1:2" x14ac:dyDescent="0.3">
      <c r="A99" t="s">
        <v>562</v>
      </c>
      <c r="B99" s="5">
        <v>520</v>
      </c>
    </row>
    <row r="100" spans="1:2" x14ac:dyDescent="0.3">
      <c r="A100" t="s">
        <v>563</v>
      </c>
      <c r="B100" s="5">
        <v>619</v>
      </c>
    </row>
    <row r="101" spans="1:2" x14ac:dyDescent="0.3">
      <c r="A101" t="s">
        <v>213</v>
      </c>
      <c r="B101" s="5">
        <v>379</v>
      </c>
    </row>
    <row r="102" spans="1:2" x14ac:dyDescent="0.3">
      <c r="A102" t="s">
        <v>66</v>
      </c>
      <c r="B102" s="5">
        <v>231</v>
      </c>
    </row>
    <row r="103" spans="1:2" x14ac:dyDescent="0.3">
      <c r="A103" t="s">
        <v>40</v>
      </c>
      <c r="B103" s="5">
        <v>208</v>
      </c>
    </row>
    <row r="104" spans="1:2" x14ac:dyDescent="0.3">
      <c r="A104" t="s">
        <v>57</v>
      </c>
      <c r="B104" s="5">
        <v>208</v>
      </c>
    </row>
    <row r="105" spans="1:2" x14ac:dyDescent="0.3">
      <c r="A105" t="s">
        <v>62</v>
      </c>
      <c r="B105" s="5">
        <v>200</v>
      </c>
    </row>
    <row r="106" spans="1:2" x14ac:dyDescent="0.3">
      <c r="A106" t="s">
        <v>235</v>
      </c>
      <c r="B106" s="5">
        <v>236</v>
      </c>
    </row>
    <row r="107" spans="1:2" x14ac:dyDescent="0.3">
      <c r="A107" t="s">
        <v>238</v>
      </c>
      <c r="B107" s="5">
        <v>188</v>
      </c>
    </row>
    <row r="108" spans="1:2" x14ac:dyDescent="0.3">
      <c r="A108" t="s">
        <v>352</v>
      </c>
      <c r="B108" s="5">
        <v>313</v>
      </c>
    </row>
    <row r="109" spans="1:2" x14ac:dyDescent="0.3">
      <c r="A109" t="s">
        <v>564</v>
      </c>
      <c r="B109" s="5">
        <v>332</v>
      </c>
    </row>
    <row r="110" spans="1:2" x14ac:dyDescent="0.3">
      <c r="A110" t="s">
        <v>399</v>
      </c>
      <c r="B110" s="5">
        <v>756</v>
      </c>
    </row>
    <row r="111" spans="1:2" x14ac:dyDescent="0.3">
      <c r="A111" t="s">
        <v>408</v>
      </c>
      <c r="B111" s="5">
        <v>681</v>
      </c>
    </row>
    <row r="112" spans="1:2" x14ac:dyDescent="0.3">
      <c r="A112" t="s">
        <v>565</v>
      </c>
      <c r="B112" s="5">
        <v>313</v>
      </c>
    </row>
    <row r="113" spans="1:2" x14ac:dyDescent="0.3">
      <c r="A113" t="s">
        <v>566</v>
      </c>
      <c r="B113" s="5">
        <v>2387</v>
      </c>
    </row>
    <row r="114" spans="1:2" x14ac:dyDescent="0.3">
      <c r="A114" t="s">
        <v>567</v>
      </c>
      <c r="B114" s="5">
        <v>475</v>
      </c>
    </row>
    <row r="115" spans="1:2" x14ac:dyDescent="0.3">
      <c r="A115" t="s">
        <v>568</v>
      </c>
      <c r="B115" s="5">
        <v>1157</v>
      </c>
    </row>
    <row r="116" spans="1:2" x14ac:dyDescent="0.3">
      <c r="A116" t="s">
        <v>378</v>
      </c>
      <c r="B116" s="5">
        <v>326</v>
      </c>
    </row>
    <row r="117" spans="1:2" x14ac:dyDescent="0.3">
      <c r="A117" t="s">
        <v>569</v>
      </c>
      <c r="B117" s="5">
        <v>997</v>
      </c>
    </row>
    <row r="118" spans="1:2" x14ac:dyDescent="0.3">
      <c r="A118" t="s">
        <v>246</v>
      </c>
      <c r="B118" s="5">
        <v>313</v>
      </c>
    </row>
    <row r="119" spans="1:2" x14ac:dyDescent="0.3">
      <c r="A119" t="s">
        <v>570</v>
      </c>
      <c r="B119" s="5">
        <v>3967</v>
      </c>
    </row>
    <row r="120" spans="1:2" x14ac:dyDescent="0.3">
      <c r="A120" t="s">
        <v>420</v>
      </c>
      <c r="B120" s="5">
        <v>2400</v>
      </c>
    </row>
    <row r="121" spans="1:2" x14ac:dyDescent="0.3">
      <c r="A121" t="s">
        <v>423</v>
      </c>
      <c r="B121" s="5">
        <v>2400</v>
      </c>
    </row>
    <row r="122" spans="1:2" x14ac:dyDescent="0.3">
      <c r="A122" t="s">
        <v>480</v>
      </c>
      <c r="B122" s="5">
        <v>2400</v>
      </c>
    </row>
    <row r="123" spans="1:2" x14ac:dyDescent="0.3">
      <c r="A123" t="s">
        <v>324</v>
      </c>
      <c r="B123" s="5">
        <v>4</v>
      </c>
    </row>
    <row r="124" spans="1:2" x14ac:dyDescent="0.3">
      <c r="A124" t="s">
        <v>571</v>
      </c>
      <c r="B124" s="5">
        <v>1156</v>
      </c>
    </row>
    <row r="125" spans="1:2" x14ac:dyDescent="0.3">
      <c r="A125" t="s">
        <v>572</v>
      </c>
      <c r="B125" s="5">
        <v>1</v>
      </c>
    </row>
    <row r="126" spans="1:2" x14ac:dyDescent="0.3">
      <c r="A126" t="s">
        <v>573</v>
      </c>
      <c r="B126" s="5">
        <v>1</v>
      </c>
    </row>
    <row r="127" spans="1:2" x14ac:dyDescent="0.3">
      <c r="A127" t="s">
        <v>389</v>
      </c>
      <c r="B127" s="5">
        <v>262</v>
      </c>
    </row>
    <row r="128" spans="1:2" x14ac:dyDescent="0.3">
      <c r="A128" t="s">
        <v>574</v>
      </c>
      <c r="B128" s="5">
        <v>1</v>
      </c>
    </row>
    <row r="129" spans="1:2" x14ac:dyDescent="0.3">
      <c r="A129" t="s">
        <v>140</v>
      </c>
      <c r="B129" s="5">
        <v>378</v>
      </c>
    </row>
    <row r="130" spans="1:2" x14ac:dyDescent="0.3">
      <c r="A130" t="s">
        <v>575</v>
      </c>
      <c r="B130" s="5">
        <v>1335</v>
      </c>
    </row>
    <row r="131" spans="1:2" x14ac:dyDescent="0.3">
      <c r="A131" t="s">
        <v>446</v>
      </c>
      <c r="B131" s="5">
        <v>1088</v>
      </c>
    </row>
    <row r="132" spans="1:2" x14ac:dyDescent="0.3">
      <c r="A132" t="s">
        <v>576</v>
      </c>
      <c r="B132" s="5">
        <v>1482</v>
      </c>
    </row>
    <row r="133" spans="1:2" x14ac:dyDescent="0.3">
      <c r="A133" t="s">
        <v>321</v>
      </c>
      <c r="B133" s="5">
        <v>2059</v>
      </c>
    </row>
    <row r="134" spans="1:2" x14ac:dyDescent="0.3">
      <c r="A134" t="s">
        <v>386</v>
      </c>
      <c r="B134" s="5">
        <v>951</v>
      </c>
    </row>
    <row r="135" spans="1:2" x14ac:dyDescent="0.3">
      <c r="A135" t="s">
        <v>85</v>
      </c>
      <c r="B135" s="5">
        <v>133</v>
      </c>
    </row>
    <row r="136" spans="1:2" x14ac:dyDescent="0.3">
      <c r="A136" t="s">
        <v>204</v>
      </c>
      <c r="B136" s="5">
        <v>70</v>
      </c>
    </row>
    <row r="137" spans="1:2" x14ac:dyDescent="0.3">
      <c r="A137" t="s">
        <v>577</v>
      </c>
      <c r="B137" s="5">
        <v>110</v>
      </c>
    </row>
    <row r="138" spans="1:2" x14ac:dyDescent="0.3">
      <c r="A138" t="s">
        <v>249</v>
      </c>
      <c r="B138" s="5">
        <v>82</v>
      </c>
    </row>
    <row r="139" spans="1:2" x14ac:dyDescent="0.3">
      <c r="A139" t="s">
        <v>461</v>
      </c>
      <c r="B139" s="5">
        <v>254</v>
      </c>
    </row>
    <row r="140" spans="1:2" x14ac:dyDescent="0.3">
      <c r="A140" t="s">
        <v>216</v>
      </c>
      <c r="B140" s="5">
        <v>4658</v>
      </c>
    </row>
    <row r="141" spans="1:2" x14ac:dyDescent="0.3">
      <c r="A141" t="s">
        <v>301</v>
      </c>
      <c r="B141" s="5">
        <v>2597</v>
      </c>
    </row>
    <row r="142" spans="1:2" x14ac:dyDescent="0.3">
      <c r="A142" t="s">
        <v>363</v>
      </c>
      <c r="B142" s="5">
        <v>753</v>
      </c>
    </row>
    <row r="143" spans="1:2" x14ac:dyDescent="0.3">
      <c r="A143" t="s">
        <v>369</v>
      </c>
      <c r="B143" s="5">
        <v>4658</v>
      </c>
    </row>
    <row r="144" spans="1:2" x14ac:dyDescent="0.3">
      <c r="A144" t="s">
        <v>578</v>
      </c>
      <c r="B144" s="5">
        <v>904</v>
      </c>
    </row>
    <row r="145" spans="1:2" x14ac:dyDescent="0.3">
      <c r="A145" t="s">
        <v>464</v>
      </c>
      <c r="B145" s="5">
        <v>491</v>
      </c>
    </row>
    <row r="146" spans="1:2" x14ac:dyDescent="0.3">
      <c r="A146" t="s">
        <v>260</v>
      </c>
      <c r="B146" s="5">
        <v>2107</v>
      </c>
    </row>
    <row r="147" spans="1:2" x14ac:dyDescent="0.3">
      <c r="A147" t="s">
        <v>100</v>
      </c>
      <c r="B147" s="5">
        <v>262</v>
      </c>
    </row>
    <row r="148" spans="1:2" x14ac:dyDescent="0.3">
      <c r="A148" t="s">
        <v>331</v>
      </c>
      <c r="B148" s="5">
        <v>344</v>
      </c>
    </row>
    <row r="149" spans="1:2" x14ac:dyDescent="0.3">
      <c r="A149" t="s">
        <v>579</v>
      </c>
      <c r="B149" s="5">
        <v>1760</v>
      </c>
    </row>
    <row r="150" spans="1:2" x14ac:dyDescent="0.3">
      <c r="A150" t="s">
        <v>145</v>
      </c>
      <c r="B150" s="5">
        <v>435</v>
      </c>
    </row>
    <row r="151" spans="1:2" x14ac:dyDescent="0.3">
      <c r="A151" t="s">
        <v>149</v>
      </c>
      <c r="B151" s="5">
        <v>435</v>
      </c>
    </row>
    <row r="152" spans="1:2" x14ac:dyDescent="0.3">
      <c r="A152" t="s">
        <v>413</v>
      </c>
      <c r="B152" s="5">
        <v>313</v>
      </c>
    </row>
    <row r="153" spans="1:2" x14ac:dyDescent="0.3">
      <c r="A153" t="s">
        <v>375</v>
      </c>
      <c r="B153" s="5">
        <v>1898</v>
      </c>
    </row>
    <row r="154" spans="1:2" x14ac:dyDescent="0.3">
      <c r="A154" t="s">
        <v>580</v>
      </c>
      <c r="B154" s="5">
        <v>2</v>
      </c>
    </row>
    <row r="155" spans="1:2" x14ac:dyDescent="0.3">
      <c r="A155" t="s">
        <v>344</v>
      </c>
      <c r="B155" s="5">
        <v>1898</v>
      </c>
    </row>
    <row r="156" spans="1:2" x14ac:dyDescent="0.3">
      <c r="A156" t="s">
        <v>521</v>
      </c>
      <c r="B156" s="5">
        <v>1898</v>
      </c>
    </row>
    <row r="157" spans="1:2" x14ac:dyDescent="0.3">
      <c r="A157" t="s">
        <v>347</v>
      </c>
      <c r="B157" s="5">
        <v>2340</v>
      </c>
    </row>
    <row r="158" spans="1:2" x14ac:dyDescent="0.3">
      <c r="A158" t="s">
        <v>483</v>
      </c>
      <c r="B158" s="5">
        <v>1368</v>
      </c>
    </row>
    <row r="159" spans="1:2" x14ac:dyDescent="0.3">
      <c r="A159" t="s">
        <v>489</v>
      </c>
      <c r="B159" s="5">
        <v>523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F83A-9BC1-46E0-8C4A-0ED706B0359D}">
  <dimension ref="A1:O2"/>
  <sheetViews>
    <sheetView workbookViewId="0"/>
  </sheetViews>
  <sheetFormatPr defaultRowHeight="14.4" x14ac:dyDescent="0.3"/>
  <cols>
    <col min="1" max="1" width="9" customWidth="1"/>
    <col min="2" max="2" width="12.77734375" customWidth="1"/>
    <col min="3" max="3" width="34.77734375" customWidth="1"/>
    <col min="4" max="4" width="10.109375" customWidth="1"/>
    <col min="5" max="5" width="9" customWidth="1"/>
    <col min="7" max="7" width="10" style="5" customWidth="1"/>
    <col min="8" max="8" width="10.21875" style="5" customWidth="1"/>
    <col min="9" max="11" width="8.88671875" style="5"/>
    <col min="12" max="12" width="9.44140625" style="5" customWidth="1"/>
    <col min="13" max="13" width="17.5546875" customWidth="1"/>
    <col min="15" max="15" width="30.77734375" customWidth="1"/>
  </cols>
  <sheetData>
    <row r="1" spans="1:15" ht="25.95" customHeight="1" x14ac:dyDescent="0.3">
      <c r="A1" s="4" t="s">
        <v>581</v>
      </c>
      <c r="B1" s="4" t="s">
        <v>582</v>
      </c>
      <c r="C1" s="4" t="s">
        <v>583</v>
      </c>
      <c r="D1" s="4" t="s">
        <v>584</v>
      </c>
      <c r="E1" s="4" t="s">
        <v>585</v>
      </c>
      <c r="F1" s="4" t="s">
        <v>586</v>
      </c>
      <c r="G1" s="9" t="s">
        <v>587</v>
      </c>
      <c r="H1" s="9" t="s">
        <v>588</v>
      </c>
      <c r="I1" s="9" t="s">
        <v>589</v>
      </c>
      <c r="J1" s="9" t="s">
        <v>590</v>
      </c>
      <c r="K1" s="9" t="s">
        <v>591</v>
      </c>
      <c r="L1" s="9" t="s">
        <v>592</v>
      </c>
      <c r="M1" s="4" t="s">
        <v>593</v>
      </c>
      <c r="N1" s="4" t="s">
        <v>32</v>
      </c>
      <c r="O1" s="4" t="s">
        <v>594</v>
      </c>
    </row>
    <row r="2" spans="1:15" x14ac:dyDescent="0.3">
      <c r="A2" s="7">
        <v>1043</v>
      </c>
      <c r="B2" s="8">
        <v>46274</v>
      </c>
      <c r="C2" s="7" t="s">
        <v>595</v>
      </c>
      <c r="D2" s="7" t="s">
        <v>596</v>
      </c>
      <c r="E2" s="7"/>
      <c r="F2" s="7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7"/>
      <c r="N2" s="7" t="s">
        <v>597</v>
      </c>
      <c r="O2" s="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F1AA-BE03-4362-806F-C413F5806218}">
  <dimension ref="A1:J4"/>
  <sheetViews>
    <sheetView workbookViewId="0"/>
  </sheetViews>
  <sheetFormatPr defaultRowHeight="14.4" x14ac:dyDescent="0.3"/>
  <cols>
    <col min="1" max="1" width="9" customWidth="1"/>
    <col min="2" max="2" width="12.77734375" customWidth="1"/>
    <col min="3" max="3" width="10.109375" customWidth="1"/>
    <col min="5" max="5" width="34.77734375" customWidth="1"/>
    <col min="8" max="8" width="11" style="5" customWidth="1"/>
    <col min="9" max="9" width="12.109375" customWidth="1"/>
    <col min="10" max="10" width="11" style="5" customWidth="1"/>
  </cols>
  <sheetData>
    <row r="1" spans="1:10" x14ac:dyDescent="0.3">
      <c r="A1" s="6" t="s">
        <v>598</v>
      </c>
    </row>
    <row r="3" spans="1:10" ht="25.95" customHeight="1" x14ac:dyDescent="0.3">
      <c r="A3" s="4" t="s">
        <v>581</v>
      </c>
      <c r="B3" s="4" t="s">
        <v>582</v>
      </c>
      <c r="C3" s="4" t="s">
        <v>584</v>
      </c>
      <c r="D3" s="4" t="s">
        <v>19</v>
      </c>
      <c r="E3" s="4" t="s">
        <v>20</v>
      </c>
      <c r="F3" s="4" t="s">
        <v>599</v>
      </c>
      <c r="G3" s="4" t="s">
        <v>600</v>
      </c>
      <c r="H3" s="9" t="s">
        <v>601</v>
      </c>
      <c r="I3" s="4" t="s">
        <v>602</v>
      </c>
      <c r="J3" s="9" t="s">
        <v>603</v>
      </c>
    </row>
    <row r="4" spans="1:10" x14ac:dyDescent="0.3">
      <c r="A4" s="7">
        <v>1043</v>
      </c>
      <c r="B4" s="8">
        <v>46274</v>
      </c>
      <c r="C4" s="7" t="s">
        <v>596</v>
      </c>
      <c r="D4" s="7" t="s">
        <v>604</v>
      </c>
      <c r="E4" s="7" t="s">
        <v>605</v>
      </c>
      <c r="F4" s="7"/>
      <c r="G4" s="7">
        <v>0</v>
      </c>
      <c r="H4" s="10">
        <v>0</v>
      </c>
      <c r="I4" s="7"/>
      <c r="J4" s="10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FAB5-5173-4709-99E4-F53F3781CA7A}">
  <dimension ref="A1:M2"/>
  <sheetViews>
    <sheetView workbookViewId="0"/>
  </sheetViews>
  <sheetFormatPr defaultRowHeight="14.4" x14ac:dyDescent="0.3"/>
  <cols>
    <col min="1" max="1" width="18.77734375" customWidth="1"/>
    <col min="3" max="3" width="34.77734375" customWidth="1"/>
    <col min="5" max="5" width="10.109375" customWidth="1"/>
    <col min="8" max="8" width="9.21875" style="13" customWidth="1"/>
    <col min="9" max="9" width="9" customWidth="1"/>
    <col min="11" max="11" width="11.33203125" customWidth="1"/>
  </cols>
  <sheetData>
    <row r="1" spans="1:13" ht="25.95" customHeight="1" x14ac:dyDescent="0.3">
      <c r="A1" s="4" t="s">
        <v>606</v>
      </c>
      <c r="B1" s="4" t="s">
        <v>23</v>
      </c>
      <c r="C1" s="4" t="s">
        <v>20</v>
      </c>
      <c r="D1" s="4" t="s">
        <v>19</v>
      </c>
      <c r="E1" s="4" t="s">
        <v>584</v>
      </c>
      <c r="F1" s="4" t="s">
        <v>607</v>
      </c>
      <c r="G1" s="4" t="s">
        <v>608</v>
      </c>
      <c r="H1" s="11" t="s">
        <v>609</v>
      </c>
      <c r="I1" s="4" t="s">
        <v>610</v>
      </c>
      <c r="J1" s="4" t="s">
        <v>611</v>
      </c>
      <c r="K1" s="4" t="s">
        <v>612</v>
      </c>
      <c r="L1" s="4" t="s">
        <v>594</v>
      </c>
      <c r="M1" s="4" t="s">
        <v>613</v>
      </c>
    </row>
    <row r="2" spans="1:13" x14ac:dyDescent="0.3">
      <c r="A2" s="8">
        <v>46274</v>
      </c>
      <c r="B2" s="7" t="s">
        <v>614</v>
      </c>
      <c r="C2" s="7" t="s">
        <v>605</v>
      </c>
      <c r="D2" s="7"/>
      <c r="E2" s="7"/>
      <c r="F2" s="7"/>
      <c r="G2" s="7"/>
      <c r="H2" s="12">
        <v>0</v>
      </c>
      <c r="I2" s="7"/>
      <c r="J2" s="7"/>
      <c r="K2" s="7"/>
      <c r="L2" s="7"/>
      <c r="M2" s="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78FD-68CA-4327-B2B4-885015FB1842}">
  <dimension ref="A1:C22"/>
  <sheetViews>
    <sheetView workbookViewId="0"/>
  </sheetViews>
  <sheetFormatPr defaultRowHeight="14.4" x14ac:dyDescent="0.3"/>
  <cols>
    <col min="1" max="1" width="34.77734375" customWidth="1"/>
    <col min="3" max="3" width="20.77734375" customWidth="1"/>
  </cols>
  <sheetData>
    <row r="1" spans="1:3" ht="23.4" x14ac:dyDescent="0.45">
      <c r="A1" s="14" t="s">
        <v>615</v>
      </c>
    </row>
    <row r="2" spans="1:3" x14ac:dyDescent="0.3">
      <c r="A2" t="s">
        <v>616</v>
      </c>
    </row>
    <row r="4" spans="1:3" x14ac:dyDescent="0.3">
      <c r="A4" s="15" t="s">
        <v>617</v>
      </c>
    </row>
    <row r="5" spans="1:3" x14ac:dyDescent="0.3">
      <c r="A5" t="s">
        <v>618</v>
      </c>
      <c r="C5" s="5">
        <f>COUNTA(tblProducts[SKU])</f>
        <v>197</v>
      </c>
    </row>
    <row r="6" spans="1:3" x14ac:dyDescent="0.3">
      <c r="A6" t="s">
        <v>619</v>
      </c>
      <c r="C6" s="5">
        <f>SUM(tblProducts[Total On Hand])</f>
        <v>21406</v>
      </c>
    </row>
    <row r="7" spans="1:3" x14ac:dyDescent="0.3">
      <c r="A7" t="s">
        <v>620</v>
      </c>
      <c r="C7" s="5">
        <f>SUM(tblProducts[Stock Value (TZS)])</f>
        <v>583404200</v>
      </c>
    </row>
    <row r="8" spans="1:3" x14ac:dyDescent="0.3">
      <c r="A8" t="s">
        <v>621</v>
      </c>
      <c r="C8" s="5">
        <f>COUNTIF(tblProducts[Status],"OUT")</f>
        <v>26</v>
      </c>
    </row>
    <row r="9" spans="1:3" x14ac:dyDescent="0.3">
      <c r="A9" t="s">
        <v>622</v>
      </c>
      <c r="C9" s="5">
        <f>COUNTIF(tblProducts[Status],"LOW")</f>
        <v>104</v>
      </c>
    </row>
    <row r="10" spans="1:3" x14ac:dyDescent="0.3">
      <c r="A10" t="s">
        <v>623</v>
      </c>
      <c r="C10" s="5">
        <f>COUNTBLANK(tblProducts[Selling Price / Pack (TZS)])</f>
        <v>41</v>
      </c>
    </row>
    <row r="12" spans="1:3" x14ac:dyDescent="0.3">
      <c r="A12" s="15" t="s">
        <v>624</v>
      </c>
    </row>
    <row r="13" spans="1:3" x14ac:dyDescent="0.3">
      <c r="A13" t="s">
        <v>625</v>
      </c>
      <c r="C13" s="5">
        <f>COUNTA(tblSales[Invoice])</f>
        <v>1</v>
      </c>
    </row>
    <row r="14" spans="1:3" x14ac:dyDescent="0.3">
      <c r="A14" t="s">
        <v>626</v>
      </c>
      <c r="C14" s="5">
        <f>SUM(tblSales[Total])</f>
        <v>0</v>
      </c>
    </row>
    <row r="15" spans="1:3" x14ac:dyDescent="0.3">
      <c r="A15" t="s">
        <v>627</v>
      </c>
      <c r="C15" s="5">
        <f>SUM(tblSales[Paid])</f>
        <v>0</v>
      </c>
    </row>
    <row r="16" spans="1:3" x14ac:dyDescent="0.3">
      <c r="A16" t="s">
        <v>628</v>
      </c>
      <c r="C16" s="5">
        <f>SUM(tblSales[Balance])</f>
        <v>0</v>
      </c>
    </row>
    <row r="17" spans="1:3" x14ac:dyDescent="0.3">
      <c r="A17" t="s">
        <v>629</v>
      </c>
      <c r="C17" s="5">
        <f>COUNTA(tblSalesLines[SKU])</f>
        <v>1</v>
      </c>
    </row>
    <row r="18" spans="1:3" x14ac:dyDescent="0.3">
      <c r="A18" t="s">
        <v>630</v>
      </c>
      <c r="C18" s="5">
        <f>SUM(tblSalesLines[Qty])</f>
        <v>0</v>
      </c>
    </row>
    <row r="21" spans="1:3" x14ac:dyDescent="0.3">
      <c r="A21" s="7" t="s">
        <v>631</v>
      </c>
    </row>
    <row r="22" spans="1:3" x14ac:dyDescent="0.3">
      <c r="A22" s="7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Master Products</vt:lpstr>
      <vt:lpstr>RZ Pricelist</vt:lpstr>
      <vt:lpstr>Sales Log</vt:lpstr>
      <vt:lpstr>Sales Lines</vt:lpstr>
      <vt:lpstr>Stock Movements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Gardson Kawa Haule</dc:creator>
  <cp:lastModifiedBy>Gardson Kawa Haule</cp:lastModifiedBy>
  <dcterms:created xsi:type="dcterms:W3CDTF">2026-09-09T20:48:27Z</dcterms:created>
  <dcterms:modified xsi:type="dcterms:W3CDTF">2026-09-09T20:48:42Z</dcterms:modified>
</cp:coreProperties>
</file>