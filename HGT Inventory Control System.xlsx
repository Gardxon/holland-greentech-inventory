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Downloads\"/>
    </mc:Choice>
  </mc:AlternateContent>
  <xr:revisionPtr revIDLastSave="0" documentId="13_ncr:1_{DCAAE9E6-41A7-446E-8CB7-CF5139CFE56E}" xr6:coauthVersionLast="47" xr6:coauthVersionMax="47" xr10:uidLastSave="{00000000-0000-0000-0000-000000000000}"/>
  <bookViews>
    <workbookView xWindow="-108" yWindow="-108" windowWidth="23256" windowHeight="12456" tabRatio="500" firstSheet="12" activeTab="13" xr2:uid="{00000000-000D-0000-FFFF-FFFF00000000}"/>
  </bookViews>
  <sheets>
    <sheet name="README" sheetId="1" r:id="rId1"/>
    <sheet name="Dashboard" sheetId="2" r:id="rId2"/>
    <sheet name="Master Products" sheetId="3" r:id="rId3"/>
    <sheet name="26 june" sheetId="4" r:id="rId4"/>
    <sheet name="3-july2026" sheetId="5" r:id="rId5"/>
    <sheet name="10-JULY2026" sheetId="6" r:id="rId6"/>
    <sheet name="17-july2026" sheetId="7" r:id="rId7"/>
    <sheet name="24-july-2026" sheetId="8" r:id="rId8"/>
    <sheet name="31-july-2026" sheetId="9" r:id="rId9"/>
    <sheet name="8-august-2026" sheetId="10" r:id="rId10"/>
    <sheet name="15-august-2026" sheetId="11" r:id="rId11"/>
    <sheet name="21-AUGUST-2026" sheetId="12" r:id="rId12"/>
    <sheet name="29-AUGUST-2026" sheetId="20" r:id="rId13"/>
    <sheet name="5-SEPTEMBER-2026" sheetId="13" r:id="rId14"/>
    <sheet name="RECON 27-29 AUG" sheetId="15" r:id="rId15"/>
    <sheet name="ARUSHA RECON 27-29 AUG" sheetId="19" r:id="rId16"/>
  </sheets>
  <externalReferences>
    <externalReference r:id="rId17"/>
  </externalReferences>
  <definedNames>
    <definedName name="_xlnm._FilterDatabase" localSheetId="5" hidden="1">'10-JULY2026'!$A$2:$AJ$199</definedName>
    <definedName name="_xlnm._FilterDatabase" localSheetId="10" hidden="1">'15-august-2026'!$A$2:$AJ$199</definedName>
    <definedName name="_xlnm._FilterDatabase" localSheetId="6" hidden="1">'17-july2026'!$A$2:$AJ$199</definedName>
    <definedName name="_xlnm._FilterDatabase" localSheetId="7" hidden="1">'24-july-2026'!$A$2:$AJ$199</definedName>
    <definedName name="_xlnm._FilterDatabase" localSheetId="12" hidden="1">'29-AUGUST-2026'!$A$2:$AN$197</definedName>
    <definedName name="_xlnm._FilterDatabase" localSheetId="8" hidden="1">'31-july-2026'!$A$2:$AJ$199</definedName>
    <definedName name="_xlnm._FilterDatabase" localSheetId="4" hidden="1">'3-july2026'!$A$2:$AJ$199</definedName>
    <definedName name="_xlnm._FilterDatabase" localSheetId="13" hidden="1">'5-SEPTEMBER-2026'!$A$2:$AN$198</definedName>
    <definedName name="_xlnm._FilterDatabase" localSheetId="9" hidden="1">'8-august-2026'!$A$2:$AJ$199</definedName>
    <definedName name="_xlnm._FilterDatabase" localSheetId="14" hidden="1">'RECON 27-29 AUG'!$A$9:$L$204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7" i="13" l="1" a="1"/>
  <c r="F37" i="13" s="1"/>
  <c r="E45" i="13" a="1"/>
  <c r="E45" i="13" s="1"/>
  <c r="Y45" i="13" s="1"/>
  <c r="AM37" i="13"/>
  <c r="AJ37" i="13"/>
  <c r="AG37" i="13"/>
  <c r="AD37" i="13"/>
  <c r="Y37" i="13"/>
  <c r="W37" i="13"/>
  <c r="AA37" i="13" s="1"/>
  <c r="A198" i="15"/>
  <c r="B198" i="15"/>
  <c r="C198" i="15"/>
  <c r="E198" i="15"/>
  <c r="F198" i="15"/>
  <c r="G198" i="15"/>
  <c r="A199" i="15"/>
  <c r="B199" i="15"/>
  <c r="C199" i="15"/>
  <c r="E199" i="15"/>
  <c r="F199" i="15"/>
  <c r="G199" i="15"/>
  <c r="A200" i="15"/>
  <c r="B200" i="15"/>
  <c r="C200" i="15"/>
  <c r="E200" i="15"/>
  <c r="F200" i="15"/>
  <c r="G200" i="15"/>
  <c r="A201" i="15"/>
  <c r="B201" i="15"/>
  <c r="C201" i="15"/>
  <c r="E201" i="15"/>
  <c r="F201" i="15"/>
  <c r="G201" i="15"/>
  <c r="A202" i="15"/>
  <c r="B202" i="15"/>
  <c r="C202" i="15"/>
  <c r="E202" i="15"/>
  <c r="F202" i="15"/>
  <c r="G202" i="15"/>
  <c r="A203" i="15"/>
  <c r="B203" i="15"/>
  <c r="C203" i="15"/>
  <c r="E203" i="15"/>
  <c r="F203" i="15"/>
  <c r="G203" i="15"/>
  <c r="A204" i="15"/>
  <c r="B204" i="15"/>
  <c r="C204" i="15"/>
  <c r="E204" i="15"/>
  <c r="F204" i="15"/>
  <c r="G204" i="15"/>
  <c r="A10" i="15"/>
  <c r="B10" i="15"/>
  <c r="C10" i="15"/>
  <c r="D10" i="15"/>
  <c r="E10" i="15"/>
  <c r="F10" i="15"/>
  <c r="G10" i="15"/>
  <c r="A11" i="15"/>
  <c r="B11" i="15"/>
  <c r="C11" i="15"/>
  <c r="E11" i="15"/>
  <c r="F11" i="15"/>
  <c r="G11" i="15"/>
  <c r="A12" i="15"/>
  <c r="B12" i="15"/>
  <c r="C12" i="15"/>
  <c r="E12" i="15"/>
  <c r="F12" i="15"/>
  <c r="G12" i="15"/>
  <c r="A13" i="15"/>
  <c r="B13" i="15"/>
  <c r="C13" i="15"/>
  <c r="E13" i="15"/>
  <c r="F13" i="15"/>
  <c r="G13" i="15"/>
  <c r="A14" i="15"/>
  <c r="B14" i="15"/>
  <c r="C14" i="15"/>
  <c r="E14" i="15"/>
  <c r="F14" i="15"/>
  <c r="G14" i="15"/>
  <c r="A15" i="15"/>
  <c r="B15" i="15"/>
  <c r="C15" i="15"/>
  <c r="E15" i="15"/>
  <c r="F15" i="15"/>
  <c r="G15" i="15"/>
  <c r="A16" i="15"/>
  <c r="B16" i="15"/>
  <c r="C16" i="15"/>
  <c r="D16" i="15"/>
  <c r="E16" i="15"/>
  <c r="F16" i="15"/>
  <c r="G16" i="15"/>
  <c r="A17" i="15"/>
  <c r="B17" i="15"/>
  <c r="C17" i="15"/>
  <c r="E17" i="15"/>
  <c r="F17" i="15"/>
  <c r="G17" i="15"/>
  <c r="A18" i="15"/>
  <c r="B18" i="15"/>
  <c r="C18" i="15"/>
  <c r="E18" i="15"/>
  <c r="F18" i="15"/>
  <c r="G18" i="15"/>
  <c r="A19" i="15"/>
  <c r="B19" i="15"/>
  <c r="C19" i="15"/>
  <c r="E19" i="15"/>
  <c r="F19" i="15"/>
  <c r="G19" i="15"/>
  <c r="A20" i="15"/>
  <c r="B20" i="15"/>
  <c r="C20" i="15"/>
  <c r="E20" i="15"/>
  <c r="F20" i="15"/>
  <c r="G20" i="15"/>
  <c r="A21" i="15"/>
  <c r="B21" i="15"/>
  <c r="C21" i="15"/>
  <c r="E21" i="15"/>
  <c r="F21" i="15"/>
  <c r="G21" i="15"/>
  <c r="A22" i="15"/>
  <c r="B22" i="15"/>
  <c r="C22" i="15"/>
  <c r="E22" i="15"/>
  <c r="F22" i="15"/>
  <c r="G22" i="15"/>
  <c r="A23" i="15"/>
  <c r="B23" i="15"/>
  <c r="C23" i="15"/>
  <c r="E23" i="15"/>
  <c r="F23" i="15"/>
  <c r="G23" i="15"/>
  <c r="A24" i="15"/>
  <c r="B24" i="15"/>
  <c r="C24" i="15"/>
  <c r="E24" i="15"/>
  <c r="F24" i="15"/>
  <c r="G24" i="15"/>
  <c r="A25" i="15"/>
  <c r="B25" i="15"/>
  <c r="C25" i="15"/>
  <c r="E25" i="15"/>
  <c r="F25" i="15"/>
  <c r="G25" i="15"/>
  <c r="A26" i="15"/>
  <c r="B26" i="15"/>
  <c r="C26" i="15"/>
  <c r="E26" i="15"/>
  <c r="F26" i="15"/>
  <c r="G26" i="15"/>
  <c r="A27" i="15"/>
  <c r="B27" i="15"/>
  <c r="C27" i="15"/>
  <c r="E27" i="15"/>
  <c r="F27" i="15"/>
  <c r="G27" i="15"/>
  <c r="A28" i="15"/>
  <c r="B28" i="15"/>
  <c r="C28" i="15"/>
  <c r="E28" i="15"/>
  <c r="F28" i="15"/>
  <c r="G28" i="15"/>
  <c r="A29" i="15"/>
  <c r="B29" i="15"/>
  <c r="C29" i="15"/>
  <c r="E29" i="15"/>
  <c r="F29" i="15"/>
  <c r="G29" i="15"/>
  <c r="A30" i="15"/>
  <c r="B30" i="15"/>
  <c r="C30" i="15"/>
  <c r="E30" i="15"/>
  <c r="F30" i="15"/>
  <c r="G30" i="15"/>
  <c r="A31" i="15"/>
  <c r="B31" i="15"/>
  <c r="C31" i="15"/>
  <c r="E31" i="15"/>
  <c r="F31" i="15"/>
  <c r="G31" i="15"/>
  <c r="A32" i="15"/>
  <c r="B32" i="15"/>
  <c r="C32" i="15"/>
  <c r="E32" i="15"/>
  <c r="F32" i="15"/>
  <c r="G32" i="15"/>
  <c r="A33" i="15"/>
  <c r="B33" i="15"/>
  <c r="C33" i="15"/>
  <c r="E33" i="15"/>
  <c r="F33" i="15"/>
  <c r="G33" i="15"/>
  <c r="A34" i="15"/>
  <c r="B34" i="15"/>
  <c r="C34" i="15"/>
  <c r="E34" i="15"/>
  <c r="F34" i="15"/>
  <c r="G34" i="15"/>
  <c r="A35" i="15"/>
  <c r="B35" i="15"/>
  <c r="C35" i="15"/>
  <c r="E35" i="15"/>
  <c r="F35" i="15"/>
  <c r="G35" i="15"/>
  <c r="A36" i="15"/>
  <c r="B36" i="15"/>
  <c r="C36" i="15"/>
  <c r="E36" i="15"/>
  <c r="F36" i="15"/>
  <c r="G36" i="15"/>
  <c r="A37" i="15"/>
  <c r="B37" i="15"/>
  <c r="C37" i="15"/>
  <c r="E37" i="15"/>
  <c r="F37" i="15"/>
  <c r="G37" i="15"/>
  <c r="A38" i="15"/>
  <c r="B38" i="15"/>
  <c r="C38" i="15"/>
  <c r="E38" i="15"/>
  <c r="F38" i="15"/>
  <c r="G38" i="15"/>
  <c r="A39" i="15"/>
  <c r="B39" i="15"/>
  <c r="C39" i="15"/>
  <c r="E39" i="15"/>
  <c r="F39" i="15"/>
  <c r="G39" i="15"/>
  <c r="A40" i="15"/>
  <c r="B40" i="15"/>
  <c r="C40" i="15"/>
  <c r="E40" i="15"/>
  <c r="F40" i="15"/>
  <c r="G40" i="15"/>
  <c r="A41" i="15"/>
  <c r="B41" i="15"/>
  <c r="C41" i="15"/>
  <c r="E41" i="15"/>
  <c r="F41" i="15"/>
  <c r="G41" i="15"/>
  <c r="A42" i="15"/>
  <c r="B42" i="15"/>
  <c r="C42" i="15"/>
  <c r="E42" i="15"/>
  <c r="F42" i="15"/>
  <c r="G42" i="15"/>
  <c r="A43" i="15"/>
  <c r="B43" i="15"/>
  <c r="C43" i="15"/>
  <c r="E43" i="15"/>
  <c r="F43" i="15"/>
  <c r="G43" i="15"/>
  <c r="A44" i="15"/>
  <c r="B44" i="15"/>
  <c r="C44" i="15"/>
  <c r="E44" i="15"/>
  <c r="F44" i="15"/>
  <c r="G44" i="15"/>
  <c r="A45" i="15"/>
  <c r="B45" i="15"/>
  <c r="C45" i="15"/>
  <c r="E45" i="15"/>
  <c r="F45" i="15"/>
  <c r="G45" i="15"/>
  <c r="A46" i="15"/>
  <c r="B46" i="15"/>
  <c r="C46" i="15"/>
  <c r="E46" i="15"/>
  <c r="F46" i="15"/>
  <c r="G46" i="15"/>
  <c r="A47" i="15"/>
  <c r="B47" i="15"/>
  <c r="C47" i="15"/>
  <c r="E47" i="15"/>
  <c r="F47" i="15"/>
  <c r="G47" i="15"/>
  <c r="A48" i="15"/>
  <c r="B48" i="15"/>
  <c r="C48" i="15"/>
  <c r="E48" i="15"/>
  <c r="F48" i="15"/>
  <c r="G48" i="15"/>
  <c r="A49" i="15"/>
  <c r="B49" i="15"/>
  <c r="C49" i="15"/>
  <c r="E49" i="15"/>
  <c r="F49" i="15"/>
  <c r="G49" i="15"/>
  <c r="A50" i="15"/>
  <c r="B50" i="15"/>
  <c r="C50" i="15"/>
  <c r="E50" i="15"/>
  <c r="F50" i="15"/>
  <c r="G50" i="15"/>
  <c r="A51" i="15"/>
  <c r="B51" i="15"/>
  <c r="C51" i="15"/>
  <c r="D51" i="15"/>
  <c r="E51" i="15"/>
  <c r="F51" i="15"/>
  <c r="G51" i="15"/>
  <c r="H51" i="15"/>
  <c r="A52" i="15"/>
  <c r="B52" i="15"/>
  <c r="C52" i="15"/>
  <c r="E52" i="15"/>
  <c r="F52" i="15"/>
  <c r="G52" i="15"/>
  <c r="A53" i="15"/>
  <c r="B53" i="15"/>
  <c r="C53" i="15"/>
  <c r="E53" i="15"/>
  <c r="F53" i="15"/>
  <c r="G53" i="15"/>
  <c r="A54" i="15"/>
  <c r="B54" i="15"/>
  <c r="C54" i="15"/>
  <c r="E54" i="15"/>
  <c r="F54" i="15"/>
  <c r="G54" i="15"/>
  <c r="A55" i="15"/>
  <c r="B55" i="15"/>
  <c r="C55" i="15"/>
  <c r="D55" i="15"/>
  <c r="E55" i="15"/>
  <c r="F55" i="15"/>
  <c r="G55" i="15"/>
  <c r="A56" i="15"/>
  <c r="B56" i="15"/>
  <c r="C56" i="15"/>
  <c r="E56" i="15"/>
  <c r="F56" i="15"/>
  <c r="G56" i="15"/>
  <c r="A57" i="15"/>
  <c r="B57" i="15"/>
  <c r="C57" i="15"/>
  <c r="E57" i="15"/>
  <c r="F57" i="15"/>
  <c r="G57" i="15"/>
  <c r="A58" i="15"/>
  <c r="B58" i="15"/>
  <c r="C58" i="15"/>
  <c r="E58" i="15"/>
  <c r="F58" i="15"/>
  <c r="G58" i="15"/>
  <c r="A59" i="15"/>
  <c r="B59" i="15"/>
  <c r="C59" i="15"/>
  <c r="E59" i="15"/>
  <c r="F59" i="15"/>
  <c r="G59" i="15"/>
  <c r="A60" i="15"/>
  <c r="B60" i="15"/>
  <c r="C60" i="15"/>
  <c r="E60" i="15"/>
  <c r="F60" i="15"/>
  <c r="G60" i="15"/>
  <c r="A61" i="15"/>
  <c r="B61" i="15"/>
  <c r="C61" i="15"/>
  <c r="E61" i="15"/>
  <c r="F61" i="15"/>
  <c r="G61" i="15"/>
  <c r="A62" i="15"/>
  <c r="B62" i="15"/>
  <c r="C62" i="15"/>
  <c r="E62" i="15"/>
  <c r="F62" i="15"/>
  <c r="G62" i="15"/>
  <c r="A63" i="15"/>
  <c r="B63" i="15"/>
  <c r="C63" i="15"/>
  <c r="E63" i="15"/>
  <c r="F63" i="15"/>
  <c r="G63" i="15"/>
  <c r="A64" i="15"/>
  <c r="B64" i="15"/>
  <c r="C64" i="15"/>
  <c r="E64" i="15"/>
  <c r="F64" i="15"/>
  <c r="G64" i="15"/>
  <c r="A65" i="15"/>
  <c r="B65" i="15"/>
  <c r="C65" i="15"/>
  <c r="E65" i="15"/>
  <c r="F65" i="15"/>
  <c r="G65" i="15"/>
  <c r="A66" i="15"/>
  <c r="B66" i="15"/>
  <c r="C66" i="15"/>
  <c r="D66" i="15"/>
  <c r="E66" i="15"/>
  <c r="F66" i="15"/>
  <c r="G66" i="15"/>
  <c r="A67" i="15"/>
  <c r="B67" i="15"/>
  <c r="C67" i="15"/>
  <c r="E67" i="15"/>
  <c r="F67" i="15"/>
  <c r="G67" i="15"/>
  <c r="A68" i="15"/>
  <c r="B68" i="15"/>
  <c r="C68" i="15"/>
  <c r="E68" i="15"/>
  <c r="F68" i="15"/>
  <c r="G68" i="15"/>
  <c r="A69" i="15"/>
  <c r="B69" i="15"/>
  <c r="C69" i="15"/>
  <c r="E69" i="15"/>
  <c r="F69" i="15"/>
  <c r="G69" i="15"/>
  <c r="A70" i="15"/>
  <c r="B70" i="15"/>
  <c r="C70" i="15"/>
  <c r="E70" i="15"/>
  <c r="F70" i="15"/>
  <c r="G70" i="15"/>
  <c r="A71" i="15"/>
  <c r="B71" i="15"/>
  <c r="C71" i="15"/>
  <c r="E71" i="15"/>
  <c r="F71" i="15"/>
  <c r="G71" i="15"/>
  <c r="A72" i="15"/>
  <c r="B72" i="15"/>
  <c r="C72" i="15"/>
  <c r="E72" i="15"/>
  <c r="F72" i="15"/>
  <c r="G72" i="15"/>
  <c r="A73" i="15"/>
  <c r="B73" i="15"/>
  <c r="C73" i="15"/>
  <c r="E73" i="15"/>
  <c r="F73" i="15"/>
  <c r="G73" i="15"/>
  <c r="A74" i="15"/>
  <c r="B74" i="15"/>
  <c r="C74" i="15"/>
  <c r="E74" i="15"/>
  <c r="F74" i="15"/>
  <c r="G74" i="15"/>
  <c r="A75" i="15"/>
  <c r="B75" i="15"/>
  <c r="C75" i="15"/>
  <c r="E75" i="15"/>
  <c r="F75" i="15"/>
  <c r="G75" i="15"/>
  <c r="A76" i="15"/>
  <c r="B76" i="15"/>
  <c r="C76" i="15"/>
  <c r="E76" i="15"/>
  <c r="F76" i="15"/>
  <c r="G76" i="15"/>
  <c r="A77" i="15"/>
  <c r="B77" i="15"/>
  <c r="C77" i="15"/>
  <c r="E77" i="15"/>
  <c r="F77" i="15"/>
  <c r="G77" i="15"/>
  <c r="A78" i="15"/>
  <c r="B78" i="15"/>
  <c r="C78" i="15"/>
  <c r="E78" i="15"/>
  <c r="F78" i="15"/>
  <c r="G78" i="15"/>
  <c r="A79" i="15"/>
  <c r="B79" i="15"/>
  <c r="C79" i="15"/>
  <c r="D79" i="15"/>
  <c r="E79" i="15"/>
  <c r="F79" i="15"/>
  <c r="G79" i="15"/>
  <c r="A80" i="15"/>
  <c r="B80" i="15"/>
  <c r="C80" i="15"/>
  <c r="E80" i="15"/>
  <c r="F80" i="15"/>
  <c r="G80" i="15"/>
  <c r="A81" i="15"/>
  <c r="B81" i="15"/>
  <c r="C81" i="15"/>
  <c r="E81" i="15"/>
  <c r="F81" i="15"/>
  <c r="G81" i="15"/>
  <c r="A82" i="15"/>
  <c r="B82" i="15"/>
  <c r="C82" i="15"/>
  <c r="E82" i="15"/>
  <c r="F82" i="15"/>
  <c r="G82" i="15"/>
  <c r="A83" i="15"/>
  <c r="B83" i="15"/>
  <c r="C83" i="15"/>
  <c r="E83" i="15"/>
  <c r="F83" i="15"/>
  <c r="G83" i="15"/>
  <c r="A84" i="15"/>
  <c r="B84" i="15"/>
  <c r="C84" i="15"/>
  <c r="E84" i="15"/>
  <c r="F84" i="15"/>
  <c r="G84" i="15"/>
  <c r="A85" i="15"/>
  <c r="B85" i="15"/>
  <c r="C85" i="15"/>
  <c r="E85" i="15"/>
  <c r="F85" i="15"/>
  <c r="G85" i="15"/>
  <c r="A86" i="15"/>
  <c r="B86" i="15"/>
  <c r="C86" i="15"/>
  <c r="E86" i="15"/>
  <c r="F86" i="15"/>
  <c r="G86" i="15"/>
  <c r="A87" i="15"/>
  <c r="B87" i="15"/>
  <c r="C87" i="15"/>
  <c r="E87" i="15"/>
  <c r="F87" i="15"/>
  <c r="G87" i="15"/>
  <c r="A88" i="15"/>
  <c r="B88" i="15"/>
  <c r="C88" i="15"/>
  <c r="E88" i="15"/>
  <c r="F88" i="15"/>
  <c r="G88" i="15"/>
  <c r="A89" i="15"/>
  <c r="B89" i="15"/>
  <c r="C89" i="15"/>
  <c r="E89" i="15"/>
  <c r="F89" i="15"/>
  <c r="G89" i="15"/>
  <c r="A90" i="15"/>
  <c r="B90" i="15"/>
  <c r="C90" i="15"/>
  <c r="E90" i="15"/>
  <c r="F90" i="15"/>
  <c r="G90" i="15"/>
  <c r="A91" i="15"/>
  <c r="B91" i="15"/>
  <c r="C91" i="15"/>
  <c r="E91" i="15"/>
  <c r="F91" i="15"/>
  <c r="G91" i="15"/>
  <c r="A92" i="15"/>
  <c r="B92" i="15"/>
  <c r="C92" i="15"/>
  <c r="E92" i="15"/>
  <c r="F92" i="15"/>
  <c r="G92" i="15"/>
  <c r="A93" i="15"/>
  <c r="B93" i="15"/>
  <c r="C93" i="15"/>
  <c r="E93" i="15"/>
  <c r="F93" i="15"/>
  <c r="G93" i="15"/>
  <c r="A94" i="15"/>
  <c r="B94" i="15"/>
  <c r="C94" i="15"/>
  <c r="E94" i="15"/>
  <c r="F94" i="15"/>
  <c r="G94" i="15"/>
  <c r="A95" i="15"/>
  <c r="B95" i="15"/>
  <c r="C95" i="15"/>
  <c r="E95" i="15"/>
  <c r="F95" i="15"/>
  <c r="G95" i="15"/>
  <c r="A96" i="15"/>
  <c r="B96" i="15"/>
  <c r="C96" i="15"/>
  <c r="D96" i="15"/>
  <c r="E96" i="15"/>
  <c r="F96" i="15"/>
  <c r="G96" i="15"/>
  <c r="A97" i="15"/>
  <c r="B97" i="15"/>
  <c r="C97" i="15"/>
  <c r="E97" i="15"/>
  <c r="F97" i="15"/>
  <c r="G97" i="15"/>
  <c r="A98" i="15"/>
  <c r="B98" i="15"/>
  <c r="C98" i="15"/>
  <c r="E98" i="15"/>
  <c r="F98" i="15"/>
  <c r="G98" i="15"/>
  <c r="A99" i="15"/>
  <c r="B99" i="15"/>
  <c r="C99" i="15"/>
  <c r="E99" i="15"/>
  <c r="F99" i="15"/>
  <c r="G99" i="15"/>
  <c r="A100" i="15"/>
  <c r="B100" i="15"/>
  <c r="C100" i="15"/>
  <c r="E100" i="15"/>
  <c r="F100" i="15"/>
  <c r="G100" i="15"/>
  <c r="A101" i="15"/>
  <c r="B101" i="15"/>
  <c r="C101" i="15"/>
  <c r="E101" i="15"/>
  <c r="F101" i="15"/>
  <c r="G101" i="15"/>
  <c r="A102" i="15"/>
  <c r="B102" i="15"/>
  <c r="C102" i="15"/>
  <c r="E102" i="15"/>
  <c r="F102" i="15"/>
  <c r="G102" i="15"/>
  <c r="A103" i="15"/>
  <c r="I103" i="15" s="1"/>
  <c r="B103" i="15"/>
  <c r="C103" i="15"/>
  <c r="E103" i="15"/>
  <c r="F103" i="15"/>
  <c r="G103" i="15"/>
  <c r="A104" i="15"/>
  <c r="B104" i="15"/>
  <c r="C104" i="15"/>
  <c r="E104" i="15"/>
  <c r="F104" i="15"/>
  <c r="G104" i="15"/>
  <c r="A105" i="15"/>
  <c r="B105" i="15"/>
  <c r="C105" i="15"/>
  <c r="E105" i="15"/>
  <c r="F105" i="15"/>
  <c r="G105" i="15"/>
  <c r="A106" i="15"/>
  <c r="B106" i="15"/>
  <c r="C106" i="15"/>
  <c r="E106" i="15"/>
  <c r="F106" i="15"/>
  <c r="G106" i="15"/>
  <c r="A107" i="15"/>
  <c r="B107" i="15"/>
  <c r="C107" i="15"/>
  <c r="E107" i="15"/>
  <c r="F107" i="15"/>
  <c r="G107" i="15"/>
  <c r="A108" i="15"/>
  <c r="B108" i="15"/>
  <c r="C108" i="15"/>
  <c r="E108" i="15"/>
  <c r="F108" i="15"/>
  <c r="G108" i="15"/>
  <c r="A109" i="15"/>
  <c r="B109" i="15"/>
  <c r="C109" i="15"/>
  <c r="E109" i="15"/>
  <c r="F109" i="15"/>
  <c r="G109" i="15"/>
  <c r="A110" i="15"/>
  <c r="B110" i="15"/>
  <c r="C110" i="15"/>
  <c r="E110" i="15"/>
  <c r="F110" i="15"/>
  <c r="G110" i="15"/>
  <c r="A111" i="15"/>
  <c r="B111" i="15"/>
  <c r="C111" i="15"/>
  <c r="E111" i="15"/>
  <c r="F111" i="15"/>
  <c r="G111" i="15"/>
  <c r="A112" i="15"/>
  <c r="B112" i="15"/>
  <c r="C112" i="15"/>
  <c r="E112" i="15"/>
  <c r="F112" i="15"/>
  <c r="G112" i="15"/>
  <c r="A113" i="15"/>
  <c r="B113" i="15"/>
  <c r="C113" i="15"/>
  <c r="E113" i="15"/>
  <c r="F113" i="15"/>
  <c r="G113" i="15"/>
  <c r="A114" i="15"/>
  <c r="B114" i="15"/>
  <c r="C114" i="15"/>
  <c r="E114" i="15"/>
  <c r="F114" i="15"/>
  <c r="G114" i="15"/>
  <c r="A115" i="15"/>
  <c r="I115" i="15" s="1"/>
  <c r="B115" i="15"/>
  <c r="C115" i="15"/>
  <c r="E115" i="15"/>
  <c r="F115" i="15"/>
  <c r="G115" i="15"/>
  <c r="A116" i="15"/>
  <c r="B116" i="15"/>
  <c r="C116" i="15"/>
  <c r="E116" i="15"/>
  <c r="F116" i="15"/>
  <c r="G116" i="15"/>
  <c r="A117" i="15"/>
  <c r="B117" i="15"/>
  <c r="C117" i="15"/>
  <c r="E117" i="15"/>
  <c r="F117" i="15"/>
  <c r="G117" i="15"/>
  <c r="A118" i="15"/>
  <c r="B118" i="15"/>
  <c r="C118" i="15"/>
  <c r="E118" i="15"/>
  <c r="F118" i="15"/>
  <c r="G118" i="15"/>
  <c r="A119" i="15"/>
  <c r="B119" i="15"/>
  <c r="C119" i="15"/>
  <c r="E119" i="15"/>
  <c r="F119" i="15"/>
  <c r="G119" i="15"/>
  <c r="A120" i="15"/>
  <c r="B120" i="15"/>
  <c r="C120" i="15"/>
  <c r="E120" i="15"/>
  <c r="F120" i="15"/>
  <c r="G120" i="15"/>
  <c r="A121" i="15"/>
  <c r="B121" i="15"/>
  <c r="C121" i="15"/>
  <c r="E121" i="15"/>
  <c r="F121" i="15"/>
  <c r="G121" i="15"/>
  <c r="A122" i="15"/>
  <c r="B122" i="15"/>
  <c r="C122" i="15"/>
  <c r="E122" i="15"/>
  <c r="F122" i="15"/>
  <c r="G122" i="15"/>
  <c r="A123" i="15"/>
  <c r="B123" i="15"/>
  <c r="C123" i="15"/>
  <c r="E123" i="15"/>
  <c r="F123" i="15"/>
  <c r="G123" i="15"/>
  <c r="A124" i="15"/>
  <c r="B124" i="15"/>
  <c r="C124" i="15"/>
  <c r="E124" i="15"/>
  <c r="F124" i="15"/>
  <c r="G124" i="15"/>
  <c r="A125" i="15"/>
  <c r="B125" i="15"/>
  <c r="C125" i="15"/>
  <c r="E125" i="15"/>
  <c r="F125" i="15"/>
  <c r="G125" i="15"/>
  <c r="A126" i="15"/>
  <c r="B126" i="15"/>
  <c r="C126" i="15"/>
  <c r="E126" i="15"/>
  <c r="F126" i="15"/>
  <c r="G126" i="15"/>
  <c r="A127" i="15"/>
  <c r="B127" i="15"/>
  <c r="C127" i="15"/>
  <c r="E127" i="15"/>
  <c r="F127" i="15"/>
  <c r="G127" i="15"/>
  <c r="A128" i="15"/>
  <c r="B128" i="15"/>
  <c r="C128" i="15"/>
  <c r="E128" i="15"/>
  <c r="F128" i="15"/>
  <c r="G128" i="15"/>
  <c r="A129" i="15"/>
  <c r="B129" i="15"/>
  <c r="C129" i="15"/>
  <c r="E129" i="15"/>
  <c r="F129" i="15"/>
  <c r="G129" i="15"/>
  <c r="A130" i="15"/>
  <c r="B130" i="15"/>
  <c r="C130" i="15"/>
  <c r="E130" i="15"/>
  <c r="F130" i="15"/>
  <c r="G130" i="15"/>
  <c r="A131" i="15"/>
  <c r="B131" i="15"/>
  <c r="C131" i="15"/>
  <c r="E131" i="15"/>
  <c r="F131" i="15"/>
  <c r="G131" i="15"/>
  <c r="A132" i="15"/>
  <c r="B132" i="15"/>
  <c r="C132" i="15"/>
  <c r="E132" i="15"/>
  <c r="F132" i="15"/>
  <c r="G132" i="15"/>
  <c r="A133" i="15"/>
  <c r="B133" i="15"/>
  <c r="C133" i="15"/>
  <c r="E133" i="15"/>
  <c r="F133" i="15"/>
  <c r="G133" i="15"/>
  <c r="A134" i="15"/>
  <c r="B134" i="15"/>
  <c r="C134" i="15"/>
  <c r="E134" i="15"/>
  <c r="F134" i="15"/>
  <c r="G134" i="15"/>
  <c r="A135" i="15"/>
  <c r="B135" i="15"/>
  <c r="C135" i="15"/>
  <c r="E135" i="15"/>
  <c r="F135" i="15"/>
  <c r="G135" i="15"/>
  <c r="A136" i="15"/>
  <c r="B136" i="15"/>
  <c r="C136" i="15"/>
  <c r="E136" i="15"/>
  <c r="F136" i="15"/>
  <c r="G136" i="15"/>
  <c r="A137" i="15"/>
  <c r="B137" i="15"/>
  <c r="C137" i="15"/>
  <c r="E137" i="15"/>
  <c r="F137" i="15"/>
  <c r="G137" i="15"/>
  <c r="A138" i="15"/>
  <c r="B138" i="15"/>
  <c r="C138" i="15"/>
  <c r="E138" i="15"/>
  <c r="F138" i="15"/>
  <c r="G138" i="15"/>
  <c r="A139" i="15"/>
  <c r="B139" i="15"/>
  <c r="C139" i="15"/>
  <c r="E139" i="15"/>
  <c r="F139" i="15"/>
  <c r="G139" i="15"/>
  <c r="A140" i="15"/>
  <c r="B140" i="15"/>
  <c r="C140" i="15"/>
  <c r="E140" i="15"/>
  <c r="F140" i="15"/>
  <c r="G140" i="15"/>
  <c r="A141" i="15"/>
  <c r="B141" i="15"/>
  <c r="C141" i="15"/>
  <c r="E141" i="15"/>
  <c r="F141" i="15"/>
  <c r="G141" i="15"/>
  <c r="A142" i="15"/>
  <c r="B142" i="15"/>
  <c r="C142" i="15"/>
  <c r="E142" i="15"/>
  <c r="F142" i="15"/>
  <c r="G142" i="15"/>
  <c r="A143" i="15"/>
  <c r="B143" i="15"/>
  <c r="C143" i="15"/>
  <c r="E143" i="15"/>
  <c r="F143" i="15"/>
  <c r="G143" i="15"/>
  <c r="A144" i="15"/>
  <c r="B144" i="15"/>
  <c r="C144" i="15"/>
  <c r="E144" i="15"/>
  <c r="F144" i="15"/>
  <c r="G144" i="15"/>
  <c r="A145" i="15"/>
  <c r="I145" i="15" s="1"/>
  <c r="B145" i="15"/>
  <c r="C145" i="15"/>
  <c r="E145" i="15"/>
  <c r="F145" i="15"/>
  <c r="G145" i="15"/>
  <c r="A146" i="15"/>
  <c r="B146" i="15"/>
  <c r="C146" i="15"/>
  <c r="E146" i="15"/>
  <c r="F146" i="15"/>
  <c r="G146" i="15"/>
  <c r="A147" i="15"/>
  <c r="B147" i="15"/>
  <c r="C147" i="15"/>
  <c r="E147" i="15"/>
  <c r="F147" i="15"/>
  <c r="G147" i="15"/>
  <c r="A148" i="15"/>
  <c r="B148" i="15"/>
  <c r="C148" i="15"/>
  <c r="E148" i="15"/>
  <c r="F148" i="15"/>
  <c r="G148" i="15"/>
  <c r="A149" i="15"/>
  <c r="B149" i="15"/>
  <c r="C149" i="15"/>
  <c r="E149" i="15"/>
  <c r="F149" i="15"/>
  <c r="G149" i="15"/>
  <c r="A150" i="15"/>
  <c r="B150" i="15"/>
  <c r="C150" i="15"/>
  <c r="E150" i="15"/>
  <c r="F150" i="15"/>
  <c r="G150" i="15"/>
  <c r="A151" i="15"/>
  <c r="I151" i="15" s="1"/>
  <c r="B151" i="15"/>
  <c r="C151" i="15"/>
  <c r="E151" i="15"/>
  <c r="F151" i="15"/>
  <c r="G151" i="15"/>
  <c r="A152" i="15"/>
  <c r="B152" i="15"/>
  <c r="C152" i="15"/>
  <c r="E152" i="15"/>
  <c r="F152" i="15"/>
  <c r="G152" i="15"/>
  <c r="A153" i="15"/>
  <c r="B153" i="15"/>
  <c r="C153" i="15"/>
  <c r="E153" i="15"/>
  <c r="F153" i="15"/>
  <c r="G153" i="15"/>
  <c r="A154" i="15"/>
  <c r="B154" i="15"/>
  <c r="C154" i="15"/>
  <c r="E154" i="15"/>
  <c r="F154" i="15"/>
  <c r="G154" i="15"/>
  <c r="A155" i="15"/>
  <c r="B155" i="15"/>
  <c r="C155" i="15"/>
  <c r="E155" i="15"/>
  <c r="F155" i="15"/>
  <c r="G155" i="15"/>
  <c r="A156" i="15"/>
  <c r="B156" i="15"/>
  <c r="C156" i="15"/>
  <c r="E156" i="15"/>
  <c r="F156" i="15"/>
  <c r="G156" i="15"/>
  <c r="A157" i="15"/>
  <c r="B157" i="15"/>
  <c r="C157" i="15"/>
  <c r="E157" i="15"/>
  <c r="F157" i="15"/>
  <c r="G157" i="15"/>
  <c r="A158" i="15"/>
  <c r="B158" i="15"/>
  <c r="C158" i="15"/>
  <c r="E158" i="15"/>
  <c r="F158" i="15"/>
  <c r="G158" i="15"/>
  <c r="A159" i="15"/>
  <c r="B159" i="15"/>
  <c r="C159" i="15"/>
  <c r="E159" i="15"/>
  <c r="F159" i="15"/>
  <c r="G159" i="15"/>
  <c r="A160" i="15"/>
  <c r="B160" i="15"/>
  <c r="C160" i="15"/>
  <c r="E160" i="15"/>
  <c r="F160" i="15"/>
  <c r="G160" i="15"/>
  <c r="A161" i="15"/>
  <c r="B161" i="15"/>
  <c r="C161" i="15"/>
  <c r="E161" i="15"/>
  <c r="F161" i="15"/>
  <c r="G161" i="15"/>
  <c r="A162" i="15"/>
  <c r="B162" i="15"/>
  <c r="C162" i="15"/>
  <c r="E162" i="15"/>
  <c r="F162" i="15"/>
  <c r="G162" i="15"/>
  <c r="A163" i="15"/>
  <c r="B163" i="15"/>
  <c r="C163" i="15"/>
  <c r="E163" i="15"/>
  <c r="F163" i="15"/>
  <c r="G163" i="15"/>
  <c r="A164" i="15"/>
  <c r="B164" i="15"/>
  <c r="C164" i="15"/>
  <c r="E164" i="15"/>
  <c r="F164" i="15"/>
  <c r="G164" i="15"/>
  <c r="A165" i="15"/>
  <c r="B165" i="15"/>
  <c r="C165" i="15"/>
  <c r="E165" i="15"/>
  <c r="F165" i="15"/>
  <c r="G165" i="15"/>
  <c r="A166" i="15"/>
  <c r="B166" i="15"/>
  <c r="C166" i="15"/>
  <c r="E166" i="15"/>
  <c r="F166" i="15"/>
  <c r="G166" i="15"/>
  <c r="A167" i="15"/>
  <c r="B167" i="15"/>
  <c r="C167" i="15"/>
  <c r="E167" i="15"/>
  <c r="F167" i="15"/>
  <c r="G167" i="15"/>
  <c r="A168" i="15"/>
  <c r="B168" i="15"/>
  <c r="C168" i="15"/>
  <c r="E168" i="15"/>
  <c r="F168" i="15"/>
  <c r="G168" i="15"/>
  <c r="A169" i="15"/>
  <c r="B169" i="15"/>
  <c r="C169" i="15"/>
  <c r="E169" i="15"/>
  <c r="F169" i="15"/>
  <c r="G169" i="15"/>
  <c r="A170" i="15"/>
  <c r="B170" i="15"/>
  <c r="C170" i="15"/>
  <c r="E170" i="15"/>
  <c r="F170" i="15"/>
  <c r="G170" i="15"/>
  <c r="A171" i="15"/>
  <c r="B171" i="15"/>
  <c r="C171" i="15"/>
  <c r="E171" i="15"/>
  <c r="F171" i="15"/>
  <c r="G171" i="15"/>
  <c r="A172" i="15"/>
  <c r="B172" i="15"/>
  <c r="C172" i="15"/>
  <c r="E172" i="15"/>
  <c r="F172" i="15"/>
  <c r="G172" i="15"/>
  <c r="A173" i="15"/>
  <c r="B173" i="15"/>
  <c r="C173" i="15"/>
  <c r="E173" i="15"/>
  <c r="F173" i="15"/>
  <c r="G173" i="15"/>
  <c r="A174" i="15"/>
  <c r="B174" i="15"/>
  <c r="C174" i="15"/>
  <c r="E174" i="15"/>
  <c r="F174" i="15"/>
  <c r="G174" i="15"/>
  <c r="A175" i="15"/>
  <c r="B175" i="15"/>
  <c r="C175" i="15"/>
  <c r="E175" i="15"/>
  <c r="F175" i="15"/>
  <c r="G175" i="15"/>
  <c r="A176" i="15"/>
  <c r="B176" i="15"/>
  <c r="C176" i="15"/>
  <c r="E176" i="15"/>
  <c r="F176" i="15"/>
  <c r="G176" i="15"/>
  <c r="A177" i="15"/>
  <c r="B177" i="15"/>
  <c r="C177" i="15"/>
  <c r="E177" i="15"/>
  <c r="F177" i="15"/>
  <c r="G177" i="15"/>
  <c r="A178" i="15"/>
  <c r="B178" i="15"/>
  <c r="C178" i="15"/>
  <c r="E178" i="15"/>
  <c r="F178" i="15"/>
  <c r="G178" i="15"/>
  <c r="A179" i="15"/>
  <c r="B179" i="15"/>
  <c r="C179" i="15"/>
  <c r="E179" i="15"/>
  <c r="F179" i="15"/>
  <c r="G179" i="15"/>
  <c r="A180" i="15"/>
  <c r="B180" i="15"/>
  <c r="C180" i="15"/>
  <c r="E180" i="15"/>
  <c r="F180" i="15"/>
  <c r="G180" i="15"/>
  <c r="A181" i="15"/>
  <c r="B181" i="15"/>
  <c r="C181" i="15"/>
  <c r="E181" i="15"/>
  <c r="F181" i="15"/>
  <c r="G181" i="15"/>
  <c r="A182" i="15"/>
  <c r="B182" i="15"/>
  <c r="C182" i="15"/>
  <c r="E182" i="15"/>
  <c r="F182" i="15"/>
  <c r="G182" i="15"/>
  <c r="A183" i="15"/>
  <c r="B183" i="15"/>
  <c r="C183" i="15"/>
  <c r="E183" i="15"/>
  <c r="F183" i="15"/>
  <c r="G183" i="15"/>
  <c r="A184" i="15"/>
  <c r="B184" i="15"/>
  <c r="C184" i="15"/>
  <c r="E184" i="15"/>
  <c r="F184" i="15"/>
  <c r="G184" i="15"/>
  <c r="A185" i="15"/>
  <c r="B185" i="15"/>
  <c r="C185" i="15"/>
  <c r="E185" i="15"/>
  <c r="F185" i="15"/>
  <c r="G185" i="15"/>
  <c r="A186" i="15"/>
  <c r="B186" i="15"/>
  <c r="C186" i="15"/>
  <c r="E186" i="15"/>
  <c r="F186" i="15"/>
  <c r="G186" i="15"/>
  <c r="A187" i="15"/>
  <c r="B187" i="15"/>
  <c r="C187" i="15"/>
  <c r="E187" i="15"/>
  <c r="F187" i="15"/>
  <c r="G187" i="15"/>
  <c r="A188" i="15"/>
  <c r="B188" i="15"/>
  <c r="C188" i="15"/>
  <c r="E188" i="15"/>
  <c r="F188" i="15"/>
  <c r="G188" i="15"/>
  <c r="A189" i="15"/>
  <c r="B189" i="15"/>
  <c r="C189" i="15"/>
  <c r="E189" i="15"/>
  <c r="F189" i="15"/>
  <c r="G189" i="15"/>
  <c r="A190" i="15"/>
  <c r="B190" i="15"/>
  <c r="C190" i="15"/>
  <c r="E190" i="15"/>
  <c r="F190" i="15"/>
  <c r="G190" i="15"/>
  <c r="A191" i="15"/>
  <c r="B191" i="15"/>
  <c r="C191" i="15"/>
  <c r="E191" i="15"/>
  <c r="F191" i="15"/>
  <c r="G191" i="15"/>
  <c r="A192" i="15"/>
  <c r="B192" i="15"/>
  <c r="C192" i="15"/>
  <c r="E192" i="15"/>
  <c r="F192" i="15"/>
  <c r="G192" i="15"/>
  <c r="A193" i="15"/>
  <c r="B193" i="15"/>
  <c r="C193" i="15"/>
  <c r="E193" i="15"/>
  <c r="F193" i="15"/>
  <c r="G193" i="15"/>
  <c r="A194" i="15"/>
  <c r="B194" i="15"/>
  <c r="C194" i="15"/>
  <c r="E194" i="15"/>
  <c r="F194" i="15"/>
  <c r="G194" i="15"/>
  <c r="A195" i="15"/>
  <c r="I195" i="15" s="1"/>
  <c r="B195" i="15"/>
  <c r="C195" i="15"/>
  <c r="E195" i="15"/>
  <c r="F195" i="15"/>
  <c r="G195" i="15"/>
  <c r="A196" i="15"/>
  <c r="B196" i="15"/>
  <c r="C196" i="15"/>
  <c r="E196" i="15"/>
  <c r="F196" i="15"/>
  <c r="G196" i="15"/>
  <c r="A197" i="15"/>
  <c r="B197" i="15"/>
  <c r="C197" i="15"/>
  <c r="E197" i="15"/>
  <c r="F197" i="15"/>
  <c r="G197" i="15"/>
  <c r="T199" i="20"/>
  <c r="S199" i="20"/>
  <c r="R199" i="20"/>
  <c r="AP197" i="20"/>
  <c r="AM197" i="20"/>
  <c r="AJ197" i="20"/>
  <c r="AG197" i="20"/>
  <c r="AD197" i="20"/>
  <c r="W197" i="20"/>
  <c r="AP196" i="20"/>
  <c r="AM196" i="20"/>
  <c r="AJ196" i="20"/>
  <c r="AG196" i="20"/>
  <c r="AD196" i="20"/>
  <c r="W196" i="20"/>
  <c r="AP195" i="20"/>
  <c r="AM195" i="20"/>
  <c r="AJ195" i="20"/>
  <c r="AG195" i="20"/>
  <c r="AD195" i="20"/>
  <c r="W195" i="20"/>
  <c r="AP194" i="20"/>
  <c r="AM194" i="20"/>
  <c r="AJ194" i="20"/>
  <c r="AG194" i="20"/>
  <c r="AD194" i="20"/>
  <c r="W194" i="20"/>
  <c r="AP193" i="20"/>
  <c r="AM193" i="20"/>
  <c r="AJ193" i="20"/>
  <c r="AG193" i="20"/>
  <c r="AD193" i="20"/>
  <c r="W193" i="20"/>
  <c r="AM192" i="20"/>
  <c r="AJ192" i="20"/>
  <c r="AG192" i="20"/>
  <c r="AD192" i="20"/>
  <c r="W192" i="20"/>
  <c r="AP191" i="20"/>
  <c r="AM191" i="20"/>
  <c r="AJ191" i="20"/>
  <c r="AG191" i="20"/>
  <c r="AD191" i="20"/>
  <c r="W191" i="20"/>
  <c r="AP190" i="20"/>
  <c r="AM190" i="20"/>
  <c r="AJ190" i="20"/>
  <c r="AG190" i="20"/>
  <c r="AD190" i="20"/>
  <c r="W190" i="20"/>
  <c r="AP189" i="20"/>
  <c r="AM189" i="20"/>
  <c r="AJ189" i="20"/>
  <c r="AG189" i="20"/>
  <c r="AD189" i="20"/>
  <c r="W189" i="20"/>
  <c r="AM188" i="20"/>
  <c r="AJ188" i="20"/>
  <c r="AG188" i="20"/>
  <c r="AD188" i="20"/>
  <c r="W188" i="20"/>
  <c r="AP187" i="20"/>
  <c r="AM187" i="20"/>
  <c r="AJ187" i="20"/>
  <c r="AG187" i="20"/>
  <c r="AD187" i="20"/>
  <c r="W187" i="20"/>
  <c r="AP186" i="20"/>
  <c r="AM186" i="20"/>
  <c r="AJ186" i="20"/>
  <c r="AG186" i="20"/>
  <c r="AD186" i="20"/>
  <c r="W186" i="20"/>
  <c r="AP185" i="20"/>
  <c r="AM185" i="20"/>
  <c r="AJ185" i="20"/>
  <c r="AG185" i="20"/>
  <c r="AD185" i="20"/>
  <c r="W185" i="20"/>
  <c r="AP184" i="20"/>
  <c r="AM184" i="20"/>
  <c r="AJ184" i="20"/>
  <c r="AG184" i="20"/>
  <c r="AD184" i="20"/>
  <c r="W184" i="20"/>
  <c r="AP183" i="20"/>
  <c r="AM183" i="20"/>
  <c r="AJ183" i="20"/>
  <c r="AG183" i="20"/>
  <c r="AD183" i="20"/>
  <c r="W183" i="20"/>
  <c r="AP182" i="20"/>
  <c r="AM182" i="20"/>
  <c r="AJ182" i="20"/>
  <c r="AG182" i="20"/>
  <c r="AD182" i="20"/>
  <c r="W182" i="20"/>
  <c r="AP181" i="20"/>
  <c r="AM181" i="20"/>
  <c r="AJ181" i="20"/>
  <c r="AG181" i="20"/>
  <c r="AD181" i="20"/>
  <c r="W181" i="20"/>
  <c r="AP180" i="20"/>
  <c r="AM180" i="20"/>
  <c r="AJ180" i="20"/>
  <c r="AG180" i="20"/>
  <c r="AD180" i="20"/>
  <c r="W180" i="20"/>
  <c r="AP179" i="20"/>
  <c r="AM179" i="20"/>
  <c r="AJ179" i="20"/>
  <c r="AG179" i="20"/>
  <c r="AD179" i="20"/>
  <c r="W179" i="20"/>
  <c r="AP178" i="20"/>
  <c r="AM178" i="20"/>
  <c r="AJ178" i="20"/>
  <c r="AG178" i="20"/>
  <c r="AD178" i="20"/>
  <c r="W178" i="20"/>
  <c r="AP177" i="20"/>
  <c r="AM177" i="20"/>
  <c r="AJ177" i="20"/>
  <c r="AG177" i="20"/>
  <c r="AD177" i="20"/>
  <c r="W177" i="20"/>
  <c r="AM176" i="20"/>
  <c r="AJ176" i="20"/>
  <c r="AG176" i="20"/>
  <c r="AD176" i="20"/>
  <c r="W176" i="20"/>
  <c r="AP175" i="20"/>
  <c r="AM175" i="20"/>
  <c r="AJ175" i="20"/>
  <c r="AG175" i="20"/>
  <c r="AD175" i="20"/>
  <c r="W175" i="20"/>
  <c r="AM174" i="20"/>
  <c r="AJ174" i="20"/>
  <c r="AG174" i="20"/>
  <c r="AD174" i="20"/>
  <c r="W174" i="20"/>
  <c r="AP173" i="20"/>
  <c r="AM173" i="20"/>
  <c r="AJ173" i="20"/>
  <c r="AG173" i="20"/>
  <c r="AD173" i="20"/>
  <c r="W173" i="20"/>
  <c r="AP172" i="20"/>
  <c r="AM172" i="20"/>
  <c r="AJ172" i="20"/>
  <c r="AG172" i="20"/>
  <c r="AD172" i="20"/>
  <c r="W172" i="20"/>
  <c r="AP171" i="20"/>
  <c r="AM171" i="20"/>
  <c r="AJ171" i="20"/>
  <c r="AG171" i="20"/>
  <c r="AD171" i="20"/>
  <c r="W171" i="20"/>
  <c r="AM170" i="20"/>
  <c r="AJ170" i="20"/>
  <c r="AG170" i="20"/>
  <c r="AD170" i="20"/>
  <c r="W170" i="20"/>
  <c r="AP169" i="20"/>
  <c r="AM169" i="20"/>
  <c r="AJ169" i="20"/>
  <c r="AG169" i="20"/>
  <c r="AD169" i="20"/>
  <c r="W169" i="20"/>
  <c r="AP168" i="20"/>
  <c r="AM168" i="20"/>
  <c r="AJ168" i="20"/>
  <c r="AG168" i="20"/>
  <c r="AD168" i="20"/>
  <c r="W168" i="20"/>
  <c r="AP167" i="20"/>
  <c r="AM167" i="20"/>
  <c r="AJ167" i="20"/>
  <c r="AG167" i="20"/>
  <c r="AD167" i="20"/>
  <c r="W167" i="20"/>
  <c r="AP166" i="20"/>
  <c r="AM166" i="20"/>
  <c r="AJ166" i="20"/>
  <c r="AG166" i="20"/>
  <c r="AD166" i="20"/>
  <c r="W166" i="20"/>
  <c r="AP165" i="20"/>
  <c r="AM165" i="20"/>
  <c r="AJ165" i="20"/>
  <c r="AG165" i="20"/>
  <c r="AD165" i="20"/>
  <c r="W165" i="20"/>
  <c r="AP164" i="20"/>
  <c r="AM164" i="20"/>
  <c r="AJ164" i="20"/>
  <c r="AG164" i="20"/>
  <c r="AD164" i="20"/>
  <c r="W164" i="20"/>
  <c r="AP163" i="20"/>
  <c r="AM163" i="20"/>
  <c r="AJ163" i="20"/>
  <c r="AG163" i="20"/>
  <c r="AD163" i="20"/>
  <c r="W163" i="20"/>
  <c r="AP162" i="20"/>
  <c r="AM162" i="20"/>
  <c r="AJ162" i="20"/>
  <c r="AG162" i="20"/>
  <c r="AD162" i="20"/>
  <c r="W162" i="20"/>
  <c r="AP161" i="20"/>
  <c r="AM161" i="20"/>
  <c r="AJ161" i="20"/>
  <c r="AG161" i="20"/>
  <c r="AD161" i="20"/>
  <c r="W161" i="20"/>
  <c r="AP160" i="20"/>
  <c r="AM160" i="20"/>
  <c r="AJ160" i="20"/>
  <c r="AG160" i="20"/>
  <c r="AD160" i="20"/>
  <c r="W160" i="20"/>
  <c r="AM159" i="20"/>
  <c r="AJ159" i="20"/>
  <c r="AG159" i="20"/>
  <c r="AD159" i="20"/>
  <c r="W159" i="20"/>
  <c r="AM158" i="20"/>
  <c r="AJ158" i="20"/>
  <c r="AG158" i="20"/>
  <c r="AD158" i="20"/>
  <c r="W158" i="20"/>
  <c r="AM157" i="20"/>
  <c r="AJ157" i="20"/>
  <c r="AG157" i="20"/>
  <c r="AD157" i="20"/>
  <c r="W157" i="20"/>
  <c r="AM156" i="20"/>
  <c r="AJ156" i="20"/>
  <c r="AG156" i="20"/>
  <c r="AD156" i="20"/>
  <c r="W156" i="20"/>
  <c r="AM155" i="20"/>
  <c r="AJ155" i="20"/>
  <c r="AG155" i="20"/>
  <c r="AD155" i="20"/>
  <c r="W155" i="20"/>
  <c r="AM154" i="20"/>
  <c r="AJ154" i="20"/>
  <c r="AG154" i="20"/>
  <c r="AD154" i="20"/>
  <c r="W154" i="20"/>
  <c r="AM153" i="20"/>
  <c r="AJ153" i="20"/>
  <c r="AG153" i="20"/>
  <c r="AD153" i="20"/>
  <c r="W153" i="20"/>
  <c r="AP152" i="20"/>
  <c r="AM152" i="20"/>
  <c r="AJ152" i="20"/>
  <c r="AG152" i="20"/>
  <c r="AD152" i="20"/>
  <c r="W152" i="20"/>
  <c r="AM151" i="20"/>
  <c r="AJ151" i="20"/>
  <c r="AG151" i="20"/>
  <c r="AD151" i="20"/>
  <c r="W151" i="20"/>
  <c r="AP150" i="20"/>
  <c r="AM150" i="20"/>
  <c r="AJ150" i="20"/>
  <c r="AG150" i="20"/>
  <c r="AD150" i="20"/>
  <c r="W150" i="20"/>
  <c r="AM149" i="20"/>
  <c r="AJ149" i="20"/>
  <c r="AG149" i="20"/>
  <c r="AD149" i="20"/>
  <c r="W149" i="20"/>
  <c r="AM148" i="20"/>
  <c r="AJ148" i="20"/>
  <c r="AG148" i="20"/>
  <c r="AD148" i="20"/>
  <c r="W148" i="20"/>
  <c r="AM147" i="20"/>
  <c r="AJ147" i="20"/>
  <c r="AG147" i="20"/>
  <c r="AD147" i="20"/>
  <c r="W147" i="20"/>
  <c r="AP146" i="20"/>
  <c r="AM146" i="20"/>
  <c r="AJ146" i="20"/>
  <c r="AG146" i="20"/>
  <c r="AD146" i="20"/>
  <c r="W146" i="20"/>
  <c r="AM145" i="20"/>
  <c r="AJ145" i="20"/>
  <c r="AG145" i="20"/>
  <c r="AD145" i="20"/>
  <c r="W145" i="20"/>
  <c r="AM144" i="20"/>
  <c r="AJ144" i="20"/>
  <c r="AG144" i="20"/>
  <c r="AD144" i="20"/>
  <c r="W144" i="20"/>
  <c r="AM143" i="20"/>
  <c r="AJ143" i="20"/>
  <c r="AG143" i="20"/>
  <c r="AD143" i="20"/>
  <c r="W143" i="20"/>
  <c r="AM142" i="20"/>
  <c r="AJ142" i="20"/>
  <c r="AG142" i="20"/>
  <c r="AD142" i="20"/>
  <c r="W142" i="20"/>
  <c r="AP141" i="20"/>
  <c r="AM141" i="20"/>
  <c r="AJ141" i="20"/>
  <c r="AG141" i="20"/>
  <c r="AD141" i="20"/>
  <c r="W141" i="20"/>
  <c r="AM140" i="20"/>
  <c r="AJ140" i="20"/>
  <c r="AG140" i="20"/>
  <c r="AD140" i="20"/>
  <c r="W140" i="20"/>
  <c r="AM139" i="20"/>
  <c r="AJ139" i="20"/>
  <c r="AG139" i="20"/>
  <c r="AD139" i="20"/>
  <c r="W139" i="20"/>
  <c r="AM138" i="20"/>
  <c r="AJ138" i="20"/>
  <c r="AG138" i="20"/>
  <c r="AD138" i="20"/>
  <c r="W138" i="20"/>
  <c r="AM137" i="20"/>
  <c r="AJ137" i="20"/>
  <c r="AG137" i="20"/>
  <c r="AD137" i="20"/>
  <c r="W137" i="20"/>
  <c r="AM136" i="20"/>
  <c r="AJ136" i="20"/>
  <c r="AG136" i="20"/>
  <c r="AD136" i="20"/>
  <c r="W136" i="20"/>
  <c r="AM135" i="20"/>
  <c r="AJ135" i="20"/>
  <c r="AG135" i="20"/>
  <c r="AD135" i="20"/>
  <c r="W135" i="20"/>
  <c r="AM134" i="20"/>
  <c r="AJ134" i="20"/>
  <c r="AG134" i="20"/>
  <c r="AD134" i="20"/>
  <c r="W134" i="20"/>
  <c r="AM133" i="20"/>
  <c r="AJ133" i="20"/>
  <c r="AG133" i="20"/>
  <c r="AD133" i="20"/>
  <c r="W133" i="20"/>
  <c r="AM132" i="20"/>
  <c r="AJ132" i="20"/>
  <c r="AG132" i="20"/>
  <c r="AD132" i="20"/>
  <c r="W132" i="20"/>
  <c r="AM131" i="20"/>
  <c r="AJ131" i="20"/>
  <c r="AG131" i="20"/>
  <c r="AD131" i="20"/>
  <c r="W131" i="20"/>
  <c r="AM130" i="20"/>
  <c r="AJ130" i="20"/>
  <c r="AG130" i="20"/>
  <c r="AD130" i="20"/>
  <c r="W130" i="20"/>
  <c r="AP129" i="20"/>
  <c r="AM129" i="20"/>
  <c r="AJ129" i="20"/>
  <c r="AG129" i="20"/>
  <c r="AD129" i="20"/>
  <c r="W129" i="20"/>
  <c r="AM128" i="20"/>
  <c r="AJ128" i="20"/>
  <c r="AG128" i="20"/>
  <c r="AD128" i="20"/>
  <c r="W128" i="20"/>
  <c r="AM127" i="20"/>
  <c r="AJ127" i="20"/>
  <c r="AG127" i="20"/>
  <c r="AD127" i="20"/>
  <c r="W127" i="20"/>
  <c r="AM126" i="20"/>
  <c r="AJ126" i="20"/>
  <c r="AG126" i="20"/>
  <c r="AD126" i="20"/>
  <c r="W126" i="20"/>
  <c r="AM125" i="20"/>
  <c r="AJ125" i="20"/>
  <c r="AG125" i="20"/>
  <c r="AD125" i="20"/>
  <c r="W125" i="20"/>
  <c r="AM124" i="20"/>
  <c r="AJ124" i="20"/>
  <c r="AG124" i="20"/>
  <c r="AD124" i="20"/>
  <c r="W124" i="20"/>
  <c r="AM123" i="20"/>
  <c r="AJ123" i="20"/>
  <c r="AG123" i="20"/>
  <c r="AD123" i="20"/>
  <c r="W123" i="20"/>
  <c r="AM122" i="20"/>
  <c r="AJ122" i="20"/>
  <c r="AG122" i="20"/>
  <c r="AD122" i="20"/>
  <c r="W122" i="20"/>
  <c r="AM121" i="20"/>
  <c r="AJ121" i="20"/>
  <c r="AG121" i="20"/>
  <c r="AD121" i="20"/>
  <c r="W121" i="20"/>
  <c r="AM120" i="20"/>
  <c r="AJ120" i="20"/>
  <c r="AG120" i="20"/>
  <c r="AD120" i="20"/>
  <c r="W120" i="20"/>
  <c r="AM119" i="20"/>
  <c r="AJ119" i="20"/>
  <c r="AG119" i="20"/>
  <c r="AD119" i="20"/>
  <c r="W119" i="20"/>
  <c r="AM118" i="20"/>
  <c r="AJ118" i="20"/>
  <c r="AG118" i="20"/>
  <c r="AD118" i="20"/>
  <c r="W118" i="20"/>
  <c r="AM117" i="20"/>
  <c r="AJ117" i="20"/>
  <c r="AG117" i="20"/>
  <c r="AD117" i="20"/>
  <c r="W117" i="20"/>
  <c r="AM116" i="20"/>
  <c r="AJ116" i="20"/>
  <c r="AG116" i="20"/>
  <c r="AD116" i="20"/>
  <c r="W116" i="20"/>
  <c r="AM115" i="20"/>
  <c r="AJ115" i="20"/>
  <c r="AG115" i="20"/>
  <c r="AD115" i="20"/>
  <c r="W115" i="20"/>
  <c r="AM114" i="20"/>
  <c r="AJ114" i="20"/>
  <c r="AG114" i="20"/>
  <c r="AD114" i="20"/>
  <c r="W114" i="20"/>
  <c r="AM113" i="20"/>
  <c r="AJ113" i="20"/>
  <c r="AG113" i="20"/>
  <c r="AD113" i="20"/>
  <c r="W113" i="20"/>
  <c r="AM112" i="20"/>
  <c r="AJ112" i="20"/>
  <c r="AG112" i="20"/>
  <c r="AD112" i="20"/>
  <c r="W112" i="20"/>
  <c r="AM111" i="20"/>
  <c r="AJ111" i="20"/>
  <c r="AG111" i="20"/>
  <c r="AD111" i="20"/>
  <c r="W111" i="20"/>
  <c r="AP110" i="20"/>
  <c r="AM110" i="20"/>
  <c r="AJ110" i="20"/>
  <c r="AG110" i="20"/>
  <c r="AD110" i="20"/>
  <c r="W110" i="20"/>
  <c r="AM109" i="20"/>
  <c r="AJ109" i="20"/>
  <c r="AG109" i="20"/>
  <c r="AD109" i="20"/>
  <c r="W109" i="20"/>
  <c r="AM108" i="20"/>
  <c r="AJ108" i="20"/>
  <c r="AG108" i="20"/>
  <c r="AD108" i="20"/>
  <c r="W108" i="20"/>
  <c r="AM107" i="20"/>
  <c r="AJ107" i="20"/>
  <c r="AG107" i="20"/>
  <c r="AD107" i="20"/>
  <c r="W107" i="20"/>
  <c r="AM106" i="20"/>
  <c r="AJ106" i="20"/>
  <c r="AG106" i="20"/>
  <c r="AD106" i="20"/>
  <c r="W106" i="20"/>
  <c r="AM105" i="20"/>
  <c r="AJ105" i="20"/>
  <c r="AG105" i="20"/>
  <c r="AD105" i="20"/>
  <c r="W105" i="20"/>
  <c r="AM104" i="20"/>
  <c r="AJ104" i="20"/>
  <c r="AG104" i="20"/>
  <c r="AD104" i="20"/>
  <c r="W104" i="20"/>
  <c r="AM103" i="20"/>
  <c r="AJ103" i="20"/>
  <c r="AG103" i="20"/>
  <c r="AD103" i="20"/>
  <c r="W103" i="20"/>
  <c r="AM102" i="20"/>
  <c r="AJ102" i="20"/>
  <c r="AG102" i="20"/>
  <c r="AD102" i="20"/>
  <c r="W102" i="20"/>
  <c r="AP101" i="20"/>
  <c r="AM101" i="20"/>
  <c r="AJ101" i="20"/>
  <c r="AG101" i="20"/>
  <c r="AD101" i="20"/>
  <c r="W101" i="20"/>
  <c r="AM100" i="20"/>
  <c r="AJ100" i="20"/>
  <c r="AG100" i="20"/>
  <c r="AD100" i="20"/>
  <c r="W100" i="20"/>
  <c r="AM99" i="20"/>
  <c r="AJ99" i="20"/>
  <c r="AG99" i="20"/>
  <c r="AD99" i="20"/>
  <c r="W99" i="20"/>
  <c r="AM98" i="20"/>
  <c r="AJ98" i="20"/>
  <c r="AG98" i="20"/>
  <c r="AD98" i="20"/>
  <c r="W98" i="20"/>
  <c r="AM97" i="20"/>
  <c r="AJ97" i="20"/>
  <c r="AG97" i="20"/>
  <c r="AD97" i="20"/>
  <c r="W97" i="20"/>
  <c r="AM96" i="20"/>
  <c r="AJ96" i="20"/>
  <c r="AG96" i="20"/>
  <c r="AD96" i="20"/>
  <c r="W96" i="20"/>
  <c r="AM95" i="20"/>
  <c r="AJ95" i="20"/>
  <c r="AG95" i="20"/>
  <c r="AD95" i="20"/>
  <c r="W95" i="20"/>
  <c r="AM94" i="20"/>
  <c r="AJ94" i="20"/>
  <c r="AG94" i="20"/>
  <c r="AD94" i="20"/>
  <c r="W94" i="20"/>
  <c r="AP93" i="20"/>
  <c r="AM93" i="20"/>
  <c r="AJ93" i="20"/>
  <c r="AG93" i="20"/>
  <c r="AD93" i="20"/>
  <c r="W93" i="20"/>
  <c r="AM92" i="20"/>
  <c r="AJ92" i="20"/>
  <c r="AG92" i="20"/>
  <c r="AD92" i="20"/>
  <c r="W92" i="20"/>
  <c r="AP91" i="20"/>
  <c r="AM91" i="20"/>
  <c r="AJ91" i="20"/>
  <c r="AG91" i="20"/>
  <c r="AD91" i="20"/>
  <c r="W91" i="20"/>
  <c r="AP90" i="20"/>
  <c r="AM90" i="20"/>
  <c r="AJ90" i="20"/>
  <c r="AG90" i="20"/>
  <c r="AD90" i="20"/>
  <c r="W90" i="20"/>
  <c r="AO89" i="20"/>
  <c r="AP89" i="20" s="1"/>
  <c r="Y89" i="20" s="1"/>
  <c r="H96" i="15" s="1"/>
  <c r="AM89" i="20"/>
  <c r="AJ89" i="20"/>
  <c r="AG89" i="20"/>
  <c r="AD89" i="20"/>
  <c r="Z89" i="20"/>
  <c r="F90" i="13" s="1" a="1"/>
  <c r="F90" i="13" s="1"/>
  <c r="W89" i="20"/>
  <c r="G89" i="20"/>
  <c r="AM88" i="20"/>
  <c r="AJ88" i="20"/>
  <c r="AG88" i="20"/>
  <c r="AD88" i="20"/>
  <c r="W88" i="20"/>
  <c r="AM87" i="20"/>
  <c r="AJ87" i="20"/>
  <c r="AG87" i="20"/>
  <c r="AD87" i="20"/>
  <c r="W87" i="20"/>
  <c r="AM86" i="20"/>
  <c r="AJ86" i="20"/>
  <c r="AG86" i="20"/>
  <c r="AD86" i="20"/>
  <c r="W86" i="20"/>
  <c r="AM85" i="20"/>
  <c r="AJ85" i="20"/>
  <c r="AG85" i="20"/>
  <c r="AD85" i="20"/>
  <c r="W85" i="20"/>
  <c r="AP84" i="20"/>
  <c r="AM84" i="20"/>
  <c r="AJ84" i="20"/>
  <c r="AG84" i="20"/>
  <c r="AD84" i="20"/>
  <c r="W84" i="20"/>
  <c r="AM83" i="20"/>
  <c r="AJ83" i="20"/>
  <c r="AG83" i="20"/>
  <c r="AD83" i="20"/>
  <c r="W83" i="20"/>
  <c r="AM82" i="20"/>
  <c r="AJ82" i="20"/>
  <c r="AG82" i="20"/>
  <c r="AD82" i="20"/>
  <c r="W82" i="20"/>
  <c r="AM81" i="20"/>
  <c r="AJ81" i="20"/>
  <c r="AG81" i="20"/>
  <c r="AD81" i="20"/>
  <c r="W81" i="20"/>
  <c r="AP80" i="20"/>
  <c r="AM80" i="20"/>
  <c r="AJ80" i="20"/>
  <c r="AG80" i="20"/>
  <c r="AD80" i="20"/>
  <c r="W80" i="20"/>
  <c r="AM79" i="20"/>
  <c r="AJ79" i="20"/>
  <c r="AG79" i="20"/>
  <c r="AD79" i="20"/>
  <c r="W79" i="20"/>
  <c r="AM78" i="20"/>
  <c r="AJ78" i="20"/>
  <c r="AG78" i="20"/>
  <c r="AD78" i="20"/>
  <c r="W78" i="20"/>
  <c r="AM77" i="20"/>
  <c r="AJ77" i="20"/>
  <c r="AG77" i="20"/>
  <c r="AD77" i="20"/>
  <c r="W77" i="20"/>
  <c r="AM76" i="20"/>
  <c r="AJ76" i="20"/>
  <c r="AG76" i="20"/>
  <c r="AD76" i="20"/>
  <c r="W76" i="20"/>
  <c r="AM75" i="20"/>
  <c r="AJ75" i="20"/>
  <c r="AG75" i="20"/>
  <c r="AD75" i="20"/>
  <c r="W75" i="20"/>
  <c r="AM74" i="20"/>
  <c r="AJ74" i="20"/>
  <c r="AG74" i="20"/>
  <c r="AD74" i="20"/>
  <c r="W74" i="20"/>
  <c r="AM73" i="20"/>
  <c r="AJ73" i="20"/>
  <c r="AG73" i="20"/>
  <c r="AD73" i="20"/>
  <c r="W73" i="20"/>
  <c r="AP72" i="20"/>
  <c r="AO72" i="20"/>
  <c r="AM72" i="20"/>
  <c r="AJ72" i="20"/>
  <c r="AG72" i="20"/>
  <c r="AD72" i="20"/>
  <c r="Z72" i="20"/>
  <c r="F73" i="13" s="1" a="1"/>
  <c r="F73" i="13" s="1"/>
  <c r="W72" i="20"/>
  <c r="G72" i="20"/>
  <c r="AM71" i="20"/>
  <c r="AJ71" i="20"/>
  <c r="AG71" i="20"/>
  <c r="AD71" i="20"/>
  <c r="W71" i="20"/>
  <c r="AM70" i="20"/>
  <c r="AJ70" i="20"/>
  <c r="AG70" i="20"/>
  <c r="AD70" i="20"/>
  <c r="W70" i="20"/>
  <c r="AM69" i="20"/>
  <c r="AJ69" i="20"/>
  <c r="AG69" i="20"/>
  <c r="AD69" i="20"/>
  <c r="W69" i="20"/>
  <c r="AM68" i="20"/>
  <c r="AJ68" i="20"/>
  <c r="AG68" i="20"/>
  <c r="AD68" i="20"/>
  <c r="W68" i="20"/>
  <c r="AP67" i="20"/>
  <c r="AM67" i="20"/>
  <c r="AJ67" i="20"/>
  <c r="AG67" i="20"/>
  <c r="AD67" i="20"/>
  <c r="W67" i="20"/>
  <c r="AP66" i="20"/>
  <c r="AM66" i="20"/>
  <c r="AJ66" i="20"/>
  <c r="AG66" i="20"/>
  <c r="AD66" i="20"/>
  <c r="W66" i="20"/>
  <c r="AP65" i="20"/>
  <c r="AM65" i="20"/>
  <c r="AJ65" i="20"/>
  <c r="AG65" i="20"/>
  <c r="AD65" i="20"/>
  <c r="W65" i="20"/>
  <c r="AM64" i="20"/>
  <c r="AJ64" i="20"/>
  <c r="AG64" i="20"/>
  <c r="AD64" i="20"/>
  <c r="W64" i="20"/>
  <c r="AP63" i="20"/>
  <c r="AM63" i="20"/>
  <c r="AJ63" i="20"/>
  <c r="AG63" i="20"/>
  <c r="AD63" i="20"/>
  <c r="W63" i="20"/>
  <c r="AP62" i="20"/>
  <c r="AM62" i="20"/>
  <c r="AJ62" i="20"/>
  <c r="AG62" i="20"/>
  <c r="AD62" i="20"/>
  <c r="W62" i="20"/>
  <c r="AM61" i="20"/>
  <c r="AJ61" i="20"/>
  <c r="AG61" i="20"/>
  <c r="AD61" i="20"/>
  <c r="W61" i="20"/>
  <c r="AM60" i="20"/>
  <c r="AJ60" i="20"/>
  <c r="AG60" i="20"/>
  <c r="AD60" i="20"/>
  <c r="W60" i="20"/>
  <c r="AO59" i="20"/>
  <c r="AP59" i="20" s="1"/>
  <c r="AM59" i="20"/>
  <c r="AJ59" i="20"/>
  <c r="AG59" i="20"/>
  <c r="AD59" i="20"/>
  <c r="Z59" i="20"/>
  <c r="F60" i="13" s="1" a="1"/>
  <c r="F60" i="13" s="1"/>
  <c r="W59" i="20"/>
  <c r="G59" i="20"/>
  <c r="AP58" i="20"/>
  <c r="AM58" i="20"/>
  <c r="AJ58" i="20"/>
  <c r="AG58" i="20"/>
  <c r="AD58" i="20"/>
  <c r="W58" i="20"/>
  <c r="AM57" i="20"/>
  <c r="AJ57" i="20"/>
  <c r="AG57" i="20"/>
  <c r="AD57" i="20"/>
  <c r="W57" i="20"/>
  <c r="AM56" i="20"/>
  <c r="AJ56" i="20"/>
  <c r="AG56" i="20"/>
  <c r="AD56" i="20"/>
  <c r="W56" i="20"/>
  <c r="AP55" i="20"/>
  <c r="AM55" i="20"/>
  <c r="AJ55" i="20"/>
  <c r="AG55" i="20"/>
  <c r="AD55" i="20"/>
  <c r="W55" i="20"/>
  <c r="AP54" i="20"/>
  <c r="AM54" i="20"/>
  <c r="AJ54" i="20"/>
  <c r="AG54" i="20"/>
  <c r="AD54" i="20"/>
  <c r="W54" i="20"/>
  <c r="AM53" i="20"/>
  <c r="AJ53" i="20"/>
  <c r="AG53" i="20"/>
  <c r="AD53" i="20"/>
  <c r="W53" i="20"/>
  <c r="AM52" i="20"/>
  <c r="AJ52" i="20"/>
  <c r="AG52" i="20"/>
  <c r="AD52" i="20"/>
  <c r="W52" i="20"/>
  <c r="AM51" i="20"/>
  <c r="AJ51" i="20"/>
  <c r="AG51" i="20"/>
  <c r="AD51" i="20"/>
  <c r="W51" i="20"/>
  <c r="AM50" i="20"/>
  <c r="AJ50" i="20"/>
  <c r="AG50" i="20"/>
  <c r="AD50" i="20"/>
  <c r="W50" i="20"/>
  <c r="AM49" i="20"/>
  <c r="AJ49" i="20"/>
  <c r="AG49" i="20"/>
  <c r="AD49" i="20"/>
  <c r="W49" i="20"/>
  <c r="AP48" i="20"/>
  <c r="AO48" i="20"/>
  <c r="AM48" i="20"/>
  <c r="AJ48" i="20"/>
  <c r="AG48" i="20"/>
  <c r="AD48" i="20"/>
  <c r="Z48" i="20"/>
  <c r="F49" i="13" s="1" a="1"/>
  <c r="F49" i="13" s="1"/>
  <c r="W48" i="20"/>
  <c r="G48" i="20"/>
  <c r="AM47" i="20"/>
  <c r="AJ47" i="20"/>
  <c r="AG47" i="20"/>
  <c r="AD47" i="20"/>
  <c r="W47" i="20"/>
  <c r="AM46" i="20"/>
  <c r="AJ46" i="20"/>
  <c r="AG46" i="20"/>
  <c r="AD46" i="20"/>
  <c r="W46" i="20"/>
  <c r="AM45" i="20"/>
  <c r="AJ45" i="20"/>
  <c r="AG45" i="20"/>
  <c r="AD45" i="20"/>
  <c r="W45" i="20"/>
  <c r="AP44" i="20"/>
  <c r="AO44" i="20"/>
  <c r="AM44" i="20"/>
  <c r="AJ44" i="20"/>
  <c r="AG44" i="20"/>
  <c r="AD44" i="20"/>
  <c r="W44" i="20"/>
  <c r="AM43" i="20"/>
  <c r="AJ43" i="20"/>
  <c r="AG43" i="20"/>
  <c r="AD43" i="20"/>
  <c r="W43" i="20"/>
  <c r="AM42" i="20"/>
  <c r="AJ42" i="20"/>
  <c r="AG42" i="20"/>
  <c r="AD42" i="20"/>
  <c r="W42" i="20"/>
  <c r="AM41" i="20"/>
  <c r="AJ41" i="20"/>
  <c r="AG41" i="20"/>
  <c r="AD41" i="20"/>
  <c r="W41" i="20"/>
  <c r="AM40" i="20"/>
  <c r="AJ40" i="20"/>
  <c r="AG40" i="20"/>
  <c r="AD40" i="20"/>
  <c r="W40" i="20"/>
  <c r="AM39" i="20"/>
  <c r="AJ39" i="20"/>
  <c r="AG39" i="20"/>
  <c r="AD39" i="20"/>
  <c r="W39" i="20"/>
  <c r="AM38" i="20"/>
  <c r="AJ38" i="20"/>
  <c r="AG38" i="20"/>
  <c r="AD38" i="20"/>
  <c r="W38" i="20"/>
  <c r="AM37" i="20"/>
  <c r="AJ37" i="20"/>
  <c r="AG37" i="20"/>
  <c r="AD37" i="20"/>
  <c r="W37" i="20"/>
  <c r="AM36" i="20"/>
  <c r="AJ36" i="20"/>
  <c r="AG36" i="20"/>
  <c r="AD36" i="20"/>
  <c r="W36" i="20"/>
  <c r="AM35" i="20"/>
  <c r="AJ35" i="20"/>
  <c r="AG35" i="20"/>
  <c r="AD35" i="20"/>
  <c r="W35" i="20"/>
  <c r="AM34" i="20"/>
  <c r="AJ34" i="20"/>
  <c r="AG34" i="20"/>
  <c r="AD34" i="20"/>
  <c r="W34" i="20"/>
  <c r="AM33" i="20"/>
  <c r="AJ33" i="20"/>
  <c r="AG33" i="20"/>
  <c r="AD33" i="20"/>
  <c r="W33" i="20"/>
  <c r="AP32" i="20"/>
  <c r="AM32" i="20"/>
  <c r="AJ32" i="20"/>
  <c r="AG32" i="20"/>
  <c r="AD32" i="20"/>
  <c r="W32" i="20"/>
  <c r="AM31" i="20"/>
  <c r="AJ31" i="20"/>
  <c r="AG31" i="20"/>
  <c r="AD31" i="20"/>
  <c r="W31" i="20"/>
  <c r="AP30" i="20"/>
  <c r="AM30" i="20"/>
  <c r="AJ30" i="20"/>
  <c r="AG30" i="20"/>
  <c r="AD30" i="20"/>
  <c r="W30" i="20"/>
  <c r="AM29" i="20"/>
  <c r="AJ29" i="20"/>
  <c r="AG29" i="20"/>
  <c r="AD29" i="20"/>
  <c r="W29" i="20"/>
  <c r="AM28" i="20"/>
  <c r="AJ28" i="20"/>
  <c r="AG28" i="20"/>
  <c r="AD28" i="20"/>
  <c r="W28" i="20"/>
  <c r="AP27" i="20"/>
  <c r="AM27" i="20"/>
  <c r="AJ27" i="20"/>
  <c r="AG27" i="20"/>
  <c r="AD27" i="20"/>
  <c r="W27" i="20"/>
  <c r="AM26" i="20"/>
  <c r="AJ26" i="20"/>
  <c r="AG26" i="20"/>
  <c r="AD26" i="20"/>
  <c r="W26" i="20"/>
  <c r="AM25" i="20"/>
  <c r="AJ25" i="20"/>
  <c r="AG25" i="20"/>
  <c r="AD25" i="20"/>
  <c r="W25" i="20"/>
  <c r="AM24" i="20"/>
  <c r="AJ24" i="20"/>
  <c r="AG24" i="20"/>
  <c r="AD24" i="20"/>
  <c r="W24" i="20"/>
  <c r="AM23" i="20"/>
  <c r="AJ23" i="20"/>
  <c r="AG23" i="20"/>
  <c r="AD23" i="20"/>
  <c r="W23" i="20"/>
  <c r="AM22" i="20"/>
  <c r="AJ22" i="20"/>
  <c r="AG22" i="20"/>
  <c r="AD22" i="20"/>
  <c r="W22" i="20"/>
  <c r="AP21" i="20"/>
  <c r="AM21" i="20"/>
  <c r="AJ21" i="20"/>
  <c r="AG21" i="20"/>
  <c r="AD21" i="20"/>
  <c r="W21" i="20"/>
  <c r="AM20" i="20"/>
  <c r="AJ20" i="20"/>
  <c r="AG20" i="20"/>
  <c r="AD20" i="20"/>
  <c r="W20" i="20"/>
  <c r="AM19" i="20"/>
  <c r="AJ19" i="20"/>
  <c r="AG19" i="20"/>
  <c r="AD19" i="20"/>
  <c r="W19" i="20"/>
  <c r="AM18" i="20"/>
  <c r="AJ18" i="20"/>
  <c r="AG18" i="20"/>
  <c r="AD18" i="20"/>
  <c r="W18" i="20"/>
  <c r="AP17" i="20"/>
  <c r="AM17" i="20"/>
  <c r="AJ17" i="20"/>
  <c r="AG17" i="20"/>
  <c r="AD17" i="20"/>
  <c r="W17" i="20"/>
  <c r="AM16" i="20"/>
  <c r="AJ16" i="20"/>
  <c r="AG16" i="20"/>
  <c r="AD16" i="20"/>
  <c r="W16" i="20"/>
  <c r="AM15" i="20"/>
  <c r="AJ15" i="20"/>
  <c r="AG15" i="20"/>
  <c r="AD15" i="20"/>
  <c r="W15" i="20"/>
  <c r="AM14" i="20"/>
  <c r="AJ14" i="20"/>
  <c r="AG14" i="20"/>
  <c r="AD14" i="20"/>
  <c r="W14" i="20"/>
  <c r="AP13" i="20"/>
  <c r="AM13" i="20"/>
  <c r="AJ13" i="20"/>
  <c r="AG13" i="20"/>
  <c r="AD13" i="20"/>
  <c r="W13" i="20"/>
  <c r="AM12" i="20"/>
  <c r="AJ12" i="20"/>
  <c r="AG12" i="20"/>
  <c r="AD12" i="20"/>
  <c r="W12" i="20"/>
  <c r="AM11" i="20"/>
  <c r="AJ11" i="20"/>
  <c r="AG11" i="20"/>
  <c r="AD11" i="20"/>
  <c r="W11" i="20"/>
  <c r="AM10" i="20"/>
  <c r="AJ10" i="20"/>
  <c r="AG10" i="20"/>
  <c r="AD10" i="20"/>
  <c r="W10" i="20"/>
  <c r="AO9" i="20"/>
  <c r="AM9" i="20"/>
  <c r="AJ9" i="20"/>
  <c r="AG9" i="20"/>
  <c r="AD9" i="20"/>
  <c r="W9" i="20"/>
  <c r="AM8" i="20"/>
  <c r="AJ8" i="20"/>
  <c r="AG8" i="20"/>
  <c r="AD8" i="20"/>
  <c r="W8" i="20"/>
  <c r="AM7" i="20"/>
  <c r="AJ7" i="20"/>
  <c r="AG7" i="20"/>
  <c r="AD7" i="20"/>
  <c r="W7" i="20"/>
  <c r="AM6" i="20"/>
  <c r="AJ6" i="20"/>
  <c r="AG6" i="20"/>
  <c r="AD6" i="20"/>
  <c r="W6" i="20"/>
  <c r="AM5" i="20"/>
  <c r="AJ5" i="20"/>
  <c r="AG5" i="20"/>
  <c r="AD5" i="20"/>
  <c r="W5" i="20"/>
  <c r="AM4" i="20"/>
  <c r="AJ4" i="20"/>
  <c r="AG4" i="20"/>
  <c r="AD4" i="20"/>
  <c r="W4" i="20"/>
  <c r="AP3" i="20"/>
  <c r="AO3" i="20"/>
  <c r="AM3" i="20"/>
  <c r="AJ3" i="20"/>
  <c r="AG3" i="20"/>
  <c r="AD3" i="20"/>
  <c r="Z3" i="20"/>
  <c r="F3" i="13" s="1" a="1"/>
  <c r="F3" i="13" s="1"/>
  <c r="W3" i="20"/>
  <c r="G3" i="20"/>
  <c r="T200" i="13"/>
  <c r="S200" i="13"/>
  <c r="R200" i="13"/>
  <c r="W95" i="13"/>
  <c r="W4" i="13"/>
  <c r="W5" i="13"/>
  <c r="W6" i="13"/>
  <c r="W7" i="13"/>
  <c r="W8" i="13"/>
  <c r="W9" i="13"/>
  <c r="W10" i="13"/>
  <c r="AA10" i="13" s="1"/>
  <c r="W11" i="13"/>
  <c r="W12" i="13"/>
  <c r="W13" i="13"/>
  <c r="W14" i="13"/>
  <c r="W15" i="13"/>
  <c r="W130" i="13"/>
  <c r="W131" i="13"/>
  <c r="W16" i="13"/>
  <c r="W17" i="13"/>
  <c r="W18" i="13"/>
  <c r="W96" i="13"/>
  <c r="W97" i="13"/>
  <c r="W19" i="13"/>
  <c r="W20" i="13"/>
  <c r="W132" i="13"/>
  <c r="W133" i="13"/>
  <c r="W21" i="13"/>
  <c r="W22" i="13"/>
  <c r="W23" i="13"/>
  <c r="W24" i="13"/>
  <c r="W25" i="13"/>
  <c r="W134" i="13"/>
  <c r="W98" i="13"/>
  <c r="W26" i="13"/>
  <c r="W135" i="13"/>
  <c r="W99" i="13"/>
  <c r="W136" i="13"/>
  <c r="W137" i="13"/>
  <c r="W27" i="13"/>
  <c r="W100" i="13"/>
  <c r="W28" i="13"/>
  <c r="W138" i="13"/>
  <c r="W139" i="13"/>
  <c r="W29" i="13"/>
  <c r="W101" i="13"/>
  <c r="W30" i="13"/>
  <c r="W31" i="13"/>
  <c r="W32" i="13"/>
  <c r="W33" i="13"/>
  <c r="W140" i="13"/>
  <c r="W141" i="13"/>
  <c r="W102" i="13"/>
  <c r="W142" i="13"/>
  <c r="W34" i="13"/>
  <c r="W143" i="13"/>
  <c r="W35" i="13"/>
  <c r="W144" i="13"/>
  <c r="W145" i="13"/>
  <c r="W36" i="13"/>
  <c r="W146" i="13"/>
  <c r="W147" i="13"/>
  <c r="W148" i="13"/>
  <c r="W103" i="13"/>
  <c r="W38" i="13"/>
  <c r="W149" i="13"/>
  <c r="W104" i="13"/>
  <c r="W150" i="13"/>
  <c r="W151" i="13"/>
  <c r="W105" i="13"/>
  <c r="W152" i="13"/>
  <c r="W153" i="13"/>
  <c r="W39" i="13"/>
  <c r="W154" i="13"/>
  <c r="W155" i="13"/>
  <c r="W40" i="13"/>
  <c r="W41" i="13"/>
  <c r="W42" i="13"/>
  <c r="W43" i="13"/>
  <c r="W44" i="13"/>
  <c r="W45" i="13"/>
  <c r="W106" i="13"/>
  <c r="W107" i="13"/>
  <c r="W108" i="13"/>
  <c r="W156" i="13"/>
  <c r="W157" i="13"/>
  <c r="W109" i="13"/>
  <c r="W158" i="13"/>
  <c r="W159" i="13"/>
  <c r="W46" i="13"/>
  <c r="W47" i="13"/>
  <c r="W110" i="13"/>
  <c r="W160" i="13"/>
  <c r="W161" i="13"/>
  <c r="W162" i="13"/>
  <c r="W48" i="13"/>
  <c r="W111" i="13"/>
  <c r="W49" i="13"/>
  <c r="W163" i="13"/>
  <c r="W164" i="13"/>
  <c r="W112" i="13"/>
  <c r="W165" i="13"/>
  <c r="W50" i="13"/>
  <c r="W166" i="13"/>
  <c r="W167" i="13"/>
  <c r="W113" i="13"/>
  <c r="W51" i="13"/>
  <c r="W52" i="13"/>
  <c r="W53" i="13"/>
  <c r="W54" i="13"/>
  <c r="W55" i="13"/>
  <c r="W56" i="13"/>
  <c r="W168" i="13"/>
  <c r="W169" i="13"/>
  <c r="W170" i="13"/>
  <c r="W171" i="13"/>
  <c r="W57" i="13"/>
  <c r="W172" i="13"/>
  <c r="W173" i="13"/>
  <c r="W58" i="13"/>
  <c r="W59" i="13"/>
  <c r="W174" i="13"/>
  <c r="W175" i="13"/>
  <c r="W176" i="13"/>
  <c r="W114" i="13"/>
  <c r="W60" i="13"/>
  <c r="W177" i="13"/>
  <c r="W178" i="13"/>
  <c r="W115" i="13"/>
  <c r="W179" i="13"/>
  <c r="W180" i="13"/>
  <c r="W61" i="13"/>
  <c r="W181" i="13"/>
  <c r="W116" i="13"/>
  <c r="W182" i="13"/>
  <c r="W117" i="13"/>
  <c r="W183" i="13"/>
  <c r="W118" i="13"/>
  <c r="W184" i="13"/>
  <c r="W62" i="13"/>
  <c r="W63" i="13"/>
  <c r="W119" i="13"/>
  <c r="W64" i="13"/>
  <c r="W185" i="13"/>
  <c r="W65" i="13"/>
  <c r="W66" i="13"/>
  <c r="W67" i="13"/>
  <c r="W68" i="13"/>
  <c r="W69" i="13"/>
  <c r="W70" i="13"/>
  <c r="W71" i="13"/>
  <c r="W72" i="13"/>
  <c r="W73" i="13"/>
  <c r="W120" i="13"/>
  <c r="W121" i="13"/>
  <c r="W186" i="13"/>
  <c r="W187" i="13"/>
  <c r="W122" i="13"/>
  <c r="W188" i="13"/>
  <c r="W74" i="13"/>
  <c r="W75" i="13"/>
  <c r="W76" i="13"/>
  <c r="W77" i="13"/>
  <c r="W78" i="13"/>
  <c r="W79" i="13"/>
  <c r="W80" i="13"/>
  <c r="W81" i="13"/>
  <c r="W82" i="13"/>
  <c r="W83" i="13"/>
  <c r="W84" i="13"/>
  <c r="W123" i="13"/>
  <c r="W189" i="13"/>
  <c r="W190" i="13"/>
  <c r="W124" i="13"/>
  <c r="W85" i="13"/>
  <c r="W191" i="13"/>
  <c r="W86" i="13"/>
  <c r="W125" i="13"/>
  <c r="W192" i="13"/>
  <c r="W193" i="13"/>
  <c r="W126" i="13"/>
  <c r="W194" i="13"/>
  <c r="W127" i="13"/>
  <c r="W195" i="13"/>
  <c r="W196" i="13"/>
  <c r="W87" i="13"/>
  <c r="W88" i="13"/>
  <c r="W89" i="13"/>
  <c r="W90" i="13"/>
  <c r="W91" i="13"/>
  <c r="W92" i="13"/>
  <c r="W93" i="13"/>
  <c r="W197" i="13"/>
  <c r="W198" i="13"/>
  <c r="W128" i="13"/>
  <c r="W94" i="13"/>
  <c r="W129" i="13"/>
  <c r="W3" i="13"/>
  <c r="AM129" i="13"/>
  <c r="AJ129" i="13"/>
  <c r="AG129" i="13"/>
  <c r="AD129" i="13"/>
  <c r="AM94" i="13"/>
  <c r="AJ94" i="13"/>
  <c r="AG94" i="13"/>
  <c r="AD94" i="13"/>
  <c r="AM128" i="13"/>
  <c r="AJ128" i="13"/>
  <c r="AG128" i="13"/>
  <c r="AD128" i="13"/>
  <c r="AM198" i="13"/>
  <c r="AJ198" i="13"/>
  <c r="AG198" i="13"/>
  <c r="AD198" i="13"/>
  <c r="AM197" i="13"/>
  <c r="AJ197" i="13"/>
  <c r="AG197" i="13"/>
  <c r="AD197" i="13"/>
  <c r="AM93" i="13"/>
  <c r="AJ93" i="13"/>
  <c r="AG93" i="13"/>
  <c r="AD93" i="13"/>
  <c r="AM92" i="13"/>
  <c r="AJ92" i="13"/>
  <c r="AG92" i="13"/>
  <c r="AD92" i="13"/>
  <c r="AM91" i="13"/>
  <c r="AJ91" i="13"/>
  <c r="AG91" i="13"/>
  <c r="AD91" i="13"/>
  <c r="AM90" i="13"/>
  <c r="AJ90" i="13"/>
  <c r="AG90" i="13"/>
  <c r="AD90" i="13"/>
  <c r="AM89" i="13"/>
  <c r="AJ89" i="13"/>
  <c r="AG89" i="13"/>
  <c r="AD89" i="13"/>
  <c r="AM88" i="13"/>
  <c r="AJ88" i="13"/>
  <c r="AG88" i="13"/>
  <c r="AD88" i="13"/>
  <c r="AM87" i="13"/>
  <c r="AJ87" i="13"/>
  <c r="AG87" i="13"/>
  <c r="AD87" i="13"/>
  <c r="AM196" i="13"/>
  <c r="AJ196" i="13"/>
  <c r="AG196" i="13"/>
  <c r="AD196" i="13"/>
  <c r="AM195" i="13"/>
  <c r="AJ195" i="13"/>
  <c r="AG195" i="13"/>
  <c r="AD195" i="13"/>
  <c r="AM127" i="13"/>
  <c r="AJ127" i="13"/>
  <c r="AG127" i="13"/>
  <c r="AD127" i="13"/>
  <c r="AM194" i="13"/>
  <c r="AJ194" i="13"/>
  <c r="AG194" i="13"/>
  <c r="AD194" i="13"/>
  <c r="AM126" i="13"/>
  <c r="AJ126" i="13"/>
  <c r="AG126" i="13"/>
  <c r="AD126" i="13"/>
  <c r="AM193" i="13"/>
  <c r="AJ193" i="13"/>
  <c r="AG193" i="13"/>
  <c r="AD193" i="13"/>
  <c r="AM192" i="13"/>
  <c r="AJ192" i="13"/>
  <c r="AG192" i="13"/>
  <c r="AD192" i="13"/>
  <c r="AM125" i="13"/>
  <c r="AJ125" i="13"/>
  <c r="AG125" i="13"/>
  <c r="AD125" i="13"/>
  <c r="AM86" i="13"/>
  <c r="AJ86" i="13"/>
  <c r="AG86" i="13"/>
  <c r="AD86" i="13"/>
  <c r="AM191" i="13"/>
  <c r="AJ191" i="13"/>
  <c r="AG191" i="13"/>
  <c r="AD191" i="13"/>
  <c r="AM85" i="13"/>
  <c r="AJ85" i="13"/>
  <c r="AG85" i="13"/>
  <c r="AD85" i="13"/>
  <c r="AM124" i="13"/>
  <c r="AJ124" i="13"/>
  <c r="AG124" i="13"/>
  <c r="AD124" i="13"/>
  <c r="AM190" i="13"/>
  <c r="AJ190" i="13"/>
  <c r="AG190" i="13"/>
  <c r="AD190" i="13"/>
  <c r="AM189" i="13"/>
  <c r="AJ189" i="13"/>
  <c r="AG189" i="13"/>
  <c r="AD189" i="13"/>
  <c r="AM123" i="13"/>
  <c r="AJ123" i="13"/>
  <c r="AG123" i="13"/>
  <c r="AD123" i="13"/>
  <c r="AM84" i="13"/>
  <c r="AJ84" i="13"/>
  <c r="AG84" i="13"/>
  <c r="AD84" i="13"/>
  <c r="AM83" i="13"/>
  <c r="AJ83" i="13"/>
  <c r="AG83" i="13"/>
  <c r="AD83" i="13"/>
  <c r="AM82" i="13"/>
  <c r="AJ82" i="13"/>
  <c r="AG82" i="13"/>
  <c r="AD82" i="13"/>
  <c r="AM81" i="13"/>
  <c r="AJ81" i="13"/>
  <c r="AG81" i="13"/>
  <c r="AD81" i="13"/>
  <c r="AM80" i="13"/>
  <c r="AJ80" i="13"/>
  <c r="AG80" i="13"/>
  <c r="AD80" i="13"/>
  <c r="AM79" i="13"/>
  <c r="AJ79" i="13"/>
  <c r="AG79" i="13"/>
  <c r="AD79" i="13"/>
  <c r="AM78" i="13"/>
  <c r="AJ78" i="13"/>
  <c r="AG78" i="13"/>
  <c r="AD78" i="13"/>
  <c r="AM77" i="13"/>
  <c r="AJ77" i="13"/>
  <c r="AG77" i="13"/>
  <c r="AD77" i="13"/>
  <c r="AM76" i="13"/>
  <c r="AJ76" i="13"/>
  <c r="AG76" i="13"/>
  <c r="AD76" i="13"/>
  <c r="AM75" i="13"/>
  <c r="AJ75" i="13"/>
  <c r="AG75" i="13"/>
  <c r="AD75" i="13"/>
  <c r="AM74" i="13"/>
  <c r="AJ74" i="13"/>
  <c r="AG74" i="13"/>
  <c r="AD74" i="13"/>
  <c r="AM188" i="13"/>
  <c r="AJ188" i="13"/>
  <c r="AG188" i="13"/>
  <c r="AD188" i="13"/>
  <c r="AM122" i="13"/>
  <c r="AJ122" i="13"/>
  <c r="AG122" i="13"/>
  <c r="AD122" i="13"/>
  <c r="AM187" i="13"/>
  <c r="AJ187" i="13"/>
  <c r="AG187" i="13"/>
  <c r="AD187" i="13"/>
  <c r="AM186" i="13"/>
  <c r="AJ186" i="13"/>
  <c r="AG186" i="13"/>
  <c r="AD186" i="13"/>
  <c r="AM121" i="13"/>
  <c r="AJ121" i="13"/>
  <c r="AG121" i="13"/>
  <c r="AD121" i="13"/>
  <c r="AM120" i="13"/>
  <c r="AJ120" i="13"/>
  <c r="AG120" i="13"/>
  <c r="AD120" i="13"/>
  <c r="AM73" i="13"/>
  <c r="AJ73" i="13"/>
  <c r="AG73" i="13"/>
  <c r="AD73" i="13"/>
  <c r="AM72" i="13"/>
  <c r="AJ72" i="13"/>
  <c r="AG72" i="13"/>
  <c r="AD72" i="13"/>
  <c r="AM71" i="13"/>
  <c r="AJ71" i="13"/>
  <c r="AG71" i="13"/>
  <c r="AD71" i="13"/>
  <c r="AM70" i="13"/>
  <c r="AJ70" i="13"/>
  <c r="AG70" i="13"/>
  <c r="AD70" i="13"/>
  <c r="AM69" i="13"/>
  <c r="AJ69" i="13"/>
  <c r="AG69" i="13"/>
  <c r="AD69" i="13"/>
  <c r="AM68" i="13"/>
  <c r="AJ68" i="13"/>
  <c r="AG68" i="13"/>
  <c r="AD68" i="13"/>
  <c r="AM67" i="13"/>
  <c r="AJ67" i="13"/>
  <c r="AG67" i="13"/>
  <c r="AD67" i="13"/>
  <c r="AM66" i="13"/>
  <c r="AJ66" i="13"/>
  <c r="AG66" i="13"/>
  <c r="AD66" i="13"/>
  <c r="AM65" i="13"/>
  <c r="AJ65" i="13"/>
  <c r="AG65" i="13"/>
  <c r="AD65" i="13"/>
  <c r="AM185" i="13"/>
  <c r="AJ185" i="13"/>
  <c r="AG185" i="13"/>
  <c r="AD185" i="13"/>
  <c r="AM64" i="13"/>
  <c r="AJ64" i="13"/>
  <c r="AG64" i="13"/>
  <c r="AD64" i="13"/>
  <c r="AM119" i="13"/>
  <c r="AJ119" i="13"/>
  <c r="AG119" i="13"/>
  <c r="AD119" i="13"/>
  <c r="AM63" i="13"/>
  <c r="AJ63" i="13"/>
  <c r="AG63" i="13"/>
  <c r="AD63" i="13"/>
  <c r="AM62" i="13"/>
  <c r="AJ62" i="13"/>
  <c r="AG62" i="13"/>
  <c r="AD62" i="13"/>
  <c r="AM184" i="13"/>
  <c r="AJ184" i="13"/>
  <c r="AG184" i="13"/>
  <c r="AD184" i="13"/>
  <c r="AM118" i="13"/>
  <c r="AJ118" i="13"/>
  <c r="AG118" i="13"/>
  <c r="AD118" i="13"/>
  <c r="AM183" i="13"/>
  <c r="AJ183" i="13"/>
  <c r="AG183" i="13"/>
  <c r="AD183" i="13"/>
  <c r="AM117" i="13"/>
  <c r="AJ117" i="13"/>
  <c r="AG117" i="13"/>
  <c r="AD117" i="13"/>
  <c r="AM182" i="13"/>
  <c r="AJ182" i="13"/>
  <c r="AG182" i="13"/>
  <c r="AD182" i="13"/>
  <c r="AM116" i="13"/>
  <c r="AJ116" i="13"/>
  <c r="AG116" i="13"/>
  <c r="AD116" i="13"/>
  <c r="AM181" i="13"/>
  <c r="AJ181" i="13"/>
  <c r="AG181" i="13"/>
  <c r="AD181" i="13"/>
  <c r="AM61" i="13"/>
  <c r="AJ61" i="13"/>
  <c r="AG61" i="13"/>
  <c r="AD61" i="13"/>
  <c r="AM180" i="13"/>
  <c r="AJ180" i="13"/>
  <c r="AG180" i="13"/>
  <c r="AD180" i="13"/>
  <c r="AM179" i="13"/>
  <c r="AJ179" i="13"/>
  <c r="AG179" i="13"/>
  <c r="AD179" i="13"/>
  <c r="AM115" i="13"/>
  <c r="AJ115" i="13"/>
  <c r="AG115" i="13"/>
  <c r="AD115" i="13"/>
  <c r="AM178" i="13"/>
  <c r="AJ178" i="13"/>
  <c r="AG178" i="13"/>
  <c r="AD178" i="13"/>
  <c r="AM177" i="13"/>
  <c r="AJ177" i="13"/>
  <c r="AG177" i="13"/>
  <c r="AD177" i="13"/>
  <c r="AM60" i="13"/>
  <c r="AJ60" i="13"/>
  <c r="AG60" i="13"/>
  <c r="AD60" i="13"/>
  <c r="AM114" i="13"/>
  <c r="AJ114" i="13"/>
  <c r="AG114" i="13"/>
  <c r="AD114" i="13"/>
  <c r="AM176" i="13"/>
  <c r="AJ176" i="13"/>
  <c r="AG176" i="13"/>
  <c r="AD176" i="13"/>
  <c r="AM175" i="13"/>
  <c r="AJ175" i="13"/>
  <c r="AG175" i="13"/>
  <c r="AD175" i="13"/>
  <c r="AM174" i="13"/>
  <c r="AJ174" i="13"/>
  <c r="AG174" i="13"/>
  <c r="AD174" i="13"/>
  <c r="AM59" i="13"/>
  <c r="AJ59" i="13"/>
  <c r="AG59" i="13"/>
  <c r="AD59" i="13"/>
  <c r="AM58" i="13"/>
  <c r="AJ58" i="13"/>
  <c r="AG58" i="13"/>
  <c r="AD58" i="13"/>
  <c r="AM173" i="13"/>
  <c r="AJ173" i="13"/>
  <c r="AG173" i="13"/>
  <c r="AD173" i="13"/>
  <c r="AM172" i="13"/>
  <c r="AJ172" i="13"/>
  <c r="AG172" i="13"/>
  <c r="AD172" i="13"/>
  <c r="AM57" i="13"/>
  <c r="AJ57" i="13"/>
  <c r="AG57" i="13"/>
  <c r="AD57" i="13"/>
  <c r="AM171" i="13"/>
  <c r="AJ171" i="13"/>
  <c r="AG171" i="13"/>
  <c r="AD171" i="13"/>
  <c r="AM170" i="13"/>
  <c r="AJ170" i="13"/>
  <c r="AG170" i="13"/>
  <c r="AD170" i="13"/>
  <c r="AM169" i="13"/>
  <c r="AJ169" i="13"/>
  <c r="AG169" i="13"/>
  <c r="AD169" i="13"/>
  <c r="AM168" i="13"/>
  <c r="AJ168" i="13"/>
  <c r="AG168" i="13"/>
  <c r="AD168" i="13"/>
  <c r="AM56" i="13"/>
  <c r="AJ56" i="13"/>
  <c r="AG56" i="13"/>
  <c r="AD56" i="13"/>
  <c r="AM55" i="13"/>
  <c r="AJ55" i="13"/>
  <c r="AG55" i="13"/>
  <c r="AD55" i="13"/>
  <c r="AM54" i="13"/>
  <c r="AJ54" i="13"/>
  <c r="AG54" i="13"/>
  <c r="AD54" i="13"/>
  <c r="AM53" i="13"/>
  <c r="AJ53" i="13"/>
  <c r="AG53" i="13"/>
  <c r="AD53" i="13"/>
  <c r="AM52" i="13"/>
  <c r="AJ52" i="13"/>
  <c r="AG52" i="13"/>
  <c r="AD52" i="13"/>
  <c r="AM51" i="13"/>
  <c r="AJ51" i="13"/>
  <c r="AG51" i="13"/>
  <c r="AD51" i="13"/>
  <c r="AM113" i="13"/>
  <c r="AJ113" i="13"/>
  <c r="AG113" i="13"/>
  <c r="AD113" i="13"/>
  <c r="AM167" i="13"/>
  <c r="AJ167" i="13"/>
  <c r="AG167" i="13"/>
  <c r="AD167" i="13"/>
  <c r="AM166" i="13"/>
  <c r="AJ166" i="13"/>
  <c r="AG166" i="13"/>
  <c r="AD166" i="13"/>
  <c r="AM50" i="13"/>
  <c r="AJ50" i="13"/>
  <c r="AG50" i="13"/>
  <c r="AD50" i="13"/>
  <c r="AM165" i="13"/>
  <c r="AJ165" i="13"/>
  <c r="AG165" i="13"/>
  <c r="AD165" i="13"/>
  <c r="AM112" i="13"/>
  <c r="AJ112" i="13"/>
  <c r="AG112" i="13"/>
  <c r="AD112" i="13"/>
  <c r="AM164" i="13"/>
  <c r="AJ164" i="13"/>
  <c r="AG164" i="13"/>
  <c r="AD164" i="13"/>
  <c r="AM163" i="13"/>
  <c r="AJ163" i="13"/>
  <c r="AG163" i="13"/>
  <c r="AD163" i="13"/>
  <c r="AM49" i="13"/>
  <c r="AJ49" i="13"/>
  <c r="AG49" i="13"/>
  <c r="AD49" i="13"/>
  <c r="AM111" i="13"/>
  <c r="AJ111" i="13"/>
  <c r="AG111" i="13"/>
  <c r="AD111" i="13"/>
  <c r="AM48" i="13"/>
  <c r="AJ48" i="13"/>
  <c r="AG48" i="13"/>
  <c r="AD48" i="13"/>
  <c r="AM162" i="13"/>
  <c r="AJ162" i="13"/>
  <c r="AG162" i="13"/>
  <c r="AD162" i="13"/>
  <c r="AM161" i="13"/>
  <c r="AJ161" i="13"/>
  <c r="AG161" i="13"/>
  <c r="AD161" i="13"/>
  <c r="AM160" i="13"/>
  <c r="AJ160" i="13"/>
  <c r="AG160" i="13"/>
  <c r="AD160" i="13"/>
  <c r="AM110" i="13"/>
  <c r="AJ110" i="13"/>
  <c r="AG110" i="13"/>
  <c r="AD110" i="13"/>
  <c r="AM47" i="13"/>
  <c r="AJ47" i="13"/>
  <c r="AG47" i="13"/>
  <c r="AD47" i="13"/>
  <c r="AM46" i="13"/>
  <c r="AJ46" i="13"/>
  <c r="AG46" i="13"/>
  <c r="AD46" i="13"/>
  <c r="AM159" i="13"/>
  <c r="AJ159" i="13"/>
  <c r="AG159" i="13"/>
  <c r="AD159" i="13"/>
  <c r="AM158" i="13"/>
  <c r="AJ158" i="13"/>
  <c r="AG158" i="13"/>
  <c r="AD158" i="13"/>
  <c r="AM109" i="13"/>
  <c r="AJ109" i="13"/>
  <c r="AG109" i="13"/>
  <c r="AD109" i="13"/>
  <c r="AM157" i="13"/>
  <c r="AJ157" i="13"/>
  <c r="AG157" i="13"/>
  <c r="AD157" i="13"/>
  <c r="AM156" i="13"/>
  <c r="AJ156" i="13"/>
  <c r="AG156" i="13"/>
  <c r="AD156" i="13"/>
  <c r="AM108" i="13"/>
  <c r="AJ108" i="13"/>
  <c r="AG108" i="13"/>
  <c r="AD108" i="13"/>
  <c r="AM107" i="13"/>
  <c r="AJ107" i="13"/>
  <c r="AG107" i="13"/>
  <c r="AD107" i="13"/>
  <c r="AM106" i="13"/>
  <c r="AJ106" i="13"/>
  <c r="AG106" i="13"/>
  <c r="AD106" i="13"/>
  <c r="AM45" i="13"/>
  <c r="AJ45" i="13"/>
  <c r="AG45" i="13"/>
  <c r="AD45" i="13"/>
  <c r="AM44" i="13"/>
  <c r="AJ44" i="13"/>
  <c r="AG44" i="13"/>
  <c r="AD44" i="13"/>
  <c r="AM43" i="13"/>
  <c r="AJ43" i="13"/>
  <c r="AG43" i="13"/>
  <c r="AD43" i="13"/>
  <c r="AM42" i="13"/>
  <c r="AJ42" i="13"/>
  <c r="AG42" i="13"/>
  <c r="AD42" i="13"/>
  <c r="AM41" i="13"/>
  <c r="AJ41" i="13"/>
  <c r="AG41" i="13"/>
  <c r="AD41" i="13"/>
  <c r="AM40" i="13"/>
  <c r="AJ40" i="13"/>
  <c r="AG40" i="13"/>
  <c r="AD40" i="13"/>
  <c r="AM155" i="13"/>
  <c r="AJ155" i="13"/>
  <c r="AG155" i="13"/>
  <c r="AD155" i="13"/>
  <c r="AM154" i="13"/>
  <c r="AJ154" i="13"/>
  <c r="AG154" i="13"/>
  <c r="AD154" i="13"/>
  <c r="AM39" i="13"/>
  <c r="AJ39" i="13"/>
  <c r="AG39" i="13"/>
  <c r="AD39" i="13"/>
  <c r="AM153" i="13"/>
  <c r="AJ153" i="13"/>
  <c r="AG153" i="13"/>
  <c r="AD153" i="13"/>
  <c r="AM152" i="13"/>
  <c r="AJ152" i="13"/>
  <c r="AG152" i="13"/>
  <c r="AD152" i="13"/>
  <c r="AM105" i="13"/>
  <c r="AJ105" i="13"/>
  <c r="AG105" i="13"/>
  <c r="AD105" i="13"/>
  <c r="AM151" i="13"/>
  <c r="AJ151" i="13"/>
  <c r="AG151" i="13"/>
  <c r="AD151" i="13"/>
  <c r="AM150" i="13"/>
  <c r="AJ150" i="13"/>
  <c r="AG150" i="13"/>
  <c r="AD150" i="13"/>
  <c r="AM104" i="13"/>
  <c r="AJ104" i="13"/>
  <c r="AG104" i="13"/>
  <c r="AD104" i="13"/>
  <c r="AM149" i="13"/>
  <c r="AJ149" i="13"/>
  <c r="AG149" i="13"/>
  <c r="AD149" i="13"/>
  <c r="AM38" i="13"/>
  <c r="AJ38" i="13"/>
  <c r="AG38" i="13"/>
  <c r="AD38" i="13"/>
  <c r="AM103" i="13"/>
  <c r="AJ103" i="13"/>
  <c r="AG103" i="13"/>
  <c r="AD103" i="13"/>
  <c r="AM148" i="13"/>
  <c r="AJ148" i="13"/>
  <c r="AG148" i="13"/>
  <c r="AD148" i="13"/>
  <c r="AM147" i="13"/>
  <c r="AJ147" i="13"/>
  <c r="AG147" i="13"/>
  <c r="AD147" i="13"/>
  <c r="AM146" i="13"/>
  <c r="AJ146" i="13"/>
  <c r="AG146" i="13"/>
  <c r="AD146" i="13"/>
  <c r="AM36" i="13"/>
  <c r="AJ36" i="13"/>
  <c r="AG36" i="13"/>
  <c r="AD36" i="13"/>
  <c r="AM145" i="13"/>
  <c r="AJ145" i="13"/>
  <c r="AG145" i="13"/>
  <c r="AD145" i="13"/>
  <c r="AM144" i="13"/>
  <c r="AJ144" i="13"/>
  <c r="AG144" i="13"/>
  <c r="AD144" i="13"/>
  <c r="AM35" i="13"/>
  <c r="AJ35" i="13"/>
  <c r="AG35" i="13"/>
  <c r="AD35" i="13"/>
  <c r="AM143" i="13"/>
  <c r="AJ143" i="13"/>
  <c r="AG143" i="13"/>
  <c r="AD143" i="13"/>
  <c r="AM34" i="13"/>
  <c r="AJ34" i="13"/>
  <c r="AG34" i="13"/>
  <c r="AD34" i="13"/>
  <c r="AM142" i="13"/>
  <c r="AJ142" i="13"/>
  <c r="AG142" i="13"/>
  <c r="AD142" i="13"/>
  <c r="AM102" i="13"/>
  <c r="AJ102" i="13"/>
  <c r="AG102" i="13"/>
  <c r="AD102" i="13"/>
  <c r="AM141" i="13"/>
  <c r="AJ141" i="13"/>
  <c r="AG141" i="13"/>
  <c r="AD141" i="13"/>
  <c r="AM140" i="13"/>
  <c r="AJ140" i="13"/>
  <c r="AG140" i="13"/>
  <c r="AD140" i="13"/>
  <c r="AM33" i="13"/>
  <c r="AJ33" i="13"/>
  <c r="AG33" i="13"/>
  <c r="AD33" i="13"/>
  <c r="AM32" i="13"/>
  <c r="AJ32" i="13"/>
  <c r="AG32" i="13"/>
  <c r="AD32" i="13"/>
  <c r="AM31" i="13"/>
  <c r="AJ31" i="13"/>
  <c r="AG31" i="13"/>
  <c r="AD31" i="13"/>
  <c r="AM30" i="13"/>
  <c r="AJ30" i="13"/>
  <c r="AG30" i="13"/>
  <c r="AD30" i="13"/>
  <c r="AM101" i="13"/>
  <c r="AJ101" i="13"/>
  <c r="AG101" i="13"/>
  <c r="AD101" i="13"/>
  <c r="AM29" i="13"/>
  <c r="AJ29" i="13"/>
  <c r="AG29" i="13"/>
  <c r="AD29" i="13"/>
  <c r="AM139" i="13"/>
  <c r="AJ139" i="13"/>
  <c r="AG139" i="13"/>
  <c r="AD139" i="13"/>
  <c r="AM138" i="13"/>
  <c r="AJ138" i="13"/>
  <c r="AG138" i="13"/>
  <c r="AD138" i="13"/>
  <c r="AM28" i="13"/>
  <c r="AJ28" i="13"/>
  <c r="AG28" i="13"/>
  <c r="AD28" i="13"/>
  <c r="AM100" i="13"/>
  <c r="AJ100" i="13"/>
  <c r="AG100" i="13"/>
  <c r="AD100" i="13"/>
  <c r="AM27" i="13"/>
  <c r="AJ27" i="13"/>
  <c r="AG27" i="13"/>
  <c r="AD27" i="13"/>
  <c r="AM137" i="13"/>
  <c r="AJ137" i="13"/>
  <c r="AG137" i="13"/>
  <c r="AD137" i="13"/>
  <c r="AM136" i="13"/>
  <c r="AJ136" i="13"/>
  <c r="AG136" i="13"/>
  <c r="AD136" i="13"/>
  <c r="AM99" i="13"/>
  <c r="AJ99" i="13"/>
  <c r="AG99" i="13"/>
  <c r="AD99" i="13"/>
  <c r="AM135" i="13"/>
  <c r="AJ135" i="13"/>
  <c r="AG135" i="13"/>
  <c r="AD135" i="13"/>
  <c r="AM26" i="13"/>
  <c r="AJ26" i="13"/>
  <c r="AG26" i="13"/>
  <c r="AD26" i="13"/>
  <c r="AM98" i="13"/>
  <c r="AJ98" i="13"/>
  <c r="AG98" i="13"/>
  <c r="AD98" i="13"/>
  <c r="AM134" i="13"/>
  <c r="AJ134" i="13"/>
  <c r="AG134" i="13"/>
  <c r="AD134" i="13"/>
  <c r="AM25" i="13"/>
  <c r="AJ25" i="13"/>
  <c r="AG25" i="13"/>
  <c r="AD25" i="13"/>
  <c r="AM24" i="13"/>
  <c r="AJ24" i="13"/>
  <c r="AG24" i="13"/>
  <c r="AD24" i="13"/>
  <c r="AM23" i="13"/>
  <c r="AJ23" i="13"/>
  <c r="AG23" i="13"/>
  <c r="AD23" i="13"/>
  <c r="AM22" i="13"/>
  <c r="AJ22" i="13"/>
  <c r="AG22" i="13"/>
  <c r="AD22" i="13"/>
  <c r="AM21" i="13"/>
  <c r="AJ21" i="13"/>
  <c r="AG21" i="13"/>
  <c r="AD21" i="13"/>
  <c r="AM133" i="13"/>
  <c r="AJ133" i="13"/>
  <c r="AG133" i="13"/>
  <c r="AD133" i="13"/>
  <c r="AM132" i="13"/>
  <c r="AJ132" i="13"/>
  <c r="AG132" i="13"/>
  <c r="AD132" i="13"/>
  <c r="AM20" i="13"/>
  <c r="AJ20" i="13"/>
  <c r="AG20" i="13"/>
  <c r="AD20" i="13"/>
  <c r="AM19" i="13"/>
  <c r="AJ19" i="13"/>
  <c r="AG19" i="13"/>
  <c r="AD19" i="13"/>
  <c r="AM97" i="13"/>
  <c r="AJ97" i="13"/>
  <c r="AG97" i="13"/>
  <c r="AD97" i="13"/>
  <c r="AM96" i="13"/>
  <c r="AJ96" i="13"/>
  <c r="AG96" i="13"/>
  <c r="AD96" i="13"/>
  <c r="AM18" i="13"/>
  <c r="AJ18" i="13"/>
  <c r="AG18" i="13"/>
  <c r="AD18" i="13"/>
  <c r="AM17" i="13"/>
  <c r="AJ17" i="13"/>
  <c r="AG17" i="13"/>
  <c r="AD17" i="13"/>
  <c r="AM16" i="13"/>
  <c r="AJ16" i="13"/>
  <c r="AG16" i="13"/>
  <c r="AD16" i="13"/>
  <c r="AM131" i="13"/>
  <c r="AJ131" i="13"/>
  <c r="AG131" i="13"/>
  <c r="AD131" i="13"/>
  <c r="AM130" i="13"/>
  <c r="AJ130" i="13"/>
  <c r="AG130" i="13"/>
  <c r="AD130" i="13"/>
  <c r="AM15" i="13"/>
  <c r="AJ15" i="13"/>
  <c r="AG15" i="13"/>
  <c r="AD15" i="13"/>
  <c r="AM14" i="13"/>
  <c r="AJ14" i="13"/>
  <c r="AG14" i="13"/>
  <c r="AD14" i="13"/>
  <c r="AM13" i="13"/>
  <c r="AJ13" i="13"/>
  <c r="AG13" i="13"/>
  <c r="AD13" i="13"/>
  <c r="AM12" i="13"/>
  <c r="AJ12" i="13"/>
  <c r="AG12" i="13"/>
  <c r="AD12" i="13"/>
  <c r="AM11" i="13"/>
  <c r="AJ11" i="13"/>
  <c r="AG11" i="13"/>
  <c r="AD11" i="13"/>
  <c r="AM10" i="13"/>
  <c r="AJ10" i="13"/>
  <c r="AG10" i="13"/>
  <c r="AD10" i="13"/>
  <c r="AM9" i="13"/>
  <c r="AJ9" i="13"/>
  <c r="AG9" i="13"/>
  <c r="AD9" i="13"/>
  <c r="AM8" i="13"/>
  <c r="AJ8" i="13"/>
  <c r="AG8" i="13"/>
  <c r="AD8" i="13"/>
  <c r="AM7" i="13"/>
  <c r="AJ7" i="13"/>
  <c r="AG7" i="13"/>
  <c r="AD7" i="13"/>
  <c r="AM6" i="13"/>
  <c r="AJ6" i="13"/>
  <c r="AG6" i="13"/>
  <c r="AD6" i="13"/>
  <c r="AM5" i="13"/>
  <c r="AJ5" i="13"/>
  <c r="AG5" i="13"/>
  <c r="AD5" i="13"/>
  <c r="AM4" i="13"/>
  <c r="AJ4" i="13"/>
  <c r="AG4" i="13"/>
  <c r="AD4" i="13"/>
  <c r="AM95" i="13"/>
  <c r="AJ95" i="13"/>
  <c r="AG95" i="13"/>
  <c r="AD95" i="13"/>
  <c r="AM3" i="13"/>
  <c r="AJ3" i="13"/>
  <c r="AG3" i="13"/>
  <c r="AD3" i="13"/>
  <c r="AI199" i="12"/>
  <c r="AF199" i="12"/>
  <c r="AC199" i="12"/>
  <c r="Z199" i="12"/>
  <c r="AI198" i="12"/>
  <c r="AF198" i="12"/>
  <c r="AC198" i="12"/>
  <c r="Z198" i="12"/>
  <c r="AI197" i="12"/>
  <c r="AF197" i="12"/>
  <c r="AC197" i="12"/>
  <c r="Z197" i="12"/>
  <c r="AI196" i="12"/>
  <c r="AF196" i="12"/>
  <c r="AC196" i="12"/>
  <c r="Z196" i="12"/>
  <c r="AI195" i="12"/>
  <c r="AF195" i="12"/>
  <c r="AC195" i="12"/>
  <c r="Z195" i="12"/>
  <c r="AI194" i="12"/>
  <c r="AF194" i="12"/>
  <c r="AC194" i="12"/>
  <c r="Z194" i="12"/>
  <c r="AI193" i="12"/>
  <c r="AF193" i="12"/>
  <c r="AC193" i="12"/>
  <c r="Z193" i="12"/>
  <c r="AI192" i="12"/>
  <c r="AF192" i="12"/>
  <c r="AC192" i="12"/>
  <c r="Z192" i="12"/>
  <c r="AI191" i="12"/>
  <c r="AF191" i="12"/>
  <c r="AC191" i="12"/>
  <c r="Z191" i="12"/>
  <c r="V191" i="12"/>
  <c r="U191" i="12"/>
  <c r="T191" i="12"/>
  <c r="H191" i="12"/>
  <c r="S191" i="12" s="1"/>
  <c r="AI190" i="12"/>
  <c r="AF190" i="12"/>
  <c r="AC190" i="12"/>
  <c r="Z190" i="12"/>
  <c r="AI189" i="12"/>
  <c r="AF189" i="12"/>
  <c r="AC189" i="12"/>
  <c r="Z189" i="12"/>
  <c r="AI188" i="12"/>
  <c r="AF188" i="12"/>
  <c r="AC188" i="12"/>
  <c r="Z188" i="12"/>
  <c r="AI187" i="12"/>
  <c r="AF187" i="12"/>
  <c r="AC187" i="12"/>
  <c r="Z187" i="12"/>
  <c r="AI186" i="12"/>
  <c r="AF186" i="12"/>
  <c r="AC186" i="12"/>
  <c r="Z186" i="12"/>
  <c r="AI185" i="12"/>
  <c r="AF185" i="12"/>
  <c r="AC185" i="12"/>
  <c r="Z185" i="12"/>
  <c r="AI184" i="12"/>
  <c r="AF184" i="12"/>
  <c r="AC184" i="12"/>
  <c r="Z184" i="12"/>
  <c r="AI183" i="12"/>
  <c r="AF183" i="12"/>
  <c r="AC183" i="12"/>
  <c r="Z183" i="12"/>
  <c r="AI182" i="12"/>
  <c r="AF182" i="12"/>
  <c r="AC182" i="12"/>
  <c r="Z182" i="12"/>
  <c r="AI181" i="12"/>
  <c r="AF181" i="12"/>
  <c r="AC181" i="12"/>
  <c r="Z181" i="12"/>
  <c r="AI180" i="12"/>
  <c r="AF180" i="12"/>
  <c r="AC180" i="12"/>
  <c r="Z180" i="12"/>
  <c r="AI179" i="12"/>
  <c r="AF179" i="12"/>
  <c r="AC179" i="12"/>
  <c r="Z179" i="12"/>
  <c r="AI178" i="12"/>
  <c r="AF178" i="12"/>
  <c r="AC178" i="12"/>
  <c r="Z178" i="12"/>
  <c r="AI177" i="12"/>
  <c r="AF177" i="12"/>
  <c r="AC177" i="12"/>
  <c r="Z177" i="12"/>
  <c r="AI176" i="12"/>
  <c r="AF176" i="12"/>
  <c r="AC176" i="12"/>
  <c r="Z176" i="12"/>
  <c r="AI175" i="12"/>
  <c r="AF175" i="12"/>
  <c r="AC175" i="12"/>
  <c r="Z175" i="12"/>
  <c r="AI174" i="12"/>
  <c r="AF174" i="12"/>
  <c r="AC174" i="12"/>
  <c r="Z174" i="12"/>
  <c r="AI173" i="12"/>
  <c r="AF173" i="12"/>
  <c r="AC173" i="12"/>
  <c r="Z173" i="12"/>
  <c r="AI172" i="12"/>
  <c r="AF172" i="12"/>
  <c r="AC172" i="12"/>
  <c r="Z172" i="12"/>
  <c r="AI171" i="12"/>
  <c r="AF171" i="12"/>
  <c r="AC171" i="12"/>
  <c r="Z171" i="12"/>
  <c r="AI170" i="12"/>
  <c r="AF170" i="12"/>
  <c r="AC170" i="12"/>
  <c r="Z170" i="12"/>
  <c r="AI169" i="12"/>
  <c r="AF169" i="12"/>
  <c r="AC169" i="12"/>
  <c r="Z169" i="12"/>
  <c r="AI168" i="12"/>
  <c r="AF168" i="12"/>
  <c r="AC168" i="12"/>
  <c r="Z168" i="12"/>
  <c r="AI167" i="12"/>
  <c r="AF167" i="12"/>
  <c r="AC167" i="12"/>
  <c r="Z167" i="12"/>
  <c r="AI166" i="12"/>
  <c r="AF166" i="12"/>
  <c r="AC166" i="12"/>
  <c r="Z166" i="12"/>
  <c r="AI165" i="12"/>
  <c r="AF165" i="12"/>
  <c r="AC165" i="12"/>
  <c r="Z165" i="12"/>
  <c r="AI164" i="12"/>
  <c r="AF164" i="12"/>
  <c r="AC164" i="12"/>
  <c r="Z164" i="12"/>
  <c r="AI163" i="12"/>
  <c r="AF163" i="12"/>
  <c r="AC163" i="12"/>
  <c r="Z163" i="12"/>
  <c r="AI162" i="12"/>
  <c r="AF162" i="12"/>
  <c r="AC162" i="12"/>
  <c r="Z162" i="12"/>
  <c r="AI161" i="12"/>
  <c r="AF161" i="12"/>
  <c r="AC161" i="12"/>
  <c r="Z161" i="12"/>
  <c r="AI160" i="12"/>
  <c r="AF160" i="12"/>
  <c r="AC160" i="12"/>
  <c r="Z160" i="12"/>
  <c r="AI159" i="12"/>
  <c r="AF159" i="12"/>
  <c r="AC159" i="12"/>
  <c r="Z159" i="12"/>
  <c r="AI158" i="12"/>
  <c r="AF158" i="12"/>
  <c r="AC158" i="12"/>
  <c r="Z158" i="12"/>
  <c r="AI157" i="12"/>
  <c r="AF157" i="12"/>
  <c r="AC157" i="12"/>
  <c r="Z157" i="12"/>
  <c r="AI156" i="12"/>
  <c r="AF156" i="12"/>
  <c r="AC156" i="12"/>
  <c r="Z156" i="12"/>
  <c r="AI155" i="12"/>
  <c r="AF155" i="12"/>
  <c r="AC155" i="12"/>
  <c r="Z155" i="12"/>
  <c r="V155" i="12"/>
  <c r="U155" i="12"/>
  <c r="T155" i="12"/>
  <c r="H155" i="12"/>
  <c r="S155" i="12" s="1"/>
  <c r="AI154" i="12"/>
  <c r="AF154" i="12"/>
  <c r="AC154" i="12"/>
  <c r="Z154" i="12"/>
  <c r="AI153" i="12"/>
  <c r="AF153" i="12"/>
  <c r="AC153" i="12"/>
  <c r="Z153" i="12"/>
  <c r="AI152" i="12"/>
  <c r="AF152" i="12"/>
  <c r="AC152" i="12"/>
  <c r="Z152" i="12"/>
  <c r="AI151" i="12"/>
  <c r="AF151" i="12"/>
  <c r="AC151" i="12"/>
  <c r="Z151" i="12"/>
  <c r="AI150" i="12"/>
  <c r="AF150" i="12"/>
  <c r="AC150" i="12"/>
  <c r="Z150" i="12"/>
  <c r="AI149" i="12"/>
  <c r="AF149" i="12"/>
  <c r="AC149" i="12"/>
  <c r="Z149" i="12"/>
  <c r="AI148" i="12"/>
  <c r="AF148" i="12"/>
  <c r="AC148" i="12"/>
  <c r="Z148" i="12"/>
  <c r="AI147" i="12"/>
  <c r="AF147" i="12"/>
  <c r="AC147" i="12"/>
  <c r="Z147" i="12"/>
  <c r="AI146" i="12"/>
  <c r="AF146" i="12"/>
  <c r="AC146" i="12"/>
  <c r="Z146" i="12"/>
  <c r="AI145" i="12"/>
  <c r="AF145" i="12"/>
  <c r="AC145" i="12"/>
  <c r="Z145" i="12"/>
  <c r="AI144" i="12"/>
  <c r="AF144" i="12"/>
  <c r="AC144" i="12"/>
  <c r="Z144" i="12"/>
  <c r="AI143" i="12"/>
  <c r="AF143" i="12"/>
  <c r="AC143" i="12"/>
  <c r="Z143" i="12"/>
  <c r="AI142" i="12"/>
  <c r="AF142" i="12"/>
  <c r="AC142" i="12"/>
  <c r="Z142" i="12"/>
  <c r="AI141" i="12"/>
  <c r="AF141" i="12"/>
  <c r="AC141" i="12"/>
  <c r="Z141" i="12"/>
  <c r="AI140" i="12"/>
  <c r="AF140" i="12"/>
  <c r="AC140" i="12"/>
  <c r="Z140" i="12"/>
  <c r="AI139" i="12"/>
  <c r="AF139" i="12"/>
  <c r="AC139" i="12"/>
  <c r="Z139" i="12"/>
  <c r="AI138" i="12"/>
  <c r="AF138" i="12"/>
  <c r="AC138" i="12"/>
  <c r="Z138" i="12"/>
  <c r="AI137" i="12"/>
  <c r="AF137" i="12"/>
  <c r="AC137" i="12"/>
  <c r="Z137" i="12"/>
  <c r="AI136" i="12"/>
  <c r="AF136" i="12"/>
  <c r="AC136" i="12"/>
  <c r="Z136" i="12"/>
  <c r="AI135" i="12"/>
  <c r="AF135" i="12"/>
  <c r="AC135" i="12"/>
  <c r="Z135" i="12"/>
  <c r="AI134" i="12"/>
  <c r="AF134" i="12"/>
  <c r="AC134" i="12"/>
  <c r="Z134" i="12"/>
  <c r="AI133" i="12"/>
  <c r="AF133" i="12"/>
  <c r="AC133" i="12"/>
  <c r="Z133" i="12"/>
  <c r="AI132" i="12"/>
  <c r="AF132" i="12"/>
  <c r="AC132" i="12"/>
  <c r="Z132" i="12"/>
  <c r="AI131" i="12"/>
  <c r="AF131" i="12"/>
  <c r="AC131" i="12"/>
  <c r="Z131" i="12"/>
  <c r="AI130" i="12"/>
  <c r="AF130" i="12"/>
  <c r="AC130" i="12"/>
  <c r="Z130" i="12"/>
  <c r="AI129" i="12"/>
  <c r="AF129" i="12"/>
  <c r="AC129" i="12"/>
  <c r="Z129" i="12"/>
  <c r="AI128" i="12"/>
  <c r="AF128" i="12"/>
  <c r="AC128" i="12"/>
  <c r="Z128" i="12"/>
  <c r="V128" i="12"/>
  <c r="U128" i="12"/>
  <c r="T128" i="12"/>
  <c r="H128" i="12"/>
  <c r="S128" i="12" s="1"/>
  <c r="AI127" i="12"/>
  <c r="AF127" i="12"/>
  <c r="AC127" i="12"/>
  <c r="Z127" i="12"/>
  <c r="AI126" i="12"/>
  <c r="AF126" i="12"/>
  <c r="AC126" i="12"/>
  <c r="Z126" i="12"/>
  <c r="AI125" i="12"/>
  <c r="AF125" i="12"/>
  <c r="AC125" i="12"/>
  <c r="Z125" i="12"/>
  <c r="AI124" i="12"/>
  <c r="AF124" i="12"/>
  <c r="AC124" i="12"/>
  <c r="Z124" i="12"/>
  <c r="AI123" i="12"/>
  <c r="AF123" i="12"/>
  <c r="AC123" i="12"/>
  <c r="Z123" i="12"/>
  <c r="AI122" i="12"/>
  <c r="AF122" i="12"/>
  <c r="AC122" i="12"/>
  <c r="Z122" i="12"/>
  <c r="AI121" i="12"/>
  <c r="AF121" i="12"/>
  <c r="AC121" i="12"/>
  <c r="Z121" i="12"/>
  <c r="AI120" i="12"/>
  <c r="AF120" i="12"/>
  <c r="AC120" i="12"/>
  <c r="Z120" i="12"/>
  <c r="AI119" i="12"/>
  <c r="AF119" i="12"/>
  <c r="AC119" i="12"/>
  <c r="Z119" i="12"/>
  <c r="AI118" i="12"/>
  <c r="AF118" i="12"/>
  <c r="AC118" i="12"/>
  <c r="Z118" i="12"/>
  <c r="AI117" i="12"/>
  <c r="AF117" i="12"/>
  <c r="AC117" i="12"/>
  <c r="Z117" i="12"/>
  <c r="AI116" i="12"/>
  <c r="AF116" i="12"/>
  <c r="AC116" i="12"/>
  <c r="Z116" i="12"/>
  <c r="AI115" i="12"/>
  <c r="AF115" i="12"/>
  <c r="AC115" i="12"/>
  <c r="Z115" i="12"/>
  <c r="AI114" i="12"/>
  <c r="AF114" i="12"/>
  <c r="AC114" i="12"/>
  <c r="Z114" i="12"/>
  <c r="AI113" i="12"/>
  <c r="AF113" i="12"/>
  <c r="AC113" i="12"/>
  <c r="Z113" i="12"/>
  <c r="AI112" i="12"/>
  <c r="AF112" i="12"/>
  <c r="AC112" i="12"/>
  <c r="Z112" i="12"/>
  <c r="AI111" i="12"/>
  <c r="AF111" i="12"/>
  <c r="AC111" i="12"/>
  <c r="Z111" i="12"/>
  <c r="AI110" i="12"/>
  <c r="AF110" i="12"/>
  <c r="AC110" i="12"/>
  <c r="Z110" i="12"/>
  <c r="AI109" i="12"/>
  <c r="AF109" i="12"/>
  <c r="AC109" i="12"/>
  <c r="Z109" i="12"/>
  <c r="AI108" i="12"/>
  <c r="AF108" i="12"/>
  <c r="AC108" i="12"/>
  <c r="Z108" i="12"/>
  <c r="AI107" i="12"/>
  <c r="AF107" i="12"/>
  <c r="AC107" i="12"/>
  <c r="Z107" i="12"/>
  <c r="AI106" i="12"/>
  <c r="AF106" i="12"/>
  <c r="AC106" i="12"/>
  <c r="Z106" i="12"/>
  <c r="AI105" i="12"/>
  <c r="AF105" i="12"/>
  <c r="AC105" i="12"/>
  <c r="Z105" i="12"/>
  <c r="AI104" i="12"/>
  <c r="AF104" i="12"/>
  <c r="AC104" i="12"/>
  <c r="Z104" i="12"/>
  <c r="AI103" i="12"/>
  <c r="AF103" i="12"/>
  <c r="AC103" i="12"/>
  <c r="Z103" i="12"/>
  <c r="AI102" i="12"/>
  <c r="AF102" i="12"/>
  <c r="AC102" i="12"/>
  <c r="Z102" i="12"/>
  <c r="AI101" i="12"/>
  <c r="AF101" i="12"/>
  <c r="AC101" i="12"/>
  <c r="Z101" i="12"/>
  <c r="AI100" i="12"/>
  <c r="AF100" i="12"/>
  <c r="AC100" i="12"/>
  <c r="Z100" i="12"/>
  <c r="V100" i="12"/>
  <c r="U100" i="12"/>
  <c r="T100" i="12"/>
  <c r="H100" i="12"/>
  <c r="S100" i="12" s="1"/>
  <c r="AI99" i="12"/>
  <c r="AF99" i="12"/>
  <c r="AC99" i="12"/>
  <c r="Z99" i="12"/>
  <c r="AI98" i="12"/>
  <c r="AF98" i="12"/>
  <c r="AC98" i="12"/>
  <c r="Z98" i="12"/>
  <c r="AI97" i="12"/>
  <c r="AF97" i="12"/>
  <c r="AC97" i="12"/>
  <c r="Z97" i="12"/>
  <c r="AI96" i="12"/>
  <c r="AF96" i="12"/>
  <c r="AC96" i="12"/>
  <c r="Z96" i="12"/>
  <c r="AI95" i="12"/>
  <c r="AF95" i="12"/>
  <c r="AC95" i="12"/>
  <c r="Z95" i="12"/>
  <c r="AI94" i="12"/>
  <c r="AF94" i="12"/>
  <c r="AC94" i="12"/>
  <c r="Z94" i="12"/>
  <c r="AI93" i="12"/>
  <c r="AF93" i="12"/>
  <c r="AC93" i="12"/>
  <c r="Z93" i="12"/>
  <c r="AI92" i="12"/>
  <c r="AF92" i="12"/>
  <c r="AC92" i="12"/>
  <c r="Z92" i="12"/>
  <c r="AI91" i="12"/>
  <c r="AF91" i="12"/>
  <c r="AC91" i="12"/>
  <c r="Z91" i="12"/>
  <c r="AI90" i="12"/>
  <c r="AF90" i="12"/>
  <c r="AC90" i="12"/>
  <c r="Z90" i="12"/>
  <c r="AI89" i="12"/>
  <c r="AF89" i="12"/>
  <c r="AC89" i="12"/>
  <c r="Z89" i="12"/>
  <c r="AI88" i="12"/>
  <c r="AF88" i="12"/>
  <c r="AC88" i="12"/>
  <c r="Z88" i="12"/>
  <c r="AI87" i="12"/>
  <c r="AF87" i="12"/>
  <c r="AC87" i="12"/>
  <c r="Z87" i="12"/>
  <c r="AI86" i="12"/>
  <c r="AF86" i="12"/>
  <c r="AC86" i="12"/>
  <c r="Z86" i="12"/>
  <c r="AI85" i="12"/>
  <c r="AF85" i="12"/>
  <c r="AC85" i="12"/>
  <c r="Z85" i="12"/>
  <c r="AI84" i="12"/>
  <c r="AF84" i="12"/>
  <c r="AC84" i="12"/>
  <c r="Z84" i="12"/>
  <c r="AI83" i="12"/>
  <c r="AF83" i="12"/>
  <c r="AC83" i="12"/>
  <c r="Z83" i="12"/>
  <c r="AI82" i="12"/>
  <c r="AF82" i="12"/>
  <c r="AC82" i="12"/>
  <c r="Z82" i="12"/>
  <c r="AI81" i="12"/>
  <c r="AF81" i="12"/>
  <c r="AC81" i="12"/>
  <c r="Z81" i="12"/>
  <c r="AI80" i="12"/>
  <c r="AF80" i="12"/>
  <c r="AC80" i="12"/>
  <c r="Z80" i="12"/>
  <c r="AI79" i="12"/>
  <c r="AF79" i="12"/>
  <c r="AC79" i="12"/>
  <c r="Z79" i="12"/>
  <c r="AI78" i="12"/>
  <c r="AF78" i="12"/>
  <c r="AC78" i="12"/>
  <c r="Z78" i="12"/>
  <c r="AI77" i="12"/>
  <c r="AF77" i="12"/>
  <c r="AC77" i="12"/>
  <c r="Z77" i="12"/>
  <c r="AI76" i="12"/>
  <c r="AF76" i="12"/>
  <c r="AC76" i="12"/>
  <c r="Z76" i="12"/>
  <c r="AI75" i="12"/>
  <c r="AF75" i="12"/>
  <c r="AC75" i="12"/>
  <c r="Z75" i="12"/>
  <c r="AI74" i="12"/>
  <c r="AF74" i="12"/>
  <c r="AC74" i="12"/>
  <c r="Z74" i="12"/>
  <c r="AI73" i="12"/>
  <c r="AF73" i="12"/>
  <c r="AC73" i="12"/>
  <c r="Z73" i="12"/>
  <c r="AI72" i="12"/>
  <c r="AF72" i="12"/>
  <c r="AC72" i="12"/>
  <c r="Z72" i="12"/>
  <c r="AI71" i="12"/>
  <c r="AF71" i="12"/>
  <c r="AC71" i="12"/>
  <c r="Z71" i="12"/>
  <c r="AI70" i="12"/>
  <c r="AF70" i="12"/>
  <c r="AC70" i="12"/>
  <c r="Z70" i="12"/>
  <c r="AI69" i="12"/>
  <c r="AF69" i="12"/>
  <c r="AC69" i="12"/>
  <c r="Z69" i="12"/>
  <c r="AI68" i="12"/>
  <c r="AF68" i="12"/>
  <c r="AC68" i="12"/>
  <c r="Z68" i="12"/>
  <c r="AI67" i="12"/>
  <c r="AF67" i="12"/>
  <c r="AC67" i="12"/>
  <c r="Z67" i="12"/>
  <c r="AI66" i="12"/>
  <c r="AF66" i="12"/>
  <c r="AC66" i="12"/>
  <c r="Z66" i="12"/>
  <c r="AI65" i="12"/>
  <c r="AF65" i="12"/>
  <c r="AC65" i="12"/>
  <c r="Z65" i="12"/>
  <c r="AI64" i="12"/>
  <c r="AF64" i="12"/>
  <c r="AC64" i="12"/>
  <c r="Z64" i="12"/>
  <c r="AI63" i="12"/>
  <c r="AF63" i="12"/>
  <c r="AC63" i="12"/>
  <c r="Z63" i="12"/>
  <c r="AI62" i="12"/>
  <c r="AF62" i="12"/>
  <c r="AC62" i="12"/>
  <c r="Z62" i="12"/>
  <c r="AI61" i="12"/>
  <c r="AF61" i="12"/>
  <c r="AC61" i="12"/>
  <c r="Z61" i="12"/>
  <c r="AI60" i="12"/>
  <c r="AF60" i="12"/>
  <c r="AC60" i="12"/>
  <c r="Z60" i="12"/>
  <c r="AI59" i="12"/>
  <c r="AF59" i="12"/>
  <c r="AC59" i="12"/>
  <c r="Z59" i="12"/>
  <c r="AI58" i="12"/>
  <c r="AF58" i="12"/>
  <c r="AC58" i="12"/>
  <c r="Z58" i="12"/>
  <c r="AI57" i="12"/>
  <c r="AF57" i="12"/>
  <c r="AC57" i="12"/>
  <c r="Z57" i="12"/>
  <c r="AI56" i="12"/>
  <c r="AF56" i="12"/>
  <c r="AC56" i="12"/>
  <c r="Z56" i="12"/>
  <c r="AI55" i="12"/>
  <c r="AF55" i="12"/>
  <c r="AC55" i="12"/>
  <c r="Z55" i="12"/>
  <c r="AI54" i="12"/>
  <c r="AF54" i="12"/>
  <c r="AC54" i="12"/>
  <c r="Z54" i="12"/>
  <c r="AI53" i="12"/>
  <c r="AF53" i="12"/>
  <c r="AC53" i="12"/>
  <c r="Z53" i="12"/>
  <c r="AI52" i="12"/>
  <c r="AF52" i="12"/>
  <c r="AC52" i="12"/>
  <c r="Z52" i="12"/>
  <c r="AI51" i="12"/>
  <c r="AF51" i="12"/>
  <c r="AC51" i="12"/>
  <c r="Z51" i="12"/>
  <c r="AI50" i="12"/>
  <c r="AF50" i="12"/>
  <c r="AC50" i="12"/>
  <c r="Z50" i="12"/>
  <c r="AI49" i="12"/>
  <c r="AF49" i="12"/>
  <c r="AC49" i="12"/>
  <c r="Z49" i="12"/>
  <c r="AI48" i="12"/>
  <c r="AF48" i="12"/>
  <c r="AC48" i="12"/>
  <c r="Z48" i="12"/>
  <c r="AI47" i="12"/>
  <c r="AF47" i="12"/>
  <c r="AC47" i="12"/>
  <c r="Z47" i="12"/>
  <c r="AI46" i="12"/>
  <c r="AF46" i="12"/>
  <c r="AC46" i="12"/>
  <c r="Z46" i="12"/>
  <c r="AI45" i="12"/>
  <c r="AF45" i="12"/>
  <c r="AC45" i="12"/>
  <c r="Z45" i="12"/>
  <c r="AI44" i="12"/>
  <c r="AF44" i="12"/>
  <c r="AC44" i="12"/>
  <c r="Z44" i="12"/>
  <c r="AI43" i="12"/>
  <c r="AF43" i="12"/>
  <c r="AC43" i="12"/>
  <c r="Z43" i="12"/>
  <c r="AI42" i="12"/>
  <c r="AF42" i="12"/>
  <c r="AC42" i="12"/>
  <c r="Z42" i="12"/>
  <c r="AI41" i="12"/>
  <c r="AF41" i="12"/>
  <c r="AC41" i="12"/>
  <c r="Z41" i="12"/>
  <c r="AI40" i="12"/>
  <c r="AF40" i="12"/>
  <c r="AC40" i="12"/>
  <c r="Z40" i="12"/>
  <c r="AI39" i="12"/>
  <c r="AF39" i="12"/>
  <c r="AC39" i="12"/>
  <c r="Z39" i="12"/>
  <c r="AI38" i="12"/>
  <c r="AF38" i="12"/>
  <c r="AC38" i="12"/>
  <c r="Z38" i="12"/>
  <c r="AI37" i="12"/>
  <c r="AF37" i="12"/>
  <c r="AC37" i="12"/>
  <c r="Z37" i="12"/>
  <c r="AI36" i="12"/>
  <c r="AF36" i="12"/>
  <c r="AC36" i="12"/>
  <c r="Z36" i="12"/>
  <c r="AI35" i="12"/>
  <c r="AF35" i="12"/>
  <c r="AC35" i="12"/>
  <c r="Z35" i="12"/>
  <c r="AI34" i="12"/>
  <c r="AF34" i="12"/>
  <c r="AC34" i="12"/>
  <c r="Z34" i="12"/>
  <c r="AI33" i="12"/>
  <c r="AF33" i="12"/>
  <c r="AC33" i="12"/>
  <c r="Z33" i="12"/>
  <c r="AI32" i="12"/>
  <c r="AF32" i="12"/>
  <c r="AC32" i="12"/>
  <c r="Z32" i="12"/>
  <c r="AI31" i="12"/>
  <c r="AF31" i="12"/>
  <c r="AC31" i="12"/>
  <c r="Z31" i="12"/>
  <c r="AI30" i="12"/>
  <c r="AF30" i="12"/>
  <c r="AC30" i="12"/>
  <c r="Z30" i="12"/>
  <c r="AI29" i="12"/>
  <c r="AF29" i="12"/>
  <c r="AC29" i="12"/>
  <c r="Z29" i="12"/>
  <c r="AI28" i="12"/>
  <c r="AF28" i="12"/>
  <c r="AC28" i="12"/>
  <c r="Z28" i="12"/>
  <c r="AI27" i="12"/>
  <c r="AF27" i="12"/>
  <c r="AC27" i="12"/>
  <c r="Z27" i="12"/>
  <c r="AI26" i="12"/>
  <c r="AF26" i="12"/>
  <c r="AC26" i="12"/>
  <c r="Z26" i="12"/>
  <c r="AI25" i="12"/>
  <c r="AF25" i="12"/>
  <c r="AC25" i="12"/>
  <c r="Z25" i="12"/>
  <c r="AI24" i="12"/>
  <c r="AF24" i="12"/>
  <c r="AC24" i="12"/>
  <c r="Z24" i="12"/>
  <c r="AI23" i="12"/>
  <c r="AF23" i="12"/>
  <c r="AC23" i="12"/>
  <c r="Z23" i="12"/>
  <c r="AI22" i="12"/>
  <c r="AF22" i="12"/>
  <c r="AC22" i="12"/>
  <c r="Z22" i="12"/>
  <c r="AI21" i="12"/>
  <c r="AF21" i="12"/>
  <c r="AC21" i="12"/>
  <c r="Z21" i="12"/>
  <c r="AI20" i="12"/>
  <c r="AF20" i="12"/>
  <c r="AC20" i="12"/>
  <c r="Z20" i="12"/>
  <c r="AI19" i="12"/>
  <c r="AF19" i="12"/>
  <c r="AC19" i="12"/>
  <c r="Z19" i="12"/>
  <c r="AI18" i="12"/>
  <c r="AF18" i="12"/>
  <c r="AC18" i="12"/>
  <c r="Z18" i="12"/>
  <c r="AI17" i="12"/>
  <c r="AF17" i="12"/>
  <c r="AC17" i="12"/>
  <c r="Z17" i="12"/>
  <c r="AI16" i="12"/>
  <c r="AF16" i="12"/>
  <c r="AC16" i="12"/>
  <c r="Z16" i="12"/>
  <c r="AI15" i="12"/>
  <c r="AF15" i="12"/>
  <c r="AC15" i="12"/>
  <c r="Z15" i="12"/>
  <c r="AI14" i="12"/>
  <c r="AF14" i="12"/>
  <c r="AC14" i="12"/>
  <c r="Z14" i="12"/>
  <c r="AI13" i="12"/>
  <c r="AF13" i="12"/>
  <c r="AC13" i="12"/>
  <c r="Z13" i="12"/>
  <c r="AI12" i="12"/>
  <c r="AF12" i="12"/>
  <c r="AC12" i="12"/>
  <c r="Z12" i="12"/>
  <c r="AI11" i="12"/>
  <c r="AF11" i="12"/>
  <c r="AC11" i="12"/>
  <c r="Z11" i="12"/>
  <c r="AI10" i="12"/>
  <c r="AF10" i="12"/>
  <c r="AC10" i="12"/>
  <c r="Z10" i="12"/>
  <c r="AI9" i="12"/>
  <c r="AF9" i="12"/>
  <c r="AC9" i="12"/>
  <c r="Z9" i="12"/>
  <c r="AI8" i="12"/>
  <c r="AF8" i="12"/>
  <c r="AC8" i="12"/>
  <c r="Z8" i="12"/>
  <c r="AI7" i="12"/>
  <c r="AF7" i="12"/>
  <c r="AC7" i="12"/>
  <c r="Z7" i="12"/>
  <c r="AI6" i="12"/>
  <c r="AF6" i="12"/>
  <c r="AC6" i="12"/>
  <c r="Z6" i="12"/>
  <c r="AI5" i="12"/>
  <c r="AF5" i="12"/>
  <c r="AC5" i="12"/>
  <c r="Z5" i="12"/>
  <c r="AI4" i="12"/>
  <c r="AF4" i="12"/>
  <c r="AC4" i="12"/>
  <c r="Z4" i="12"/>
  <c r="AI3" i="12"/>
  <c r="AF3" i="12"/>
  <c r="AC3" i="12"/>
  <c r="Z3" i="12"/>
  <c r="V3" i="12"/>
  <c r="U3" i="12"/>
  <c r="T3" i="12"/>
  <c r="H3" i="12"/>
  <c r="S3" i="12" s="1"/>
  <c r="AI199" i="11"/>
  <c r="AF199" i="11"/>
  <c r="AC199" i="11"/>
  <c r="Z199" i="11"/>
  <c r="AI198" i="11"/>
  <c r="AF198" i="11"/>
  <c r="AC198" i="11"/>
  <c r="Z198" i="11"/>
  <c r="AI197" i="11"/>
  <c r="AF197" i="11"/>
  <c r="AC197" i="11"/>
  <c r="Z197" i="11"/>
  <c r="AI196" i="11"/>
  <c r="AF196" i="11"/>
  <c r="AC196" i="11"/>
  <c r="Z196" i="11"/>
  <c r="AI195" i="11"/>
  <c r="AF195" i="11"/>
  <c r="AC195" i="11"/>
  <c r="Z195" i="11"/>
  <c r="AI194" i="11"/>
  <c r="AF194" i="11"/>
  <c r="AC194" i="11"/>
  <c r="Z194" i="11"/>
  <c r="AI193" i="11"/>
  <c r="AF193" i="11"/>
  <c r="AC193" i="11"/>
  <c r="Z193" i="11"/>
  <c r="AI192" i="11"/>
  <c r="AF192" i="11"/>
  <c r="AC192" i="11"/>
  <c r="Z192" i="11"/>
  <c r="AI191" i="11"/>
  <c r="AF191" i="11"/>
  <c r="AC191" i="11"/>
  <c r="Z191" i="11"/>
  <c r="V191" i="11"/>
  <c r="U191" i="11"/>
  <c r="T191" i="11"/>
  <c r="H191" i="11"/>
  <c r="S191" i="11" s="1"/>
  <c r="AI190" i="11"/>
  <c r="AF190" i="11"/>
  <c r="AC190" i="11"/>
  <c r="Z190" i="11"/>
  <c r="AI189" i="11"/>
  <c r="AF189" i="11"/>
  <c r="AC189" i="11"/>
  <c r="Z189" i="11"/>
  <c r="AI188" i="11"/>
  <c r="AF188" i="11"/>
  <c r="AC188" i="11"/>
  <c r="Z188" i="11"/>
  <c r="AI187" i="11"/>
  <c r="AF187" i="11"/>
  <c r="AC187" i="11"/>
  <c r="Z187" i="11"/>
  <c r="AI186" i="11"/>
  <c r="AF186" i="11"/>
  <c r="AC186" i="11"/>
  <c r="Z186" i="11"/>
  <c r="AI185" i="11"/>
  <c r="AF185" i="11"/>
  <c r="AC185" i="11"/>
  <c r="Z185" i="11"/>
  <c r="AI184" i="11"/>
  <c r="AF184" i="11"/>
  <c r="AC184" i="11"/>
  <c r="Z184" i="11"/>
  <c r="AI183" i="11"/>
  <c r="AF183" i="11"/>
  <c r="AC183" i="11"/>
  <c r="Z183" i="11"/>
  <c r="AI182" i="11"/>
  <c r="AF182" i="11"/>
  <c r="AC182" i="11"/>
  <c r="Z182" i="11"/>
  <c r="AI181" i="11"/>
  <c r="AF181" i="11"/>
  <c r="AC181" i="11"/>
  <c r="Z181" i="11"/>
  <c r="AI180" i="11"/>
  <c r="AF180" i="11"/>
  <c r="AC180" i="11"/>
  <c r="Z180" i="11"/>
  <c r="AI179" i="11"/>
  <c r="AF179" i="11"/>
  <c r="AC179" i="11"/>
  <c r="Z179" i="11"/>
  <c r="AI178" i="11"/>
  <c r="AF178" i="11"/>
  <c r="AC178" i="11"/>
  <c r="Z178" i="11"/>
  <c r="AI177" i="11"/>
  <c r="AF177" i="11"/>
  <c r="AC177" i="11"/>
  <c r="Z177" i="11"/>
  <c r="AI176" i="11"/>
  <c r="AF176" i="11"/>
  <c r="AC176" i="11"/>
  <c r="Z176" i="11"/>
  <c r="AI175" i="11"/>
  <c r="AF175" i="11"/>
  <c r="AC175" i="11"/>
  <c r="Z175" i="11"/>
  <c r="AI174" i="11"/>
  <c r="AF174" i="11"/>
  <c r="AC174" i="11"/>
  <c r="Z174" i="11"/>
  <c r="AI173" i="11"/>
  <c r="AF173" i="11"/>
  <c r="AC173" i="11"/>
  <c r="Z173" i="11"/>
  <c r="AI172" i="11"/>
  <c r="AF172" i="11"/>
  <c r="AC172" i="11"/>
  <c r="Z172" i="11"/>
  <c r="AI171" i="11"/>
  <c r="AF171" i="11"/>
  <c r="AC171" i="11"/>
  <c r="Z171" i="11"/>
  <c r="AI170" i="11"/>
  <c r="AF170" i="11"/>
  <c r="AC170" i="11"/>
  <c r="Z170" i="11"/>
  <c r="AI169" i="11"/>
  <c r="AF169" i="11"/>
  <c r="AC169" i="11"/>
  <c r="Z169" i="11"/>
  <c r="AI168" i="11"/>
  <c r="AF168" i="11"/>
  <c r="AC168" i="11"/>
  <c r="Z168" i="11"/>
  <c r="AI167" i="11"/>
  <c r="AF167" i="11"/>
  <c r="AC167" i="11"/>
  <c r="Z167" i="11"/>
  <c r="AI166" i="11"/>
  <c r="AF166" i="11"/>
  <c r="AC166" i="11"/>
  <c r="Z166" i="11"/>
  <c r="AI165" i="11"/>
  <c r="AF165" i="11"/>
  <c r="AC165" i="11"/>
  <c r="Z165" i="11"/>
  <c r="AI164" i="11"/>
  <c r="AF164" i="11"/>
  <c r="AC164" i="11"/>
  <c r="Z164" i="11"/>
  <c r="AI163" i="11"/>
  <c r="AF163" i="11"/>
  <c r="AC163" i="11"/>
  <c r="Z163" i="11"/>
  <c r="AI162" i="11"/>
  <c r="AF162" i="11"/>
  <c r="AC162" i="11"/>
  <c r="Z162" i="11"/>
  <c r="AI161" i="11"/>
  <c r="AF161" i="11"/>
  <c r="AC161" i="11"/>
  <c r="Z161" i="11"/>
  <c r="AI160" i="11"/>
  <c r="AF160" i="11"/>
  <c r="AC160" i="11"/>
  <c r="Z160" i="11"/>
  <c r="AI159" i="11"/>
  <c r="AF159" i="11"/>
  <c r="AC159" i="11"/>
  <c r="Z159" i="11"/>
  <c r="AI158" i="11"/>
  <c r="AF158" i="11"/>
  <c r="AC158" i="11"/>
  <c r="Z158" i="11"/>
  <c r="AI157" i="11"/>
  <c r="AF157" i="11"/>
  <c r="AC157" i="11"/>
  <c r="Z157" i="11"/>
  <c r="AI156" i="11"/>
  <c r="AF156" i="11"/>
  <c r="AC156" i="11"/>
  <c r="Z156" i="11"/>
  <c r="AI155" i="11"/>
  <c r="AF155" i="11"/>
  <c r="AC155" i="11"/>
  <c r="Z155" i="11"/>
  <c r="V155" i="11"/>
  <c r="U155" i="11"/>
  <c r="T155" i="11"/>
  <c r="H155" i="11"/>
  <c r="S155" i="11" s="1"/>
  <c r="AI154" i="11"/>
  <c r="AF154" i="11"/>
  <c r="AC154" i="11"/>
  <c r="Z154" i="11"/>
  <c r="AI153" i="11"/>
  <c r="AF153" i="11"/>
  <c r="AC153" i="11"/>
  <c r="Z153" i="11"/>
  <c r="AI152" i="11"/>
  <c r="AF152" i="11"/>
  <c r="AC152" i="11"/>
  <c r="Z152" i="11"/>
  <c r="AI151" i="11"/>
  <c r="AF151" i="11"/>
  <c r="AC151" i="11"/>
  <c r="Z151" i="11"/>
  <c r="AI150" i="11"/>
  <c r="AF150" i="11"/>
  <c r="AC150" i="11"/>
  <c r="Z150" i="11"/>
  <c r="AI149" i="11"/>
  <c r="AF149" i="11"/>
  <c r="AC149" i="11"/>
  <c r="Z149" i="11"/>
  <c r="AI148" i="11"/>
  <c r="AF148" i="11"/>
  <c r="AC148" i="11"/>
  <c r="Z148" i="11"/>
  <c r="AI147" i="11"/>
  <c r="AF147" i="11"/>
  <c r="AC147" i="11"/>
  <c r="Z147" i="11"/>
  <c r="AI146" i="11"/>
  <c r="AF146" i="11"/>
  <c r="AC146" i="11"/>
  <c r="Z146" i="11"/>
  <c r="AI145" i="11"/>
  <c r="AF145" i="11"/>
  <c r="AC145" i="11"/>
  <c r="Z145" i="11"/>
  <c r="AI144" i="11"/>
  <c r="AF144" i="11"/>
  <c r="AC144" i="11"/>
  <c r="Z144" i="11"/>
  <c r="AI143" i="11"/>
  <c r="AF143" i="11"/>
  <c r="AC143" i="11"/>
  <c r="Z143" i="11"/>
  <c r="AI142" i="11"/>
  <c r="AF142" i="11"/>
  <c r="AC142" i="11"/>
  <c r="Z142" i="11"/>
  <c r="AI141" i="11"/>
  <c r="AF141" i="11"/>
  <c r="AC141" i="11"/>
  <c r="Z141" i="11"/>
  <c r="AI140" i="11"/>
  <c r="AF140" i="11"/>
  <c r="AC140" i="11"/>
  <c r="Z140" i="11"/>
  <c r="AI139" i="11"/>
  <c r="AF139" i="11"/>
  <c r="AC139" i="11"/>
  <c r="Z139" i="11"/>
  <c r="AI138" i="11"/>
  <c r="AF138" i="11"/>
  <c r="AC138" i="11"/>
  <c r="Z138" i="11"/>
  <c r="AI137" i="11"/>
  <c r="AF137" i="11"/>
  <c r="AC137" i="11"/>
  <c r="Z137" i="11"/>
  <c r="AI136" i="11"/>
  <c r="AF136" i="11"/>
  <c r="AC136" i="11"/>
  <c r="Z136" i="11"/>
  <c r="AI135" i="11"/>
  <c r="AF135" i="11"/>
  <c r="AC135" i="11"/>
  <c r="Z135" i="11"/>
  <c r="AI134" i="11"/>
  <c r="AF134" i="11"/>
  <c r="AC134" i="11"/>
  <c r="Z134" i="11"/>
  <c r="AI133" i="11"/>
  <c r="AF133" i="11"/>
  <c r="AC133" i="11"/>
  <c r="Z133" i="11"/>
  <c r="AI132" i="11"/>
  <c r="AF132" i="11"/>
  <c r="AC132" i="11"/>
  <c r="Z132" i="11"/>
  <c r="AI131" i="11"/>
  <c r="AF131" i="11"/>
  <c r="AC131" i="11"/>
  <c r="Z131" i="11"/>
  <c r="AI130" i="11"/>
  <c r="AF130" i="11"/>
  <c r="AC130" i="11"/>
  <c r="Z130" i="11"/>
  <c r="AI129" i="11"/>
  <c r="AF129" i="11"/>
  <c r="AC129" i="11"/>
  <c r="Z129" i="11"/>
  <c r="AI128" i="11"/>
  <c r="AF128" i="11"/>
  <c r="AC128" i="11"/>
  <c r="Z128" i="11"/>
  <c r="V128" i="11"/>
  <c r="U128" i="11"/>
  <c r="T128" i="11"/>
  <c r="H128" i="11"/>
  <c r="S128" i="11" s="1"/>
  <c r="AI127" i="11"/>
  <c r="AF127" i="11"/>
  <c r="AC127" i="11"/>
  <c r="Z127" i="11"/>
  <c r="AI126" i="11"/>
  <c r="AF126" i="11"/>
  <c r="AC126" i="11"/>
  <c r="Z126" i="11"/>
  <c r="AI125" i="11"/>
  <c r="AF125" i="11"/>
  <c r="AC125" i="11"/>
  <c r="Z125" i="11"/>
  <c r="AI124" i="11"/>
  <c r="AF124" i="11"/>
  <c r="AC124" i="11"/>
  <c r="Z124" i="11"/>
  <c r="AI123" i="11"/>
  <c r="AF123" i="11"/>
  <c r="AC123" i="11"/>
  <c r="Z123" i="11"/>
  <c r="AI122" i="11"/>
  <c r="AF122" i="11"/>
  <c r="AC122" i="11"/>
  <c r="Z122" i="11"/>
  <c r="AI121" i="11"/>
  <c r="AF121" i="11"/>
  <c r="AC121" i="11"/>
  <c r="Z121" i="11"/>
  <c r="AI120" i="11"/>
  <c r="AF120" i="11"/>
  <c r="AC120" i="11"/>
  <c r="Z120" i="11"/>
  <c r="AI119" i="11"/>
  <c r="AF119" i="11"/>
  <c r="AC119" i="11"/>
  <c r="Z119" i="11"/>
  <c r="AI118" i="11"/>
  <c r="AF118" i="11"/>
  <c r="AC118" i="11"/>
  <c r="Z118" i="11"/>
  <c r="AI117" i="11"/>
  <c r="AF117" i="11"/>
  <c r="AC117" i="11"/>
  <c r="Z117" i="11"/>
  <c r="AI116" i="11"/>
  <c r="AF116" i="11"/>
  <c r="AC116" i="11"/>
  <c r="Z116" i="11"/>
  <c r="AI115" i="11"/>
  <c r="AF115" i="11"/>
  <c r="AC115" i="11"/>
  <c r="Z115" i="11"/>
  <c r="AI114" i="11"/>
  <c r="AF114" i="11"/>
  <c r="AC114" i="11"/>
  <c r="Z114" i="11"/>
  <c r="AI113" i="11"/>
  <c r="AF113" i="11"/>
  <c r="AC113" i="11"/>
  <c r="Z113" i="11"/>
  <c r="AI112" i="11"/>
  <c r="AF112" i="11"/>
  <c r="AC112" i="11"/>
  <c r="Z112" i="11"/>
  <c r="AI111" i="11"/>
  <c r="AF111" i="11"/>
  <c r="AC111" i="11"/>
  <c r="Z111" i="11"/>
  <c r="AI110" i="11"/>
  <c r="AF110" i="11"/>
  <c r="AC110" i="11"/>
  <c r="Z110" i="11"/>
  <c r="AI109" i="11"/>
  <c r="AF109" i="11"/>
  <c r="AC109" i="11"/>
  <c r="Z109" i="11"/>
  <c r="AI108" i="11"/>
  <c r="AF108" i="11"/>
  <c r="AC108" i="11"/>
  <c r="Z108" i="11"/>
  <c r="AI107" i="11"/>
  <c r="AF107" i="11"/>
  <c r="AC107" i="11"/>
  <c r="Z107" i="11"/>
  <c r="AI106" i="11"/>
  <c r="AF106" i="11"/>
  <c r="AC106" i="11"/>
  <c r="Z106" i="11"/>
  <c r="AI105" i="11"/>
  <c r="AF105" i="11"/>
  <c r="AC105" i="11"/>
  <c r="Z105" i="11"/>
  <c r="AI104" i="11"/>
  <c r="AF104" i="11"/>
  <c r="AC104" i="11"/>
  <c r="Z104" i="11"/>
  <c r="AI103" i="11"/>
  <c r="AF103" i="11"/>
  <c r="AC103" i="11"/>
  <c r="Z103" i="11"/>
  <c r="AI102" i="11"/>
  <c r="AF102" i="11"/>
  <c r="AC102" i="11"/>
  <c r="Z102" i="11"/>
  <c r="AI101" i="11"/>
  <c r="AF101" i="11"/>
  <c r="AC101" i="11"/>
  <c r="Z101" i="11"/>
  <c r="AI100" i="11"/>
  <c r="AF100" i="11"/>
  <c r="AC100" i="11"/>
  <c r="Z100" i="11"/>
  <c r="V100" i="11"/>
  <c r="U100" i="11"/>
  <c r="T100" i="11"/>
  <c r="H100" i="11"/>
  <c r="S100" i="11" s="1"/>
  <c r="AI99" i="11"/>
  <c r="AF99" i="11"/>
  <c r="AC99" i="11"/>
  <c r="Z99" i="11"/>
  <c r="AI98" i="11"/>
  <c r="AF98" i="11"/>
  <c r="AC98" i="11"/>
  <c r="Z98" i="11"/>
  <c r="AI97" i="11"/>
  <c r="AF97" i="11"/>
  <c r="AC97" i="11"/>
  <c r="Z97" i="11"/>
  <c r="AI96" i="11"/>
  <c r="AF96" i="11"/>
  <c r="AC96" i="11"/>
  <c r="Z96" i="11"/>
  <c r="AI95" i="11"/>
  <c r="AF95" i="11"/>
  <c r="AC95" i="11"/>
  <c r="Z95" i="11"/>
  <c r="AI94" i="11"/>
  <c r="AF94" i="11"/>
  <c r="AC94" i="11"/>
  <c r="Z94" i="11"/>
  <c r="AI93" i="11"/>
  <c r="AF93" i="11"/>
  <c r="AC93" i="11"/>
  <c r="Z93" i="11"/>
  <c r="AI92" i="11"/>
  <c r="AF92" i="11"/>
  <c r="AC92" i="11"/>
  <c r="Z92" i="11"/>
  <c r="AI91" i="11"/>
  <c r="AF91" i="11"/>
  <c r="AC91" i="11"/>
  <c r="Z91" i="11"/>
  <c r="AI90" i="11"/>
  <c r="AF90" i="11"/>
  <c r="AC90" i="11"/>
  <c r="Z90" i="11"/>
  <c r="AI89" i="11"/>
  <c r="AF89" i="11"/>
  <c r="AC89" i="11"/>
  <c r="Z89" i="11"/>
  <c r="AI88" i="11"/>
  <c r="AF88" i="11"/>
  <c r="AC88" i="11"/>
  <c r="Z88" i="11"/>
  <c r="AI87" i="11"/>
  <c r="AF87" i="11"/>
  <c r="AC87" i="11"/>
  <c r="Z87" i="11"/>
  <c r="AI86" i="11"/>
  <c r="AF86" i="11"/>
  <c r="AC86" i="11"/>
  <c r="Z86" i="11"/>
  <c r="AI85" i="11"/>
  <c r="AF85" i="11"/>
  <c r="AC85" i="11"/>
  <c r="Z85" i="11"/>
  <c r="AI84" i="11"/>
  <c r="AF84" i="11"/>
  <c r="AC84" i="11"/>
  <c r="Z84" i="11"/>
  <c r="AI83" i="11"/>
  <c r="AF83" i="11"/>
  <c r="AC83" i="11"/>
  <c r="Z83" i="11"/>
  <c r="AI82" i="11"/>
  <c r="AF82" i="11"/>
  <c r="AC82" i="11"/>
  <c r="Z82" i="11"/>
  <c r="AI81" i="11"/>
  <c r="AF81" i="11"/>
  <c r="AC81" i="11"/>
  <c r="Z81" i="11"/>
  <c r="AI80" i="11"/>
  <c r="AF80" i="11"/>
  <c r="AC80" i="11"/>
  <c r="Z80" i="11"/>
  <c r="AI79" i="11"/>
  <c r="AF79" i="11"/>
  <c r="AC79" i="11"/>
  <c r="Z79" i="11"/>
  <c r="AI78" i="11"/>
  <c r="AF78" i="11"/>
  <c r="AC78" i="11"/>
  <c r="Z78" i="11"/>
  <c r="AI77" i="11"/>
  <c r="AF77" i="11"/>
  <c r="AC77" i="11"/>
  <c r="Z77" i="11"/>
  <c r="AI76" i="11"/>
  <c r="AF76" i="11"/>
  <c r="AC76" i="11"/>
  <c r="Z76" i="11"/>
  <c r="AI75" i="11"/>
  <c r="AF75" i="11"/>
  <c r="AC75" i="11"/>
  <c r="Z75" i="11"/>
  <c r="AI74" i="11"/>
  <c r="AF74" i="11"/>
  <c r="AC74" i="11"/>
  <c r="Z74" i="11"/>
  <c r="AI73" i="11"/>
  <c r="AF73" i="11"/>
  <c r="AC73" i="11"/>
  <c r="Z73" i="11"/>
  <c r="AI72" i="11"/>
  <c r="AF72" i="11"/>
  <c r="AC72" i="11"/>
  <c r="Z72" i="11"/>
  <c r="AI71" i="11"/>
  <c r="AF71" i="11"/>
  <c r="AC71" i="11"/>
  <c r="Z71" i="11"/>
  <c r="AI70" i="11"/>
  <c r="AF70" i="11"/>
  <c r="AC70" i="11"/>
  <c r="Z70" i="11"/>
  <c r="AI69" i="11"/>
  <c r="AF69" i="11"/>
  <c r="AC69" i="11"/>
  <c r="Z69" i="11"/>
  <c r="AI68" i="11"/>
  <c r="AF68" i="11"/>
  <c r="AC68" i="11"/>
  <c r="Z68" i="11"/>
  <c r="AI67" i="11"/>
  <c r="AF67" i="11"/>
  <c r="AC67" i="11"/>
  <c r="Z67" i="11"/>
  <c r="AI66" i="11"/>
  <c r="AF66" i="11"/>
  <c r="AC66" i="11"/>
  <c r="Z66" i="11"/>
  <c r="AI65" i="11"/>
  <c r="AF65" i="11"/>
  <c r="AC65" i="11"/>
  <c r="Z65" i="11"/>
  <c r="AI64" i="11"/>
  <c r="AF64" i="11"/>
  <c r="AC64" i="11"/>
  <c r="Z64" i="11"/>
  <c r="AI63" i="11"/>
  <c r="AF63" i="11"/>
  <c r="AC63" i="11"/>
  <c r="Z63" i="11"/>
  <c r="AI62" i="11"/>
  <c r="AF62" i="11"/>
  <c r="AC62" i="11"/>
  <c r="Z62" i="11"/>
  <c r="V62" i="11"/>
  <c r="G62" i="12" s="1"/>
  <c r="V62" i="12" s="1"/>
  <c r="U62" i="11"/>
  <c r="F62" i="12" s="1"/>
  <c r="U62" i="12" s="1"/>
  <c r="T62" i="11"/>
  <c r="H62" i="11"/>
  <c r="S62" i="11" s="1"/>
  <c r="AI61" i="11"/>
  <c r="AF61" i="11"/>
  <c r="AC61" i="11"/>
  <c r="Z61" i="11"/>
  <c r="AI60" i="11"/>
  <c r="AF60" i="11"/>
  <c r="AC60" i="11"/>
  <c r="Z60" i="11"/>
  <c r="AI59" i="11"/>
  <c r="AF59" i="11"/>
  <c r="AC59" i="11"/>
  <c r="Z59" i="11"/>
  <c r="AI58" i="11"/>
  <c r="AF58" i="11"/>
  <c r="AC58" i="11"/>
  <c r="Z58" i="11"/>
  <c r="AI57" i="11"/>
  <c r="AF57" i="11"/>
  <c r="AC57" i="11"/>
  <c r="Z57" i="11"/>
  <c r="AI56" i="11"/>
  <c r="AF56" i="11"/>
  <c r="AC56" i="11"/>
  <c r="Z56" i="11"/>
  <c r="AI55" i="11"/>
  <c r="AF55" i="11"/>
  <c r="AC55" i="11"/>
  <c r="Z55" i="11"/>
  <c r="AI54" i="11"/>
  <c r="AF54" i="11"/>
  <c r="AC54" i="11"/>
  <c r="Z54" i="11"/>
  <c r="AI53" i="11"/>
  <c r="AF53" i="11"/>
  <c r="AC53" i="11"/>
  <c r="Z53" i="11"/>
  <c r="AI52" i="11"/>
  <c r="AF52" i="11"/>
  <c r="AC52" i="11"/>
  <c r="Z52" i="11"/>
  <c r="AI51" i="11"/>
  <c r="AF51" i="11"/>
  <c r="AC51" i="11"/>
  <c r="Z51" i="11"/>
  <c r="AI50" i="11"/>
  <c r="AF50" i="11"/>
  <c r="AC50" i="11"/>
  <c r="Z50" i="11"/>
  <c r="AI49" i="11"/>
  <c r="AF49" i="11"/>
  <c r="AC49" i="11"/>
  <c r="Z49" i="11"/>
  <c r="AI48" i="11"/>
  <c r="AF48" i="11"/>
  <c r="AC48" i="11"/>
  <c r="Z48" i="11"/>
  <c r="AI47" i="11"/>
  <c r="AF47" i="11"/>
  <c r="AC47" i="11"/>
  <c r="Z47" i="11"/>
  <c r="AI46" i="11"/>
  <c r="AF46" i="11"/>
  <c r="AC46" i="11"/>
  <c r="Z46" i="11"/>
  <c r="AI45" i="11"/>
  <c r="AF45" i="11"/>
  <c r="AC45" i="11"/>
  <c r="Z45" i="11"/>
  <c r="AI44" i="11"/>
  <c r="AF44" i="11"/>
  <c r="AC44" i="11"/>
  <c r="Z44" i="11"/>
  <c r="AI43" i="11"/>
  <c r="AF43" i="11"/>
  <c r="AC43" i="11"/>
  <c r="Z43" i="11"/>
  <c r="AI42" i="11"/>
  <c r="AF42" i="11"/>
  <c r="AC42" i="11"/>
  <c r="Z42" i="11"/>
  <c r="AI41" i="11"/>
  <c r="AF41" i="11"/>
  <c r="AC41" i="11"/>
  <c r="Z41" i="11"/>
  <c r="AI40" i="11"/>
  <c r="AF40" i="11"/>
  <c r="AC40" i="11"/>
  <c r="Z40" i="11"/>
  <c r="AI39" i="11"/>
  <c r="AF39" i="11"/>
  <c r="AC39" i="11"/>
  <c r="Z39" i="11"/>
  <c r="AI38" i="11"/>
  <c r="AF38" i="11"/>
  <c r="AC38" i="11"/>
  <c r="Z38" i="11"/>
  <c r="AI37" i="11"/>
  <c r="AF37" i="11"/>
  <c r="AC37" i="11"/>
  <c r="Z37" i="11"/>
  <c r="AI36" i="11"/>
  <c r="AF36" i="11"/>
  <c r="AC36" i="11"/>
  <c r="Z36" i="11"/>
  <c r="AI35" i="11"/>
  <c r="AF35" i="11"/>
  <c r="AC35" i="11"/>
  <c r="Z35" i="11"/>
  <c r="AI34" i="11"/>
  <c r="AF34" i="11"/>
  <c r="AC34" i="11"/>
  <c r="Z34" i="11"/>
  <c r="AI33" i="11"/>
  <c r="AF33" i="11"/>
  <c r="AC33" i="11"/>
  <c r="Z33" i="11"/>
  <c r="AI32" i="11"/>
  <c r="AF32" i="11"/>
  <c r="AC32" i="11"/>
  <c r="Z32" i="11"/>
  <c r="AI31" i="11"/>
  <c r="AF31" i="11"/>
  <c r="AC31" i="11"/>
  <c r="Z31" i="11"/>
  <c r="AI30" i="11"/>
  <c r="AF30" i="11"/>
  <c r="AC30" i="11"/>
  <c r="Z30" i="11"/>
  <c r="AI29" i="11"/>
  <c r="AF29" i="11"/>
  <c r="AC29" i="11"/>
  <c r="Z29" i="11"/>
  <c r="AI28" i="11"/>
  <c r="AF28" i="11"/>
  <c r="AC28" i="11"/>
  <c r="Z28" i="11"/>
  <c r="AI27" i="11"/>
  <c r="AF27" i="11"/>
  <c r="AC27" i="11"/>
  <c r="Z27" i="11"/>
  <c r="AI26" i="11"/>
  <c r="AF26" i="11"/>
  <c r="AC26" i="11"/>
  <c r="Z26" i="11"/>
  <c r="AI25" i="11"/>
  <c r="AF25" i="11"/>
  <c r="AC25" i="11"/>
  <c r="Z25" i="11"/>
  <c r="AI24" i="11"/>
  <c r="AF24" i="11"/>
  <c r="AC24" i="11"/>
  <c r="Z24" i="11"/>
  <c r="AI23" i="11"/>
  <c r="AF23" i="11"/>
  <c r="AC23" i="11"/>
  <c r="Z23" i="11"/>
  <c r="AI22" i="11"/>
  <c r="AF22" i="11"/>
  <c r="AC22" i="11"/>
  <c r="Z22" i="11"/>
  <c r="AI21" i="11"/>
  <c r="AF21" i="11"/>
  <c r="AC21" i="11"/>
  <c r="Z21" i="11"/>
  <c r="AI20" i="11"/>
  <c r="AF20" i="11"/>
  <c r="AC20" i="11"/>
  <c r="Z20" i="11"/>
  <c r="AI19" i="11"/>
  <c r="AF19" i="11"/>
  <c r="AC19" i="11"/>
  <c r="Z19" i="11"/>
  <c r="AI18" i="11"/>
  <c r="AF18" i="11"/>
  <c r="AC18" i="11"/>
  <c r="Z18" i="11"/>
  <c r="AI17" i="11"/>
  <c r="AF17" i="11"/>
  <c r="AC17" i="11"/>
  <c r="Z17" i="11"/>
  <c r="AI16" i="11"/>
  <c r="AF16" i="11"/>
  <c r="AC16" i="11"/>
  <c r="Z16" i="11"/>
  <c r="AI15" i="11"/>
  <c r="AF15" i="11"/>
  <c r="AC15" i="11"/>
  <c r="Z15" i="11"/>
  <c r="AI14" i="11"/>
  <c r="AF14" i="11"/>
  <c r="AC14" i="11"/>
  <c r="Z14" i="11"/>
  <c r="AI13" i="11"/>
  <c r="AF13" i="11"/>
  <c r="AC13" i="11"/>
  <c r="Z13" i="11"/>
  <c r="AI12" i="11"/>
  <c r="AF12" i="11"/>
  <c r="AC12" i="11"/>
  <c r="Z12" i="11"/>
  <c r="AI11" i="11"/>
  <c r="AF11" i="11"/>
  <c r="AC11" i="11"/>
  <c r="Z11" i="11"/>
  <c r="AI10" i="11"/>
  <c r="AF10" i="11"/>
  <c r="AC10" i="11"/>
  <c r="Z10" i="11"/>
  <c r="AI9" i="11"/>
  <c r="AF9" i="11"/>
  <c r="AC9" i="11"/>
  <c r="Z9" i="11"/>
  <c r="AI8" i="11"/>
  <c r="AF8" i="11"/>
  <c r="AC8" i="11"/>
  <c r="Z8" i="11"/>
  <c r="AI7" i="11"/>
  <c r="AF7" i="11"/>
  <c r="AC7" i="11"/>
  <c r="Z7" i="11"/>
  <c r="AI6" i="11"/>
  <c r="AF6" i="11"/>
  <c r="AC6" i="11"/>
  <c r="Z6" i="11"/>
  <c r="AI5" i="11"/>
  <c r="AF5" i="11"/>
  <c r="AC5" i="11"/>
  <c r="Z5" i="11"/>
  <c r="AI4" i="11"/>
  <c r="AF4" i="11"/>
  <c r="AC4" i="11"/>
  <c r="Z4" i="11"/>
  <c r="AI3" i="11"/>
  <c r="AF3" i="11"/>
  <c r="AC3" i="11"/>
  <c r="Z3" i="11"/>
  <c r="V3" i="11"/>
  <c r="U3" i="11"/>
  <c r="T3" i="11"/>
  <c r="H3" i="11"/>
  <c r="S3" i="11" s="1"/>
  <c r="AI199" i="10"/>
  <c r="AF199" i="10"/>
  <c r="AC199" i="10"/>
  <c r="Z199" i="10"/>
  <c r="AI198" i="10"/>
  <c r="AF198" i="10"/>
  <c r="AC198" i="10"/>
  <c r="Z198" i="10"/>
  <c r="AI197" i="10"/>
  <c r="AF197" i="10"/>
  <c r="AC197" i="10"/>
  <c r="Z197" i="10"/>
  <c r="AI196" i="10"/>
  <c r="AF196" i="10"/>
  <c r="AC196" i="10"/>
  <c r="Z196" i="10"/>
  <c r="AI195" i="10"/>
  <c r="AF195" i="10"/>
  <c r="AC195" i="10"/>
  <c r="Z195" i="10"/>
  <c r="AI194" i="10"/>
  <c r="AF194" i="10"/>
  <c r="AC194" i="10"/>
  <c r="Z194" i="10"/>
  <c r="AI193" i="10"/>
  <c r="AF193" i="10"/>
  <c r="AC193" i="10"/>
  <c r="Z193" i="10"/>
  <c r="AI192" i="10"/>
  <c r="AF192" i="10"/>
  <c r="AC192" i="10"/>
  <c r="Z192" i="10"/>
  <c r="AI191" i="10"/>
  <c r="AF191" i="10"/>
  <c r="AC191" i="10"/>
  <c r="Z191" i="10"/>
  <c r="V191" i="10"/>
  <c r="U191" i="10"/>
  <c r="T191" i="10"/>
  <c r="H191" i="10"/>
  <c r="S191" i="10" s="1"/>
  <c r="AI190" i="10"/>
  <c r="AF190" i="10"/>
  <c r="AC190" i="10"/>
  <c r="Z190" i="10"/>
  <c r="AI189" i="10"/>
  <c r="AF189" i="10"/>
  <c r="AC189" i="10"/>
  <c r="Z189" i="10"/>
  <c r="AI188" i="10"/>
  <c r="AF188" i="10"/>
  <c r="AC188" i="10"/>
  <c r="Z188" i="10"/>
  <c r="AI187" i="10"/>
  <c r="AF187" i="10"/>
  <c r="AC187" i="10"/>
  <c r="Z187" i="10"/>
  <c r="AI186" i="10"/>
  <c r="AF186" i="10"/>
  <c r="AC186" i="10"/>
  <c r="Z186" i="10"/>
  <c r="AI185" i="10"/>
  <c r="AF185" i="10"/>
  <c r="AC185" i="10"/>
  <c r="Z185" i="10"/>
  <c r="AI184" i="10"/>
  <c r="AF184" i="10"/>
  <c r="AC184" i="10"/>
  <c r="Z184" i="10"/>
  <c r="AI183" i="10"/>
  <c r="AF183" i="10"/>
  <c r="AC183" i="10"/>
  <c r="Z183" i="10"/>
  <c r="AI182" i="10"/>
  <c r="AF182" i="10"/>
  <c r="AC182" i="10"/>
  <c r="Z182" i="10"/>
  <c r="AI181" i="10"/>
  <c r="AF181" i="10"/>
  <c r="AC181" i="10"/>
  <c r="Z181" i="10"/>
  <c r="AI180" i="10"/>
  <c r="AF180" i="10"/>
  <c r="AC180" i="10"/>
  <c r="Z180" i="10"/>
  <c r="AI179" i="10"/>
  <c r="AF179" i="10"/>
  <c r="AC179" i="10"/>
  <c r="Z179" i="10"/>
  <c r="AI178" i="10"/>
  <c r="AF178" i="10"/>
  <c r="AC178" i="10"/>
  <c r="Z178" i="10"/>
  <c r="AI177" i="10"/>
  <c r="AF177" i="10"/>
  <c r="AC177" i="10"/>
  <c r="Z177" i="10"/>
  <c r="AI176" i="10"/>
  <c r="AF176" i="10"/>
  <c r="AC176" i="10"/>
  <c r="Z176" i="10"/>
  <c r="AI175" i="10"/>
  <c r="AF175" i="10"/>
  <c r="AC175" i="10"/>
  <c r="Z175" i="10"/>
  <c r="AI174" i="10"/>
  <c r="AF174" i="10"/>
  <c r="AC174" i="10"/>
  <c r="Z174" i="10"/>
  <c r="AI173" i="10"/>
  <c r="AF173" i="10"/>
  <c r="AC173" i="10"/>
  <c r="Z173" i="10"/>
  <c r="AI172" i="10"/>
  <c r="AF172" i="10"/>
  <c r="AC172" i="10"/>
  <c r="Z172" i="10"/>
  <c r="AI171" i="10"/>
  <c r="AF171" i="10"/>
  <c r="AC171" i="10"/>
  <c r="Z171" i="10"/>
  <c r="AI170" i="10"/>
  <c r="AF170" i="10"/>
  <c r="AC170" i="10"/>
  <c r="Z170" i="10"/>
  <c r="AI169" i="10"/>
  <c r="AF169" i="10"/>
  <c r="AC169" i="10"/>
  <c r="Z169" i="10"/>
  <c r="AI168" i="10"/>
  <c r="AF168" i="10"/>
  <c r="AC168" i="10"/>
  <c r="Z168" i="10"/>
  <c r="AI167" i="10"/>
  <c r="AF167" i="10"/>
  <c r="AC167" i="10"/>
  <c r="Z167" i="10"/>
  <c r="AI166" i="10"/>
  <c r="AF166" i="10"/>
  <c r="AC166" i="10"/>
  <c r="Z166" i="10"/>
  <c r="AI165" i="10"/>
  <c r="AF165" i="10"/>
  <c r="AC165" i="10"/>
  <c r="Z165" i="10"/>
  <c r="AI164" i="10"/>
  <c r="AF164" i="10"/>
  <c r="AC164" i="10"/>
  <c r="Z164" i="10"/>
  <c r="AI163" i="10"/>
  <c r="AF163" i="10"/>
  <c r="AC163" i="10"/>
  <c r="Z163" i="10"/>
  <c r="AI162" i="10"/>
  <c r="AF162" i="10"/>
  <c r="AC162" i="10"/>
  <c r="Z162" i="10"/>
  <c r="AI161" i="10"/>
  <c r="AF161" i="10"/>
  <c r="AC161" i="10"/>
  <c r="Z161" i="10"/>
  <c r="AI160" i="10"/>
  <c r="AF160" i="10"/>
  <c r="AC160" i="10"/>
  <c r="Z160" i="10"/>
  <c r="AI159" i="10"/>
  <c r="AF159" i="10"/>
  <c r="AC159" i="10"/>
  <c r="Z159" i="10"/>
  <c r="AI158" i="10"/>
  <c r="AF158" i="10"/>
  <c r="AC158" i="10"/>
  <c r="Z158" i="10"/>
  <c r="AI157" i="10"/>
  <c r="AF157" i="10"/>
  <c r="AC157" i="10"/>
  <c r="Z157" i="10"/>
  <c r="AI156" i="10"/>
  <c r="AF156" i="10"/>
  <c r="AC156" i="10"/>
  <c r="Z156" i="10"/>
  <c r="AI155" i="10"/>
  <c r="AF155" i="10"/>
  <c r="AC155" i="10"/>
  <c r="Z155" i="10"/>
  <c r="V155" i="10"/>
  <c r="U155" i="10"/>
  <c r="T155" i="10"/>
  <c r="H155" i="10"/>
  <c r="S155" i="10" s="1"/>
  <c r="AI154" i="10"/>
  <c r="AF154" i="10"/>
  <c r="AC154" i="10"/>
  <c r="Z154" i="10"/>
  <c r="AI153" i="10"/>
  <c r="AF153" i="10"/>
  <c r="AC153" i="10"/>
  <c r="Z153" i="10"/>
  <c r="AI152" i="10"/>
  <c r="AF152" i="10"/>
  <c r="AC152" i="10"/>
  <c r="Z152" i="10"/>
  <c r="AI151" i="10"/>
  <c r="AF151" i="10"/>
  <c r="AC151" i="10"/>
  <c r="Z151" i="10"/>
  <c r="AI150" i="10"/>
  <c r="AF150" i="10"/>
  <c r="AC150" i="10"/>
  <c r="Z150" i="10"/>
  <c r="AI149" i="10"/>
  <c r="AF149" i="10"/>
  <c r="AC149" i="10"/>
  <c r="Z149" i="10"/>
  <c r="AI148" i="10"/>
  <c r="AF148" i="10"/>
  <c r="AC148" i="10"/>
  <c r="Z148" i="10"/>
  <c r="AI147" i="10"/>
  <c r="AF147" i="10"/>
  <c r="AC147" i="10"/>
  <c r="Z147" i="10"/>
  <c r="AI146" i="10"/>
  <c r="AF146" i="10"/>
  <c r="AC146" i="10"/>
  <c r="Z146" i="10"/>
  <c r="AI145" i="10"/>
  <c r="AF145" i="10"/>
  <c r="AC145" i="10"/>
  <c r="Z145" i="10"/>
  <c r="AI144" i="10"/>
  <c r="AF144" i="10"/>
  <c r="AC144" i="10"/>
  <c r="Z144" i="10"/>
  <c r="AI143" i="10"/>
  <c r="AF143" i="10"/>
  <c r="AC143" i="10"/>
  <c r="Z143" i="10"/>
  <c r="AI142" i="10"/>
  <c r="AF142" i="10"/>
  <c r="AC142" i="10"/>
  <c r="Z142" i="10"/>
  <c r="AI141" i="10"/>
  <c r="AF141" i="10"/>
  <c r="AC141" i="10"/>
  <c r="Z141" i="10"/>
  <c r="AI140" i="10"/>
  <c r="AF140" i="10"/>
  <c r="AC140" i="10"/>
  <c r="Z140" i="10"/>
  <c r="AI139" i="10"/>
  <c r="AF139" i="10"/>
  <c r="AC139" i="10"/>
  <c r="Z139" i="10"/>
  <c r="AI138" i="10"/>
  <c r="AF138" i="10"/>
  <c r="AC138" i="10"/>
  <c r="Z138" i="10"/>
  <c r="AI137" i="10"/>
  <c r="AF137" i="10"/>
  <c r="AC137" i="10"/>
  <c r="Z137" i="10"/>
  <c r="AI136" i="10"/>
  <c r="AF136" i="10"/>
  <c r="AC136" i="10"/>
  <c r="Z136" i="10"/>
  <c r="AI135" i="10"/>
  <c r="AF135" i="10"/>
  <c r="AC135" i="10"/>
  <c r="Z135" i="10"/>
  <c r="AI134" i="10"/>
  <c r="AF134" i="10"/>
  <c r="AC134" i="10"/>
  <c r="Z134" i="10"/>
  <c r="AI133" i="10"/>
  <c r="AF133" i="10"/>
  <c r="AC133" i="10"/>
  <c r="Z133" i="10"/>
  <c r="AI132" i="10"/>
  <c r="AF132" i="10"/>
  <c r="AC132" i="10"/>
  <c r="Z132" i="10"/>
  <c r="AI131" i="10"/>
  <c r="AF131" i="10"/>
  <c r="AC131" i="10"/>
  <c r="Z131" i="10"/>
  <c r="AI130" i="10"/>
  <c r="AF130" i="10"/>
  <c r="AC130" i="10"/>
  <c r="Z130" i="10"/>
  <c r="AI129" i="10"/>
  <c r="AF129" i="10"/>
  <c r="AC129" i="10"/>
  <c r="Z129" i="10"/>
  <c r="AI128" i="10"/>
  <c r="AF128" i="10"/>
  <c r="AC128" i="10"/>
  <c r="Z128" i="10"/>
  <c r="V128" i="10"/>
  <c r="U128" i="10"/>
  <c r="T128" i="10"/>
  <c r="H128" i="10"/>
  <c r="S128" i="10" s="1"/>
  <c r="AI127" i="10"/>
  <c r="AF127" i="10"/>
  <c r="AC127" i="10"/>
  <c r="Z127" i="10"/>
  <c r="AI126" i="10"/>
  <c r="AF126" i="10"/>
  <c r="AC126" i="10"/>
  <c r="Z126" i="10"/>
  <c r="AI125" i="10"/>
  <c r="AF125" i="10"/>
  <c r="AC125" i="10"/>
  <c r="Z125" i="10"/>
  <c r="AI124" i="10"/>
  <c r="AF124" i="10"/>
  <c r="AC124" i="10"/>
  <c r="Z124" i="10"/>
  <c r="AI123" i="10"/>
  <c r="AF123" i="10"/>
  <c r="AC123" i="10"/>
  <c r="Z123" i="10"/>
  <c r="AI122" i="10"/>
  <c r="AF122" i="10"/>
  <c r="AC122" i="10"/>
  <c r="Z122" i="10"/>
  <c r="AI121" i="10"/>
  <c r="AF121" i="10"/>
  <c r="AC121" i="10"/>
  <c r="Z121" i="10"/>
  <c r="AI120" i="10"/>
  <c r="AF120" i="10"/>
  <c r="AC120" i="10"/>
  <c r="Z120" i="10"/>
  <c r="AI119" i="10"/>
  <c r="AF119" i="10"/>
  <c r="AC119" i="10"/>
  <c r="Z119" i="10"/>
  <c r="AI118" i="10"/>
  <c r="AF118" i="10"/>
  <c r="AC118" i="10"/>
  <c r="Z118" i="10"/>
  <c r="AI117" i="10"/>
  <c r="AF117" i="10"/>
  <c r="AC117" i="10"/>
  <c r="Z117" i="10"/>
  <c r="AI116" i="10"/>
  <c r="AF116" i="10"/>
  <c r="AC116" i="10"/>
  <c r="Z116" i="10"/>
  <c r="AI115" i="10"/>
  <c r="AF115" i="10"/>
  <c r="AC115" i="10"/>
  <c r="Z115" i="10"/>
  <c r="AI114" i="10"/>
  <c r="AF114" i="10"/>
  <c r="AC114" i="10"/>
  <c r="Z114" i="10"/>
  <c r="AI113" i="10"/>
  <c r="AF113" i="10"/>
  <c r="AC113" i="10"/>
  <c r="Z113" i="10"/>
  <c r="AI112" i="10"/>
  <c r="AF112" i="10"/>
  <c r="AC112" i="10"/>
  <c r="Z112" i="10"/>
  <c r="AI111" i="10"/>
  <c r="AF111" i="10"/>
  <c r="AC111" i="10"/>
  <c r="Z111" i="10"/>
  <c r="AI110" i="10"/>
  <c r="AF110" i="10"/>
  <c r="AC110" i="10"/>
  <c r="Z110" i="10"/>
  <c r="AI109" i="10"/>
  <c r="AF109" i="10"/>
  <c r="AC109" i="10"/>
  <c r="Z109" i="10"/>
  <c r="AI108" i="10"/>
  <c r="AF108" i="10"/>
  <c r="AC108" i="10"/>
  <c r="Z108" i="10"/>
  <c r="AI107" i="10"/>
  <c r="AF107" i="10"/>
  <c r="AC107" i="10"/>
  <c r="Z107" i="10"/>
  <c r="AI106" i="10"/>
  <c r="AF106" i="10"/>
  <c r="AC106" i="10"/>
  <c r="Z106" i="10"/>
  <c r="AI105" i="10"/>
  <c r="AF105" i="10"/>
  <c r="AC105" i="10"/>
  <c r="Z105" i="10"/>
  <c r="AI104" i="10"/>
  <c r="AF104" i="10"/>
  <c r="AC104" i="10"/>
  <c r="Z104" i="10"/>
  <c r="AI103" i="10"/>
  <c r="AF103" i="10"/>
  <c r="AC103" i="10"/>
  <c r="Z103" i="10"/>
  <c r="AI102" i="10"/>
  <c r="AF102" i="10"/>
  <c r="AC102" i="10"/>
  <c r="Z102" i="10"/>
  <c r="AI101" i="10"/>
  <c r="AF101" i="10"/>
  <c r="AC101" i="10"/>
  <c r="Z101" i="10"/>
  <c r="AI100" i="10"/>
  <c r="AF100" i="10"/>
  <c r="AC100" i="10"/>
  <c r="Z100" i="10"/>
  <c r="V100" i="10"/>
  <c r="U100" i="10"/>
  <c r="T100" i="10"/>
  <c r="H100" i="10"/>
  <c r="S100" i="10" s="1"/>
  <c r="AI99" i="10"/>
  <c r="AF99" i="10"/>
  <c r="AC99" i="10"/>
  <c r="Z99" i="10"/>
  <c r="AI98" i="10"/>
  <c r="AF98" i="10"/>
  <c r="AC98" i="10"/>
  <c r="Z98" i="10"/>
  <c r="AI97" i="10"/>
  <c r="AF97" i="10"/>
  <c r="AC97" i="10"/>
  <c r="Z97" i="10"/>
  <c r="AI96" i="10"/>
  <c r="AF96" i="10"/>
  <c r="AC96" i="10"/>
  <c r="Z96" i="10"/>
  <c r="AI95" i="10"/>
  <c r="AF95" i="10"/>
  <c r="AC95" i="10"/>
  <c r="Z95" i="10"/>
  <c r="AI94" i="10"/>
  <c r="AF94" i="10"/>
  <c r="AC94" i="10"/>
  <c r="Z94" i="10"/>
  <c r="AI93" i="10"/>
  <c r="AF93" i="10"/>
  <c r="AC93" i="10"/>
  <c r="Z93" i="10"/>
  <c r="AI92" i="10"/>
  <c r="AF92" i="10"/>
  <c r="AC92" i="10"/>
  <c r="Z92" i="10"/>
  <c r="AI91" i="10"/>
  <c r="AF91" i="10"/>
  <c r="AC91" i="10"/>
  <c r="Z91" i="10"/>
  <c r="AI90" i="10"/>
  <c r="AF90" i="10"/>
  <c r="AC90" i="10"/>
  <c r="Z90" i="10"/>
  <c r="AI89" i="10"/>
  <c r="AF89" i="10"/>
  <c r="AC89" i="10"/>
  <c r="Z89" i="10"/>
  <c r="AI88" i="10"/>
  <c r="AF88" i="10"/>
  <c r="AC88" i="10"/>
  <c r="Z88" i="10"/>
  <c r="AI87" i="10"/>
  <c r="AF87" i="10"/>
  <c r="AC87" i="10"/>
  <c r="Z87" i="10"/>
  <c r="AI86" i="10"/>
  <c r="AF86" i="10"/>
  <c r="AC86" i="10"/>
  <c r="Z86" i="10"/>
  <c r="AI85" i="10"/>
  <c r="AF85" i="10"/>
  <c r="AC85" i="10"/>
  <c r="Z85" i="10"/>
  <c r="AI84" i="10"/>
  <c r="AF84" i="10"/>
  <c r="AC84" i="10"/>
  <c r="Z84" i="10"/>
  <c r="AI83" i="10"/>
  <c r="AF83" i="10"/>
  <c r="AC83" i="10"/>
  <c r="Z83" i="10"/>
  <c r="AI82" i="10"/>
  <c r="AF82" i="10"/>
  <c r="AC82" i="10"/>
  <c r="Z82" i="10"/>
  <c r="AI81" i="10"/>
  <c r="AF81" i="10"/>
  <c r="AC81" i="10"/>
  <c r="Z81" i="10"/>
  <c r="AI80" i="10"/>
  <c r="AF80" i="10"/>
  <c r="AC80" i="10"/>
  <c r="Z80" i="10"/>
  <c r="AI79" i="10"/>
  <c r="AF79" i="10"/>
  <c r="AC79" i="10"/>
  <c r="Z79" i="10"/>
  <c r="AI78" i="10"/>
  <c r="AF78" i="10"/>
  <c r="AC78" i="10"/>
  <c r="Z78" i="10"/>
  <c r="AI77" i="10"/>
  <c r="AF77" i="10"/>
  <c r="AC77" i="10"/>
  <c r="Z77" i="10"/>
  <c r="AI76" i="10"/>
  <c r="AF76" i="10"/>
  <c r="AC76" i="10"/>
  <c r="Z76" i="10"/>
  <c r="AI75" i="10"/>
  <c r="AF75" i="10"/>
  <c r="AC75" i="10"/>
  <c r="Z75" i="10"/>
  <c r="AI74" i="10"/>
  <c r="AF74" i="10"/>
  <c r="AC74" i="10"/>
  <c r="Z74" i="10"/>
  <c r="AI73" i="10"/>
  <c r="AF73" i="10"/>
  <c r="AC73" i="10"/>
  <c r="Z73" i="10"/>
  <c r="AI72" i="10"/>
  <c r="AF72" i="10"/>
  <c r="AC72" i="10"/>
  <c r="Z72" i="10"/>
  <c r="AI71" i="10"/>
  <c r="AF71" i="10"/>
  <c r="AC71" i="10"/>
  <c r="Z71" i="10"/>
  <c r="AI70" i="10"/>
  <c r="AF70" i="10"/>
  <c r="AC70" i="10"/>
  <c r="Z70" i="10"/>
  <c r="AI69" i="10"/>
  <c r="AF69" i="10"/>
  <c r="AC69" i="10"/>
  <c r="Z69" i="10"/>
  <c r="AI68" i="10"/>
  <c r="AF68" i="10"/>
  <c r="AC68" i="10"/>
  <c r="Z68" i="10"/>
  <c r="AI67" i="10"/>
  <c r="AF67" i="10"/>
  <c r="AC67" i="10"/>
  <c r="Z67" i="10"/>
  <c r="AI66" i="10"/>
  <c r="AF66" i="10"/>
  <c r="AC66" i="10"/>
  <c r="Z66" i="10"/>
  <c r="AI65" i="10"/>
  <c r="AF65" i="10"/>
  <c r="AC65" i="10"/>
  <c r="Z65" i="10"/>
  <c r="AI64" i="10"/>
  <c r="AF64" i="10"/>
  <c r="AC64" i="10"/>
  <c r="Z64" i="10"/>
  <c r="AI63" i="10"/>
  <c r="AF63" i="10"/>
  <c r="AC63" i="10"/>
  <c r="Z63" i="10"/>
  <c r="AI62" i="10"/>
  <c r="AF62" i="10"/>
  <c r="AC62" i="10"/>
  <c r="Z62" i="10"/>
  <c r="V62" i="10"/>
  <c r="U62" i="10"/>
  <c r="T62" i="10"/>
  <c r="H62" i="10"/>
  <c r="S62" i="10" s="1"/>
  <c r="AI61" i="10"/>
  <c r="AF61" i="10"/>
  <c r="AC61" i="10"/>
  <c r="Z61" i="10"/>
  <c r="AI60" i="10"/>
  <c r="AF60" i="10"/>
  <c r="AC60" i="10"/>
  <c r="Z60" i="10"/>
  <c r="AI59" i="10"/>
  <c r="AF59" i="10"/>
  <c r="AC59" i="10"/>
  <c r="Z59" i="10"/>
  <c r="AI58" i="10"/>
  <c r="AF58" i="10"/>
  <c r="AC58" i="10"/>
  <c r="Z58" i="10"/>
  <c r="AI57" i="10"/>
  <c r="AF57" i="10"/>
  <c r="AC57" i="10"/>
  <c r="Z57" i="10"/>
  <c r="AI56" i="10"/>
  <c r="AF56" i="10"/>
  <c r="AC56" i="10"/>
  <c r="Z56" i="10"/>
  <c r="AI55" i="10"/>
  <c r="AF55" i="10"/>
  <c r="AC55" i="10"/>
  <c r="Z55" i="10"/>
  <c r="AI54" i="10"/>
  <c r="AF54" i="10"/>
  <c r="AC54" i="10"/>
  <c r="Z54" i="10"/>
  <c r="AI53" i="10"/>
  <c r="AF53" i="10"/>
  <c r="AC53" i="10"/>
  <c r="Z53" i="10"/>
  <c r="AI52" i="10"/>
  <c r="AF52" i="10"/>
  <c r="AC52" i="10"/>
  <c r="Z52" i="10"/>
  <c r="AI51" i="10"/>
  <c r="AF51" i="10"/>
  <c r="AC51" i="10"/>
  <c r="Z51" i="10"/>
  <c r="AI50" i="10"/>
  <c r="AF50" i="10"/>
  <c r="AC50" i="10"/>
  <c r="Z50" i="10"/>
  <c r="AI49" i="10"/>
  <c r="AF49" i="10"/>
  <c r="AC49" i="10"/>
  <c r="Z49" i="10"/>
  <c r="AI48" i="10"/>
  <c r="AF48" i="10"/>
  <c r="AC48" i="10"/>
  <c r="Z48" i="10"/>
  <c r="AI47" i="10"/>
  <c r="AF47" i="10"/>
  <c r="AC47" i="10"/>
  <c r="Z47" i="10"/>
  <c r="AI46" i="10"/>
  <c r="AF46" i="10"/>
  <c r="AC46" i="10"/>
  <c r="Z46" i="10"/>
  <c r="AI45" i="10"/>
  <c r="AF45" i="10"/>
  <c r="AC45" i="10"/>
  <c r="Z45" i="10"/>
  <c r="AI44" i="10"/>
  <c r="AF44" i="10"/>
  <c r="AC44" i="10"/>
  <c r="Z44" i="10"/>
  <c r="AI43" i="10"/>
  <c r="AF43" i="10"/>
  <c r="AC43" i="10"/>
  <c r="Z43" i="10"/>
  <c r="AI42" i="10"/>
  <c r="AF42" i="10"/>
  <c r="AC42" i="10"/>
  <c r="Z42" i="10"/>
  <c r="AI41" i="10"/>
  <c r="AF41" i="10"/>
  <c r="AC41" i="10"/>
  <c r="Z41" i="10"/>
  <c r="AI40" i="10"/>
  <c r="AF40" i="10"/>
  <c r="AC40" i="10"/>
  <c r="Z40" i="10"/>
  <c r="AI39" i="10"/>
  <c r="AF39" i="10"/>
  <c r="AC39" i="10"/>
  <c r="Z39" i="10"/>
  <c r="AI38" i="10"/>
  <c r="AF38" i="10"/>
  <c r="AC38" i="10"/>
  <c r="Z38" i="10"/>
  <c r="AI37" i="10"/>
  <c r="AF37" i="10"/>
  <c r="AC37" i="10"/>
  <c r="Z37" i="10"/>
  <c r="AI36" i="10"/>
  <c r="AF36" i="10"/>
  <c r="AC36" i="10"/>
  <c r="Z36" i="10"/>
  <c r="AI35" i="10"/>
  <c r="AF35" i="10"/>
  <c r="AC35" i="10"/>
  <c r="Z35" i="10"/>
  <c r="AI34" i="10"/>
  <c r="AF34" i="10"/>
  <c r="AC34" i="10"/>
  <c r="Z34" i="10"/>
  <c r="AI33" i="10"/>
  <c r="AF33" i="10"/>
  <c r="AC33" i="10"/>
  <c r="Z33" i="10"/>
  <c r="AI32" i="10"/>
  <c r="AF32" i="10"/>
  <c r="AC32" i="10"/>
  <c r="Z32" i="10"/>
  <c r="AI31" i="10"/>
  <c r="AF31" i="10"/>
  <c r="AC31" i="10"/>
  <c r="Z31" i="10"/>
  <c r="AI30" i="10"/>
  <c r="AF30" i="10"/>
  <c r="AC30" i="10"/>
  <c r="Z30" i="10"/>
  <c r="AI29" i="10"/>
  <c r="AF29" i="10"/>
  <c r="AC29" i="10"/>
  <c r="Z29" i="10"/>
  <c r="AI28" i="10"/>
  <c r="AF28" i="10"/>
  <c r="AC28" i="10"/>
  <c r="Z28" i="10"/>
  <c r="AI27" i="10"/>
  <c r="AF27" i="10"/>
  <c r="AC27" i="10"/>
  <c r="Z27" i="10"/>
  <c r="AI26" i="10"/>
  <c r="AF26" i="10"/>
  <c r="AC26" i="10"/>
  <c r="Z26" i="10"/>
  <c r="AI25" i="10"/>
  <c r="AF25" i="10"/>
  <c r="AC25" i="10"/>
  <c r="Z25" i="10"/>
  <c r="AI24" i="10"/>
  <c r="AF24" i="10"/>
  <c r="AC24" i="10"/>
  <c r="Z24" i="10"/>
  <c r="AI23" i="10"/>
  <c r="AF23" i="10"/>
  <c r="AC23" i="10"/>
  <c r="Z23" i="10"/>
  <c r="AI22" i="10"/>
  <c r="AF22" i="10"/>
  <c r="AC22" i="10"/>
  <c r="Z22" i="10"/>
  <c r="AI21" i="10"/>
  <c r="AF21" i="10"/>
  <c r="AC21" i="10"/>
  <c r="Z21" i="10"/>
  <c r="AI20" i="10"/>
  <c r="AF20" i="10"/>
  <c r="AC20" i="10"/>
  <c r="Z20" i="10"/>
  <c r="AI19" i="10"/>
  <c r="AF19" i="10"/>
  <c r="AC19" i="10"/>
  <c r="Z19" i="10"/>
  <c r="AI18" i="10"/>
  <c r="AF18" i="10"/>
  <c r="AC18" i="10"/>
  <c r="Z18" i="10"/>
  <c r="AI17" i="10"/>
  <c r="AF17" i="10"/>
  <c r="AC17" i="10"/>
  <c r="Z17" i="10"/>
  <c r="AI16" i="10"/>
  <c r="AF16" i="10"/>
  <c r="AC16" i="10"/>
  <c r="Z16" i="10"/>
  <c r="AI15" i="10"/>
  <c r="AF15" i="10"/>
  <c r="AC15" i="10"/>
  <c r="Z15" i="10"/>
  <c r="AI14" i="10"/>
  <c r="AF14" i="10"/>
  <c r="AC14" i="10"/>
  <c r="Z14" i="10"/>
  <c r="AI13" i="10"/>
  <c r="AF13" i="10"/>
  <c r="AC13" i="10"/>
  <c r="Z13" i="10"/>
  <c r="AI12" i="10"/>
  <c r="AF12" i="10"/>
  <c r="AC12" i="10"/>
  <c r="Z12" i="10"/>
  <c r="AI11" i="10"/>
  <c r="AF11" i="10"/>
  <c r="AC11" i="10"/>
  <c r="Z11" i="10"/>
  <c r="AI10" i="10"/>
  <c r="AF10" i="10"/>
  <c r="AC10" i="10"/>
  <c r="Z10" i="10"/>
  <c r="AI9" i="10"/>
  <c r="AF9" i="10"/>
  <c r="AC9" i="10"/>
  <c r="Z9" i="10"/>
  <c r="AI8" i="10"/>
  <c r="AF8" i="10"/>
  <c r="AC8" i="10"/>
  <c r="Z8" i="10"/>
  <c r="AI7" i="10"/>
  <c r="AF7" i="10"/>
  <c r="AC7" i="10"/>
  <c r="Z7" i="10"/>
  <c r="AI6" i="10"/>
  <c r="AF6" i="10"/>
  <c r="AC6" i="10"/>
  <c r="Z6" i="10"/>
  <c r="AI5" i="10"/>
  <c r="AF5" i="10"/>
  <c r="AC5" i="10"/>
  <c r="Z5" i="10"/>
  <c r="AI4" i="10"/>
  <c r="AF4" i="10"/>
  <c r="AC4" i="10"/>
  <c r="Z4" i="10"/>
  <c r="AI3" i="10"/>
  <c r="AF3" i="10"/>
  <c r="AC3" i="10"/>
  <c r="Z3" i="10"/>
  <c r="V3" i="10"/>
  <c r="U3" i="10"/>
  <c r="T3" i="10"/>
  <c r="H3" i="10"/>
  <c r="S3" i="10" s="1"/>
  <c r="AI199" i="9"/>
  <c r="AF199" i="9"/>
  <c r="AC199" i="9"/>
  <c r="Z199" i="9"/>
  <c r="AI198" i="9"/>
  <c r="AF198" i="9"/>
  <c r="AC198" i="9"/>
  <c r="Z198" i="9"/>
  <c r="AI197" i="9"/>
  <c r="AF197" i="9"/>
  <c r="AC197" i="9"/>
  <c r="Z197" i="9"/>
  <c r="AI196" i="9"/>
  <c r="AF196" i="9"/>
  <c r="AC196" i="9"/>
  <c r="Z196" i="9"/>
  <c r="AI195" i="9"/>
  <c r="AF195" i="9"/>
  <c r="AC195" i="9"/>
  <c r="Z195" i="9"/>
  <c r="AI194" i="9"/>
  <c r="AF194" i="9"/>
  <c r="AC194" i="9"/>
  <c r="Z194" i="9"/>
  <c r="V194" i="9"/>
  <c r="G194" i="10" s="1"/>
  <c r="V194" i="10" s="1"/>
  <c r="G194" i="11" s="1"/>
  <c r="V194" i="11" s="1"/>
  <c r="G194" i="12" s="1"/>
  <c r="V194" i="12" s="1"/>
  <c r="U194" i="9"/>
  <c r="F194" i="10" s="1"/>
  <c r="U194" i="10" s="1"/>
  <c r="F194" i="11" s="1"/>
  <c r="U194" i="11" s="1"/>
  <c r="F194" i="12" s="1"/>
  <c r="U194" i="12" s="1"/>
  <c r="T194" i="9"/>
  <c r="H194" i="9"/>
  <c r="S194" i="9" s="1"/>
  <c r="AI193" i="9"/>
  <c r="AF193" i="9"/>
  <c r="AC193" i="9"/>
  <c r="Z193" i="9"/>
  <c r="AI192" i="9"/>
  <c r="AF192" i="9"/>
  <c r="AC192" i="9"/>
  <c r="Z192" i="9"/>
  <c r="AI191" i="9"/>
  <c r="AF191" i="9"/>
  <c r="AC191" i="9"/>
  <c r="Z191" i="9"/>
  <c r="V191" i="9"/>
  <c r="U191" i="9"/>
  <c r="T191" i="9"/>
  <c r="H191" i="9"/>
  <c r="S191" i="9" s="1"/>
  <c r="AI190" i="9"/>
  <c r="AF190" i="9"/>
  <c r="AC190" i="9"/>
  <c r="Z190" i="9"/>
  <c r="AI189" i="9"/>
  <c r="AF189" i="9"/>
  <c r="AC189" i="9"/>
  <c r="Z189" i="9"/>
  <c r="AI188" i="9"/>
  <c r="AF188" i="9"/>
  <c r="AC188" i="9"/>
  <c r="Z188" i="9"/>
  <c r="AI187" i="9"/>
  <c r="AF187" i="9"/>
  <c r="AC187" i="9"/>
  <c r="Z187" i="9"/>
  <c r="AI186" i="9"/>
  <c r="AF186" i="9"/>
  <c r="AC186" i="9"/>
  <c r="Z186" i="9"/>
  <c r="AI185" i="9"/>
  <c r="AF185" i="9"/>
  <c r="AC185" i="9"/>
  <c r="Z185" i="9"/>
  <c r="AI184" i="9"/>
  <c r="AF184" i="9"/>
  <c r="AC184" i="9"/>
  <c r="Z184" i="9"/>
  <c r="AI183" i="9"/>
  <c r="AF183" i="9"/>
  <c r="AC183" i="9"/>
  <c r="Z183" i="9"/>
  <c r="AI182" i="9"/>
  <c r="AF182" i="9"/>
  <c r="AC182" i="9"/>
  <c r="Z182" i="9"/>
  <c r="AI181" i="9"/>
  <c r="AF181" i="9"/>
  <c r="AC181" i="9"/>
  <c r="Z181" i="9"/>
  <c r="AI180" i="9"/>
  <c r="AF180" i="9"/>
  <c r="AC180" i="9"/>
  <c r="Z180" i="9"/>
  <c r="AI179" i="9"/>
  <c r="AF179" i="9"/>
  <c r="AC179" i="9"/>
  <c r="Z179" i="9"/>
  <c r="AI178" i="9"/>
  <c r="AF178" i="9"/>
  <c r="AC178" i="9"/>
  <c r="Z178" i="9"/>
  <c r="AI177" i="9"/>
  <c r="AF177" i="9"/>
  <c r="AC177" i="9"/>
  <c r="Z177" i="9"/>
  <c r="AI176" i="9"/>
  <c r="AF176" i="9"/>
  <c r="AC176" i="9"/>
  <c r="Z176" i="9"/>
  <c r="AI175" i="9"/>
  <c r="AF175" i="9"/>
  <c r="AC175" i="9"/>
  <c r="Z175" i="9"/>
  <c r="AI174" i="9"/>
  <c r="AF174" i="9"/>
  <c r="AC174" i="9"/>
  <c r="Z174" i="9"/>
  <c r="AI173" i="9"/>
  <c r="AF173" i="9"/>
  <c r="AC173" i="9"/>
  <c r="Z173" i="9"/>
  <c r="AI172" i="9"/>
  <c r="AF172" i="9"/>
  <c r="AC172" i="9"/>
  <c r="Z172" i="9"/>
  <c r="AI171" i="9"/>
  <c r="AF171" i="9"/>
  <c r="AC171" i="9"/>
  <c r="Z171" i="9"/>
  <c r="AI170" i="9"/>
  <c r="AF170" i="9"/>
  <c r="AC170" i="9"/>
  <c r="Z170" i="9"/>
  <c r="AI169" i="9"/>
  <c r="AF169" i="9"/>
  <c r="AC169" i="9"/>
  <c r="Z169" i="9"/>
  <c r="AI168" i="9"/>
  <c r="AF168" i="9"/>
  <c r="AC168" i="9"/>
  <c r="Z168" i="9"/>
  <c r="AI167" i="9"/>
  <c r="AF167" i="9"/>
  <c r="AC167" i="9"/>
  <c r="Z167" i="9"/>
  <c r="AI166" i="9"/>
  <c r="AF166" i="9"/>
  <c r="AC166" i="9"/>
  <c r="Z166" i="9"/>
  <c r="AI165" i="9"/>
  <c r="AF165" i="9"/>
  <c r="AC165" i="9"/>
  <c r="Z165" i="9"/>
  <c r="AI164" i="9"/>
  <c r="AF164" i="9"/>
  <c r="AC164" i="9"/>
  <c r="Z164" i="9"/>
  <c r="AI163" i="9"/>
  <c r="AF163" i="9"/>
  <c r="AC163" i="9"/>
  <c r="Z163" i="9"/>
  <c r="AI162" i="9"/>
  <c r="AF162" i="9"/>
  <c r="AC162" i="9"/>
  <c r="Z162" i="9"/>
  <c r="AI161" i="9"/>
  <c r="AF161" i="9"/>
  <c r="AC161" i="9"/>
  <c r="Z161" i="9"/>
  <c r="AI160" i="9"/>
  <c r="AF160" i="9"/>
  <c r="AC160" i="9"/>
  <c r="Z160" i="9"/>
  <c r="AI159" i="9"/>
  <c r="AF159" i="9"/>
  <c r="AC159" i="9"/>
  <c r="Z159" i="9"/>
  <c r="AI158" i="9"/>
  <c r="AF158" i="9"/>
  <c r="AC158" i="9"/>
  <c r="Z158" i="9"/>
  <c r="AI157" i="9"/>
  <c r="AF157" i="9"/>
  <c r="AC157" i="9"/>
  <c r="Z157" i="9"/>
  <c r="AI156" i="9"/>
  <c r="AF156" i="9"/>
  <c r="AC156" i="9"/>
  <c r="Z156" i="9"/>
  <c r="AI155" i="9"/>
  <c r="AF155" i="9"/>
  <c r="AC155" i="9"/>
  <c r="Z155" i="9"/>
  <c r="V155" i="9"/>
  <c r="U155" i="9"/>
  <c r="T155" i="9"/>
  <c r="H155" i="9"/>
  <c r="S155" i="9" s="1"/>
  <c r="AI154" i="9"/>
  <c r="AF154" i="9"/>
  <c r="AC154" i="9"/>
  <c r="Z154" i="9"/>
  <c r="AI153" i="9"/>
  <c r="AF153" i="9"/>
  <c r="AC153" i="9"/>
  <c r="Z153" i="9"/>
  <c r="AI152" i="9"/>
  <c r="AF152" i="9"/>
  <c r="AC152" i="9"/>
  <c r="Z152" i="9"/>
  <c r="AI151" i="9"/>
  <c r="AF151" i="9"/>
  <c r="AC151" i="9"/>
  <c r="Z151" i="9"/>
  <c r="AI150" i="9"/>
  <c r="AF150" i="9"/>
  <c r="AC150" i="9"/>
  <c r="Z150" i="9"/>
  <c r="AI149" i="9"/>
  <c r="AF149" i="9"/>
  <c r="AC149" i="9"/>
  <c r="Z149" i="9"/>
  <c r="AI148" i="9"/>
  <c r="AF148" i="9"/>
  <c r="AC148" i="9"/>
  <c r="Z148" i="9"/>
  <c r="AI147" i="9"/>
  <c r="AF147" i="9"/>
  <c r="AC147" i="9"/>
  <c r="Z147" i="9"/>
  <c r="AI146" i="9"/>
  <c r="AF146" i="9"/>
  <c r="AC146" i="9"/>
  <c r="Z146" i="9"/>
  <c r="AI145" i="9"/>
  <c r="AF145" i="9"/>
  <c r="AC145" i="9"/>
  <c r="Z145" i="9"/>
  <c r="AI144" i="9"/>
  <c r="AF144" i="9"/>
  <c r="AC144" i="9"/>
  <c r="Z144" i="9"/>
  <c r="AI143" i="9"/>
  <c r="AF143" i="9"/>
  <c r="AC143" i="9"/>
  <c r="Z143" i="9"/>
  <c r="AI142" i="9"/>
  <c r="AF142" i="9"/>
  <c r="AC142" i="9"/>
  <c r="Z142" i="9"/>
  <c r="AI141" i="9"/>
  <c r="AF141" i="9"/>
  <c r="AC141" i="9"/>
  <c r="Z141" i="9"/>
  <c r="AI140" i="9"/>
  <c r="AF140" i="9"/>
  <c r="AC140" i="9"/>
  <c r="Z140" i="9"/>
  <c r="AI139" i="9"/>
  <c r="AF139" i="9"/>
  <c r="AC139" i="9"/>
  <c r="Z139" i="9"/>
  <c r="AI138" i="9"/>
  <c r="AF138" i="9"/>
  <c r="AC138" i="9"/>
  <c r="Z138" i="9"/>
  <c r="AI137" i="9"/>
  <c r="AF137" i="9"/>
  <c r="AC137" i="9"/>
  <c r="Z137" i="9"/>
  <c r="AI136" i="9"/>
  <c r="AF136" i="9"/>
  <c r="AC136" i="9"/>
  <c r="Z136" i="9"/>
  <c r="AI135" i="9"/>
  <c r="AF135" i="9"/>
  <c r="AC135" i="9"/>
  <c r="Z135" i="9"/>
  <c r="AI134" i="9"/>
  <c r="AF134" i="9"/>
  <c r="AC134" i="9"/>
  <c r="Z134" i="9"/>
  <c r="AI133" i="9"/>
  <c r="AF133" i="9"/>
  <c r="AC133" i="9"/>
  <c r="Z133" i="9"/>
  <c r="AI132" i="9"/>
  <c r="AF132" i="9"/>
  <c r="AC132" i="9"/>
  <c r="Z132" i="9"/>
  <c r="AI131" i="9"/>
  <c r="AF131" i="9"/>
  <c r="AC131" i="9"/>
  <c r="Z131" i="9"/>
  <c r="AI130" i="9"/>
  <c r="AF130" i="9"/>
  <c r="AC130" i="9"/>
  <c r="Z130" i="9"/>
  <c r="AI129" i="9"/>
  <c r="AF129" i="9"/>
  <c r="AC129" i="9"/>
  <c r="Z129" i="9"/>
  <c r="AI128" i="9"/>
  <c r="AF128" i="9"/>
  <c r="AC128" i="9"/>
  <c r="Z128" i="9"/>
  <c r="V128" i="9"/>
  <c r="U128" i="9"/>
  <c r="T128" i="9"/>
  <c r="H128" i="9"/>
  <c r="S128" i="9" s="1"/>
  <c r="AI127" i="9"/>
  <c r="AF127" i="9"/>
  <c r="AC127" i="9"/>
  <c r="Z127" i="9"/>
  <c r="AI126" i="9"/>
  <c r="AF126" i="9"/>
  <c r="AC126" i="9"/>
  <c r="Z126" i="9"/>
  <c r="AI125" i="9"/>
  <c r="AF125" i="9"/>
  <c r="AC125" i="9"/>
  <c r="Z125" i="9"/>
  <c r="AI124" i="9"/>
  <c r="AF124" i="9"/>
  <c r="AC124" i="9"/>
  <c r="Z124" i="9"/>
  <c r="AI123" i="9"/>
  <c r="AF123" i="9"/>
  <c r="AC123" i="9"/>
  <c r="Z123" i="9"/>
  <c r="AI122" i="9"/>
  <c r="AF122" i="9"/>
  <c r="AC122" i="9"/>
  <c r="Z122" i="9"/>
  <c r="AI121" i="9"/>
  <c r="AF121" i="9"/>
  <c r="AC121" i="9"/>
  <c r="Z121" i="9"/>
  <c r="AI120" i="9"/>
  <c r="AF120" i="9"/>
  <c r="AC120" i="9"/>
  <c r="Z120" i="9"/>
  <c r="AI119" i="9"/>
  <c r="AF119" i="9"/>
  <c r="AC119" i="9"/>
  <c r="Z119" i="9"/>
  <c r="AI118" i="9"/>
  <c r="AF118" i="9"/>
  <c r="AC118" i="9"/>
  <c r="Z118" i="9"/>
  <c r="AI117" i="9"/>
  <c r="AF117" i="9"/>
  <c r="AC117" i="9"/>
  <c r="Z117" i="9"/>
  <c r="AI116" i="9"/>
  <c r="AF116" i="9"/>
  <c r="AC116" i="9"/>
  <c r="Z116" i="9"/>
  <c r="AI115" i="9"/>
  <c r="AF115" i="9"/>
  <c r="AC115" i="9"/>
  <c r="Z115" i="9"/>
  <c r="AI114" i="9"/>
  <c r="AF114" i="9"/>
  <c r="AC114" i="9"/>
  <c r="Z114" i="9"/>
  <c r="AI113" i="9"/>
  <c r="AF113" i="9"/>
  <c r="AC113" i="9"/>
  <c r="Z113" i="9"/>
  <c r="AI112" i="9"/>
  <c r="AF112" i="9"/>
  <c r="AC112" i="9"/>
  <c r="Z112" i="9"/>
  <c r="AI111" i="9"/>
  <c r="AF111" i="9"/>
  <c r="AC111" i="9"/>
  <c r="Z111" i="9"/>
  <c r="AI110" i="9"/>
  <c r="AF110" i="9"/>
  <c r="AC110" i="9"/>
  <c r="Z110" i="9"/>
  <c r="AI109" i="9"/>
  <c r="AF109" i="9"/>
  <c r="AC109" i="9"/>
  <c r="Z109" i="9"/>
  <c r="AI108" i="9"/>
  <c r="AF108" i="9"/>
  <c r="AC108" i="9"/>
  <c r="Z108" i="9"/>
  <c r="AI107" i="9"/>
  <c r="AF107" i="9"/>
  <c r="AC107" i="9"/>
  <c r="Z107" i="9"/>
  <c r="AI106" i="9"/>
  <c r="AF106" i="9"/>
  <c r="AC106" i="9"/>
  <c r="Z106" i="9"/>
  <c r="AI105" i="9"/>
  <c r="AF105" i="9"/>
  <c r="AC105" i="9"/>
  <c r="Z105" i="9"/>
  <c r="AI104" i="9"/>
  <c r="AF104" i="9"/>
  <c r="AC104" i="9"/>
  <c r="Z104" i="9"/>
  <c r="AI103" i="9"/>
  <c r="AF103" i="9"/>
  <c r="AC103" i="9"/>
  <c r="Z103" i="9"/>
  <c r="AI102" i="9"/>
  <c r="AF102" i="9"/>
  <c r="AC102" i="9"/>
  <c r="Z102" i="9"/>
  <c r="AI101" i="9"/>
  <c r="AF101" i="9"/>
  <c r="AC101" i="9"/>
  <c r="Z101" i="9"/>
  <c r="AI100" i="9"/>
  <c r="AF100" i="9"/>
  <c r="AC100" i="9"/>
  <c r="Z100" i="9"/>
  <c r="V100" i="9"/>
  <c r="U100" i="9"/>
  <c r="T100" i="9"/>
  <c r="H100" i="9"/>
  <c r="S100" i="9" s="1"/>
  <c r="AI99" i="9"/>
  <c r="AF99" i="9"/>
  <c r="AC99" i="9"/>
  <c r="Z99" i="9"/>
  <c r="AI98" i="9"/>
  <c r="AF98" i="9"/>
  <c r="AC98" i="9"/>
  <c r="Z98" i="9"/>
  <c r="AI97" i="9"/>
  <c r="AF97" i="9"/>
  <c r="AC97" i="9"/>
  <c r="Z97" i="9"/>
  <c r="AI96" i="9"/>
  <c r="AF96" i="9"/>
  <c r="AC96" i="9"/>
  <c r="Z96" i="9"/>
  <c r="AI95" i="9"/>
  <c r="AF95" i="9"/>
  <c r="AC95" i="9"/>
  <c r="Z95" i="9"/>
  <c r="AI94" i="9"/>
  <c r="AF94" i="9"/>
  <c r="AC94" i="9"/>
  <c r="Z94" i="9"/>
  <c r="AI93" i="9"/>
  <c r="AF93" i="9"/>
  <c r="AC93" i="9"/>
  <c r="Z93" i="9"/>
  <c r="AI92" i="9"/>
  <c r="AF92" i="9"/>
  <c r="AC92" i="9"/>
  <c r="Z92" i="9"/>
  <c r="AI91" i="9"/>
  <c r="AF91" i="9"/>
  <c r="AC91" i="9"/>
  <c r="Z91" i="9"/>
  <c r="AI90" i="9"/>
  <c r="AF90" i="9"/>
  <c r="AC90" i="9"/>
  <c r="Z90" i="9"/>
  <c r="AI89" i="9"/>
  <c r="AF89" i="9"/>
  <c r="AC89" i="9"/>
  <c r="Z89" i="9"/>
  <c r="AI88" i="9"/>
  <c r="AF88" i="9"/>
  <c r="AC88" i="9"/>
  <c r="Z88" i="9"/>
  <c r="AI87" i="9"/>
  <c r="AF87" i="9"/>
  <c r="AC87" i="9"/>
  <c r="Z87" i="9"/>
  <c r="AI86" i="9"/>
  <c r="AF86" i="9"/>
  <c r="AC86" i="9"/>
  <c r="Z86" i="9"/>
  <c r="AI85" i="9"/>
  <c r="AF85" i="9"/>
  <c r="AC85" i="9"/>
  <c r="Z85" i="9"/>
  <c r="AI84" i="9"/>
  <c r="AF84" i="9"/>
  <c r="AC84" i="9"/>
  <c r="Z84" i="9"/>
  <c r="AI83" i="9"/>
  <c r="AF83" i="9"/>
  <c r="AC83" i="9"/>
  <c r="Z83" i="9"/>
  <c r="AI82" i="9"/>
  <c r="AF82" i="9"/>
  <c r="AC82" i="9"/>
  <c r="Z82" i="9"/>
  <c r="AI81" i="9"/>
  <c r="AF81" i="9"/>
  <c r="AC81" i="9"/>
  <c r="Z81" i="9"/>
  <c r="AI80" i="9"/>
  <c r="AF80" i="9"/>
  <c r="AC80" i="9"/>
  <c r="Z80" i="9"/>
  <c r="AI79" i="9"/>
  <c r="AF79" i="9"/>
  <c r="AC79" i="9"/>
  <c r="Z79" i="9"/>
  <c r="AI78" i="9"/>
  <c r="AF78" i="9"/>
  <c r="AC78" i="9"/>
  <c r="Z78" i="9"/>
  <c r="AI77" i="9"/>
  <c r="AF77" i="9"/>
  <c r="AC77" i="9"/>
  <c r="Z77" i="9"/>
  <c r="AI76" i="9"/>
  <c r="AF76" i="9"/>
  <c r="AC76" i="9"/>
  <c r="Z76" i="9"/>
  <c r="AI75" i="9"/>
  <c r="AF75" i="9"/>
  <c r="AC75" i="9"/>
  <c r="Z75" i="9"/>
  <c r="AI74" i="9"/>
  <c r="AF74" i="9"/>
  <c r="AC74" i="9"/>
  <c r="Z74" i="9"/>
  <c r="AI73" i="9"/>
  <c r="AF73" i="9"/>
  <c r="AC73" i="9"/>
  <c r="Z73" i="9"/>
  <c r="AI72" i="9"/>
  <c r="AF72" i="9"/>
  <c r="AC72" i="9"/>
  <c r="Z72" i="9"/>
  <c r="AI71" i="9"/>
  <c r="AF71" i="9"/>
  <c r="AC71" i="9"/>
  <c r="Z71" i="9"/>
  <c r="AI70" i="9"/>
  <c r="AF70" i="9"/>
  <c r="AC70" i="9"/>
  <c r="Z70" i="9"/>
  <c r="AI69" i="9"/>
  <c r="AF69" i="9"/>
  <c r="AC69" i="9"/>
  <c r="Z69" i="9"/>
  <c r="AI68" i="9"/>
  <c r="AF68" i="9"/>
  <c r="AC68" i="9"/>
  <c r="Z68" i="9"/>
  <c r="AI67" i="9"/>
  <c r="AF67" i="9"/>
  <c r="AC67" i="9"/>
  <c r="Z67" i="9"/>
  <c r="AI66" i="9"/>
  <c r="AF66" i="9"/>
  <c r="AC66" i="9"/>
  <c r="Z66" i="9"/>
  <c r="AI65" i="9"/>
  <c r="AF65" i="9"/>
  <c r="AC65" i="9"/>
  <c r="Z65" i="9"/>
  <c r="AI64" i="9"/>
  <c r="AF64" i="9"/>
  <c r="AC64" i="9"/>
  <c r="Z64" i="9"/>
  <c r="AI63" i="9"/>
  <c r="AF63" i="9"/>
  <c r="AC63" i="9"/>
  <c r="Z63" i="9"/>
  <c r="AI62" i="9"/>
  <c r="AF62" i="9"/>
  <c r="AC62" i="9"/>
  <c r="Z62" i="9"/>
  <c r="V62" i="9"/>
  <c r="U62" i="9"/>
  <c r="T62" i="9"/>
  <c r="H62" i="9"/>
  <c r="S62" i="9" s="1"/>
  <c r="AI61" i="9"/>
  <c r="AF61" i="9"/>
  <c r="AC61" i="9"/>
  <c r="Z61" i="9"/>
  <c r="AI60" i="9"/>
  <c r="AF60" i="9"/>
  <c r="AC60" i="9"/>
  <c r="Z60" i="9"/>
  <c r="AI59" i="9"/>
  <c r="AF59" i="9"/>
  <c r="AC59" i="9"/>
  <c r="Z59" i="9"/>
  <c r="AI58" i="9"/>
  <c r="AF58" i="9"/>
  <c r="AC58" i="9"/>
  <c r="Z58" i="9"/>
  <c r="AI57" i="9"/>
  <c r="AF57" i="9"/>
  <c r="AC57" i="9"/>
  <c r="Z57" i="9"/>
  <c r="AI56" i="9"/>
  <c r="AF56" i="9"/>
  <c r="AC56" i="9"/>
  <c r="Z56" i="9"/>
  <c r="AI55" i="9"/>
  <c r="AF55" i="9"/>
  <c r="AC55" i="9"/>
  <c r="Z55" i="9"/>
  <c r="AI54" i="9"/>
  <c r="AF54" i="9"/>
  <c r="AC54" i="9"/>
  <c r="Z54" i="9"/>
  <c r="AI53" i="9"/>
  <c r="AF53" i="9"/>
  <c r="AC53" i="9"/>
  <c r="Z53" i="9"/>
  <c r="AI52" i="9"/>
  <c r="AF52" i="9"/>
  <c r="AC52" i="9"/>
  <c r="Z52" i="9"/>
  <c r="AI51" i="9"/>
  <c r="AF51" i="9"/>
  <c r="AC51" i="9"/>
  <c r="Z51" i="9"/>
  <c r="AI50" i="9"/>
  <c r="AF50" i="9"/>
  <c r="AC50" i="9"/>
  <c r="Z50" i="9"/>
  <c r="AI49" i="9"/>
  <c r="AF49" i="9"/>
  <c r="AC49" i="9"/>
  <c r="Z49" i="9"/>
  <c r="AI48" i="9"/>
  <c r="AF48" i="9"/>
  <c r="AC48" i="9"/>
  <c r="Z48" i="9"/>
  <c r="AI47" i="9"/>
  <c r="AF47" i="9"/>
  <c r="AC47" i="9"/>
  <c r="Z47" i="9"/>
  <c r="AI46" i="9"/>
  <c r="AF46" i="9"/>
  <c r="AC46" i="9"/>
  <c r="Z46" i="9"/>
  <c r="AI45" i="9"/>
  <c r="AF45" i="9"/>
  <c r="AC45" i="9"/>
  <c r="Z45" i="9"/>
  <c r="AI44" i="9"/>
  <c r="AF44" i="9"/>
  <c r="AC44" i="9"/>
  <c r="Z44" i="9"/>
  <c r="AI43" i="9"/>
  <c r="AF43" i="9"/>
  <c r="AC43" i="9"/>
  <c r="Z43" i="9"/>
  <c r="AI42" i="9"/>
  <c r="AF42" i="9"/>
  <c r="AC42" i="9"/>
  <c r="Z42" i="9"/>
  <c r="AI41" i="9"/>
  <c r="AF41" i="9"/>
  <c r="AC41" i="9"/>
  <c r="Z41" i="9"/>
  <c r="AI40" i="9"/>
  <c r="AF40" i="9"/>
  <c r="AC40" i="9"/>
  <c r="Z40" i="9"/>
  <c r="AI39" i="9"/>
  <c r="AF39" i="9"/>
  <c r="AC39" i="9"/>
  <c r="Z39" i="9"/>
  <c r="AI38" i="9"/>
  <c r="AF38" i="9"/>
  <c r="AC38" i="9"/>
  <c r="Z38" i="9"/>
  <c r="AI37" i="9"/>
  <c r="AF37" i="9"/>
  <c r="AC37" i="9"/>
  <c r="Z37" i="9"/>
  <c r="AI36" i="9"/>
  <c r="AF36" i="9"/>
  <c r="AC36" i="9"/>
  <c r="Z36" i="9"/>
  <c r="AI35" i="9"/>
  <c r="AF35" i="9"/>
  <c r="AC35" i="9"/>
  <c r="Z35" i="9"/>
  <c r="AI34" i="9"/>
  <c r="AF34" i="9"/>
  <c r="AC34" i="9"/>
  <c r="Z34" i="9"/>
  <c r="AI33" i="9"/>
  <c r="AF33" i="9"/>
  <c r="AC33" i="9"/>
  <c r="Z33" i="9"/>
  <c r="AI32" i="9"/>
  <c r="AF32" i="9"/>
  <c r="AC32" i="9"/>
  <c r="Z32" i="9"/>
  <c r="AI31" i="9"/>
  <c r="AF31" i="9"/>
  <c r="AC31" i="9"/>
  <c r="Z31" i="9"/>
  <c r="AI30" i="9"/>
  <c r="AF30" i="9"/>
  <c r="AC30" i="9"/>
  <c r="Z30" i="9"/>
  <c r="AI29" i="9"/>
  <c r="AF29" i="9"/>
  <c r="AC29" i="9"/>
  <c r="Z29" i="9"/>
  <c r="AI28" i="9"/>
  <c r="AF28" i="9"/>
  <c r="AC28" i="9"/>
  <c r="Z28" i="9"/>
  <c r="AI27" i="9"/>
  <c r="AF27" i="9"/>
  <c r="AC27" i="9"/>
  <c r="Z27" i="9"/>
  <c r="AI26" i="9"/>
  <c r="AF26" i="9"/>
  <c r="AC26" i="9"/>
  <c r="Z26" i="9"/>
  <c r="AI25" i="9"/>
  <c r="AF25" i="9"/>
  <c r="AC25" i="9"/>
  <c r="Z25" i="9"/>
  <c r="AI24" i="9"/>
  <c r="AF24" i="9"/>
  <c r="AC24" i="9"/>
  <c r="Z24" i="9"/>
  <c r="AI23" i="9"/>
  <c r="AF23" i="9"/>
  <c r="AC23" i="9"/>
  <c r="Z23" i="9"/>
  <c r="AI22" i="9"/>
  <c r="AF22" i="9"/>
  <c r="AC22" i="9"/>
  <c r="Z22" i="9"/>
  <c r="AI21" i="9"/>
  <c r="AF21" i="9"/>
  <c r="AC21" i="9"/>
  <c r="Z21" i="9"/>
  <c r="AI20" i="9"/>
  <c r="AF20" i="9"/>
  <c r="AC20" i="9"/>
  <c r="Z20" i="9"/>
  <c r="AI19" i="9"/>
  <c r="AF19" i="9"/>
  <c r="AC19" i="9"/>
  <c r="Z19" i="9"/>
  <c r="AI18" i="9"/>
  <c r="AF18" i="9"/>
  <c r="AC18" i="9"/>
  <c r="Z18" i="9"/>
  <c r="AI17" i="9"/>
  <c r="AF17" i="9"/>
  <c r="AC17" i="9"/>
  <c r="Z17" i="9"/>
  <c r="AI16" i="9"/>
  <c r="AF16" i="9"/>
  <c r="AC16" i="9"/>
  <c r="Z16" i="9"/>
  <c r="AI15" i="9"/>
  <c r="AF15" i="9"/>
  <c r="AC15" i="9"/>
  <c r="Z15" i="9"/>
  <c r="AI14" i="9"/>
  <c r="AF14" i="9"/>
  <c r="AC14" i="9"/>
  <c r="Z14" i="9"/>
  <c r="AI13" i="9"/>
  <c r="AF13" i="9"/>
  <c r="AC13" i="9"/>
  <c r="Z13" i="9"/>
  <c r="AI12" i="9"/>
  <c r="AF12" i="9"/>
  <c r="AC12" i="9"/>
  <c r="Z12" i="9"/>
  <c r="AI11" i="9"/>
  <c r="AF11" i="9"/>
  <c r="AC11" i="9"/>
  <c r="Z11" i="9"/>
  <c r="AI10" i="9"/>
  <c r="AF10" i="9"/>
  <c r="AC10" i="9"/>
  <c r="Z10" i="9"/>
  <c r="AI9" i="9"/>
  <c r="AF9" i="9"/>
  <c r="AC9" i="9"/>
  <c r="Z9" i="9"/>
  <c r="AI8" i="9"/>
  <c r="AF8" i="9"/>
  <c r="AC8" i="9"/>
  <c r="Z8" i="9"/>
  <c r="AI7" i="9"/>
  <c r="AF7" i="9"/>
  <c r="AC7" i="9"/>
  <c r="Z7" i="9"/>
  <c r="AI6" i="9"/>
  <c r="AF6" i="9"/>
  <c r="AC6" i="9"/>
  <c r="Z6" i="9"/>
  <c r="AI5" i="9"/>
  <c r="AF5" i="9"/>
  <c r="AC5" i="9"/>
  <c r="Z5" i="9"/>
  <c r="AI4" i="9"/>
  <c r="AF4" i="9"/>
  <c r="AC4" i="9"/>
  <c r="Z4" i="9"/>
  <c r="AI3" i="9"/>
  <c r="AF3" i="9"/>
  <c r="AC3" i="9"/>
  <c r="Z3" i="9"/>
  <c r="V3" i="9"/>
  <c r="U3" i="9"/>
  <c r="T3" i="9"/>
  <c r="H3" i="9"/>
  <c r="S3" i="9" s="1"/>
  <c r="AI199" i="8"/>
  <c r="AF199" i="8"/>
  <c r="AC199" i="8"/>
  <c r="Z199" i="8"/>
  <c r="AI198" i="8"/>
  <c r="AF198" i="8"/>
  <c r="AC198" i="8"/>
  <c r="Z198" i="8"/>
  <c r="AI197" i="8"/>
  <c r="AF197" i="8"/>
  <c r="AC197" i="8"/>
  <c r="Z197" i="8"/>
  <c r="AI196" i="8"/>
  <c r="AF196" i="8"/>
  <c r="AC196" i="8"/>
  <c r="Z196" i="8"/>
  <c r="AI195" i="8"/>
  <c r="AF195" i="8"/>
  <c r="AC195" i="8"/>
  <c r="Z195" i="8"/>
  <c r="AI194" i="8"/>
  <c r="AF194" i="8"/>
  <c r="AC194" i="8"/>
  <c r="Z194" i="8"/>
  <c r="V194" i="8"/>
  <c r="U194" i="8"/>
  <c r="T194" i="8"/>
  <c r="H194" i="8"/>
  <c r="S194" i="8" s="1"/>
  <c r="AI193" i="8"/>
  <c r="AF193" i="8"/>
  <c r="AC193" i="8"/>
  <c r="Z193" i="8"/>
  <c r="AI192" i="8"/>
  <c r="AF192" i="8"/>
  <c r="AC192" i="8"/>
  <c r="Z192" i="8"/>
  <c r="AI191" i="8"/>
  <c r="AF191" i="8"/>
  <c r="AC191" i="8"/>
  <c r="Z191" i="8"/>
  <c r="V191" i="8"/>
  <c r="U191" i="8"/>
  <c r="T191" i="8"/>
  <c r="H191" i="8"/>
  <c r="S191" i="8" s="1"/>
  <c r="AI190" i="8"/>
  <c r="AF190" i="8"/>
  <c r="AC190" i="8"/>
  <c r="Z190" i="8"/>
  <c r="AI189" i="8"/>
  <c r="AF189" i="8"/>
  <c r="AC189" i="8"/>
  <c r="Z189" i="8"/>
  <c r="AI188" i="8"/>
  <c r="AF188" i="8"/>
  <c r="AC188" i="8"/>
  <c r="Z188" i="8"/>
  <c r="AI187" i="8"/>
  <c r="AF187" i="8"/>
  <c r="AC187" i="8"/>
  <c r="Z187" i="8"/>
  <c r="AI186" i="8"/>
  <c r="AF186" i="8"/>
  <c r="AC186" i="8"/>
  <c r="Z186" i="8"/>
  <c r="AI185" i="8"/>
  <c r="AF185" i="8"/>
  <c r="AC185" i="8"/>
  <c r="Z185" i="8"/>
  <c r="AI184" i="8"/>
  <c r="AF184" i="8"/>
  <c r="AC184" i="8"/>
  <c r="Z184" i="8"/>
  <c r="AI183" i="8"/>
  <c r="AF183" i="8"/>
  <c r="AC183" i="8"/>
  <c r="Z183" i="8"/>
  <c r="AI182" i="8"/>
  <c r="AF182" i="8"/>
  <c r="AC182" i="8"/>
  <c r="Z182" i="8"/>
  <c r="AI181" i="8"/>
  <c r="AF181" i="8"/>
  <c r="AC181" i="8"/>
  <c r="Z181" i="8"/>
  <c r="AI180" i="8"/>
  <c r="AF180" i="8"/>
  <c r="AC180" i="8"/>
  <c r="Z180" i="8"/>
  <c r="AI179" i="8"/>
  <c r="AF179" i="8"/>
  <c r="AC179" i="8"/>
  <c r="Z179" i="8"/>
  <c r="AI178" i="8"/>
  <c r="AF178" i="8"/>
  <c r="AC178" i="8"/>
  <c r="Z178" i="8"/>
  <c r="AI177" i="8"/>
  <c r="AF177" i="8"/>
  <c r="AC177" i="8"/>
  <c r="Z177" i="8"/>
  <c r="AI176" i="8"/>
  <c r="AF176" i="8"/>
  <c r="AC176" i="8"/>
  <c r="Z176" i="8"/>
  <c r="AI175" i="8"/>
  <c r="AF175" i="8"/>
  <c r="AC175" i="8"/>
  <c r="Z175" i="8"/>
  <c r="AI174" i="8"/>
  <c r="AF174" i="8"/>
  <c r="AC174" i="8"/>
  <c r="Z174" i="8"/>
  <c r="AI173" i="8"/>
  <c r="AF173" i="8"/>
  <c r="AC173" i="8"/>
  <c r="Z173" i="8"/>
  <c r="AI172" i="8"/>
  <c r="AF172" i="8"/>
  <c r="AC172" i="8"/>
  <c r="Z172" i="8"/>
  <c r="AI171" i="8"/>
  <c r="AF171" i="8"/>
  <c r="AC171" i="8"/>
  <c r="Z171" i="8"/>
  <c r="AI170" i="8"/>
  <c r="AF170" i="8"/>
  <c r="AC170" i="8"/>
  <c r="Z170" i="8"/>
  <c r="AI169" i="8"/>
  <c r="AF169" i="8"/>
  <c r="AC169" i="8"/>
  <c r="Z169" i="8"/>
  <c r="AI168" i="8"/>
  <c r="AF168" i="8"/>
  <c r="AC168" i="8"/>
  <c r="Z168" i="8"/>
  <c r="AI167" i="8"/>
  <c r="AF167" i="8"/>
  <c r="AC167" i="8"/>
  <c r="Z167" i="8"/>
  <c r="AI166" i="8"/>
  <c r="AF166" i="8"/>
  <c r="AC166" i="8"/>
  <c r="Z166" i="8"/>
  <c r="AI165" i="8"/>
  <c r="AF165" i="8"/>
  <c r="AC165" i="8"/>
  <c r="Z165" i="8"/>
  <c r="AI164" i="8"/>
  <c r="AF164" i="8"/>
  <c r="AC164" i="8"/>
  <c r="Z164" i="8"/>
  <c r="AI163" i="8"/>
  <c r="AF163" i="8"/>
  <c r="AC163" i="8"/>
  <c r="Z163" i="8"/>
  <c r="AI162" i="8"/>
  <c r="AF162" i="8"/>
  <c r="AC162" i="8"/>
  <c r="Z162" i="8"/>
  <c r="AI161" i="8"/>
  <c r="AF161" i="8"/>
  <c r="AC161" i="8"/>
  <c r="Z161" i="8"/>
  <c r="AI160" i="8"/>
  <c r="AF160" i="8"/>
  <c r="AC160" i="8"/>
  <c r="Z160" i="8"/>
  <c r="AI159" i="8"/>
  <c r="AF159" i="8"/>
  <c r="AC159" i="8"/>
  <c r="Z159" i="8"/>
  <c r="AI158" i="8"/>
  <c r="AF158" i="8"/>
  <c r="AC158" i="8"/>
  <c r="Z158" i="8"/>
  <c r="AI157" i="8"/>
  <c r="AF157" i="8"/>
  <c r="AC157" i="8"/>
  <c r="Z157" i="8"/>
  <c r="AI156" i="8"/>
  <c r="AF156" i="8"/>
  <c r="AC156" i="8"/>
  <c r="Z156" i="8"/>
  <c r="AI155" i="8"/>
  <c r="AF155" i="8"/>
  <c r="AC155" i="8"/>
  <c r="Z155" i="8"/>
  <c r="V155" i="8"/>
  <c r="U155" i="8"/>
  <c r="T155" i="8"/>
  <c r="H155" i="8"/>
  <c r="S155" i="8" s="1"/>
  <c r="AI154" i="8"/>
  <c r="AF154" i="8"/>
  <c r="AC154" i="8"/>
  <c r="Z154" i="8"/>
  <c r="AI153" i="8"/>
  <c r="AF153" i="8"/>
  <c r="AC153" i="8"/>
  <c r="Z153" i="8"/>
  <c r="AI152" i="8"/>
  <c r="AF152" i="8"/>
  <c r="AC152" i="8"/>
  <c r="Z152" i="8"/>
  <c r="AI151" i="8"/>
  <c r="AF151" i="8"/>
  <c r="AC151" i="8"/>
  <c r="Z151" i="8"/>
  <c r="AI150" i="8"/>
  <c r="AF150" i="8"/>
  <c r="AC150" i="8"/>
  <c r="Z150" i="8"/>
  <c r="AI149" i="8"/>
  <c r="AF149" i="8"/>
  <c r="AC149" i="8"/>
  <c r="Z149" i="8"/>
  <c r="AI148" i="8"/>
  <c r="AF148" i="8"/>
  <c r="AC148" i="8"/>
  <c r="Z148" i="8"/>
  <c r="AI147" i="8"/>
  <c r="AF147" i="8"/>
  <c r="AC147" i="8"/>
  <c r="Z147" i="8"/>
  <c r="AI146" i="8"/>
  <c r="AF146" i="8"/>
  <c r="AC146" i="8"/>
  <c r="Z146" i="8"/>
  <c r="AI145" i="8"/>
  <c r="AF145" i="8"/>
  <c r="AC145" i="8"/>
  <c r="Z145" i="8"/>
  <c r="AI144" i="8"/>
  <c r="AF144" i="8"/>
  <c r="AC144" i="8"/>
  <c r="Z144" i="8"/>
  <c r="AI143" i="8"/>
  <c r="AF143" i="8"/>
  <c r="AC143" i="8"/>
  <c r="Z143" i="8"/>
  <c r="AI142" i="8"/>
  <c r="AF142" i="8"/>
  <c r="AC142" i="8"/>
  <c r="Z142" i="8"/>
  <c r="AI141" i="8"/>
  <c r="AF141" i="8"/>
  <c r="AC141" i="8"/>
  <c r="Z141" i="8"/>
  <c r="AI140" i="8"/>
  <c r="AF140" i="8"/>
  <c r="AC140" i="8"/>
  <c r="Z140" i="8"/>
  <c r="AI139" i="8"/>
  <c r="AF139" i="8"/>
  <c r="AC139" i="8"/>
  <c r="Z139" i="8"/>
  <c r="AI138" i="8"/>
  <c r="AF138" i="8"/>
  <c r="AC138" i="8"/>
  <c r="Z138" i="8"/>
  <c r="AI137" i="8"/>
  <c r="AF137" i="8"/>
  <c r="AC137" i="8"/>
  <c r="Z137" i="8"/>
  <c r="AI136" i="8"/>
  <c r="AF136" i="8"/>
  <c r="AC136" i="8"/>
  <c r="Z136" i="8"/>
  <c r="AI135" i="8"/>
  <c r="AF135" i="8"/>
  <c r="AC135" i="8"/>
  <c r="Z135" i="8"/>
  <c r="AI134" i="8"/>
  <c r="AF134" i="8"/>
  <c r="AC134" i="8"/>
  <c r="Z134" i="8"/>
  <c r="V134" i="8"/>
  <c r="G134" i="9" s="1"/>
  <c r="U134" i="8"/>
  <c r="F134" i="9" s="1"/>
  <c r="U134" i="9" s="1"/>
  <c r="F134" i="10" s="1"/>
  <c r="U134" i="10" s="1"/>
  <c r="F134" i="11" s="1"/>
  <c r="U134" i="11" s="1"/>
  <c r="F134" i="12" s="1"/>
  <c r="U134" i="12" s="1"/>
  <c r="T134" i="8"/>
  <c r="H134" i="8"/>
  <c r="S134" i="8" s="1"/>
  <c r="AI133" i="8"/>
  <c r="AF133" i="8"/>
  <c r="AC133" i="8"/>
  <c r="Z133" i="8"/>
  <c r="AI132" i="8"/>
  <c r="AF132" i="8"/>
  <c r="AC132" i="8"/>
  <c r="Z132" i="8"/>
  <c r="AI131" i="8"/>
  <c r="AF131" i="8"/>
  <c r="AC131" i="8"/>
  <c r="Z131" i="8"/>
  <c r="AI130" i="8"/>
  <c r="AF130" i="8"/>
  <c r="AC130" i="8"/>
  <c r="Z130" i="8"/>
  <c r="AI129" i="8"/>
  <c r="AF129" i="8"/>
  <c r="AC129" i="8"/>
  <c r="Z129" i="8"/>
  <c r="AI128" i="8"/>
  <c r="AF128" i="8"/>
  <c r="AC128" i="8"/>
  <c r="Z128" i="8"/>
  <c r="V128" i="8"/>
  <c r="U128" i="8"/>
  <c r="T128" i="8"/>
  <c r="H128" i="8"/>
  <c r="S128" i="8" s="1"/>
  <c r="AI127" i="8"/>
  <c r="AF127" i="8"/>
  <c r="AC127" i="8"/>
  <c r="Z127" i="8"/>
  <c r="AI126" i="8"/>
  <c r="AF126" i="8"/>
  <c r="AC126" i="8"/>
  <c r="Z126" i="8"/>
  <c r="AI125" i="8"/>
  <c r="AF125" i="8"/>
  <c r="AC125" i="8"/>
  <c r="Z125" i="8"/>
  <c r="AI124" i="8"/>
  <c r="AF124" i="8"/>
  <c r="AC124" i="8"/>
  <c r="Z124" i="8"/>
  <c r="AI123" i="8"/>
  <c r="AF123" i="8"/>
  <c r="AC123" i="8"/>
  <c r="Z123" i="8"/>
  <c r="AI122" i="8"/>
  <c r="AF122" i="8"/>
  <c r="AC122" i="8"/>
  <c r="Z122" i="8"/>
  <c r="AI121" i="8"/>
  <c r="AF121" i="8"/>
  <c r="AC121" i="8"/>
  <c r="Z121" i="8"/>
  <c r="AI120" i="8"/>
  <c r="AF120" i="8"/>
  <c r="AC120" i="8"/>
  <c r="Z120" i="8"/>
  <c r="AI119" i="8"/>
  <c r="AF119" i="8"/>
  <c r="AC119" i="8"/>
  <c r="Z119" i="8"/>
  <c r="AI118" i="8"/>
  <c r="AF118" i="8"/>
  <c r="AC118" i="8"/>
  <c r="Z118" i="8"/>
  <c r="AI117" i="8"/>
  <c r="AF117" i="8"/>
  <c r="AC117" i="8"/>
  <c r="Z117" i="8"/>
  <c r="AI116" i="8"/>
  <c r="AF116" i="8"/>
  <c r="AC116" i="8"/>
  <c r="Z116" i="8"/>
  <c r="AI115" i="8"/>
  <c r="AF115" i="8"/>
  <c r="AC115" i="8"/>
  <c r="Z115" i="8"/>
  <c r="AI114" i="8"/>
  <c r="AF114" i="8"/>
  <c r="AC114" i="8"/>
  <c r="Z114" i="8"/>
  <c r="AI113" i="8"/>
  <c r="AF113" i="8"/>
  <c r="AC113" i="8"/>
  <c r="Z113" i="8"/>
  <c r="AI112" i="8"/>
  <c r="AF112" i="8"/>
  <c r="AC112" i="8"/>
  <c r="Z112" i="8"/>
  <c r="AI111" i="8"/>
  <c r="AF111" i="8"/>
  <c r="AC111" i="8"/>
  <c r="Z111" i="8"/>
  <c r="AI110" i="8"/>
  <c r="AF110" i="8"/>
  <c r="AC110" i="8"/>
  <c r="Z110" i="8"/>
  <c r="AI109" i="8"/>
  <c r="AF109" i="8"/>
  <c r="AC109" i="8"/>
  <c r="Z109" i="8"/>
  <c r="AI108" i="8"/>
  <c r="AF108" i="8"/>
  <c r="AC108" i="8"/>
  <c r="Z108" i="8"/>
  <c r="AI107" i="8"/>
  <c r="AF107" i="8"/>
  <c r="AC107" i="8"/>
  <c r="Z107" i="8"/>
  <c r="AI106" i="8"/>
  <c r="AF106" i="8"/>
  <c r="AC106" i="8"/>
  <c r="Z106" i="8"/>
  <c r="AI105" i="8"/>
  <c r="AF105" i="8"/>
  <c r="AC105" i="8"/>
  <c r="Z105" i="8"/>
  <c r="AI104" i="8"/>
  <c r="AF104" i="8"/>
  <c r="AC104" i="8"/>
  <c r="Z104" i="8"/>
  <c r="AI103" i="8"/>
  <c r="AF103" i="8"/>
  <c r="AC103" i="8"/>
  <c r="Z103" i="8"/>
  <c r="AI102" i="8"/>
  <c r="AF102" i="8"/>
  <c r="AC102" i="8"/>
  <c r="Z102" i="8"/>
  <c r="AI101" i="8"/>
  <c r="AF101" i="8"/>
  <c r="AC101" i="8"/>
  <c r="Z101" i="8"/>
  <c r="AI100" i="8"/>
  <c r="AF100" i="8"/>
  <c r="AC100" i="8"/>
  <c r="Z100" i="8"/>
  <c r="V100" i="8"/>
  <c r="U100" i="8"/>
  <c r="T100" i="8"/>
  <c r="H100" i="8"/>
  <c r="S100" i="8" s="1"/>
  <c r="AI99" i="8"/>
  <c r="AF99" i="8"/>
  <c r="AC99" i="8"/>
  <c r="Z99" i="8"/>
  <c r="AI98" i="8"/>
  <c r="AF98" i="8"/>
  <c r="AC98" i="8"/>
  <c r="Z98" i="8"/>
  <c r="AI97" i="8"/>
  <c r="AF97" i="8"/>
  <c r="AC97" i="8"/>
  <c r="Z97" i="8"/>
  <c r="AI96" i="8"/>
  <c r="AF96" i="8"/>
  <c r="AC96" i="8"/>
  <c r="Z96" i="8"/>
  <c r="AI95" i="8"/>
  <c r="AF95" i="8"/>
  <c r="AC95" i="8"/>
  <c r="Z95" i="8"/>
  <c r="AI94" i="8"/>
  <c r="AF94" i="8"/>
  <c r="AC94" i="8"/>
  <c r="Z94" i="8"/>
  <c r="AI93" i="8"/>
  <c r="AF93" i="8"/>
  <c r="AC93" i="8"/>
  <c r="Z93" i="8"/>
  <c r="AI92" i="8"/>
  <c r="AF92" i="8"/>
  <c r="AC92" i="8"/>
  <c r="Z92" i="8"/>
  <c r="AI91" i="8"/>
  <c r="AF91" i="8"/>
  <c r="AC91" i="8"/>
  <c r="Z91" i="8"/>
  <c r="AI90" i="8"/>
  <c r="AF90" i="8"/>
  <c r="AC90" i="8"/>
  <c r="Z90" i="8"/>
  <c r="AI89" i="8"/>
  <c r="AF89" i="8"/>
  <c r="AC89" i="8"/>
  <c r="Z89" i="8"/>
  <c r="AI88" i="8"/>
  <c r="AF88" i="8"/>
  <c r="AC88" i="8"/>
  <c r="Z88" i="8"/>
  <c r="AI87" i="8"/>
  <c r="AF87" i="8"/>
  <c r="AC87" i="8"/>
  <c r="Z87" i="8"/>
  <c r="AI86" i="8"/>
  <c r="AF86" i="8"/>
  <c r="AC86" i="8"/>
  <c r="Z86" i="8"/>
  <c r="AI85" i="8"/>
  <c r="AF85" i="8"/>
  <c r="AC85" i="8"/>
  <c r="Z85" i="8"/>
  <c r="AI84" i="8"/>
  <c r="AF84" i="8"/>
  <c r="AC84" i="8"/>
  <c r="Z84" i="8"/>
  <c r="AI83" i="8"/>
  <c r="AF83" i="8"/>
  <c r="AC83" i="8"/>
  <c r="Z83" i="8"/>
  <c r="AI82" i="8"/>
  <c r="AF82" i="8"/>
  <c r="AC82" i="8"/>
  <c r="Z82" i="8"/>
  <c r="AI81" i="8"/>
  <c r="AF81" i="8"/>
  <c r="AC81" i="8"/>
  <c r="Z81" i="8"/>
  <c r="AI80" i="8"/>
  <c r="AF80" i="8"/>
  <c r="AC80" i="8"/>
  <c r="Z80" i="8"/>
  <c r="AI79" i="8"/>
  <c r="AF79" i="8"/>
  <c r="AC79" i="8"/>
  <c r="Z79" i="8"/>
  <c r="AI78" i="8"/>
  <c r="AF78" i="8"/>
  <c r="AC78" i="8"/>
  <c r="Z78" i="8"/>
  <c r="AI77" i="8"/>
  <c r="AF77" i="8"/>
  <c r="AC77" i="8"/>
  <c r="Z77" i="8"/>
  <c r="AI76" i="8"/>
  <c r="AF76" i="8"/>
  <c r="AC76" i="8"/>
  <c r="Z76" i="8"/>
  <c r="AI75" i="8"/>
  <c r="AF75" i="8"/>
  <c r="AC75" i="8"/>
  <c r="Z75" i="8"/>
  <c r="AI74" i="8"/>
  <c r="AF74" i="8"/>
  <c r="AC74" i="8"/>
  <c r="Z74" i="8"/>
  <c r="AI73" i="8"/>
  <c r="AF73" i="8"/>
  <c r="AC73" i="8"/>
  <c r="Z73" i="8"/>
  <c r="AI72" i="8"/>
  <c r="AF72" i="8"/>
  <c r="AC72" i="8"/>
  <c r="Z72" i="8"/>
  <c r="AI71" i="8"/>
  <c r="AF71" i="8"/>
  <c r="AC71" i="8"/>
  <c r="Z71" i="8"/>
  <c r="AI70" i="8"/>
  <c r="AF70" i="8"/>
  <c r="AC70" i="8"/>
  <c r="Z70" i="8"/>
  <c r="AI69" i="8"/>
  <c r="AF69" i="8"/>
  <c r="AC69" i="8"/>
  <c r="Z69" i="8"/>
  <c r="AI68" i="8"/>
  <c r="AF68" i="8"/>
  <c r="AC68" i="8"/>
  <c r="Z68" i="8"/>
  <c r="AI67" i="8"/>
  <c r="AF67" i="8"/>
  <c r="AC67" i="8"/>
  <c r="Z67" i="8"/>
  <c r="AI66" i="8"/>
  <c r="AF66" i="8"/>
  <c r="AC66" i="8"/>
  <c r="Z66" i="8"/>
  <c r="AI65" i="8"/>
  <c r="AF65" i="8"/>
  <c r="AC65" i="8"/>
  <c r="Z65" i="8"/>
  <c r="AI64" i="8"/>
  <c r="AF64" i="8"/>
  <c r="AC64" i="8"/>
  <c r="Z64" i="8"/>
  <c r="AI63" i="8"/>
  <c r="AF63" i="8"/>
  <c r="AC63" i="8"/>
  <c r="Z63" i="8"/>
  <c r="AI62" i="8"/>
  <c r="AF62" i="8"/>
  <c r="AC62" i="8"/>
  <c r="Z62" i="8"/>
  <c r="V62" i="8"/>
  <c r="U62" i="8"/>
  <c r="T62" i="8"/>
  <c r="H62" i="8"/>
  <c r="S62" i="8" s="1"/>
  <c r="AI61" i="8"/>
  <c r="AF61" i="8"/>
  <c r="AC61" i="8"/>
  <c r="Z61" i="8"/>
  <c r="AI60" i="8"/>
  <c r="AF60" i="8"/>
  <c r="AC60" i="8"/>
  <c r="Z60" i="8"/>
  <c r="AI59" i="8"/>
  <c r="AF59" i="8"/>
  <c r="AC59" i="8"/>
  <c r="Z59" i="8"/>
  <c r="AI58" i="8"/>
  <c r="AF58" i="8"/>
  <c r="AC58" i="8"/>
  <c r="Z58" i="8"/>
  <c r="AI57" i="8"/>
  <c r="AF57" i="8"/>
  <c r="AC57" i="8"/>
  <c r="Z57" i="8"/>
  <c r="AI56" i="8"/>
  <c r="AF56" i="8"/>
  <c r="AC56" i="8"/>
  <c r="Z56" i="8"/>
  <c r="AI55" i="8"/>
  <c r="AF55" i="8"/>
  <c r="AC55" i="8"/>
  <c r="Z55" i="8"/>
  <c r="AI54" i="8"/>
  <c r="AF54" i="8"/>
  <c r="AC54" i="8"/>
  <c r="Z54" i="8"/>
  <c r="AI53" i="8"/>
  <c r="AF53" i="8"/>
  <c r="AC53" i="8"/>
  <c r="Z53" i="8"/>
  <c r="AI52" i="8"/>
  <c r="AF52" i="8"/>
  <c r="AC52" i="8"/>
  <c r="Z52" i="8"/>
  <c r="AI51" i="8"/>
  <c r="AF51" i="8"/>
  <c r="AC51" i="8"/>
  <c r="Z51" i="8"/>
  <c r="AI50" i="8"/>
  <c r="AF50" i="8"/>
  <c r="AC50" i="8"/>
  <c r="Z50" i="8"/>
  <c r="V50" i="8"/>
  <c r="G50" i="9" s="1"/>
  <c r="V50" i="9" s="1"/>
  <c r="G50" i="10" s="1"/>
  <c r="V50" i="10" s="1"/>
  <c r="G50" i="11" s="1"/>
  <c r="V50" i="11" s="1"/>
  <c r="G50" i="12" s="1"/>
  <c r="V50" i="12" s="1"/>
  <c r="U50" i="8"/>
  <c r="F50" i="9" s="1"/>
  <c r="U50" i="9" s="1"/>
  <c r="F50" i="10" s="1"/>
  <c r="U50" i="10" s="1"/>
  <c r="F50" i="11" s="1"/>
  <c r="U50" i="11" s="1"/>
  <c r="F50" i="12" s="1"/>
  <c r="U50" i="12" s="1"/>
  <c r="T50" i="8"/>
  <c r="H50" i="8"/>
  <c r="S50" i="8" s="1"/>
  <c r="AI49" i="8"/>
  <c r="AF49" i="8"/>
  <c r="AC49" i="8"/>
  <c r="Z49" i="8"/>
  <c r="AI48" i="8"/>
  <c r="AF48" i="8"/>
  <c r="AC48" i="8"/>
  <c r="Z48" i="8"/>
  <c r="AI47" i="8"/>
  <c r="AF47" i="8"/>
  <c r="AC47" i="8"/>
  <c r="Z47" i="8"/>
  <c r="AI46" i="8"/>
  <c r="AF46" i="8"/>
  <c r="AC46" i="8"/>
  <c r="Z46" i="8"/>
  <c r="AI45" i="8"/>
  <c r="AF45" i="8"/>
  <c r="AC45" i="8"/>
  <c r="Z45" i="8"/>
  <c r="AI44" i="8"/>
  <c r="AF44" i="8"/>
  <c r="AC44" i="8"/>
  <c r="Z44" i="8"/>
  <c r="AI43" i="8"/>
  <c r="AF43" i="8"/>
  <c r="AC43" i="8"/>
  <c r="Z43" i="8"/>
  <c r="AI42" i="8"/>
  <c r="AF42" i="8"/>
  <c r="AC42" i="8"/>
  <c r="Z42" i="8"/>
  <c r="AI41" i="8"/>
  <c r="AF41" i="8"/>
  <c r="AC41" i="8"/>
  <c r="Z41" i="8"/>
  <c r="AI40" i="8"/>
  <c r="AF40" i="8"/>
  <c r="AC40" i="8"/>
  <c r="Z40" i="8"/>
  <c r="AI39" i="8"/>
  <c r="AF39" i="8"/>
  <c r="AC39" i="8"/>
  <c r="Z39" i="8"/>
  <c r="AI38" i="8"/>
  <c r="AF38" i="8"/>
  <c r="AC38" i="8"/>
  <c r="Z38" i="8"/>
  <c r="AI37" i="8"/>
  <c r="AF37" i="8"/>
  <c r="AC37" i="8"/>
  <c r="Z37" i="8"/>
  <c r="AI36" i="8"/>
  <c r="AF36" i="8"/>
  <c r="AC36" i="8"/>
  <c r="Z36" i="8"/>
  <c r="AI35" i="8"/>
  <c r="AF35" i="8"/>
  <c r="AC35" i="8"/>
  <c r="Z35" i="8"/>
  <c r="AI34" i="8"/>
  <c r="AF34" i="8"/>
  <c r="AC34" i="8"/>
  <c r="Z34" i="8"/>
  <c r="AI33" i="8"/>
  <c r="AF33" i="8"/>
  <c r="AC33" i="8"/>
  <c r="Z33" i="8"/>
  <c r="AI32" i="8"/>
  <c r="AF32" i="8"/>
  <c r="AC32" i="8"/>
  <c r="Z32" i="8"/>
  <c r="AI31" i="8"/>
  <c r="AF31" i="8"/>
  <c r="AC31" i="8"/>
  <c r="Z31" i="8"/>
  <c r="AI30" i="8"/>
  <c r="AF30" i="8"/>
  <c r="AC30" i="8"/>
  <c r="Z30" i="8"/>
  <c r="AI29" i="8"/>
  <c r="AF29" i="8"/>
  <c r="AC29" i="8"/>
  <c r="Z29" i="8"/>
  <c r="AI28" i="8"/>
  <c r="AF28" i="8"/>
  <c r="AC28" i="8"/>
  <c r="Z28" i="8"/>
  <c r="AI27" i="8"/>
  <c r="AF27" i="8"/>
  <c r="AC27" i="8"/>
  <c r="Z27" i="8"/>
  <c r="AI26" i="8"/>
  <c r="AF26" i="8"/>
  <c r="AC26" i="8"/>
  <c r="Z26" i="8"/>
  <c r="AI25" i="8"/>
  <c r="AF25" i="8"/>
  <c r="AC25" i="8"/>
  <c r="Z25" i="8"/>
  <c r="AI24" i="8"/>
  <c r="AF24" i="8"/>
  <c r="AC24" i="8"/>
  <c r="Z24" i="8"/>
  <c r="AI23" i="8"/>
  <c r="AF23" i="8"/>
  <c r="AC23" i="8"/>
  <c r="Z23" i="8"/>
  <c r="AI22" i="8"/>
  <c r="AF22" i="8"/>
  <c r="AC22" i="8"/>
  <c r="Z22" i="8"/>
  <c r="AI21" i="8"/>
  <c r="AF21" i="8"/>
  <c r="AC21" i="8"/>
  <c r="Z21" i="8"/>
  <c r="AI20" i="8"/>
  <c r="AF20" i="8"/>
  <c r="AC20" i="8"/>
  <c r="Z20" i="8"/>
  <c r="AI19" i="8"/>
  <c r="AF19" i="8"/>
  <c r="AC19" i="8"/>
  <c r="Z19" i="8"/>
  <c r="AI18" i="8"/>
  <c r="AF18" i="8"/>
  <c r="AC18" i="8"/>
  <c r="Z18" i="8"/>
  <c r="AI17" i="8"/>
  <c r="AF17" i="8"/>
  <c r="AC17" i="8"/>
  <c r="Z17" i="8"/>
  <c r="AI16" i="8"/>
  <c r="AF16" i="8"/>
  <c r="AC16" i="8"/>
  <c r="Z16" i="8"/>
  <c r="AI15" i="8"/>
  <c r="AF15" i="8"/>
  <c r="AC15" i="8"/>
  <c r="Z15" i="8"/>
  <c r="AI14" i="8"/>
  <c r="AF14" i="8"/>
  <c r="AC14" i="8"/>
  <c r="Z14" i="8"/>
  <c r="AI13" i="8"/>
  <c r="AF13" i="8"/>
  <c r="AC13" i="8"/>
  <c r="Z13" i="8"/>
  <c r="AI12" i="8"/>
  <c r="AF12" i="8"/>
  <c r="AC12" i="8"/>
  <c r="Z12" i="8"/>
  <c r="AI11" i="8"/>
  <c r="AF11" i="8"/>
  <c r="AC11" i="8"/>
  <c r="Z11" i="8"/>
  <c r="AI10" i="8"/>
  <c r="AF10" i="8"/>
  <c r="AC10" i="8"/>
  <c r="Z10" i="8"/>
  <c r="AI9" i="8"/>
  <c r="AF9" i="8"/>
  <c r="AC9" i="8"/>
  <c r="Z9" i="8"/>
  <c r="AI8" i="8"/>
  <c r="AF8" i="8"/>
  <c r="AC8" i="8"/>
  <c r="Z8" i="8"/>
  <c r="AI7" i="8"/>
  <c r="AF7" i="8"/>
  <c r="AC7" i="8"/>
  <c r="Z7" i="8"/>
  <c r="AI6" i="8"/>
  <c r="AF6" i="8"/>
  <c r="AC6" i="8"/>
  <c r="Z6" i="8"/>
  <c r="AI5" i="8"/>
  <c r="AF5" i="8"/>
  <c r="AC5" i="8"/>
  <c r="Z5" i="8"/>
  <c r="AI4" i="8"/>
  <c r="AF4" i="8"/>
  <c r="AC4" i="8"/>
  <c r="Z4" i="8"/>
  <c r="AI3" i="8"/>
  <c r="AF3" i="8"/>
  <c r="AC3" i="8"/>
  <c r="Z3" i="8"/>
  <c r="V3" i="8"/>
  <c r="U3" i="8"/>
  <c r="T3" i="8"/>
  <c r="H3" i="8"/>
  <c r="S3" i="8" s="1"/>
  <c r="AI199" i="7"/>
  <c r="AF199" i="7"/>
  <c r="AC199" i="7"/>
  <c r="Z199" i="7"/>
  <c r="AI198" i="7"/>
  <c r="AF198" i="7"/>
  <c r="AC198" i="7"/>
  <c r="Z198" i="7"/>
  <c r="AI197" i="7"/>
  <c r="AF197" i="7"/>
  <c r="AC197" i="7"/>
  <c r="Z197" i="7"/>
  <c r="AI196" i="7"/>
  <c r="AF196" i="7"/>
  <c r="AC196" i="7"/>
  <c r="Z196" i="7"/>
  <c r="AI195" i="7"/>
  <c r="AF195" i="7"/>
  <c r="AC195" i="7"/>
  <c r="Z195" i="7"/>
  <c r="AI194" i="7"/>
  <c r="AF194" i="7"/>
  <c r="AC194" i="7"/>
  <c r="Z194" i="7"/>
  <c r="V194" i="7"/>
  <c r="U194" i="7"/>
  <c r="T194" i="7"/>
  <c r="H194" i="7"/>
  <c r="S194" i="7" s="1"/>
  <c r="AI193" i="7"/>
  <c r="AF193" i="7"/>
  <c r="AC193" i="7"/>
  <c r="Z193" i="7"/>
  <c r="AI192" i="7"/>
  <c r="AF192" i="7"/>
  <c r="AC192" i="7"/>
  <c r="Z192" i="7"/>
  <c r="AI191" i="7"/>
  <c r="AF191" i="7"/>
  <c r="AC191" i="7"/>
  <c r="Z191" i="7"/>
  <c r="V191" i="7"/>
  <c r="U191" i="7"/>
  <c r="T191" i="7"/>
  <c r="H191" i="7"/>
  <c r="S191" i="7" s="1"/>
  <c r="AI190" i="7"/>
  <c r="AF190" i="7"/>
  <c r="AC190" i="7"/>
  <c r="Z190" i="7"/>
  <c r="AI189" i="7"/>
  <c r="AF189" i="7"/>
  <c r="AC189" i="7"/>
  <c r="Z189" i="7"/>
  <c r="AI188" i="7"/>
  <c r="AF188" i="7"/>
  <c r="AC188" i="7"/>
  <c r="Z188" i="7"/>
  <c r="AI187" i="7"/>
  <c r="AF187" i="7"/>
  <c r="AC187" i="7"/>
  <c r="Z187" i="7"/>
  <c r="AI186" i="7"/>
  <c r="AF186" i="7"/>
  <c r="AC186" i="7"/>
  <c r="Z186" i="7"/>
  <c r="AI185" i="7"/>
  <c r="AF185" i="7"/>
  <c r="AC185" i="7"/>
  <c r="Z185" i="7"/>
  <c r="AI184" i="7"/>
  <c r="AF184" i="7"/>
  <c r="AC184" i="7"/>
  <c r="Z184" i="7"/>
  <c r="AI183" i="7"/>
  <c r="AF183" i="7"/>
  <c r="AC183" i="7"/>
  <c r="Z183" i="7"/>
  <c r="AI182" i="7"/>
  <c r="AF182" i="7"/>
  <c r="AC182" i="7"/>
  <c r="Z182" i="7"/>
  <c r="AI181" i="7"/>
  <c r="AF181" i="7"/>
  <c r="AC181" i="7"/>
  <c r="Z181" i="7"/>
  <c r="AI180" i="7"/>
  <c r="AF180" i="7"/>
  <c r="AC180" i="7"/>
  <c r="Z180" i="7"/>
  <c r="AI179" i="7"/>
  <c r="AF179" i="7"/>
  <c r="AC179" i="7"/>
  <c r="Z179" i="7"/>
  <c r="AI178" i="7"/>
  <c r="AF178" i="7"/>
  <c r="AC178" i="7"/>
  <c r="Z178" i="7"/>
  <c r="AI177" i="7"/>
  <c r="AF177" i="7"/>
  <c r="AC177" i="7"/>
  <c r="Z177" i="7"/>
  <c r="AI176" i="7"/>
  <c r="AF176" i="7"/>
  <c r="AC176" i="7"/>
  <c r="Z176" i="7"/>
  <c r="AI175" i="7"/>
  <c r="AF175" i="7"/>
  <c r="AC175" i="7"/>
  <c r="Z175" i="7"/>
  <c r="AI174" i="7"/>
  <c r="AF174" i="7"/>
  <c r="AC174" i="7"/>
  <c r="Z174" i="7"/>
  <c r="AI173" i="7"/>
  <c r="AF173" i="7"/>
  <c r="AC173" i="7"/>
  <c r="Z173" i="7"/>
  <c r="AI172" i="7"/>
  <c r="AF172" i="7"/>
  <c r="AC172" i="7"/>
  <c r="Z172" i="7"/>
  <c r="AI171" i="7"/>
  <c r="AF171" i="7"/>
  <c r="AC171" i="7"/>
  <c r="Z171" i="7"/>
  <c r="AI170" i="7"/>
  <c r="AF170" i="7"/>
  <c r="AC170" i="7"/>
  <c r="Z170" i="7"/>
  <c r="AI169" i="7"/>
  <c r="AF169" i="7"/>
  <c r="AC169" i="7"/>
  <c r="Z169" i="7"/>
  <c r="AI168" i="7"/>
  <c r="AF168" i="7"/>
  <c r="AC168" i="7"/>
  <c r="Z168" i="7"/>
  <c r="AI167" i="7"/>
  <c r="AF167" i="7"/>
  <c r="AC167" i="7"/>
  <c r="Z167" i="7"/>
  <c r="AI166" i="7"/>
  <c r="AF166" i="7"/>
  <c r="AC166" i="7"/>
  <c r="Z166" i="7"/>
  <c r="AI165" i="7"/>
  <c r="AF165" i="7"/>
  <c r="AC165" i="7"/>
  <c r="Z165" i="7"/>
  <c r="AI164" i="7"/>
  <c r="AF164" i="7"/>
  <c r="AC164" i="7"/>
  <c r="Z164" i="7"/>
  <c r="AI163" i="7"/>
  <c r="AF163" i="7"/>
  <c r="AC163" i="7"/>
  <c r="Z163" i="7"/>
  <c r="AI162" i="7"/>
  <c r="AF162" i="7"/>
  <c r="AC162" i="7"/>
  <c r="Z162" i="7"/>
  <c r="AI161" i="7"/>
  <c r="AF161" i="7"/>
  <c r="AC161" i="7"/>
  <c r="Z161" i="7"/>
  <c r="AI160" i="7"/>
  <c r="AF160" i="7"/>
  <c r="AC160" i="7"/>
  <c r="Z160" i="7"/>
  <c r="AI159" i="7"/>
  <c r="AF159" i="7"/>
  <c r="AC159" i="7"/>
  <c r="Z159" i="7"/>
  <c r="AI158" i="7"/>
  <c r="AF158" i="7"/>
  <c r="AC158" i="7"/>
  <c r="Z158" i="7"/>
  <c r="AI157" i="7"/>
  <c r="AF157" i="7"/>
  <c r="AC157" i="7"/>
  <c r="Z157" i="7"/>
  <c r="AI156" i="7"/>
  <c r="AF156" i="7"/>
  <c r="AC156" i="7"/>
  <c r="Z156" i="7"/>
  <c r="AI155" i="7"/>
  <c r="AF155" i="7"/>
  <c r="AC155" i="7"/>
  <c r="Z155" i="7"/>
  <c r="V155" i="7"/>
  <c r="U155" i="7"/>
  <c r="T155" i="7"/>
  <c r="H155" i="7"/>
  <c r="S155" i="7" s="1"/>
  <c r="AI154" i="7"/>
  <c r="AF154" i="7"/>
  <c r="AC154" i="7"/>
  <c r="Z154" i="7"/>
  <c r="AI153" i="7"/>
  <c r="AF153" i="7"/>
  <c r="AC153" i="7"/>
  <c r="Z153" i="7"/>
  <c r="AI152" i="7"/>
  <c r="AF152" i="7"/>
  <c r="AC152" i="7"/>
  <c r="Z152" i="7"/>
  <c r="AI151" i="7"/>
  <c r="AF151" i="7"/>
  <c r="AC151" i="7"/>
  <c r="Z151" i="7"/>
  <c r="AI150" i="7"/>
  <c r="AF150" i="7"/>
  <c r="AC150" i="7"/>
  <c r="Z150" i="7"/>
  <c r="AI149" i="7"/>
  <c r="AF149" i="7"/>
  <c r="AC149" i="7"/>
  <c r="Z149" i="7"/>
  <c r="AI148" i="7"/>
  <c r="AF148" i="7"/>
  <c r="AC148" i="7"/>
  <c r="Z148" i="7"/>
  <c r="AI147" i="7"/>
  <c r="AF147" i="7"/>
  <c r="AC147" i="7"/>
  <c r="Z147" i="7"/>
  <c r="AI146" i="7"/>
  <c r="AF146" i="7"/>
  <c r="AC146" i="7"/>
  <c r="Z146" i="7"/>
  <c r="AI145" i="7"/>
  <c r="AF145" i="7"/>
  <c r="AC145" i="7"/>
  <c r="Z145" i="7"/>
  <c r="AI144" i="7"/>
  <c r="AF144" i="7"/>
  <c r="AC144" i="7"/>
  <c r="Z144" i="7"/>
  <c r="AI143" i="7"/>
  <c r="AF143" i="7"/>
  <c r="AC143" i="7"/>
  <c r="Z143" i="7"/>
  <c r="AI142" i="7"/>
  <c r="AF142" i="7"/>
  <c r="AC142" i="7"/>
  <c r="Z142" i="7"/>
  <c r="AI141" i="7"/>
  <c r="AF141" i="7"/>
  <c r="AC141" i="7"/>
  <c r="Z141" i="7"/>
  <c r="AI140" i="7"/>
  <c r="AF140" i="7"/>
  <c r="AC140" i="7"/>
  <c r="Z140" i="7"/>
  <c r="AI139" i="7"/>
  <c r="AF139" i="7"/>
  <c r="AC139" i="7"/>
  <c r="Z139" i="7"/>
  <c r="AI138" i="7"/>
  <c r="AF138" i="7"/>
  <c r="AC138" i="7"/>
  <c r="Z138" i="7"/>
  <c r="AI137" i="7"/>
  <c r="AF137" i="7"/>
  <c r="AC137" i="7"/>
  <c r="Z137" i="7"/>
  <c r="AI136" i="7"/>
  <c r="AF136" i="7"/>
  <c r="AC136" i="7"/>
  <c r="Z136" i="7"/>
  <c r="AI135" i="7"/>
  <c r="AF135" i="7"/>
  <c r="AC135" i="7"/>
  <c r="Z135" i="7"/>
  <c r="AI134" i="7"/>
  <c r="AF134" i="7"/>
  <c r="AC134" i="7"/>
  <c r="Z134" i="7"/>
  <c r="V134" i="7"/>
  <c r="U134" i="7"/>
  <c r="T134" i="7"/>
  <c r="H134" i="7"/>
  <c r="S134" i="7" s="1"/>
  <c r="AI133" i="7"/>
  <c r="AF133" i="7"/>
  <c r="AC133" i="7"/>
  <c r="Z133" i="7"/>
  <c r="AI132" i="7"/>
  <c r="AF132" i="7"/>
  <c r="AC132" i="7"/>
  <c r="Z132" i="7"/>
  <c r="AI131" i="7"/>
  <c r="AF131" i="7"/>
  <c r="AC131" i="7"/>
  <c r="Z131" i="7"/>
  <c r="AI130" i="7"/>
  <c r="AF130" i="7"/>
  <c r="AC130" i="7"/>
  <c r="Z130" i="7"/>
  <c r="AI129" i="7"/>
  <c r="AF129" i="7"/>
  <c r="AC129" i="7"/>
  <c r="Z129" i="7"/>
  <c r="AI128" i="7"/>
  <c r="AF128" i="7"/>
  <c r="AC128" i="7"/>
  <c r="Z128" i="7"/>
  <c r="V128" i="7"/>
  <c r="U128" i="7"/>
  <c r="T128" i="7"/>
  <c r="H128" i="7"/>
  <c r="S128" i="7" s="1"/>
  <c r="AI127" i="7"/>
  <c r="AF127" i="7"/>
  <c r="AC127" i="7"/>
  <c r="Z127" i="7"/>
  <c r="AI126" i="7"/>
  <c r="AF126" i="7"/>
  <c r="AC126" i="7"/>
  <c r="Z126" i="7"/>
  <c r="AI125" i="7"/>
  <c r="AF125" i="7"/>
  <c r="AC125" i="7"/>
  <c r="Z125" i="7"/>
  <c r="AI124" i="7"/>
  <c r="AF124" i="7"/>
  <c r="AC124" i="7"/>
  <c r="Z124" i="7"/>
  <c r="AI123" i="7"/>
  <c r="AF123" i="7"/>
  <c r="AC123" i="7"/>
  <c r="Z123" i="7"/>
  <c r="AI122" i="7"/>
  <c r="AF122" i="7"/>
  <c r="AC122" i="7"/>
  <c r="Z122" i="7"/>
  <c r="AI121" i="7"/>
  <c r="AF121" i="7"/>
  <c r="AC121" i="7"/>
  <c r="Z121" i="7"/>
  <c r="AI120" i="7"/>
  <c r="AF120" i="7"/>
  <c r="AC120" i="7"/>
  <c r="Z120" i="7"/>
  <c r="AI119" i="7"/>
  <c r="AF119" i="7"/>
  <c r="AC119" i="7"/>
  <c r="Z119" i="7"/>
  <c r="AI118" i="7"/>
  <c r="AF118" i="7"/>
  <c r="AC118" i="7"/>
  <c r="Z118" i="7"/>
  <c r="AI117" i="7"/>
  <c r="AF117" i="7"/>
  <c r="AC117" i="7"/>
  <c r="Z117" i="7"/>
  <c r="AI116" i="7"/>
  <c r="AF116" i="7"/>
  <c r="AC116" i="7"/>
  <c r="Z116" i="7"/>
  <c r="AI115" i="7"/>
  <c r="AF115" i="7"/>
  <c r="AC115" i="7"/>
  <c r="Z115" i="7"/>
  <c r="AI114" i="7"/>
  <c r="AF114" i="7"/>
  <c r="AC114" i="7"/>
  <c r="Z114" i="7"/>
  <c r="AI113" i="7"/>
  <c r="AF113" i="7"/>
  <c r="AC113" i="7"/>
  <c r="Z113" i="7"/>
  <c r="AI112" i="7"/>
  <c r="AF112" i="7"/>
  <c r="AC112" i="7"/>
  <c r="Z112" i="7"/>
  <c r="AI111" i="7"/>
  <c r="AF111" i="7"/>
  <c r="AC111" i="7"/>
  <c r="Z111" i="7"/>
  <c r="AI110" i="7"/>
  <c r="AF110" i="7"/>
  <c r="AC110" i="7"/>
  <c r="Z110" i="7"/>
  <c r="AI109" i="7"/>
  <c r="AF109" i="7"/>
  <c r="AC109" i="7"/>
  <c r="Z109" i="7"/>
  <c r="AI108" i="7"/>
  <c r="AF108" i="7"/>
  <c r="AC108" i="7"/>
  <c r="Z108" i="7"/>
  <c r="AI107" i="7"/>
  <c r="AF107" i="7"/>
  <c r="AC107" i="7"/>
  <c r="Z107" i="7"/>
  <c r="AI106" i="7"/>
  <c r="AF106" i="7"/>
  <c r="AC106" i="7"/>
  <c r="Z106" i="7"/>
  <c r="AI105" i="7"/>
  <c r="AF105" i="7"/>
  <c r="AC105" i="7"/>
  <c r="Z105" i="7"/>
  <c r="AI104" i="7"/>
  <c r="AF104" i="7"/>
  <c r="AC104" i="7"/>
  <c r="Z104" i="7"/>
  <c r="V104" i="7"/>
  <c r="G104" i="8" s="1"/>
  <c r="V104" i="8" s="1"/>
  <c r="G104" i="9" s="1"/>
  <c r="V104" i="9" s="1"/>
  <c r="G104" i="10" s="1"/>
  <c r="V104" i="10" s="1"/>
  <c r="G104" i="11" s="1"/>
  <c r="V104" i="11" s="1"/>
  <c r="G104" i="12" s="1"/>
  <c r="V104" i="12" s="1"/>
  <c r="U104" i="7"/>
  <c r="F104" i="8" s="1"/>
  <c r="U104" i="8" s="1"/>
  <c r="F104" i="9" s="1"/>
  <c r="U104" i="9" s="1"/>
  <c r="F104" i="10" s="1"/>
  <c r="U104" i="10" s="1"/>
  <c r="F104" i="11" s="1"/>
  <c r="U104" i="11" s="1"/>
  <c r="F104" i="12" s="1"/>
  <c r="U104" i="12" s="1"/>
  <c r="F164" i="20" s="1" a="1"/>
  <c r="F164" i="20" s="1"/>
  <c r="Z164" i="20" s="1"/>
  <c r="F165" i="13" s="1" a="1"/>
  <c r="F165" i="13" s="1"/>
  <c r="T104" i="7"/>
  <c r="E104" i="8" s="1"/>
  <c r="H104" i="7"/>
  <c r="S104" i="7" s="1"/>
  <c r="AI103" i="7"/>
  <c r="AF103" i="7"/>
  <c r="AC103" i="7"/>
  <c r="Z103" i="7"/>
  <c r="AI102" i="7"/>
  <c r="AF102" i="7"/>
  <c r="AC102" i="7"/>
  <c r="Z102" i="7"/>
  <c r="AI101" i="7"/>
  <c r="AF101" i="7"/>
  <c r="AC101" i="7"/>
  <c r="Z101" i="7"/>
  <c r="AI100" i="7"/>
  <c r="AF100" i="7"/>
  <c r="AC100" i="7"/>
  <c r="Z100" i="7"/>
  <c r="V100" i="7"/>
  <c r="U100" i="7"/>
  <c r="T100" i="7"/>
  <c r="H100" i="7"/>
  <c r="S100" i="7" s="1"/>
  <c r="AI99" i="7"/>
  <c r="AF99" i="7"/>
  <c r="AC99" i="7"/>
  <c r="Z99" i="7"/>
  <c r="AI98" i="7"/>
  <c r="AF98" i="7"/>
  <c r="AC98" i="7"/>
  <c r="Z98" i="7"/>
  <c r="AI97" i="7"/>
  <c r="AF97" i="7"/>
  <c r="AC97" i="7"/>
  <c r="Z97" i="7"/>
  <c r="AI96" i="7"/>
  <c r="AF96" i="7"/>
  <c r="AC96" i="7"/>
  <c r="Z96" i="7"/>
  <c r="AI95" i="7"/>
  <c r="AF95" i="7"/>
  <c r="AC95" i="7"/>
  <c r="Z95" i="7"/>
  <c r="AI94" i="7"/>
  <c r="AF94" i="7"/>
  <c r="AC94" i="7"/>
  <c r="Z94" i="7"/>
  <c r="AI93" i="7"/>
  <c r="AF93" i="7"/>
  <c r="AC93" i="7"/>
  <c r="Z93" i="7"/>
  <c r="AI92" i="7"/>
  <c r="AF92" i="7"/>
  <c r="AC92" i="7"/>
  <c r="Z92" i="7"/>
  <c r="AI91" i="7"/>
  <c r="AF91" i="7"/>
  <c r="AC91" i="7"/>
  <c r="Z91" i="7"/>
  <c r="AI90" i="7"/>
  <c r="AF90" i="7"/>
  <c r="AC90" i="7"/>
  <c r="Z90" i="7"/>
  <c r="AI89" i="7"/>
  <c r="AF89" i="7"/>
  <c r="AC89" i="7"/>
  <c r="Z89" i="7"/>
  <c r="AI88" i="7"/>
  <c r="AF88" i="7"/>
  <c r="AC88" i="7"/>
  <c r="Z88" i="7"/>
  <c r="AI87" i="7"/>
  <c r="AF87" i="7"/>
  <c r="AC87" i="7"/>
  <c r="Z87" i="7"/>
  <c r="AI86" i="7"/>
  <c r="AF86" i="7"/>
  <c r="AC86" i="7"/>
  <c r="Z86" i="7"/>
  <c r="AI85" i="7"/>
  <c r="AF85" i="7"/>
  <c r="AC85" i="7"/>
  <c r="Z85" i="7"/>
  <c r="AI84" i="7"/>
  <c r="AF84" i="7"/>
  <c r="AC84" i="7"/>
  <c r="Z84" i="7"/>
  <c r="AI83" i="7"/>
  <c r="AF83" i="7"/>
  <c r="AC83" i="7"/>
  <c r="Z83" i="7"/>
  <c r="AI82" i="7"/>
  <c r="AF82" i="7"/>
  <c r="AC82" i="7"/>
  <c r="Z82" i="7"/>
  <c r="AI81" i="7"/>
  <c r="AF81" i="7"/>
  <c r="AC81" i="7"/>
  <c r="Z81" i="7"/>
  <c r="AI80" i="7"/>
  <c r="AF80" i="7"/>
  <c r="AC80" i="7"/>
  <c r="Z80" i="7"/>
  <c r="AI79" i="7"/>
  <c r="AF79" i="7"/>
  <c r="AC79" i="7"/>
  <c r="Z79" i="7"/>
  <c r="AI78" i="7"/>
  <c r="AF78" i="7"/>
  <c r="AC78" i="7"/>
  <c r="Z78" i="7"/>
  <c r="AI77" i="7"/>
  <c r="AF77" i="7"/>
  <c r="AC77" i="7"/>
  <c r="Z77" i="7"/>
  <c r="AI76" i="7"/>
  <c r="AF76" i="7"/>
  <c r="AC76" i="7"/>
  <c r="Z76" i="7"/>
  <c r="AI75" i="7"/>
  <c r="AF75" i="7"/>
  <c r="AC75" i="7"/>
  <c r="Z75" i="7"/>
  <c r="AI74" i="7"/>
  <c r="AF74" i="7"/>
  <c r="AC74" i="7"/>
  <c r="Z74" i="7"/>
  <c r="AI73" i="7"/>
  <c r="AF73" i="7"/>
  <c r="AC73" i="7"/>
  <c r="Z73" i="7"/>
  <c r="AI72" i="7"/>
  <c r="AF72" i="7"/>
  <c r="AC72" i="7"/>
  <c r="Z72" i="7"/>
  <c r="AI71" i="7"/>
  <c r="AF71" i="7"/>
  <c r="AC71" i="7"/>
  <c r="Z71" i="7"/>
  <c r="AI70" i="7"/>
  <c r="AF70" i="7"/>
  <c r="AC70" i="7"/>
  <c r="Z70" i="7"/>
  <c r="AI69" i="7"/>
  <c r="AF69" i="7"/>
  <c r="AC69" i="7"/>
  <c r="Z69" i="7"/>
  <c r="AI68" i="7"/>
  <c r="AF68" i="7"/>
  <c r="AC68" i="7"/>
  <c r="Z68" i="7"/>
  <c r="AI67" i="7"/>
  <c r="AF67" i="7"/>
  <c r="AC67" i="7"/>
  <c r="Z67" i="7"/>
  <c r="AI66" i="7"/>
  <c r="AF66" i="7"/>
  <c r="AC66" i="7"/>
  <c r="Z66" i="7"/>
  <c r="AI65" i="7"/>
  <c r="AF65" i="7"/>
  <c r="AC65" i="7"/>
  <c r="Z65" i="7"/>
  <c r="AI64" i="7"/>
  <c r="AF64" i="7"/>
  <c r="AC64" i="7"/>
  <c r="Z64" i="7"/>
  <c r="AI63" i="7"/>
  <c r="AF63" i="7"/>
  <c r="AC63" i="7"/>
  <c r="Z63" i="7"/>
  <c r="AI62" i="7"/>
  <c r="AF62" i="7"/>
  <c r="AC62" i="7"/>
  <c r="Z62" i="7"/>
  <c r="V62" i="7"/>
  <c r="U62" i="7"/>
  <c r="T62" i="7"/>
  <c r="H62" i="7"/>
  <c r="S62" i="7" s="1"/>
  <c r="AI61" i="7"/>
  <c r="AF61" i="7"/>
  <c r="AC61" i="7"/>
  <c r="Z61" i="7"/>
  <c r="AI60" i="7"/>
  <c r="AF60" i="7"/>
  <c r="AC60" i="7"/>
  <c r="Z60" i="7"/>
  <c r="AI59" i="7"/>
  <c r="AF59" i="7"/>
  <c r="AC59" i="7"/>
  <c r="Z59" i="7"/>
  <c r="AI58" i="7"/>
  <c r="AF58" i="7"/>
  <c r="AC58" i="7"/>
  <c r="Z58" i="7"/>
  <c r="AI57" i="7"/>
  <c r="AF57" i="7"/>
  <c r="AC57" i="7"/>
  <c r="Z57" i="7"/>
  <c r="AI56" i="7"/>
  <c r="AF56" i="7"/>
  <c r="AC56" i="7"/>
  <c r="Z56" i="7"/>
  <c r="AI55" i="7"/>
  <c r="AF55" i="7"/>
  <c r="AC55" i="7"/>
  <c r="Z55" i="7"/>
  <c r="AI54" i="7"/>
  <c r="AF54" i="7"/>
  <c r="AC54" i="7"/>
  <c r="Z54" i="7"/>
  <c r="AI53" i="7"/>
  <c r="AF53" i="7"/>
  <c r="AC53" i="7"/>
  <c r="Z53" i="7"/>
  <c r="AI52" i="7"/>
  <c r="AF52" i="7"/>
  <c r="AC52" i="7"/>
  <c r="Z52" i="7"/>
  <c r="AI51" i="7"/>
  <c r="AF51" i="7"/>
  <c r="AC51" i="7"/>
  <c r="Z51" i="7"/>
  <c r="AI50" i="7"/>
  <c r="AF50" i="7"/>
  <c r="AC50" i="7"/>
  <c r="Z50" i="7"/>
  <c r="V50" i="7"/>
  <c r="U50" i="7"/>
  <c r="T50" i="7"/>
  <c r="H50" i="7"/>
  <c r="S50" i="7" s="1"/>
  <c r="AI49" i="7"/>
  <c r="AF49" i="7"/>
  <c r="AC49" i="7"/>
  <c r="Z49" i="7"/>
  <c r="AI48" i="7"/>
  <c r="AF48" i="7"/>
  <c r="AC48" i="7"/>
  <c r="Z48" i="7"/>
  <c r="AI47" i="7"/>
  <c r="AF47" i="7"/>
  <c r="AC47" i="7"/>
  <c r="Z47" i="7"/>
  <c r="AI46" i="7"/>
  <c r="AF46" i="7"/>
  <c r="AC46" i="7"/>
  <c r="Z46" i="7"/>
  <c r="AI45" i="7"/>
  <c r="AF45" i="7"/>
  <c r="AC45" i="7"/>
  <c r="Z45" i="7"/>
  <c r="AI44" i="7"/>
  <c r="AF44" i="7"/>
  <c r="AC44" i="7"/>
  <c r="Z44" i="7"/>
  <c r="AI43" i="7"/>
  <c r="AF43" i="7"/>
  <c r="AC43" i="7"/>
  <c r="Z43" i="7"/>
  <c r="AI42" i="7"/>
  <c r="AF42" i="7"/>
  <c r="AC42" i="7"/>
  <c r="Z42" i="7"/>
  <c r="AI41" i="7"/>
  <c r="AF41" i="7"/>
  <c r="AC41" i="7"/>
  <c r="Z41" i="7"/>
  <c r="AI40" i="7"/>
  <c r="AF40" i="7"/>
  <c r="AC40" i="7"/>
  <c r="Z40" i="7"/>
  <c r="AI39" i="7"/>
  <c r="AF39" i="7"/>
  <c r="AC39" i="7"/>
  <c r="Z39" i="7"/>
  <c r="AI38" i="7"/>
  <c r="AF38" i="7"/>
  <c r="AC38" i="7"/>
  <c r="Z38" i="7"/>
  <c r="AI37" i="7"/>
  <c r="AF37" i="7"/>
  <c r="AC37" i="7"/>
  <c r="Z37" i="7"/>
  <c r="AI36" i="7"/>
  <c r="AF36" i="7"/>
  <c r="AC36" i="7"/>
  <c r="Z36" i="7"/>
  <c r="AI35" i="7"/>
  <c r="AF35" i="7"/>
  <c r="AC35" i="7"/>
  <c r="Z35" i="7"/>
  <c r="AI34" i="7"/>
  <c r="AF34" i="7"/>
  <c r="AC34" i="7"/>
  <c r="Z34" i="7"/>
  <c r="AI33" i="7"/>
  <c r="AF33" i="7"/>
  <c r="AC33" i="7"/>
  <c r="Z33" i="7"/>
  <c r="AI32" i="7"/>
  <c r="AF32" i="7"/>
  <c r="AC32" i="7"/>
  <c r="Z32" i="7"/>
  <c r="AI31" i="7"/>
  <c r="AF31" i="7"/>
  <c r="AC31" i="7"/>
  <c r="Z31" i="7"/>
  <c r="AI30" i="7"/>
  <c r="AF30" i="7"/>
  <c r="AC30" i="7"/>
  <c r="Z30" i="7"/>
  <c r="AI29" i="7"/>
  <c r="AF29" i="7"/>
  <c r="AC29" i="7"/>
  <c r="Z29" i="7"/>
  <c r="AI28" i="7"/>
  <c r="AF28" i="7"/>
  <c r="AC28" i="7"/>
  <c r="Z28" i="7"/>
  <c r="AI27" i="7"/>
  <c r="AF27" i="7"/>
  <c r="AC27" i="7"/>
  <c r="Z27" i="7"/>
  <c r="AI26" i="7"/>
  <c r="AF26" i="7"/>
  <c r="AC26" i="7"/>
  <c r="Z26" i="7"/>
  <c r="AI25" i="7"/>
  <c r="AF25" i="7"/>
  <c r="AC25" i="7"/>
  <c r="Z25" i="7"/>
  <c r="AI24" i="7"/>
  <c r="AF24" i="7"/>
  <c r="AC24" i="7"/>
  <c r="Z24" i="7"/>
  <c r="AI23" i="7"/>
  <c r="AF23" i="7"/>
  <c r="AC23" i="7"/>
  <c r="Z23" i="7"/>
  <c r="AI22" i="7"/>
  <c r="AF22" i="7"/>
  <c r="AC22" i="7"/>
  <c r="Z22" i="7"/>
  <c r="AI21" i="7"/>
  <c r="AF21" i="7"/>
  <c r="AC21" i="7"/>
  <c r="Z21" i="7"/>
  <c r="AI20" i="7"/>
  <c r="AF20" i="7"/>
  <c r="AC20" i="7"/>
  <c r="Z20" i="7"/>
  <c r="AI19" i="7"/>
  <c r="AF19" i="7"/>
  <c r="AC19" i="7"/>
  <c r="Z19" i="7"/>
  <c r="AI18" i="7"/>
  <c r="AF18" i="7"/>
  <c r="AC18" i="7"/>
  <c r="Z18" i="7"/>
  <c r="AI17" i="7"/>
  <c r="AF17" i="7"/>
  <c r="AC17" i="7"/>
  <c r="Z17" i="7"/>
  <c r="AI16" i="7"/>
  <c r="AF16" i="7"/>
  <c r="AC16" i="7"/>
  <c r="Z16" i="7"/>
  <c r="AI15" i="7"/>
  <c r="AF15" i="7"/>
  <c r="AC15" i="7"/>
  <c r="Z15" i="7"/>
  <c r="AI14" i="7"/>
  <c r="AF14" i="7"/>
  <c r="AC14" i="7"/>
  <c r="Z14" i="7"/>
  <c r="AI13" i="7"/>
  <c r="AF13" i="7"/>
  <c r="AC13" i="7"/>
  <c r="Z13" i="7"/>
  <c r="AI12" i="7"/>
  <c r="AF12" i="7"/>
  <c r="AC12" i="7"/>
  <c r="Z12" i="7"/>
  <c r="AI11" i="7"/>
  <c r="AF11" i="7"/>
  <c r="AC11" i="7"/>
  <c r="Z11" i="7"/>
  <c r="AI10" i="7"/>
  <c r="AF10" i="7"/>
  <c r="AC10" i="7"/>
  <c r="Z10" i="7"/>
  <c r="AI9" i="7"/>
  <c r="AF9" i="7"/>
  <c r="AC9" i="7"/>
  <c r="Z9" i="7"/>
  <c r="AI8" i="7"/>
  <c r="AF8" i="7"/>
  <c r="AC8" i="7"/>
  <c r="Z8" i="7"/>
  <c r="AI7" i="7"/>
  <c r="AF7" i="7"/>
  <c r="AC7" i="7"/>
  <c r="Z7" i="7"/>
  <c r="AI6" i="7"/>
  <c r="AF6" i="7"/>
  <c r="AC6" i="7"/>
  <c r="Z6" i="7"/>
  <c r="AI5" i="7"/>
  <c r="AF5" i="7"/>
  <c r="AC5" i="7"/>
  <c r="Z5" i="7"/>
  <c r="AI4" i="7"/>
  <c r="AF4" i="7"/>
  <c r="AC4" i="7"/>
  <c r="Z4" i="7"/>
  <c r="AI3" i="7"/>
  <c r="AF3" i="7"/>
  <c r="AC3" i="7"/>
  <c r="Z3" i="7"/>
  <c r="V3" i="7"/>
  <c r="U3" i="7"/>
  <c r="T3" i="7"/>
  <c r="H3" i="7"/>
  <c r="S3" i="7" s="1"/>
  <c r="AI199" i="6"/>
  <c r="AF199" i="6"/>
  <c r="AC199" i="6"/>
  <c r="Z199" i="6"/>
  <c r="V199" i="6"/>
  <c r="G199" i="7" s="1"/>
  <c r="V199" i="7" s="1"/>
  <c r="G199" i="8" s="1"/>
  <c r="V199" i="8" s="1"/>
  <c r="G199" i="9" s="1"/>
  <c r="V199" i="9" s="1"/>
  <c r="G199" i="10" s="1"/>
  <c r="V199" i="10" s="1"/>
  <c r="G199" i="11" s="1"/>
  <c r="V199" i="11" s="1"/>
  <c r="G199" i="12" s="1"/>
  <c r="V199" i="12" s="1"/>
  <c r="U199" i="6"/>
  <c r="F199" i="7" s="1"/>
  <c r="U199" i="7" s="1"/>
  <c r="F199" i="8" s="1"/>
  <c r="U199" i="8" s="1"/>
  <c r="F199" i="9" s="1"/>
  <c r="U199" i="9" s="1"/>
  <c r="F199" i="10" s="1"/>
  <c r="U199" i="10" s="1"/>
  <c r="F199" i="11" s="1"/>
  <c r="U199" i="11" s="1"/>
  <c r="F199" i="12" s="1"/>
  <c r="U199" i="12" s="1"/>
  <c r="F128" i="20" s="1" a="1"/>
  <c r="F128" i="20" s="1"/>
  <c r="Z128" i="20" s="1"/>
  <c r="F129" i="13" s="1" a="1"/>
  <c r="F129" i="13" s="1"/>
  <c r="T199" i="6"/>
  <c r="H199" i="6"/>
  <c r="S199" i="6" s="1"/>
  <c r="AI198" i="6"/>
  <c r="AF198" i="6"/>
  <c r="AC198" i="6"/>
  <c r="Z198" i="6"/>
  <c r="AI197" i="6"/>
  <c r="AF197" i="6"/>
  <c r="AC197" i="6"/>
  <c r="Z197" i="6"/>
  <c r="V197" i="6"/>
  <c r="G197" i="7" s="1"/>
  <c r="V197" i="7" s="1"/>
  <c r="G197" i="8" s="1"/>
  <c r="V197" i="8" s="1"/>
  <c r="G197" i="9" s="1"/>
  <c r="V197" i="9" s="1"/>
  <c r="G197" i="10" s="1"/>
  <c r="V197" i="10" s="1"/>
  <c r="G197" i="11" s="1"/>
  <c r="V197" i="11" s="1"/>
  <c r="G197" i="12" s="1"/>
  <c r="V197" i="12" s="1"/>
  <c r="U197" i="6"/>
  <c r="F197" i="7" s="1"/>
  <c r="U197" i="7" s="1"/>
  <c r="F197" i="8" s="1"/>
  <c r="U197" i="8" s="1"/>
  <c r="F197" i="9" s="1"/>
  <c r="U197" i="9" s="1"/>
  <c r="F197" i="10" s="1"/>
  <c r="U197" i="10" s="1"/>
  <c r="F197" i="11" s="1"/>
  <c r="U197" i="11" s="1"/>
  <c r="F197" i="12" s="1"/>
  <c r="U197" i="12" s="1"/>
  <c r="T197" i="6"/>
  <c r="H197" i="6"/>
  <c r="S197" i="6" s="1"/>
  <c r="AI196" i="6"/>
  <c r="AF196" i="6"/>
  <c r="AC196" i="6"/>
  <c r="Z196" i="6"/>
  <c r="V196" i="6"/>
  <c r="G196" i="7" s="1"/>
  <c r="V196" i="7" s="1"/>
  <c r="G196" i="8" s="1"/>
  <c r="V196" i="8" s="1"/>
  <c r="G196" i="9" s="1"/>
  <c r="V196" i="9" s="1"/>
  <c r="G196" i="10" s="1"/>
  <c r="V196" i="10" s="1"/>
  <c r="G196" i="11" s="1"/>
  <c r="V196" i="11" s="1"/>
  <c r="G196" i="12" s="1"/>
  <c r="V196" i="12" s="1"/>
  <c r="U196" i="6"/>
  <c r="F196" i="7" s="1"/>
  <c r="U196" i="7" s="1"/>
  <c r="F196" i="8" s="1"/>
  <c r="U196" i="8" s="1"/>
  <c r="F196" i="9" s="1"/>
  <c r="U196" i="9" s="1"/>
  <c r="F196" i="10" s="1"/>
  <c r="U196" i="10" s="1"/>
  <c r="F196" i="11" s="1"/>
  <c r="U196" i="11" s="1"/>
  <c r="F196" i="12" s="1"/>
  <c r="U196" i="12" s="1"/>
  <c r="T196" i="6"/>
  <c r="H196" i="6"/>
  <c r="S196" i="6" s="1"/>
  <c r="AI195" i="6"/>
  <c r="AF195" i="6"/>
  <c r="AC195" i="6"/>
  <c r="Z195" i="6"/>
  <c r="V195" i="6"/>
  <c r="G195" i="7" s="1"/>
  <c r="V195" i="7" s="1"/>
  <c r="G195" i="8" s="1"/>
  <c r="V195" i="8" s="1"/>
  <c r="G195" i="9" s="1"/>
  <c r="V195" i="9" s="1"/>
  <c r="G195" i="10" s="1"/>
  <c r="V195" i="10" s="1"/>
  <c r="G195" i="11" s="1"/>
  <c r="V195" i="11" s="1"/>
  <c r="G195" i="12" s="1"/>
  <c r="V195" i="12" s="1"/>
  <c r="U195" i="6"/>
  <c r="T195" i="6"/>
  <c r="E195" i="7" s="1"/>
  <c r="H195" i="6"/>
  <c r="S195" i="6" s="1"/>
  <c r="AI194" i="6"/>
  <c r="AF194" i="6"/>
  <c r="AC194" i="6"/>
  <c r="Z194" i="6"/>
  <c r="V194" i="6"/>
  <c r="U194" i="6"/>
  <c r="T194" i="6"/>
  <c r="H194" i="6"/>
  <c r="S194" i="6" s="1"/>
  <c r="AI193" i="6"/>
  <c r="AF193" i="6"/>
  <c r="AC193" i="6"/>
  <c r="Z193" i="6"/>
  <c r="AI192" i="6"/>
  <c r="AF192" i="6"/>
  <c r="AC192" i="6"/>
  <c r="Z192" i="6"/>
  <c r="AI191" i="6"/>
  <c r="AF191" i="6"/>
  <c r="AC191" i="6"/>
  <c r="Z191" i="6"/>
  <c r="V191" i="6"/>
  <c r="U191" i="6"/>
  <c r="T191" i="6"/>
  <c r="H191" i="6"/>
  <c r="S191" i="6" s="1"/>
  <c r="AI190" i="6"/>
  <c r="AF190" i="6"/>
  <c r="AC190" i="6"/>
  <c r="Z190" i="6"/>
  <c r="AI189" i="6"/>
  <c r="AF189" i="6"/>
  <c r="AC189" i="6"/>
  <c r="Z189" i="6"/>
  <c r="AI188" i="6"/>
  <c r="AF188" i="6"/>
  <c r="AC188" i="6"/>
  <c r="Z188" i="6"/>
  <c r="AI187" i="6"/>
  <c r="AF187" i="6"/>
  <c r="AC187" i="6"/>
  <c r="Z187" i="6"/>
  <c r="V187" i="6"/>
  <c r="G187" i="7" s="1"/>
  <c r="V187" i="7" s="1"/>
  <c r="G187" i="8" s="1"/>
  <c r="V187" i="8" s="1"/>
  <c r="G187" i="9" s="1"/>
  <c r="V187" i="9" s="1"/>
  <c r="G187" i="10" s="1"/>
  <c r="V187" i="10" s="1"/>
  <c r="G187" i="11" s="1"/>
  <c r="V187" i="11" s="1"/>
  <c r="G187" i="12" s="1"/>
  <c r="V187" i="12" s="1"/>
  <c r="U187" i="6"/>
  <c r="F187" i="7" s="1"/>
  <c r="U187" i="7" s="1"/>
  <c r="F187" i="8" s="1"/>
  <c r="U187" i="8" s="1"/>
  <c r="F187" i="9" s="1"/>
  <c r="U187" i="9" s="1"/>
  <c r="F187" i="10" s="1"/>
  <c r="U187" i="10" s="1"/>
  <c r="F187" i="11" s="1"/>
  <c r="U187" i="11" s="1"/>
  <c r="F187" i="12" s="1"/>
  <c r="U187" i="12" s="1"/>
  <c r="T187" i="6"/>
  <c r="E187" i="7" s="1"/>
  <c r="T187" i="7" s="1"/>
  <c r="H187" i="6"/>
  <c r="S187" i="6" s="1"/>
  <c r="AI186" i="6"/>
  <c r="AF186" i="6"/>
  <c r="AC186" i="6"/>
  <c r="Z186" i="6"/>
  <c r="V186" i="6"/>
  <c r="U186" i="6"/>
  <c r="F186" i="7" s="1"/>
  <c r="U186" i="7" s="1"/>
  <c r="F186" i="8" s="1"/>
  <c r="U186" i="8" s="1"/>
  <c r="F186" i="9" s="1"/>
  <c r="U186" i="9" s="1"/>
  <c r="F186" i="10" s="1"/>
  <c r="U186" i="10" s="1"/>
  <c r="F186" i="11" s="1"/>
  <c r="U186" i="11" s="1"/>
  <c r="F186" i="12" s="1"/>
  <c r="U186" i="12" s="1"/>
  <c r="T186" i="6"/>
  <c r="E186" i="7" s="1"/>
  <c r="H186" i="6"/>
  <c r="S186" i="6" s="1"/>
  <c r="AI185" i="6"/>
  <c r="AF185" i="6"/>
  <c r="AC185" i="6"/>
  <c r="Z185" i="6"/>
  <c r="V185" i="6"/>
  <c r="U185" i="6"/>
  <c r="F185" i="7" s="1"/>
  <c r="U185" i="7" s="1"/>
  <c r="F185" i="8" s="1"/>
  <c r="U185" i="8" s="1"/>
  <c r="F185" i="9" s="1"/>
  <c r="U185" i="9" s="1"/>
  <c r="F185" i="10" s="1"/>
  <c r="U185" i="10" s="1"/>
  <c r="F185" i="11" s="1"/>
  <c r="U185" i="11" s="1"/>
  <c r="F185" i="12" s="1"/>
  <c r="U185" i="12" s="1"/>
  <c r="T185" i="6"/>
  <c r="E185" i="7" s="1"/>
  <c r="H185" i="6"/>
  <c r="S185" i="6" s="1"/>
  <c r="AI184" i="6"/>
  <c r="AF184" i="6"/>
  <c r="AC184" i="6"/>
  <c r="Z184" i="6"/>
  <c r="V184" i="6"/>
  <c r="G184" i="7" s="1"/>
  <c r="V184" i="7" s="1"/>
  <c r="G184" i="8" s="1"/>
  <c r="V184" i="8" s="1"/>
  <c r="G184" i="9" s="1"/>
  <c r="V184" i="9" s="1"/>
  <c r="G184" i="10" s="1"/>
  <c r="V184" i="10" s="1"/>
  <c r="G184" i="11" s="1"/>
  <c r="V184" i="11" s="1"/>
  <c r="G184" i="12" s="1"/>
  <c r="V184" i="12" s="1"/>
  <c r="U184" i="6"/>
  <c r="F184" i="7" s="1"/>
  <c r="U184" i="7" s="1"/>
  <c r="F184" i="8" s="1"/>
  <c r="U184" i="8" s="1"/>
  <c r="F184" i="9" s="1"/>
  <c r="U184" i="9" s="1"/>
  <c r="F184" i="10" s="1"/>
  <c r="U184" i="10" s="1"/>
  <c r="F184" i="11" s="1"/>
  <c r="U184" i="11" s="1"/>
  <c r="F184" i="12" s="1"/>
  <c r="U184" i="12" s="1"/>
  <c r="F193" i="20" s="1" a="1"/>
  <c r="F193" i="20" s="1"/>
  <c r="T184" i="6"/>
  <c r="E184" i="7" s="1"/>
  <c r="H184" i="6"/>
  <c r="S184" i="6" s="1"/>
  <c r="AI183" i="6"/>
  <c r="AF183" i="6"/>
  <c r="AC183" i="6"/>
  <c r="Z183" i="6"/>
  <c r="V183" i="6"/>
  <c r="G183" i="7" s="1"/>
  <c r="V183" i="7" s="1"/>
  <c r="G183" i="8" s="1"/>
  <c r="V183" i="8" s="1"/>
  <c r="G183" i="9" s="1"/>
  <c r="V183" i="9" s="1"/>
  <c r="G183" i="10" s="1"/>
  <c r="V183" i="10" s="1"/>
  <c r="G183" i="11" s="1"/>
  <c r="V183" i="11" s="1"/>
  <c r="G183" i="12" s="1"/>
  <c r="V183" i="12" s="1"/>
  <c r="U183" i="6"/>
  <c r="F183" i="7" s="1"/>
  <c r="U183" i="7" s="1"/>
  <c r="F183" i="8" s="1"/>
  <c r="U183" i="8" s="1"/>
  <c r="F183" i="9" s="1"/>
  <c r="U183" i="9" s="1"/>
  <c r="F183" i="10" s="1"/>
  <c r="U183" i="10" s="1"/>
  <c r="F183" i="11" s="1"/>
  <c r="U183" i="11" s="1"/>
  <c r="F183" i="12" s="1"/>
  <c r="U183" i="12" s="1"/>
  <c r="F125" i="20" s="1" a="1"/>
  <c r="F125" i="20" s="1"/>
  <c r="Z125" i="20" s="1"/>
  <c r="F126" i="13" s="1" a="1"/>
  <c r="F126" i="13" s="1"/>
  <c r="T183" i="6"/>
  <c r="H183" i="6"/>
  <c r="S183" i="6" s="1"/>
  <c r="AI182" i="6"/>
  <c r="AF182" i="6"/>
  <c r="AC182" i="6"/>
  <c r="Z182" i="6"/>
  <c r="V182" i="6"/>
  <c r="U182" i="6"/>
  <c r="F182" i="7" s="1"/>
  <c r="U182" i="7" s="1"/>
  <c r="F182" i="8" s="1"/>
  <c r="U182" i="8" s="1"/>
  <c r="F182" i="9" s="1"/>
  <c r="U182" i="9" s="1"/>
  <c r="F182" i="10" s="1"/>
  <c r="U182" i="10" s="1"/>
  <c r="F182" i="11" s="1"/>
  <c r="U182" i="11" s="1"/>
  <c r="F182" i="12" s="1"/>
  <c r="U182" i="12" s="1"/>
  <c r="T182" i="6"/>
  <c r="E182" i="7" s="1"/>
  <c r="T182" i="7" s="1"/>
  <c r="H182" i="6"/>
  <c r="S182" i="6" s="1"/>
  <c r="AI181" i="6"/>
  <c r="AF181" i="6"/>
  <c r="AC181" i="6"/>
  <c r="Z181" i="6"/>
  <c r="V181" i="6"/>
  <c r="G181" i="7" s="1"/>
  <c r="V181" i="7" s="1"/>
  <c r="G181" i="8" s="1"/>
  <c r="V181" i="8" s="1"/>
  <c r="G181" i="9" s="1"/>
  <c r="V181" i="9" s="1"/>
  <c r="G181" i="10" s="1"/>
  <c r="V181" i="10" s="1"/>
  <c r="G181" i="11" s="1"/>
  <c r="V181" i="11" s="1"/>
  <c r="G181" i="12" s="1"/>
  <c r="V181" i="12" s="1"/>
  <c r="U181" i="6"/>
  <c r="F181" i="7" s="1"/>
  <c r="U181" i="7" s="1"/>
  <c r="F181" i="8" s="1"/>
  <c r="U181" i="8" s="1"/>
  <c r="F181" i="9" s="1"/>
  <c r="U181" i="9" s="1"/>
  <c r="F181" i="10" s="1"/>
  <c r="U181" i="10" s="1"/>
  <c r="F181" i="11" s="1"/>
  <c r="U181" i="11" s="1"/>
  <c r="F181" i="12" s="1"/>
  <c r="U181" i="12" s="1"/>
  <c r="T181" i="6"/>
  <c r="E181" i="7" s="1"/>
  <c r="H181" i="6"/>
  <c r="S181" i="6" s="1"/>
  <c r="AI180" i="6"/>
  <c r="AF180" i="6"/>
  <c r="AC180" i="6"/>
  <c r="Z180" i="6"/>
  <c r="V180" i="6"/>
  <c r="G180" i="7" s="1"/>
  <c r="V180" i="7" s="1"/>
  <c r="G180" i="8" s="1"/>
  <c r="V180" i="8" s="1"/>
  <c r="G180" i="9" s="1"/>
  <c r="V180" i="9" s="1"/>
  <c r="G180" i="10" s="1"/>
  <c r="V180" i="10" s="1"/>
  <c r="G180" i="11" s="1"/>
  <c r="V180" i="11" s="1"/>
  <c r="G180" i="12" s="1"/>
  <c r="V180" i="12" s="1"/>
  <c r="U180" i="6"/>
  <c r="F180" i="7" s="1"/>
  <c r="U180" i="7" s="1"/>
  <c r="F180" i="8" s="1"/>
  <c r="U180" i="8" s="1"/>
  <c r="F180" i="9" s="1"/>
  <c r="U180" i="9" s="1"/>
  <c r="F180" i="10" s="1"/>
  <c r="U180" i="10" s="1"/>
  <c r="F180" i="11" s="1"/>
  <c r="U180" i="11" s="1"/>
  <c r="F180" i="12" s="1"/>
  <c r="U180" i="12" s="1"/>
  <c r="T180" i="6"/>
  <c r="E180" i="7" s="1"/>
  <c r="H180" i="6"/>
  <c r="S180" i="6" s="1"/>
  <c r="AI179" i="6"/>
  <c r="AF179" i="6"/>
  <c r="AC179" i="6"/>
  <c r="Z179" i="6"/>
  <c r="AI178" i="6"/>
  <c r="AF178" i="6"/>
  <c r="AC178" i="6"/>
  <c r="Z178" i="6"/>
  <c r="V178" i="6"/>
  <c r="G178" i="7" s="1"/>
  <c r="V178" i="7" s="1"/>
  <c r="G178" i="8" s="1"/>
  <c r="V178" i="8" s="1"/>
  <c r="G178" i="9" s="1"/>
  <c r="V178" i="9" s="1"/>
  <c r="G178" i="10" s="1"/>
  <c r="V178" i="10" s="1"/>
  <c r="G178" i="11" s="1"/>
  <c r="V178" i="11" s="1"/>
  <c r="G178" i="12" s="1"/>
  <c r="V178" i="12" s="1"/>
  <c r="U178" i="6"/>
  <c r="F178" i="7" s="1"/>
  <c r="U178" i="7" s="1"/>
  <c r="F178" i="8" s="1"/>
  <c r="U178" i="8" s="1"/>
  <c r="F178" i="9" s="1"/>
  <c r="U178" i="9" s="1"/>
  <c r="F178" i="10" s="1"/>
  <c r="U178" i="10" s="1"/>
  <c r="F178" i="11" s="1"/>
  <c r="U178" i="11" s="1"/>
  <c r="F178" i="12" s="1"/>
  <c r="U178" i="12" s="1"/>
  <c r="T178" i="6"/>
  <c r="H178" i="6"/>
  <c r="S178" i="6" s="1"/>
  <c r="AI177" i="6"/>
  <c r="AF177" i="6"/>
  <c r="AC177" i="6"/>
  <c r="Z177" i="6"/>
  <c r="AI176" i="6"/>
  <c r="AF176" i="6"/>
  <c r="AC176" i="6"/>
  <c r="Z176" i="6"/>
  <c r="V176" i="6"/>
  <c r="G176" i="7" s="1"/>
  <c r="V176" i="7" s="1"/>
  <c r="G176" i="8" s="1"/>
  <c r="V176" i="8" s="1"/>
  <c r="G176" i="9" s="1"/>
  <c r="V176" i="9" s="1"/>
  <c r="G176" i="10" s="1"/>
  <c r="V176" i="10" s="1"/>
  <c r="G176" i="11" s="1"/>
  <c r="V176" i="11" s="1"/>
  <c r="G176" i="12" s="1"/>
  <c r="V176" i="12" s="1"/>
  <c r="U176" i="6"/>
  <c r="F176" i="7" s="1"/>
  <c r="U176" i="7" s="1"/>
  <c r="F176" i="8" s="1"/>
  <c r="U176" i="8" s="1"/>
  <c r="F176" i="9" s="1"/>
  <c r="U176" i="9" s="1"/>
  <c r="F176" i="10" s="1"/>
  <c r="U176" i="10" s="1"/>
  <c r="F176" i="11" s="1"/>
  <c r="U176" i="11" s="1"/>
  <c r="F176" i="12" s="1"/>
  <c r="U176" i="12" s="1"/>
  <c r="T176" i="6"/>
  <c r="H176" i="6"/>
  <c r="S176" i="6" s="1"/>
  <c r="AI175" i="6"/>
  <c r="AF175" i="6"/>
  <c r="AC175" i="6"/>
  <c r="Z175" i="6"/>
  <c r="V175" i="6"/>
  <c r="G175" i="7" s="1"/>
  <c r="V175" i="7" s="1"/>
  <c r="G175" i="8" s="1"/>
  <c r="V175" i="8" s="1"/>
  <c r="G175" i="9" s="1"/>
  <c r="V175" i="9" s="1"/>
  <c r="G175" i="10" s="1"/>
  <c r="V175" i="10" s="1"/>
  <c r="G175" i="11" s="1"/>
  <c r="V175" i="11" s="1"/>
  <c r="G175" i="12" s="1"/>
  <c r="V175" i="12" s="1"/>
  <c r="U175" i="6"/>
  <c r="F175" i="7" s="1"/>
  <c r="U175" i="7" s="1"/>
  <c r="F175" i="8" s="1"/>
  <c r="U175" i="8" s="1"/>
  <c r="F175" i="9" s="1"/>
  <c r="U175" i="9" s="1"/>
  <c r="F175" i="10" s="1"/>
  <c r="U175" i="10" s="1"/>
  <c r="F175" i="11" s="1"/>
  <c r="U175" i="11" s="1"/>
  <c r="F175" i="12" s="1"/>
  <c r="U175" i="12" s="1"/>
  <c r="F189" i="20" s="1" a="1"/>
  <c r="F189" i="20" s="1"/>
  <c r="Z189" i="20" s="1"/>
  <c r="F190" i="13" s="1" a="1"/>
  <c r="F190" i="13" s="1"/>
  <c r="T175" i="6"/>
  <c r="E175" i="7" s="1"/>
  <c r="H175" i="6"/>
  <c r="S175" i="6" s="1"/>
  <c r="AI174" i="6"/>
  <c r="AF174" i="6"/>
  <c r="AC174" i="6"/>
  <c r="Z174" i="6"/>
  <c r="V174" i="6"/>
  <c r="G174" i="7" s="1"/>
  <c r="V174" i="7" s="1"/>
  <c r="G174" i="8" s="1"/>
  <c r="V174" i="8" s="1"/>
  <c r="G174" i="9" s="1"/>
  <c r="V174" i="9" s="1"/>
  <c r="G174" i="10" s="1"/>
  <c r="V174" i="10" s="1"/>
  <c r="G174" i="11" s="1"/>
  <c r="V174" i="11" s="1"/>
  <c r="G174" i="12" s="1"/>
  <c r="V174" i="12" s="1"/>
  <c r="U174" i="6"/>
  <c r="F174" i="7" s="1"/>
  <c r="U174" i="7" s="1"/>
  <c r="F174" i="8" s="1"/>
  <c r="U174" i="8" s="1"/>
  <c r="F174" i="9" s="1"/>
  <c r="U174" i="9" s="1"/>
  <c r="F174" i="10" s="1"/>
  <c r="U174" i="10" s="1"/>
  <c r="F174" i="11" s="1"/>
  <c r="U174" i="11" s="1"/>
  <c r="F174" i="12" s="1"/>
  <c r="U174" i="12" s="1"/>
  <c r="T174" i="6"/>
  <c r="H174" i="6"/>
  <c r="S174" i="6" s="1"/>
  <c r="AI173" i="6"/>
  <c r="AF173" i="6"/>
  <c r="AC173" i="6"/>
  <c r="Z173" i="6"/>
  <c r="V173" i="6"/>
  <c r="G173" i="7" s="1"/>
  <c r="V173" i="7" s="1"/>
  <c r="G173" i="8" s="1"/>
  <c r="V173" i="8" s="1"/>
  <c r="G173" i="9" s="1"/>
  <c r="V173" i="9" s="1"/>
  <c r="G173" i="10" s="1"/>
  <c r="V173" i="10" s="1"/>
  <c r="G173" i="11" s="1"/>
  <c r="V173" i="11" s="1"/>
  <c r="G173" i="12" s="1"/>
  <c r="V173" i="12" s="1"/>
  <c r="U173" i="6"/>
  <c r="F173" i="7" s="1"/>
  <c r="U173" i="7" s="1"/>
  <c r="F173" i="8" s="1"/>
  <c r="U173" i="8" s="1"/>
  <c r="F173" i="9" s="1"/>
  <c r="U173" i="9" s="1"/>
  <c r="F173" i="10" s="1"/>
  <c r="U173" i="10" s="1"/>
  <c r="F173" i="11" s="1"/>
  <c r="U173" i="11" s="1"/>
  <c r="F173" i="12" s="1"/>
  <c r="U173" i="12" s="1"/>
  <c r="F122" i="20" s="1" a="1"/>
  <c r="F122" i="20" s="1"/>
  <c r="Z122" i="20" s="1"/>
  <c r="F123" i="13" s="1" a="1"/>
  <c r="F123" i="13" s="1"/>
  <c r="T173" i="6"/>
  <c r="E173" i="7" s="1"/>
  <c r="T173" i="7" s="1"/>
  <c r="H173" i="6"/>
  <c r="S173" i="6" s="1"/>
  <c r="AI172" i="6"/>
  <c r="AF172" i="6"/>
  <c r="AC172" i="6"/>
  <c r="Z172" i="6"/>
  <c r="AI171" i="6"/>
  <c r="AF171" i="6"/>
  <c r="AC171" i="6"/>
  <c r="Z171" i="6"/>
  <c r="AI170" i="6"/>
  <c r="AF170" i="6"/>
  <c r="AC170" i="6"/>
  <c r="Z170" i="6"/>
  <c r="AI169" i="6"/>
  <c r="AF169" i="6"/>
  <c r="AC169" i="6"/>
  <c r="Z169" i="6"/>
  <c r="AI168" i="6"/>
  <c r="AF168" i="6"/>
  <c r="AC168" i="6"/>
  <c r="Z168" i="6"/>
  <c r="AI167" i="6"/>
  <c r="AF167" i="6"/>
  <c r="AC167" i="6"/>
  <c r="Z167" i="6"/>
  <c r="AI166" i="6"/>
  <c r="AF166" i="6"/>
  <c r="AC166" i="6"/>
  <c r="Z166" i="6"/>
  <c r="AI165" i="6"/>
  <c r="AF165" i="6"/>
  <c r="AC165" i="6"/>
  <c r="Z165" i="6"/>
  <c r="AI164" i="6"/>
  <c r="AF164" i="6"/>
  <c r="AC164" i="6"/>
  <c r="Z164" i="6"/>
  <c r="AI163" i="6"/>
  <c r="AF163" i="6"/>
  <c r="AC163" i="6"/>
  <c r="Z163" i="6"/>
  <c r="AI162" i="6"/>
  <c r="AF162" i="6"/>
  <c r="AC162" i="6"/>
  <c r="Z162" i="6"/>
  <c r="AI161" i="6"/>
  <c r="AF161" i="6"/>
  <c r="AC161" i="6"/>
  <c r="Z161" i="6"/>
  <c r="V161" i="6"/>
  <c r="G161" i="7" s="1"/>
  <c r="V161" i="7" s="1"/>
  <c r="G161" i="8" s="1"/>
  <c r="V161" i="8" s="1"/>
  <c r="G161" i="9" s="1"/>
  <c r="V161" i="9" s="1"/>
  <c r="G161" i="10" s="1"/>
  <c r="V161" i="10" s="1"/>
  <c r="G161" i="11" s="1"/>
  <c r="V161" i="11" s="1"/>
  <c r="G161" i="12" s="1"/>
  <c r="V161" i="12" s="1"/>
  <c r="U161" i="6"/>
  <c r="F161" i="7" s="1"/>
  <c r="U161" i="7" s="1"/>
  <c r="F161" i="8" s="1"/>
  <c r="U161" i="8" s="1"/>
  <c r="F161" i="9" s="1"/>
  <c r="U161" i="9" s="1"/>
  <c r="F161" i="10" s="1"/>
  <c r="U161" i="10" s="1"/>
  <c r="F161" i="11" s="1"/>
  <c r="U161" i="11" s="1"/>
  <c r="F161" i="12" s="1"/>
  <c r="U161" i="12" s="1"/>
  <c r="T161" i="6"/>
  <c r="E161" i="7" s="1"/>
  <c r="H161" i="6"/>
  <c r="S161" i="6" s="1"/>
  <c r="AI160" i="6"/>
  <c r="AF160" i="6"/>
  <c r="AC160" i="6"/>
  <c r="Z160" i="6"/>
  <c r="V160" i="6"/>
  <c r="G160" i="7" s="1"/>
  <c r="V160" i="7" s="1"/>
  <c r="G160" i="8" s="1"/>
  <c r="V160" i="8" s="1"/>
  <c r="G160" i="9" s="1"/>
  <c r="V160" i="9" s="1"/>
  <c r="G160" i="10" s="1"/>
  <c r="V160" i="10" s="1"/>
  <c r="G160" i="11" s="1"/>
  <c r="V160" i="11" s="1"/>
  <c r="G160" i="12" s="1"/>
  <c r="V160" i="12" s="1"/>
  <c r="U160" i="6"/>
  <c r="F160" i="7" s="1"/>
  <c r="U160" i="7" s="1"/>
  <c r="F160" i="8" s="1"/>
  <c r="U160" i="8" s="1"/>
  <c r="F160" i="9" s="1"/>
  <c r="U160" i="9" s="1"/>
  <c r="F160" i="10" s="1"/>
  <c r="U160" i="10" s="1"/>
  <c r="F160" i="11" s="1"/>
  <c r="U160" i="11" s="1"/>
  <c r="F160" i="12" s="1"/>
  <c r="U160" i="12" s="1"/>
  <c r="T160" i="6"/>
  <c r="E160" i="7" s="1"/>
  <c r="H160" i="6"/>
  <c r="S160" i="6" s="1"/>
  <c r="AI159" i="6"/>
  <c r="AF159" i="6"/>
  <c r="AC159" i="6"/>
  <c r="Z159" i="6"/>
  <c r="V159" i="6"/>
  <c r="G159" i="7" s="1"/>
  <c r="V159" i="7" s="1"/>
  <c r="G159" i="8" s="1"/>
  <c r="V159" i="8" s="1"/>
  <c r="G159" i="9" s="1"/>
  <c r="V159" i="9" s="1"/>
  <c r="G159" i="10" s="1"/>
  <c r="V159" i="10" s="1"/>
  <c r="G159" i="11" s="1"/>
  <c r="V159" i="11" s="1"/>
  <c r="G159" i="12" s="1"/>
  <c r="V159" i="12" s="1"/>
  <c r="U159" i="6"/>
  <c r="F159" i="7" s="1"/>
  <c r="U159" i="7" s="1"/>
  <c r="F159" i="8" s="1"/>
  <c r="U159" i="8" s="1"/>
  <c r="F159" i="9" s="1"/>
  <c r="U159" i="9" s="1"/>
  <c r="F159" i="10" s="1"/>
  <c r="U159" i="10" s="1"/>
  <c r="F159" i="11" s="1"/>
  <c r="U159" i="11" s="1"/>
  <c r="F159" i="12" s="1"/>
  <c r="U159" i="12" s="1"/>
  <c r="T159" i="6"/>
  <c r="E159" i="7" s="1"/>
  <c r="H159" i="6"/>
  <c r="S159" i="6" s="1"/>
  <c r="AI158" i="6"/>
  <c r="AF158" i="6"/>
  <c r="AC158" i="6"/>
  <c r="Z158" i="6"/>
  <c r="V158" i="6"/>
  <c r="G158" i="7" s="1"/>
  <c r="V158" i="7" s="1"/>
  <c r="G158" i="8" s="1"/>
  <c r="V158" i="8" s="1"/>
  <c r="G158" i="9" s="1"/>
  <c r="V158" i="9" s="1"/>
  <c r="G158" i="10" s="1"/>
  <c r="V158" i="10" s="1"/>
  <c r="G158" i="11" s="1"/>
  <c r="V158" i="11" s="1"/>
  <c r="G158" i="12" s="1"/>
  <c r="V158" i="12" s="1"/>
  <c r="U158" i="6"/>
  <c r="F158" i="7" s="1"/>
  <c r="U158" i="7" s="1"/>
  <c r="F158" i="8" s="1"/>
  <c r="U158" i="8" s="1"/>
  <c r="F158" i="9" s="1"/>
  <c r="U158" i="9" s="1"/>
  <c r="F158" i="10" s="1"/>
  <c r="U158" i="10" s="1"/>
  <c r="F158" i="11" s="1"/>
  <c r="U158" i="11" s="1"/>
  <c r="F158" i="12" s="1"/>
  <c r="U158" i="12" s="1"/>
  <c r="F185" i="20" s="1" a="1"/>
  <c r="F185" i="20" s="1"/>
  <c r="Z185" i="20" s="1"/>
  <c r="F186" i="13" s="1" a="1"/>
  <c r="F186" i="13" s="1"/>
  <c r="T158" i="6"/>
  <c r="H158" i="6"/>
  <c r="S158" i="6" s="1"/>
  <c r="AI157" i="6"/>
  <c r="AF157" i="6"/>
  <c r="AC157" i="6"/>
  <c r="Z157" i="6"/>
  <c r="V157" i="6"/>
  <c r="G157" i="7" s="1"/>
  <c r="V157" i="7" s="1"/>
  <c r="G157" i="8" s="1"/>
  <c r="V157" i="8" s="1"/>
  <c r="G157" i="9" s="1"/>
  <c r="V157" i="9" s="1"/>
  <c r="G157" i="10" s="1"/>
  <c r="V157" i="10" s="1"/>
  <c r="G157" i="11" s="1"/>
  <c r="V157" i="11" s="1"/>
  <c r="G157" i="12" s="1"/>
  <c r="V157" i="12" s="1"/>
  <c r="U157" i="6"/>
  <c r="F157" i="7" s="1"/>
  <c r="U157" i="7" s="1"/>
  <c r="F157" i="8" s="1"/>
  <c r="U157" i="8" s="1"/>
  <c r="F157" i="9" s="1"/>
  <c r="U157" i="9" s="1"/>
  <c r="F157" i="10" s="1"/>
  <c r="U157" i="10" s="1"/>
  <c r="F157" i="11" s="1"/>
  <c r="U157" i="11" s="1"/>
  <c r="F157" i="12" s="1"/>
  <c r="U157" i="12" s="1"/>
  <c r="T157" i="6"/>
  <c r="E157" i="7" s="1"/>
  <c r="T157" i="7" s="1"/>
  <c r="E157" i="8" s="1"/>
  <c r="H157" i="6"/>
  <c r="S157" i="6" s="1"/>
  <c r="AI156" i="6"/>
  <c r="AF156" i="6"/>
  <c r="AC156" i="6"/>
  <c r="Z156" i="6"/>
  <c r="V156" i="6"/>
  <c r="G156" i="7" s="1"/>
  <c r="V156" i="7" s="1"/>
  <c r="G156" i="8" s="1"/>
  <c r="V156" i="8" s="1"/>
  <c r="G156" i="9" s="1"/>
  <c r="V156" i="9" s="1"/>
  <c r="G156" i="10" s="1"/>
  <c r="V156" i="10" s="1"/>
  <c r="G156" i="11" s="1"/>
  <c r="V156" i="11" s="1"/>
  <c r="G156" i="12" s="1"/>
  <c r="V156" i="12" s="1"/>
  <c r="U156" i="6"/>
  <c r="T156" i="6"/>
  <c r="E156" i="7" s="1"/>
  <c r="H156" i="6"/>
  <c r="S156" i="6" s="1"/>
  <c r="AI155" i="6"/>
  <c r="AF155" i="6"/>
  <c r="AC155" i="6"/>
  <c r="Z155" i="6"/>
  <c r="V155" i="6"/>
  <c r="U155" i="6"/>
  <c r="T155" i="6"/>
  <c r="H155" i="6"/>
  <c r="S155" i="6" s="1"/>
  <c r="AI154" i="6"/>
  <c r="AF154" i="6"/>
  <c r="AC154" i="6"/>
  <c r="Z154" i="6"/>
  <c r="AI153" i="6"/>
  <c r="AF153" i="6"/>
  <c r="AC153" i="6"/>
  <c r="Z153" i="6"/>
  <c r="AI152" i="6"/>
  <c r="AF152" i="6"/>
  <c r="AC152" i="6"/>
  <c r="Z152" i="6"/>
  <c r="AI151" i="6"/>
  <c r="AF151" i="6"/>
  <c r="AC151" i="6"/>
  <c r="Z151" i="6"/>
  <c r="AI150" i="6"/>
  <c r="AF150" i="6"/>
  <c r="AC150" i="6"/>
  <c r="Z150" i="6"/>
  <c r="AI149" i="6"/>
  <c r="AF149" i="6"/>
  <c r="AC149" i="6"/>
  <c r="Z149" i="6"/>
  <c r="AI148" i="6"/>
  <c r="AF148" i="6"/>
  <c r="AC148" i="6"/>
  <c r="Z148" i="6"/>
  <c r="AI147" i="6"/>
  <c r="AF147" i="6"/>
  <c r="AC147" i="6"/>
  <c r="Z147" i="6"/>
  <c r="AI146" i="6"/>
  <c r="AF146" i="6"/>
  <c r="AC146" i="6"/>
  <c r="Z146" i="6"/>
  <c r="V146" i="6"/>
  <c r="G146" i="7" s="1"/>
  <c r="V146" i="7" s="1"/>
  <c r="G146" i="8" s="1"/>
  <c r="V146" i="8" s="1"/>
  <c r="G146" i="9" s="1"/>
  <c r="V146" i="9" s="1"/>
  <c r="G146" i="10" s="1"/>
  <c r="V146" i="10" s="1"/>
  <c r="G146" i="11" s="1"/>
  <c r="V146" i="11" s="1"/>
  <c r="G146" i="12" s="1"/>
  <c r="V146" i="12" s="1"/>
  <c r="U146" i="6"/>
  <c r="F146" i="7" s="1"/>
  <c r="U146" i="7" s="1"/>
  <c r="F146" i="8" s="1"/>
  <c r="U146" i="8" s="1"/>
  <c r="F146" i="9" s="1"/>
  <c r="U146" i="9" s="1"/>
  <c r="F146" i="10" s="1"/>
  <c r="U146" i="10" s="1"/>
  <c r="F146" i="11" s="1"/>
  <c r="U146" i="11" s="1"/>
  <c r="F146" i="12" s="1"/>
  <c r="U146" i="12" s="1"/>
  <c r="T146" i="6"/>
  <c r="H146" i="6"/>
  <c r="S146" i="6" s="1"/>
  <c r="AI145" i="6"/>
  <c r="AF145" i="6"/>
  <c r="AC145" i="6"/>
  <c r="Z145" i="6"/>
  <c r="AI144" i="6"/>
  <c r="AF144" i="6"/>
  <c r="AC144" i="6"/>
  <c r="Z144" i="6"/>
  <c r="V144" i="6"/>
  <c r="G144" i="7" s="1"/>
  <c r="V144" i="7" s="1"/>
  <c r="G144" i="8" s="1"/>
  <c r="V144" i="8" s="1"/>
  <c r="G144" i="9" s="1"/>
  <c r="V144" i="9" s="1"/>
  <c r="G144" i="10" s="1"/>
  <c r="V144" i="10" s="1"/>
  <c r="G144" i="11" s="1"/>
  <c r="V144" i="11" s="1"/>
  <c r="G144" i="12" s="1"/>
  <c r="V144" i="12" s="1"/>
  <c r="U144" i="6"/>
  <c r="F144" i="7" s="1"/>
  <c r="U144" i="7" s="1"/>
  <c r="F144" i="8" s="1"/>
  <c r="U144" i="8" s="1"/>
  <c r="F144" i="9" s="1"/>
  <c r="U144" i="9" s="1"/>
  <c r="F144" i="10" s="1"/>
  <c r="U144" i="10" s="1"/>
  <c r="F144" i="11" s="1"/>
  <c r="U144" i="11" s="1"/>
  <c r="F144" i="12" s="1"/>
  <c r="U144" i="12" s="1"/>
  <c r="T144" i="6"/>
  <c r="H144" i="6"/>
  <c r="S144" i="6" s="1"/>
  <c r="AI143" i="6"/>
  <c r="AF143" i="6"/>
  <c r="AC143" i="6"/>
  <c r="Z143" i="6"/>
  <c r="AI142" i="6"/>
  <c r="AF142" i="6"/>
  <c r="AC142" i="6"/>
  <c r="Z142" i="6"/>
  <c r="AI141" i="6"/>
  <c r="AF141" i="6"/>
  <c r="AC141" i="6"/>
  <c r="Z141" i="6"/>
  <c r="V141" i="6"/>
  <c r="G141" i="7" s="1"/>
  <c r="V141" i="7" s="1"/>
  <c r="G141" i="8" s="1"/>
  <c r="V141" i="8" s="1"/>
  <c r="G141" i="9" s="1"/>
  <c r="V141" i="9" s="1"/>
  <c r="G141" i="10" s="1"/>
  <c r="V141" i="10" s="1"/>
  <c r="G141" i="11" s="1"/>
  <c r="V141" i="11" s="1"/>
  <c r="G141" i="12" s="1"/>
  <c r="V141" i="12" s="1"/>
  <c r="U141" i="6"/>
  <c r="F141" i="7" s="1"/>
  <c r="U141" i="7" s="1"/>
  <c r="F141" i="8" s="1"/>
  <c r="U141" i="8" s="1"/>
  <c r="F141" i="9" s="1"/>
  <c r="U141" i="9" s="1"/>
  <c r="F141" i="10" s="1"/>
  <c r="U141" i="10" s="1"/>
  <c r="F141" i="11" s="1"/>
  <c r="U141" i="11" s="1"/>
  <c r="F141" i="12" s="1"/>
  <c r="U141" i="12" s="1"/>
  <c r="T141" i="6"/>
  <c r="H141" i="6"/>
  <c r="S141" i="6" s="1"/>
  <c r="AI140" i="6"/>
  <c r="AF140" i="6"/>
  <c r="AC140" i="6"/>
  <c r="Z140" i="6"/>
  <c r="V140" i="6"/>
  <c r="G140" i="7" s="1"/>
  <c r="V140" i="7" s="1"/>
  <c r="G140" i="8" s="1"/>
  <c r="V140" i="8" s="1"/>
  <c r="G140" i="9" s="1"/>
  <c r="V140" i="9" s="1"/>
  <c r="G140" i="10" s="1"/>
  <c r="V140" i="10" s="1"/>
  <c r="G140" i="11" s="1"/>
  <c r="V140" i="11" s="1"/>
  <c r="G140" i="12" s="1"/>
  <c r="V140" i="12" s="1"/>
  <c r="U140" i="6"/>
  <c r="F140" i="7" s="1"/>
  <c r="U140" i="7" s="1"/>
  <c r="F140" i="8" s="1"/>
  <c r="U140" i="8" s="1"/>
  <c r="F140" i="9" s="1"/>
  <c r="U140" i="9" s="1"/>
  <c r="F140" i="10" s="1"/>
  <c r="U140" i="10" s="1"/>
  <c r="F140" i="11" s="1"/>
  <c r="U140" i="11" s="1"/>
  <c r="F140" i="12" s="1"/>
  <c r="U140" i="12" s="1"/>
  <c r="F117" i="20" s="1" a="1"/>
  <c r="F117" i="20" s="1"/>
  <c r="Z117" i="20" s="1"/>
  <c r="F118" i="13" s="1" a="1"/>
  <c r="F118" i="13" s="1"/>
  <c r="T140" i="6"/>
  <c r="E140" i="7" s="1"/>
  <c r="H140" i="6"/>
  <c r="S140" i="6" s="1"/>
  <c r="AI139" i="6"/>
  <c r="AF139" i="6"/>
  <c r="AC139" i="6"/>
  <c r="Z139" i="6"/>
  <c r="V139" i="6"/>
  <c r="G139" i="7" s="1"/>
  <c r="V139" i="7" s="1"/>
  <c r="G139" i="8" s="1"/>
  <c r="V139" i="8" s="1"/>
  <c r="G139" i="9" s="1"/>
  <c r="V139" i="9" s="1"/>
  <c r="G139" i="10" s="1"/>
  <c r="V139" i="10" s="1"/>
  <c r="G139" i="11" s="1"/>
  <c r="V139" i="11" s="1"/>
  <c r="G139" i="12" s="1"/>
  <c r="V139" i="12" s="1"/>
  <c r="U139" i="6"/>
  <c r="F139" i="7" s="1"/>
  <c r="U139" i="7" s="1"/>
  <c r="F139" i="8" s="1"/>
  <c r="U139" i="8" s="1"/>
  <c r="F139" i="9" s="1"/>
  <c r="U139" i="9" s="1"/>
  <c r="F139" i="10" s="1"/>
  <c r="U139" i="10" s="1"/>
  <c r="F139" i="11" s="1"/>
  <c r="U139" i="11" s="1"/>
  <c r="F139" i="12" s="1"/>
  <c r="U139" i="12" s="1"/>
  <c r="T139" i="6"/>
  <c r="E139" i="7" s="1"/>
  <c r="H139" i="6"/>
  <c r="S139" i="6" s="1"/>
  <c r="AI138" i="6"/>
  <c r="AF138" i="6"/>
  <c r="AC138" i="6"/>
  <c r="Z138" i="6"/>
  <c r="V138" i="6"/>
  <c r="G138" i="7" s="1"/>
  <c r="V138" i="7" s="1"/>
  <c r="G138" i="8" s="1"/>
  <c r="V138" i="8" s="1"/>
  <c r="G138" i="9" s="1"/>
  <c r="V138" i="9" s="1"/>
  <c r="G138" i="10" s="1"/>
  <c r="V138" i="10" s="1"/>
  <c r="G138" i="11" s="1"/>
  <c r="V138" i="11" s="1"/>
  <c r="G138" i="12" s="1"/>
  <c r="V138" i="12" s="1"/>
  <c r="U138" i="6"/>
  <c r="F138" i="7" s="1"/>
  <c r="U138" i="7" s="1"/>
  <c r="F138" i="8" s="1"/>
  <c r="U138" i="8" s="1"/>
  <c r="F138" i="9" s="1"/>
  <c r="U138" i="9" s="1"/>
  <c r="F138" i="10" s="1"/>
  <c r="U138" i="10" s="1"/>
  <c r="F138" i="11" s="1"/>
  <c r="U138" i="11" s="1"/>
  <c r="F138" i="12" s="1"/>
  <c r="U138" i="12" s="1"/>
  <c r="F116" i="20" s="1" a="1"/>
  <c r="F116" i="20" s="1"/>
  <c r="Z116" i="20" s="1"/>
  <c r="F117" i="13" s="1" a="1"/>
  <c r="F117" i="13" s="1"/>
  <c r="T138" i="6"/>
  <c r="E138" i="7" s="1"/>
  <c r="H138" i="6"/>
  <c r="S138" i="6" s="1"/>
  <c r="AI137" i="6"/>
  <c r="AF137" i="6"/>
  <c r="AC137" i="6"/>
  <c r="Z137" i="6"/>
  <c r="V137" i="6"/>
  <c r="G137" i="7" s="1"/>
  <c r="V137" i="7" s="1"/>
  <c r="G137" i="8" s="1"/>
  <c r="V137" i="8" s="1"/>
  <c r="G137" i="9" s="1"/>
  <c r="V137" i="9" s="1"/>
  <c r="G137" i="10" s="1"/>
  <c r="V137" i="10" s="1"/>
  <c r="G137" i="11" s="1"/>
  <c r="V137" i="11" s="1"/>
  <c r="G137" i="12" s="1"/>
  <c r="V137" i="12" s="1"/>
  <c r="U137" i="6"/>
  <c r="F137" i="7" s="1"/>
  <c r="U137" i="7" s="1"/>
  <c r="F137" i="8" s="1"/>
  <c r="U137" i="8" s="1"/>
  <c r="F137" i="9" s="1"/>
  <c r="U137" i="9" s="1"/>
  <c r="F137" i="10" s="1"/>
  <c r="U137" i="10" s="1"/>
  <c r="F137" i="11" s="1"/>
  <c r="U137" i="11" s="1"/>
  <c r="F137" i="12" s="1"/>
  <c r="U137" i="12" s="1"/>
  <c r="T137" i="6"/>
  <c r="E137" i="7" s="1"/>
  <c r="T137" i="7" s="1"/>
  <c r="H137" i="6"/>
  <c r="S137" i="6" s="1"/>
  <c r="AI136" i="6"/>
  <c r="AF136" i="6"/>
  <c r="AC136" i="6"/>
  <c r="Z136" i="6"/>
  <c r="V136" i="6"/>
  <c r="G136" i="7" s="1"/>
  <c r="V136" i="7" s="1"/>
  <c r="G136" i="8" s="1"/>
  <c r="V136" i="8" s="1"/>
  <c r="G136" i="9" s="1"/>
  <c r="V136" i="9" s="1"/>
  <c r="G136" i="10" s="1"/>
  <c r="V136" i="10" s="1"/>
  <c r="G136" i="11" s="1"/>
  <c r="V136" i="11" s="1"/>
  <c r="G136" i="12" s="1"/>
  <c r="V136" i="12" s="1"/>
  <c r="U136" i="6"/>
  <c r="F136" i="7" s="1"/>
  <c r="U136" i="7" s="1"/>
  <c r="F136" i="8" s="1"/>
  <c r="U136" i="8" s="1"/>
  <c r="F136" i="9" s="1"/>
  <c r="U136" i="9" s="1"/>
  <c r="F136" i="10" s="1"/>
  <c r="U136" i="10" s="1"/>
  <c r="F136" i="11" s="1"/>
  <c r="U136" i="11" s="1"/>
  <c r="F136" i="12" s="1"/>
  <c r="U136" i="12" s="1"/>
  <c r="T136" i="6"/>
  <c r="H136" i="6"/>
  <c r="S136" i="6" s="1"/>
  <c r="AI135" i="6"/>
  <c r="AF135" i="6"/>
  <c r="AC135" i="6"/>
  <c r="Z135" i="6"/>
  <c r="V135" i="6"/>
  <c r="G135" i="7" s="1"/>
  <c r="V135" i="7" s="1"/>
  <c r="G135" i="8" s="1"/>
  <c r="V135" i="8" s="1"/>
  <c r="G135" i="9" s="1"/>
  <c r="V135" i="9" s="1"/>
  <c r="G135" i="10" s="1"/>
  <c r="V135" i="10" s="1"/>
  <c r="G135" i="11" s="1"/>
  <c r="V135" i="11" s="1"/>
  <c r="G135" i="12" s="1"/>
  <c r="V135" i="12" s="1"/>
  <c r="U135" i="6"/>
  <c r="F135" i="7" s="1"/>
  <c r="U135" i="7" s="1"/>
  <c r="F135" i="8" s="1"/>
  <c r="U135" i="8" s="1"/>
  <c r="F135" i="9" s="1"/>
  <c r="U135" i="9" s="1"/>
  <c r="F135" i="10" s="1"/>
  <c r="U135" i="10" s="1"/>
  <c r="F135" i="11" s="1"/>
  <c r="U135" i="11" s="1"/>
  <c r="F135" i="12" s="1"/>
  <c r="U135" i="12" s="1"/>
  <c r="F180" i="20" s="1" a="1"/>
  <c r="F180" i="20" s="1"/>
  <c r="Z180" i="20" s="1"/>
  <c r="F181" i="13" s="1" a="1"/>
  <c r="F181" i="13" s="1"/>
  <c r="T135" i="6"/>
  <c r="H135" i="6"/>
  <c r="S135" i="6" s="1"/>
  <c r="AI134" i="6"/>
  <c r="AF134" i="6"/>
  <c r="AC134" i="6"/>
  <c r="Z134" i="6"/>
  <c r="V134" i="6"/>
  <c r="U134" i="6"/>
  <c r="T134" i="6"/>
  <c r="H134" i="6"/>
  <c r="S134" i="6" s="1"/>
  <c r="AI133" i="6"/>
  <c r="AF133" i="6"/>
  <c r="AC133" i="6"/>
  <c r="Z133" i="6"/>
  <c r="V133" i="6"/>
  <c r="G133" i="7" s="1"/>
  <c r="V133" i="7" s="1"/>
  <c r="G133" i="8" s="1"/>
  <c r="V133" i="8" s="1"/>
  <c r="G133" i="9" s="1"/>
  <c r="V133" i="9" s="1"/>
  <c r="G133" i="10" s="1"/>
  <c r="V133" i="10" s="1"/>
  <c r="G133" i="11" s="1"/>
  <c r="V133" i="11" s="1"/>
  <c r="G133" i="12" s="1"/>
  <c r="V133" i="12" s="1"/>
  <c r="U133" i="6"/>
  <c r="F133" i="7" s="1"/>
  <c r="U133" i="7" s="1"/>
  <c r="F133" i="8" s="1"/>
  <c r="U133" i="8" s="1"/>
  <c r="F133" i="9" s="1"/>
  <c r="U133" i="9" s="1"/>
  <c r="F133" i="10" s="1"/>
  <c r="U133" i="10" s="1"/>
  <c r="F133" i="11" s="1"/>
  <c r="U133" i="11" s="1"/>
  <c r="F133" i="12" s="1"/>
  <c r="U133" i="12" s="1"/>
  <c r="T133" i="6"/>
  <c r="H133" i="6"/>
  <c r="S133" i="6" s="1"/>
  <c r="AI132" i="6"/>
  <c r="AF132" i="6"/>
  <c r="AC132" i="6"/>
  <c r="Z132" i="6"/>
  <c r="V132" i="6"/>
  <c r="G132" i="7" s="1"/>
  <c r="V132" i="7" s="1"/>
  <c r="G132" i="8" s="1"/>
  <c r="V132" i="8" s="1"/>
  <c r="G132" i="9" s="1"/>
  <c r="V132" i="9" s="1"/>
  <c r="G132" i="10" s="1"/>
  <c r="V132" i="10" s="1"/>
  <c r="G132" i="11" s="1"/>
  <c r="V132" i="11" s="1"/>
  <c r="G132" i="12" s="1"/>
  <c r="V132" i="12" s="1"/>
  <c r="U132" i="6"/>
  <c r="F132" i="7" s="1"/>
  <c r="U132" i="7" s="1"/>
  <c r="F132" i="8" s="1"/>
  <c r="U132" i="8" s="1"/>
  <c r="F132" i="9" s="1"/>
  <c r="U132" i="9" s="1"/>
  <c r="F132" i="10" s="1"/>
  <c r="U132" i="10" s="1"/>
  <c r="F132" i="11" s="1"/>
  <c r="U132" i="11" s="1"/>
  <c r="F132" i="12" s="1"/>
  <c r="U132" i="12" s="1"/>
  <c r="T132" i="6"/>
  <c r="E132" i="7" s="1"/>
  <c r="T132" i="7" s="1"/>
  <c r="H132" i="6"/>
  <c r="S132" i="6" s="1"/>
  <c r="AI131" i="6"/>
  <c r="AF131" i="6"/>
  <c r="AC131" i="6"/>
  <c r="Z131" i="6"/>
  <c r="V131" i="6"/>
  <c r="G131" i="7" s="1"/>
  <c r="V131" i="7" s="1"/>
  <c r="G131" i="8" s="1"/>
  <c r="V131" i="8" s="1"/>
  <c r="G131" i="9" s="1"/>
  <c r="V131" i="9" s="1"/>
  <c r="G131" i="10" s="1"/>
  <c r="V131" i="10" s="1"/>
  <c r="G131" i="11" s="1"/>
  <c r="V131" i="11" s="1"/>
  <c r="G131" i="12" s="1"/>
  <c r="V131" i="12" s="1"/>
  <c r="U131" i="6"/>
  <c r="F131" i="7" s="1"/>
  <c r="U131" i="7" s="1"/>
  <c r="F131" i="8" s="1"/>
  <c r="U131" i="8" s="1"/>
  <c r="F131" i="9" s="1"/>
  <c r="U131" i="9" s="1"/>
  <c r="F131" i="10" s="1"/>
  <c r="U131" i="10" s="1"/>
  <c r="F131" i="11" s="1"/>
  <c r="U131" i="11" s="1"/>
  <c r="F131" i="12" s="1"/>
  <c r="U131" i="12" s="1"/>
  <c r="T131" i="6"/>
  <c r="E131" i="7" s="1"/>
  <c r="T131" i="7" s="1"/>
  <c r="H131" i="6"/>
  <c r="S131" i="6" s="1"/>
  <c r="AI130" i="6"/>
  <c r="AF130" i="6"/>
  <c r="AC130" i="6"/>
  <c r="Z130" i="6"/>
  <c r="V130" i="6"/>
  <c r="G130" i="7" s="1"/>
  <c r="V130" i="7" s="1"/>
  <c r="G130" i="8" s="1"/>
  <c r="V130" i="8" s="1"/>
  <c r="G130" i="9" s="1"/>
  <c r="V130" i="9" s="1"/>
  <c r="G130" i="10" s="1"/>
  <c r="V130" i="10" s="1"/>
  <c r="G130" i="11" s="1"/>
  <c r="V130" i="11" s="1"/>
  <c r="G130" i="12" s="1"/>
  <c r="V130" i="12" s="1"/>
  <c r="U130" i="6"/>
  <c r="F130" i="7" s="1"/>
  <c r="U130" i="7" s="1"/>
  <c r="F130" i="8" s="1"/>
  <c r="U130" i="8" s="1"/>
  <c r="F130" i="9" s="1"/>
  <c r="U130" i="9" s="1"/>
  <c r="F130" i="10" s="1"/>
  <c r="U130" i="10" s="1"/>
  <c r="F130" i="11" s="1"/>
  <c r="U130" i="11" s="1"/>
  <c r="F130" i="12" s="1"/>
  <c r="U130" i="12" s="1"/>
  <c r="T130" i="6"/>
  <c r="H130" i="6"/>
  <c r="S130" i="6" s="1"/>
  <c r="AI129" i="6"/>
  <c r="AF129" i="6"/>
  <c r="AC129" i="6"/>
  <c r="Z129" i="6"/>
  <c r="V129" i="6"/>
  <c r="G129" i="7" s="1"/>
  <c r="V129" i="7" s="1"/>
  <c r="G129" i="8" s="1"/>
  <c r="V129" i="8" s="1"/>
  <c r="G129" i="9" s="1"/>
  <c r="V129" i="9" s="1"/>
  <c r="G129" i="10" s="1"/>
  <c r="V129" i="10" s="1"/>
  <c r="G129" i="11" s="1"/>
  <c r="V129" i="11" s="1"/>
  <c r="G129" i="12" s="1"/>
  <c r="V129" i="12" s="1"/>
  <c r="U129" i="6"/>
  <c r="F129" i="7" s="1"/>
  <c r="U129" i="7" s="1"/>
  <c r="F129" i="8" s="1"/>
  <c r="U129" i="8" s="1"/>
  <c r="F129" i="9" s="1"/>
  <c r="U129" i="9" s="1"/>
  <c r="F129" i="10" s="1"/>
  <c r="U129" i="10" s="1"/>
  <c r="F129" i="11" s="1"/>
  <c r="U129" i="11" s="1"/>
  <c r="F129" i="12" s="1"/>
  <c r="U129" i="12" s="1"/>
  <c r="T129" i="6"/>
  <c r="H129" i="6"/>
  <c r="S129" i="6" s="1"/>
  <c r="AI128" i="6"/>
  <c r="AF128" i="6"/>
  <c r="AC128" i="6"/>
  <c r="Z128" i="6"/>
  <c r="V128" i="6"/>
  <c r="U128" i="6"/>
  <c r="T128" i="6"/>
  <c r="H128" i="6"/>
  <c r="S128" i="6" s="1"/>
  <c r="AI127" i="6"/>
  <c r="AF127" i="6"/>
  <c r="AC127" i="6"/>
  <c r="Z127" i="6"/>
  <c r="V127" i="6"/>
  <c r="G127" i="7" s="1"/>
  <c r="V127" i="7" s="1"/>
  <c r="G127" i="8" s="1"/>
  <c r="V127" i="8" s="1"/>
  <c r="G127" i="9" s="1"/>
  <c r="V127" i="9" s="1"/>
  <c r="G127" i="10" s="1"/>
  <c r="V127" i="10" s="1"/>
  <c r="G127" i="11" s="1"/>
  <c r="V127" i="11" s="1"/>
  <c r="G127" i="12" s="1"/>
  <c r="V127" i="12" s="1"/>
  <c r="U127" i="6"/>
  <c r="F127" i="7" s="1"/>
  <c r="U127" i="7" s="1"/>
  <c r="F127" i="8" s="1"/>
  <c r="U127" i="8" s="1"/>
  <c r="F127" i="9" s="1"/>
  <c r="U127" i="9" s="1"/>
  <c r="F127" i="10" s="1"/>
  <c r="U127" i="10" s="1"/>
  <c r="F127" i="11" s="1"/>
  <c r="U127" i="11" s="1"/>
  <c r="F127" i="12" s="1"/>
  <c r="U127" i="12" s="1"/>
  <c r="T127" i="6"/>
  <c r="E127" i="7" s="1"/>
  <c r="H127" i="6"/>
  <c r="S127" i="6" s="1"/>
  <c r="AI126" i="6"/>
  <c r="AF126" i="6"/>
  <c r="AC126" i="6"/>
  <c r="Z126" i="6"/>
  <c r="V126" i="6"/>
  <c r="G126" i="7" s="1"/>
  <c r="V126" i="7" s="1"/>
  <c r="G126" i="8" s="1"/>
  <c r="V126" i="8" s="1"/>
  <c r="G126" i="9" s="1"/>
  <c r="V126" i="9" s="1"/>
  <c r="G126" i="10" s="1"/>
  <c r="V126" i="10" s="1"/>
  <c r="G126" i="11" s="1"/>
  <c r="V126" i="11" s="1"/>
  <c r="G126" i="12" s="1"/>
  <c r="V126" i="12" s="1"/>
  <c r="U126" i="6"/>
  <c r="F126" i="7" s="1"/>
  <c r="U126" i="7" s="1"/>
  <c r="F126" i="8" s="1"/>
  <c r="U126" i="8" s="1"/>
  <c r="F126" i="9" s="1"/>
  <c r="U126" i="9" s="1"/>
  <c r="F126" i="10" s="1"/>
  <c r="U126" i="10" s="1"/>
  <c r="F126" i="11" s="1"/>
  <c r="U126" i="11" s="1"/>
  <c r="F126" i="12" s="1"/>
  <c r="U126" i="12" s="1"/>
  <c r="T126" i="6"/>
  <c r="E126" i="7" s="1"/>
  <c r="T126" i="7" s="1"/>
  <c r="H126" i="6"/>
  <c r="S126" i="6" s="1"/>
  <c r="AI125" i="6"/>
  <c r="AF125" i="6"/>
  <c r="AC125" i="6"/>
  <c r="Z125" i="6"/>
  <c r="V125" i="6"/>
  <c r="G125" i="7" s="1"/>
  <c r="V125" i="7" s="1"/>
  <c r="G125" i="8" s="1"/>
  <c r="V125" i="8" s="1"/>
  <c r="G125" i="9" s="1"/>
  <c r="V125" i="9" s="1"/>
  <c r="G125" i="10" s="1"/>
  <c r="V125" i="10" s="1"/>
  <c r="G125" i="11" s="1"/>
  <c r="V125" i="11" s="1"/>
  <c r="G125" i="12" s="1"/>
  <c r="V125" i="12" s="1"/>
  <c r="U125" i="6"/>
  <c r="F125" i="7" s="1"/>
  <c r="U125" i="7" s="1"/>
  <c r="F125" i="8" s="1"/>
  <c r="U125" i="8" s="1"/>
  <c r="F125" i="9" s="1"/>
  <c r="U125" i="9" s="1"/>
  <c r="F125" i="10" s="1"/>
  <c r="U125" i="10" s="1"/>
  <c r="F125" i="11" s="1"/>
  <c r="U125" i="11" s="1"/>
  <c r="F125" i="12" s="1"/>
  <c r="U125" i="12" s="1"/>
  <c r="T125" i="6"/>
  <c r="H125" i="6"/>
  <c r="S125" i="6" s="1"/>
  <c r="AI124" i="6"/>
  <c r="AF124" i="6"/>
  <c r="AC124" i="6"/>
  <c r="Z124" i="6"/>
  <c r="V124" i="6"/>
  <c r="G124" i="7" s="1"/>
  <c r="V124" i="7" s="1"/>
  <c r="G124" i="8" s="1"/>
  <c r="V124" i="8" s="1"/>
  <c r="G124" i="9" s="1"/>
  <c r="V124" i="9" s="1"/>
  <c r="G124" i="10" s="1"/>
  <c r="V124" i="10" s="1"/>
  <c r="G124" i="11" s="1"/>
  <c r="V124" i="11" s="1"/>
  <c r="G124" i="12" s="1"/>
  <c r="V124" i="12" s="1"/>
  <c r="U124" i="6"/>
  <c r="F124" i="7" s="1"/>
  <c r="U124" i="7" s="1"/>
  <c r="F124" i="8" s="1"/>
  <c r="U124" i="8" s="1"/>
  <c r="F124" i="9" s="1"/>
  <c r="U124" i="9" s="1"/>
  <c r="F124" i="10" s="1"/>
  <c r="U124" i="10" s="1"/>
  <c r="F124" i="11" s="1"/>
  <c r="U124" i="11" s="1"/>
  <c r="F124" i="12" s="1"/>
  <c r="U124" i="12" s="1"/>
  <c r="F173" i="20" s="1" a="1"/>
  <c r="F173" i="20" s="1"/>
  <c r="Z173" i="20" s="1"/>
  <c r="F174" i="13" s="1" a="1"/>
  <c r="F174" i="13" s="1"/>
  <c r="T124" i="6"/>
  <c r="E124" i="7" s="1"/>
  <c r="H124" i="6"/>
  <c r="S124" i="6" s="1"/>
  <c r="AI123" i="6"/>
  <c r="AF123" i="6"/>
  <c r="AC123" i="6"/>
  <c r="Z123" i="6"/>
  <c r="AI122" i="6"/>
  <c r="AF122" i="6"/>
  <c r="AC122" i="6"/>
  <c r="Z122" i="6"/>
  <c r="AI121" i="6"/>
  <c r="AF121" i="6"/>
  <c r="AC121" i="6"/>
  <c r="Z121" i="6"/>
  <c r="V121" i="6"/>
  <c r="G121" i="7" s="1"/>
  <c r="V121" i="7" s="1"/>
  <c r="G121" i="8" s="1"/>
  <c r="V121" i="8" s="1"/>
  <c r="G121" i="9" s="1"/>
  <c r="V121" i="9" s="1"/>
  <c r="G121" i="10" s="1"/>
  <c r="V121" i="10" s="1"/>
  <c r="G121" i="11" s="1"/>
  <c r="V121" i="11" s="1"/>
  <c r="G121" i="12" s="1"/>
  <c r="V121" i="12" s="1"/>
  <c r="U121" i="6"/>
  <c r="F121" i="7" s="1"/>
  <c r="U121" i="7" s="1"/>
  <c r="F121" i="8" s="1"/>
  <c r="U121" i="8" s="1"/>
  <c r="F121" i="9" s="1"/>
  <c r="U121" i="9" s="1"/>
  <c r="F121" i="10" s="1"/>
  <c r="U121" i="10" s="1"/>
  <c r="F121" i="11" s="1"/>
  <c r="U121" i="11" s="1"/>
  <c r="F121" i="12" s="1"/>
  <c r="U121" i="12" s="1"/>
  <c r="F172" i="20" s="1" a="1"/>
  <c r="F172" i="20" s="1"/>
  <c r="T121" i="6"/>
  <c r="H121" i="6"/>
  <c r="S121" i="6" s="1"/>
  <c r="AI120" i="6"/>
  <c r="AF120" i="6"/>
  <c r="AC120" i="6"/>
  <c r="Z120" i="6"/>
  <c r="V120" i="6"/>
  <c r="G120" i="7" s="1"/>
  <c r="V120" i="7" s="1"/>
  <c r="G120" i="8" s="1"/>
  <c r="V120" i="8" s="1"/>
  <c r="G120" i="9" s="1"/>
  <c r="V120" i="9" s="1"/>
  <c r="G120" i="10" s="1"/>
  <c r="V120" i="10" s="1"/>
  <c r="G120" i="11" s="1"/>
  <c r="V120" i="11" s="1"/>
  <c r="G120" i="12" s="1"/>
  <c r="V120" i="12" s="1"/>
  <c r="U120" i="6"/>
  <c r="F120" i="7" s="1"/>
  <c r="U120" i="7" s="1"/>
  <c r="F120" i="8" s="1"/>
  <c r="U120" i="8" s="1"/>
  <c r="F120" i="9" s="1"/>
  <c r="U120" i="9" s="1"/>
  <c r="F120" i="10" s="1"/>
  <c r="U120" i="10" s="1"/>
  <c r="F120" i="11" s="1"/>
  <c r="U120" i="11" s="1"/>
  <c r="F120" i="12" s="1"/>
  <c r="U120" i="12" s="1"/>
  <c r="T120" i="6"/>
  <c r="E120" i="7" s="1"/>
  <c r="T120" i="7" s="1"/>
  <c r="H120" i="6"/>
  <c r="S120" i="6" s="1"/>
  <c r="AI119" i="6"/>
  <c r="AF119" i="6"/>
  <c r="AC119" i="6"/>
  <c r="Z119" i="6"/>
  <c r="AI118" i="6"/>
  <c r="AF118" i="6"/>
  <c r="AC118" i="6"/>
  <c r="Z118" i="6"/>
  <c r="V118" i="6"/>
  <c r="G118" i="7" s="1"/>
  <c r="V118" i="7" s="1"/>
  <c r="G118" i="8" s="1"/>
  <c r="V118" i="8" s="1"/>
  <c r="G118" i="9" s="1"/>
  <c r="V118" i="9" s="1"/>
  <c r="G118" i="10" s="1"/>
  <c r="V118" i="10" s="1"/>
  <c r="G118" i="11" s="1"/>
  <c r="V118" i="11" s="1"/>
  <c r="G118" i="12" s="1"/>
  <c r="V118" i="12" s="1"/>
  <c r="U118" i="6"/>
  <c r="F118" i="7" s="1"/>
  <c r="U118" i="7" s="1"/>
  <c r="F118" i="8" s="1"/>
  <c r="U118" i="8" s="1"/>
  <c r="F118" i="9" s="1"/>
  <c r="U118" i="9" s="1"/>
  <c r="F118" i="10" s="1"/>
  <c r="U118" i="10" s="1"/>
  <c r="F118" i="11" s="1"/>
  <c r="U118" i="11" s="1"/>
  <c r="F118" i="12" s="1"/>
  <c r="U118" i="12" s="1"/>
  <c r="T118" i="6"/>
  <c r="H118" i="6"/>
  <c r="S118" i="6" s="1"/>
  <c r="AI117" i="6"/>
  <c r="AF117" i="6"/>
  <c r="AC117" i="6"/>
  <c r="Z117" i="6"/>
  <c r="V117" i="6"/>
  <c r="G117" i="7" s="1"/>
  <c r="V117" i="7" s="1"/>
  <c r="G117" i="8" s="1"/>
  <c r="V117" i="8" s="1"/>
  <c r="G117" i="9" s="1"/>
  <c r="V117" i="9" s="1"/>
  <c r="G117" i="10" s="1"/>
  <c r="V117" i="10" s="1"/>
  <c r="G117" i="11" s="1"/>
  <c r="V117" i="11" s="1"/>
  <c r="G117" i="12" s="1"/>
  <c r="V117" i="12" s="1"/>
  <c r="U117" i="6"/>
  <c r="F117" i="7" s="1"/>
  <c r="U117" i="7" s="1"/>
  <c r="F117" i="8" s="1"/>
  <c r="U117" i="8" s="1"/>
  <c r="F117" i="9" s="1"/>
  <c r="U117" i="9" s="1"/>
  <c r="F117" i="10" s="1"/>
  <c r="U117" i="10" s="1"/>
  <c r="F117" i="11" s="1"/>
  <c r="U117" i="11" s="1"/>
  <c r="F117" i="12" s="1"/>
  <c r="U117" i="12" s="1"/>
  <c r="T117" i="6"/>
  <c r="E117" i="7" s="1"/>
  <c r="T117" i="7" s="1"/>
  <c r="H117" i="6"/>
  <c r="S117" i="6" s="1"/>
  <c r="AI116" i="6"/>
  <c r="AF116" i="6"/>
  <c r="AC116" i="6"/>
  <c r="Z116" i="6"/>
  <c r="V116" i="6"/>
  <c r="G116" i="7" s="1"/>
  <c r="V116" i="7" s="1"/>
  <c r="G116" i="8" s="1"/>
  <c r="V116" i="8" s="1"/>
  <c r="G116" i="9" s="1"/>
  <c r="V116" i="9" s="1"/>
  <c r="G116" i="10" s="1"/>
  <c r="V116" i="10" s="1"/>
  <c r="G116" i="11" s="1"/>
  <c r="V116" i="11" s="1"/>
  <c r="G116" i="12" s="1"/>
  <c r="V116" i="12" s="1"/>
  <c r="U116" i="6"/>
  <c r="F116" i="7" s="1"/>
  <c r="U116" i="7" s="1"/>
  <c r="F116" i="8" s="1"/>
  <c r="U116" i="8" s="1"/>
  <c r="F116" i="9" s="1"/>
  <c r="U116" i="9" s="1"/>
  <c r="F116" i="10" s="1"/>
  <c r="U116" i="10" s="1"/>
  <c r="F116" i="11" s="1"/>
  <c r="U116" i="11" s="1"/>
  <c r="F116" i="12" s="1"/>
  <c r="U116" i="12" s="1"/>
  <c r="F168" i="20" s="1" a="1"/>
  <c r="F168" i="20" s="1"/>
  <c r="Z168" i="20" s="1"/>
  <c r="F169" i="13" s="1" a="1"/>
  <c r="F169" i="13" s="1"/>
  <c r="T116" i="6"/>
  <c r="H116" i="6"/>
  <c r="S116" i="6" s="1"/>
  <c r="AI115" i="6"/>
  <c r="AF115" i="6"/>
  <c r="AC115" i="6"/>
  <c r="Z115" i="6"/>
  <c r="V115" i="6"/>
  <c r="G115" i="7" s="1"/>
  <c r="V115" i="7" s="1"/>
  <c r="G115" i="8" s="1"/>
  <c r="V115" i="8" s="1"/>
  <c r="G115" i="9" s="1"/>
  <c r="V115" i="9" s="1"/>
  <c r="G115" i="10" s="1"/>
  <c r="V115" i="10" s="1"/>
  <c r="G115" i="11" s="1"/>
  <c r="V115" i="11" s="1"/>
  <c r="G115" i="12" s="1"/>
  <c r="V115" i="12" s="1"/>
  <c r="U115" i="6"/>
  <c r="F115" i="7" s="1"/>
  <c r="U115" i="7" s="1"/>
  <c r="F115" i="8" s="1"/>
  <c r="U115" i="8" s="1"/>
  <c r="F115" i="9" s="1"/>
  <c r="U115" i="9" s="1"/>
  <c r="F115" i="10" s="1"/>
  <c r="U115" i="10" s="1"/>
  <c r="F115" i="11" s="1"/>
  <c r="U115" i="11" s="1"/>
  <c r="F115" i="12" s="1"/>
  <c r="U115" i="12" s="1"/>
  <c r="T115" i="6"/>
  <c r="H115" i="6"/>
  <c r="S115" i="6" s="1"/>
  <c r="AI114" i="6"/>
  <c r="AF114" i="6"/>
  <c r="AC114" i="6"/>
  <c r="Z114" i="6"/>
  <c r="AI113" i="6"/>
  <c r="AF113" i="6"/>
  <c r="AC113" i="6"/>
  <c r="Z113" i="6"/>
  <c r="AI112" i="6"/>
  <c r="AF112" i="6"/>
  <c r="AC112" i="6"/>
  <c r="Z112" i="6"/>
  <c r="AI111" i="6"/>
  <c r="AF111" i="6"/>
  <c r="AC111" i="6"/>
  <c r="Z111" i="6"/>
  <c r="AI110" i="6"/>
  <c r="AF110" i="6"/>
  <c r="AC110" i="6"/>
  <c r="Z110" i="6"/>
  <c r="AI109" i="6"/>
  <c r="AF109" i="6"/>
  <c r="AC109" i="6"/>
  <c r="Z109" i="6"/>
  <c r="AI108" i="6"/>
  <c r="AF108" i="6"/>
  <c r="AC108" i="6"/>
  <c r="Z108" i="6"/>
  <c r="V108" i="6"/>
  <c r="G108" i="7" s="1"/>
  <c r="V108" i="7" s="1"/>
  <c r="G108" i="8" s="1"/>
  <c r="V108" i="8" s="1"/>
  <c r="G108" i="9" s="1"/>
  <c r="V108" i="9" s="1"/>
  <c r="G108" i="10" s="1"/>
  <c r="V108" i="10" s="1"/>
  <c r="G108" i="11" s="1"/>
  <c r="V108" i="11" s="1"/>
  <c r="G108" i="12" s="1"/>
  <c r="V108" i="12" s="1"/>
  <c r="U108" i="6"/>
  <c r="T108" i="6"/>
  <c r="E108" i="7" s="1"/>
  <c r="T108" i="7" s="1"/>
  <c r="H108" i="6"/>
  <c r="S108" i="6" s="1"/>
  <c r="AI107" i="6"/>
  <c r="AF107" i="6"/>
  <c r="AC107" i="6"/>
  <c r="Z107" i="6"/>
  <c r="V107" i="6"/>
  <c r="G107" i="7" s="1"/>
  <c r="V107" i="7" s="1"/>
  <c r="G107" i="8" s="1"/>
  <c r="V107" i="8" s="1"/>
  <c r="G107" i="9" s="1"/>
  <c r="V107" i="9" s="1"/>
  <c r="G107" i="10" s="1"/>
  <c r="V107" i="10" s="1"/>
  <c r="G107" i="11" s="1"/>
  <c r="V107" i="11" s="1"/>
  <c r="G107" i="12" s="1"/>
  <c r="V107" i="12" s="1"/>
  <c r="U107" i="6"/>
  <c r="F107" i="7" s="1"/>
  <c r="U107" i="7" s="1"/>
  <c r="F107" i="8" s="1"/>
  <c r="U107" i="8" s="1"/>
  <c r="F107" i="9" s="1"/>
  <c r="U107" i="9" s="1"/>
  <c r="F107" i="10" s="1"/>
  <c r="U107" i="10" s="1"/>
  <c r="F107" i="11" s="1"/>
  <c r="U107" i="11" s="1"/>
  <c r="F107" i="12" s="1"/>
  <c r="U107" i="12" s="1"/>
  <c r="T107" i="6"/>
  <c r="E107" i="7" s="1"/>
  <c r="H107" i="6"/>
  <c r="S107" i="6" s="1"/>
  <c r="AI106" i="6"/>
  <c r="AF106" i="6"/>
  <c r="AC106" i="6"/>
  <c r="Z106" i="6"/>
  <c r="V106" i="6"/>
  <c r="G106" i="7" s="1"/>
  <c r="V106" i="7" s="1"/>
  <c r="G106" i="8" s="1"/>
  <c r="V106" i="8" s="1"/>
  <c r="G106" i="9" s="1"/>
  <c r="V106" i="9" s="1"/>
  <c r="G106" i="10" s="1"/>
  <c r="V106" i="10" s="1"/>
  <c r="G106" i="11" s="1"/>
  <c r="V106" i="11" s="1"/>
  <c r="G106" i="12" s="1"/>
  <c r="V106" i="12" s="1"/>
  <c r="U106" i="6"/>
  <c r="F106" i="7" s="1"/>
  <c r="U106" i="7" s="1"/>
  <c r="F106" i="8" s="1"/>
  <c r="U106" i="8" s="1"/>
  <c r="F106" i="9" s="1"/>
  <c r="U106" i="9" s="1"/>
  <c r="F106" i="10" s="1"/>
  <c r="U106" i="10" s="1"/>
  <c r="F106" i="11" s="1"/>
  <c r="U106" i="11" s="1"/>
  <c r="F106" i="12" s="1"/>
  <c r="U106" i="12" s="1"/>
  <c r="T106" i="6"/>
  <c r="H106" i="6"/>
  <c r="S106" i="6" s="1"/>
  <c r="AI105" i="6"/>
  <c r="AF105" i="6"/>
  <c r="AC105" i="6"/>
  <c r="Z105" i="6"/>
  <c r="AI104" i="6"/>
  <c r="AF104" i="6"/>
  <c r="AC104" i="6"/>
  <c r="Z104" i="6"/>
  <c r="V104" i="6"/>
  <c r="U104" i="6"/>
  <c r="T104" i="6"/>
  <c r="H104" i="6"/>
  <c r="S104" i="6" s="1"/>
  <c r="AI103" i="6"/>
  <c r="AF103" i="6"/>
  <c r="AC103" i="6"/>
  <c r="Z103" i="6"/>
  <c r="V103" i="6"/>
  <c r="G103" i="7" s="1"/>
  <c r="V103" i="7" s="1"/>
  <c r="G103" i="8" s="1"/>
  <c r="V103" i="8" s="1"/>
  <c r="G103" i="9" s="1"/>
  <c r="V103" i="9" s="1"/>
  <c r="G103" i="10" s="1"/>
  <c r="V103" i="10" s="1"/>
  <c r="G103" i="11" s="1"/>
  <c r="V103" i="11" s="1"/>
  <c r="G103" i="12" s="1"/>
  <c r="V103" i="12" s="1"/>
  <c r="U103" i="6"/>
  <c r="F103" i="7" s="1"/>
  <c r="U103" i="7" s="1"/>
  <c r="F103" i="8" s="1"/>
  <c r="U103" i="8" s="1"/>
  <c r="F103" i="9" s="1"/>
  <c r="U103" i="9" s="1"/>
  <c r="F103" i="10" s="1"/>
  <c r="U103" i="10" s="1"/>
  <c r="F103" i="11" s="1"/>
  <c r="U103" i="11" s="1"/>
  <c r="F103" i="12" s="1"/>
  <c r="U103" i="12" s="1"/>
  <c r="T103" i="6"/>
  <c r="E103" i="7" s="1"/>
  <c r="H103" i="6"/>
  <c r="S103" i="6" s="1"/>
  <c r="AI102" i="6"/>
  <c r="AF102" i="6"/>
  <c r="AC102" i="6"/>
  <c r="Z102" i="6"/>
  <c r="V102" i="6"/>
  <c r="G102" i="7" s="1"/>
  <c r="V102" i="7" s="1"/>
  <c r="G102" i="8" s="1"/>
  <c r="V102" i="8" s="1"/>
  <c r="G102" i="9" s="1"/>
  <c r="V102" i="9" s="1"/>
  <c r="G102" i="10" s="1"/>
  <c r="V102" i="10" s="1"/>
  <c r="G102" i="11" s="1"/>
  <c r="V102" i="11" s="1"/>
  <c r="G102" i="12" s="1"/>
  <c r="V102" i="12" s="1"/>
  <c r="U102" i="6"/>
  <c r="F102" i="7" s="1"/>
  <c r="U102" i="7" s="1"/>
  <c r="F102" i="8" s="1"/>
  <c r="U102" i="8" s="1"/>
  <c r="F102" i="9" s="1"/>
  <c r="U102" i="9" s="1"/>
  <c r="F102" i="10" s="1"/>
  <c r="U102" i="10" s="1"/>
  <c r="F102" i="11" s="1"/>
  <c r="U102" i="11" s="1"/>
  <c r="F102" i="12" s="1"/>
  <c r="U102" i="12" s="1"/>
  <c r="T102" i="6"/>
  <c r="H102" i="6"/>
  <c r="S102" i="6" s="1"/>
  <c r="AI101" i="6"/>
  <c r="AF101" i="6"/>
  <c r="AC101" i="6"/>
  <c r="Z101" i="6"/>
  <c r="V101" i="6"/>
  <c r="G101" i="7" s="1"/>
  <c r="V101" i="7" s="1"/>
  <c r="G101" i="8" s="1"/>
  <c r="V101" i="8" s="1"/>
  <c r="G101" i="9" s="1"/>
  <c r="V101" i="9" s="1"/>
  <c r="G101" i="10" s="1"/>
  <c r="V101" i="10" s="1"/>
  <c r="G101" i="11" s="1"/>
  <c r="V101" i="11" s="1"/>
  <c r="G101" i="12" s="1"/>
  <c r="V101" i="12" s="1"/>
  <c r="U101" i="6"/>
  <c r="F101" i="7" s="1"/>
  <c r="U101" i="7" s="1"/>
  <c r="F101" i="8" s="1"/>
  <c r="U101" i="8" s="1"/>
  <c r="F101" i="9" s="1"/>
  <c r="U101" i="9" s="1"/>
  <c r="F101" i="10" s="1"/>
  <c r="U101" i="10" s="1"/>
  <c r="F101" i="11" s="1"/>
  <c r="U101" i="11" s="1"/>
  <c r="F101" i="12" s="1"/>
  <c r="U101" i="12" s="1"/>
  <c r="T101" i="6"/>
  <c r="E101" i="7" s="1"/>
  <c r="H101" i="6"/>
  <c r="S101" i="6" s="1"/>
  <c r="AI100" i="6"/>
  <c r="AF100" i="6"/>
  <c r="AC100" i="6"/>
  <c r="Z100" i="6"/>
  <c r="V100" i="6"/>
  <c r="U100" i="6"/>
  <c r="T100" i="6"/>
  <c r="H100" i="6"/>
  <c r="S100" i="6" s="1"/>
  <c r="AI99" i="6"/>
  <c r="AF99" i="6"/>
  <c r="AC99" i="6"/>
  <c r="Z99" i="6"/>
  <c r="V99" i="6"/>
  <c r="G99" i="7" s="1"/>
  <c r="V99" i="7" s="1"/>
  <c r="G99" i="8" s="1"/>
  <c r="V99" i="8" s="1"/>
  <c r="G99" i="9" s="1"/>
  <c r="V99" i="9" s="1"/>
  <c r="G99" i="10" s="1"/>
  <c r="V99" i="10" s="1"/>
  <c r="G99" i="11" s="1"/>
  <c r="V99" i="11" s="1"/>
  <c r="G99" i="12" s="1"/>
  <c r="V99" i="12" s="1"/>
  <c r="U99" i="6"/>
  <c r="F99" i="7" s="1"/>
  <c r="U99" i="7" s="1"/>
  <c r="F99" i="8" s="1"/>
  <c r="U99" i="8" s="1"/>
  <c r="F99" i="9" s="1"/>
  <c r="U99" i="9" s="1"/>
  <c r="F99" i="10" s="1"/>
  <c r="U99" i="10" s="1"/>
  <c r="F99" i="11" s="1"/>
  <c r="U99" i="11" s="1"/>
  <c r="F99" i="12" s="1"/>
  <c r="U99" i="12" s="1"/>
  <c r="T99" i="6"/>
  <c r="H99" i="6"/>
  <c r="S99" i="6" s="1"/>
  <c r="AI98" i="6"/>
  <c r="AF98" i="6"/>
  <c r="AC98" i="6"/>
  <c r="Z98" i="6"/>
  <c r="AI97" i="6"/>
  <c r="AF97" i="6"/>
  <c r="AC97" i="6"/>
  <c r="Z97" i="6"/>
  <c r="V97" i="6"/>
  <c r="G97" i="7" s="1"/>
  <c r="V97" i="7" s="1"/>
  <c r="G97" i="8" s="1"/>
  <c r="V97" i="8" s="1"/>
  <c r="G97" i="9" s="1"/>
  <c r="V97" i="9" s="1"/>
  <c r="G97" i="10" s="1"/>
  <c r="V97" i="10" s="1"/>
  <c r="G97" i="11" s="1"/>
  <c r="V97" i="11" s="1"/>
  <c r="G97" i="12" s="1"/>
  <c r="V97" i="12" s="1"/>
  <c r="U97" i="6"/>
  <c r="F97" i="7" s="1"/>
  <c r="U97" i="7" s="1"/>
  <c r="F97" i="8" s="1"/>
  <c r="U97" i="8" s="1"/>
  <c r="F97" i="9" s="1"/>
  <c r="U97" i="9" s="1"/>
  <c r="F97" i="10" s="1"/>
  <c r="U97" i="10" s="1"/>
  <c r="F97" i="11" s="1"/>
  <c r="U97" i="11" s="1"/>
  <c r="F97" i="12" s="1"/>
  <c r="U97" i="12" s="1"/>
  <c r="T97" i="6"/>
  <c r="E97" i="7" s="1"/>
  <c r="T97" i="7" s="1"/>
  <c r="E97" i="8" s="1"/>
  <c r="H97" i="6"/>
  <c r="S97" i="6" s="1"/>
  <c r="AI96" i="6"/>
  <c r="AF96" i="6"/>
  <c r="AC96" i="6"/>
  <c r="Z96" i="6"/>
  <c r="V96" i="6"/>
  <c r="G96" i="7" s="1"/>
  <c r="V96" i="7" s="1"/>
  <c r="G96" i="8" s="1"/>
  <c r="V96" i="8" s="1"/>
  <c r="G96" i="9" s="1"/>
  <c r="V96" i="9" s="1"/>
  <c r="G96" i="10" s="1"/>
  <c r="V96" i="10" s="1"/>
  <c r="G96" i="11" s="1"/>
  <c r="V96" i="11" s="1"/>
  <c r="G96" i="12" s="1"/>
  <c r="V96" i="12" s="1"/>
  <c r="U96" i="6"/>
  <c r="F96" i="7" s="1"/>
  <c r="U96" i="7" s="1"/>
  <c r="F96" i="8" s="1"/>
  <c r="U96" i="8" s="1"/>
  <c r="F96" i="9" s="1"/>
  <c r="U96" i="9" s="1"/>
  <c r="F96" i="10" s="1"/>
  <c r="U96" i="10" s="1"/>
  <c r="F96" i="11" s="1"/>
  <c r="U96" i="11" s="1"/>
  <c r="F96" i="12" s="1"/>
  <c r="U96" i="12" s="1"/>
  <c r="F160" i="20" s="1" a="1"/>
  <c r="F160" i="20" s="1"/>
  <c r="Z160" i="20" s="1"/>
  <c r="F161" i="13" s="1" a="1"/>
  <c r="F161" i="13" s="1"/>
  <c r="T96" i="6"/>
  <c r="E96" i="7" s="1"/>
  <c r="H96" i="6"/>
  <c r="S96" i="6" s="1"/>
  <c r="AI95" i="6"/>
  <c r="AF95" i="6"/>
  <c r="AC95" i="6"/>
  <c r="Z95" i="6"/>
  <c r="V95" i="6"/>
  <c r="G95" i="7" s="1"/>
  <c r="V95" i="7" s="1"/>
  <c r="G95" i="8" s="1"/>
  <c r="V95" i="8" s="1"/>
  <c r="G95" i="9" s="1"/>
  <c r="V95" i="9" s="1"/>
  <c r="G95" i="10" s="1"/>
  <c r="V95" i="10" s="1"/>
  <c r="G95" i="11" s="1"/>
  <c r="V95" i="11" s="1"/>
  <c r="G95" i="12" s="1"/>
  <c r="V95" i="12" s="1"/>
  <c r="U95" i="6"/>
  <c r="F95" i="7" s="1"/>
  <c r="U95" i="7" s="1"/>
  <c r="F95" i="8" s="1"/>
  <c r="U95" i="8" s="1"/>
  <c r="F95" i="9" s="1"/>
  <c r="U95" i="9" s="1"/>
  <c r="F95" i="10" s="1"/>
  <c r="U95" i="10" s="1"/>
  <c r="F95" i="11" s="1"/>
  <c r="U95" i="11" s="1"/>
  <c r="F95" i="12" s="1"/>
  <c r="U95" i="12" s="1"/>
  <c r="T95" i="6"/>
  <c r="H95" i="6"/>
  <c r="S95" i="6" s="1"/>
  <c r="AI94" i="6"/>
  <c r="AF94" i="6"/>
  <c r="AC94" i="6"/>
  <c r="Z94" i="6"/>
  <c r="V94" i="6"/>
  <c r="G94" i="7" s="1"/>
  <c r="V94" i="7" s="1"/>
  <c r="G94" i="8" s="1"/>
  <c r="V94" i="8" s="1"/>
  <c r="G94" i="9" s="1"/>
  <c r="V94" i="9" s="1"/>
  <c r="G94" i="10" s="1"/>
  <c r="V94" i="10" s="1"/>
  <c r="G94" i="11" s="1"/>
  <c r="V94" i="11" s="1"/>
  <c r="G94" i="12" s="1"/>
  <c r="V94" i="12" s="1"/>
  <c r="U94" i="6"/>
  <c r="F94" i="7" s="1"/>
  <c r="U94" i="7" s="1"/>
  <c r="F94" i="8" s="1"/>
  <c r="U94" i="8" s="1"/>
  <c r="F94" i="9" s="1"/>
  <c r="U94" i="9" s="1"/>
  <c r="F94" i="10" s="1"/>
  <c r="U94" i="10" s="1"/>
  <c r="F94" i="11" s="1"/>
  <c r="U94" i="11" s="1"/>
  <c r="F94" i="12" s="1"/>
  <c r="U94" i="12" s="1"/>
  <c r="T94" i="6"/>
  <c r="E94" i="7" s="1"/>
  <c r="H94" i="6"/>
  <c r="S94" i="6" s="1"/>
  <c r="AI93" i="6"/>
  <c r="AF93" i="6"/>
  <c r="AC93" i="6"/>
  <c r="Z93" i="6"/>
  <c r="AI92" i="6"/>
  <c r="AF92" i="6"/>
  <c r="AC92" i="6"/>
  <c r="Z92" i="6"/>
  <c r="AI91" i="6"/>
  <c r="AF91" i="6"/>
  <c r="AC91" i="6"/>
  <c r="Z91" i="6"/>
  <c r="V91" i="6"/>
  <c r="G91" i="7" s="1"/>
  <c r="V91" i="7" s="1"/>
  <c r="G91" i="8" s="1"/>
  <c r="V91" i="8" s="1"/>
  <c r="G91" i="9" s="1"/>
  <c r="V91" i="9" s="1"/>
  <c r="G91" i="10" s="1"/>
  <c r="V91" i="10" s="1"/>
  <c r="G91" i="11" s="1"/>
  <c r="V91" i="11" s="1"/>
  <c r="G91" i="12" s="1"/>
  <c r="V91" i="12" s="1"/>
  <c r="U91" i="6"/>
  <c r="F91" i="7" s="1"/>
  <c r="U91" i="7" s="1"/>
  <c r="F91" i="8" s="1"/>
  <c r="U91" i="8" s="1"/>
  <c r="F91" i="9" s="1"/>
  <c r="U91" i="9" s="1"/>
  <c r="F91" i="10" s="1"/>
  <c r="U91" i="10" s="1"/>
  <c r="F91" i="11" s="1"/>
  <c r="U91" i="11" s="1"/>
  <c r="F91" i="12" s="1"/>
  <c r="U91" i="12" s="1"/>
  <c r="T91" i="6"/>
  <c r="H91" i="6"/>
  <c r="S91" i="6" s="1"/>
  <c r="AI90" i="6"/>
  <c r="AF90" i="6"/>
  <c r="AC90" i="6"/>
  <c r="Z90" i="6"/>
  <c r="V90" i="6"/>
  <c r="G90" i="7" s="1"/>
  <c r="V90" i="7" s="1"/>
  <c r="G90" i="8" s="1"/>
  <c r="V90" i="8" s="1"/>
  <c r="G90" i="9" s="1"/>
  <c r="V90" i="9" s="1"/>
  <c r="G90" i="10" s="1"/>
  <c r="V90" i="10" s="1"/>
  <c r="G90" i="11" s="1"/>
  <c r="V90" i="11" s="1"/>
  <c r="G90" i="12" s="1"/>
  <c r="V90" i="12" s="1"/>
  <c r="U90" i="6"/>
  <c r="F90" i="7" s="1"/>
  <c r="U90" i="7" s="1"/>
  <c r="F90" i="8" s="1"/>
  <c r="U90" i="8" s="1"/>
  <c r="F90" i="9" s="1"/>
  <c r="U90" i="9" s="1"/>
  <c r="F90" i="10" s="1"/>
  <c r="U90" i="10" s="1"/>
  <c r="F90" i="11" s="1"/>
  <c r="U90" i="11" s="1"/>
  <c r="F90" i="12" s="1"/>
  <c r="U90" i="12" s="1"/>
  <c r="T90" i="6"/>
  <c r="E90" i="7" s="1"/>
  <c r="T90" i="7" s="1"/>
  <c r="E90" i="8" s="1"/>
  <c r="H90" i="6"/>
  <c r="S90" i="6" s="1"/>
  <c r="AI89" i="6"/>
  <c r="AF89" i="6"/>
  <c r="AC89" i="6"/>
  <c r="Z89" i="6"/>
  <c r="V89" i="6"/>
  <c r="G89" i="7" s="1"/>
  <c r="V89" i="7" s="1"/>
  <c r="G89" i="8" s="1"/>
  <c r="V89" i="8" s="1"/>
  <c r="G89" i="9" s="1"/>
  <c r="V89" i="9" s="1"/>
  <c r="G89" i="10" s="1"/>
  <c r="V89" i="10" s="1"/>
  <c r="G89" i="11" s="1"/>
  <c r="V89" i="11" s="1"/>
  <c r="G89" i="12" s="1"/>
  <c r="V89" i="12" s="1"/>
  <c r="U89" i="6"/>
  <c r="F89" i="7" s="1"/>
  <c r="U89" i="7" s="1"/>
  <c r="F89" i="8" s="1"/>
  <c r="U89" i="8" s="1"/>
  <c r="F89" i="9" s="1"/>
  <c r="U89" i="9" s="1"/>
  <c r="F89" i="10" s="1"/>
  <c r="U89" i="10" s="1"/>
  <c r="F89" i="11" s="1"/>
  <c r="U89" i="11" s="1"/>
  <c r="F89" i="12" s="1"/>
  <c r="U89" i="12" s="1"/>
  <c r="F108" i="20" s="1" a="1"/>
  <c r="F108" i="20" s="1"/>
  <c r="T89" i="6"/>
  <c r="E89" i="7" s="1"/>
  <c r="T89" i="7" s="1"/>
  <c r="H89" i="6"/>
  <c r="S89" i="6" s="1"/>
  <c r="AI88" i="6"/>
  <c r="AF88" i="6"/>
  <c r="AC88" i="6"/>
  <c r="Z88" i="6"/>
  <c r="V88" i="6"/>
  <c r="G88" i="7" s="1"/>
  <c r="V88" i="7" s="1"/>
  <c r="G88" i="8" s="1"/>
  <c r="V88" i="8" s="1"/>
  <c r="G88" i="9" s="1"/>
  <c r="V88" i="9" s="1"/>
  <c r="G88" i="10" s="1"/>
  <c r="V88" i="10" s="1"/>
  <c r="G88" i="11" s="1"/>
  <c r="V88" i="11" s="1"/>
  <c r="G88" i="12" s="1"/>
  <c r="V88" i="12" s="1"/>
  <c r="U88" i="6"/>
  <c r="F88" i="7" s="1"/>
  <c r="U88" i="7" s="1"/>
  <c r="F88" i="8" s="1"/>
  <c r="U88" i="8" s="1"/>
  <c r="F88" i="9" s="1"/>
  <c r="U88" i="9" s="1"/>
  <c r="F88" i="10" s="1"/>
  <c r="U88" i="10" s="1"/>
  <c r="F88" i="11" s="1"/>
  <c r="U88" i="11" s="1"/>
  <c r="F88" i="12" s="1"/>
  <c r="U88" i="12" s="1"/>
  <c r="F156" i="20" s="1" a="1"/>
  <c r="F156" i="20" s="1"/>
  <c r="Z156" i="20" s="1"/>
  <c r="F157" i="13" s="1" a="1"/>
  <c r="F157" i="13" s="1"/>
  <c r="T88" i="6"/>
  <c r="H88" i="6"/>
  <c r="S88" i="6" s="1"/>
  <c r="AI87" i="6"/>
  <c r="AF87" i="6"/>
  <c r="AC87" i="6"/>
  <c r="Z87" i="6"/>
  <c r="V87" i="6"/>
  <c r="G87" i="7" s="1"/>
  <c r="V87" i="7" s="1"/>
  <c r="G87" i="8" s="1"/>
  <c r="V87" i="8" s="1"/>
  <c r="G87" i="9" s="1"/>
  <c r="V87" i="9" s="1"/>
  <c r="G87" i="10" s="1"/>
  <c r="V87" i="10" s="1"/>
  <c r="G87" i="11" s="1"/>
  <c r="V87" i="11" s="1"/>
  <c r="G87" i="12" s="1"/>
  <c r="V87" i="12" s="1"/>
  <c r="U87" i="6"/>
  <c r="F87" i="7" s="1"/>
  <c r="U87" i="7" s="1"/>
  <c r="F87" i="8" s="1"/>
  <c r="U87" i="8" s="1"/>
  <c r="F87" i="9" s="1"/>
  <c r="U87" i="9" s="1"/>
  <c r="F87" i="10" s="1"/>
  <c r="U87" i="10" s="1"/>
  <c r="F87" i="11" s="1"/>
  <c r="U87" i="11" s="1"/>
  <c r="F87" i="12" s="1"/>
  <c r="U87" i="12" s="1"/>
  <c r="T87" i="6"/>
  <c r="H87" i="6"/>
  <c r="S87" i="6" s="1"/>
  <c r="AI86" i="6"/>
  <c r="AF86" i="6"/>
  <c r="AC86" i="6"/>
  <c r="Z86" i="6"/>
  <c r="V86" i="6"/>
  <c r="G86" i="7" s="1"/>
  <c r="V86" i="7" s="1"/>
  <c r="G86" i="8" s="1"/>
  <c r="V86" i="8" s="1"/>
  <c r="G86" i="9" s="1"/>
  <c r="V86" i="9" s="1"/>
  <c r="G86" i="10" s="1"/>
  <c r="V86" i="10" s="1"/>
  <c r="G86" i="11" s="1"/>
  <c r="V86" i="11" s="1"/>
  <c r="G86" i="12" s="1"/>
  <c r="V86" i="12" s="1"/>
  <c r="U86" i="6"/>
  <c r="F86" i="7" s="1"/>
  <c r="U86" i="7" s="1"/>
  <c r="F86" i="8" s="1"/>
  <c r="U86" i="8" s="1"/>
  <c r="F86" i="9" s="1"/>
  <c r="U86" i="9" s="1"/>
  <c r="F86" i="10" s="1"/>
  <c r="U86" i="10" s="1"/>
  <c r="F86" i="11" s="1"/>
  <c r="U86" i="11" s="1"/>
  <c r="F86" i="12" s="1"/>
  <c r="U86" i="12" s="1"/>
  <c r="T86" i="6"/>
  <c r="H86" i="6"/>
  <c r="S86" i="6" s="1"/>
  <c r="AI85" i="6"/>
  <c r="AF85" i="6"/>
  <c r="AC85" i="6"/>
  <c r="Z85" i="6"/>
  <c r="V85" i="6"/>
  <c r="G85" i="7" s="1"/>
  <c r="V85" i="7" s="1"/>
  <c r="G85" i="8" s="1"/>
  <c r="V85" i="8" s="1"/>
  <c r="G85" i="9" s="1"/>
  <c r="V85" i="9" s="1"/>
  <c r="G85" i="10" s="1"/>
  <c r="V85" i="10" s="1"/>
  <c r="G85" i="11" s="1"/>
  <c r="V85" i="11" s="1"/>
  <c r="G85" i="12" s="1"/>
  <c r="V85" i="12" s="1"/>
  <c r="U85" i="6"/>
  <c r="F85" i="7" s="1"/>
  <c r="U85" i="7" s="1"/>
  <c r="F85" i="8" s="1"/>
  <c r="U85" i="8" s="1"/>
  <c r="F85" i="9" s="1"/>
  <c r="U85" i="9" s="1"/>
  <c r="F85" i="10" s="1"/>
  <c r="U85" i="10" s="1"/>
  <c r="F85" i="11" s="1"/>
  <c r="U85" i="11" s="1"/>
  <c r="F85" i="12" s="1"/>
  <c r="U85" i="12" s="1"/>
  <c r="F106" i="20" s="1" a="1"/>
  <c r="F106" i="20" s="1"/>
  <c r="Z106" i="20" s="1"/>
  <c r="F107" i="13" s="1" a="1"/>
  <c r="F107" i="13" s="1"/>
  <c r="T85" i="6"/>
  <c r="E85" i="7" s="1"/>
  <c r="H85" i="6"/>
  <c r="S85" i="6" s="1"/>
  <c r="AI84" i="6"/>
  <c r="AF84" i="6"/>
  <c r="AC84" i="6"/>
  <c r="Z84" i="6"/>
  <c r="V84" i="6"/>
  <c r="G84" i="7" s="1"/>
  <c r="V84" i="7" s="1"/>
  <c r="G84" i="8" s="1"/>
  <c r="V84" i="8" s="1"/>
  <c r="G84" i="9" s="1"/>
  <c r="V84" i="9" s="1"/>
  <c r="G84" i="10" s="1"/>
  <c r="V84" i="10" s="1"/>
  <c r="G84" i="11" s="1"/>
  <c r="V84" i="11" s="1"/>
  <c r="G84" i="12" s="1"/>
  <c r="V84" i="12" s="1"/>
  <c r="U84" i="6"/>
  <c r="F84" i="7" s="1"/>
  <c r="U84" i="7" s="1"/>
  <c r="F84" i="8" s="1"/>
  <c r="U84" i="8" s="1"/>
  <c r="F84" i="9" s="1"/>
  <c r="U84" i="9" s="1"/>
  <c r="F84" i="10" s="1"/>
  <c r="U84" i="10" s="1"/>
  <c r="F84" i="11" s="1"/>
  <c r="U84" i="11" s="1"/>
  <c r="F84" i="12" s="1"/>
  <c r="U84" i="12" s="1"/>
  <c r="T84" i="6"/>
  <c r="E84" i="7" s="1"/>
  <c r="T84" i="7" s="1"/>
  <c r="H84" i="6"/>
  <c r="S84" i="6" s="1"/>
  <c r="AI83" i="6"/>
  <c r="AF83" i="6"/>
  <c r="AC83" i="6"/>
  <c r="Z83" i="6"/>
  <c r="AI82" i="6"/>
  <c r="AF82" i="6"/>
  <c r="AC82" i="6"/>
  <c r="Z82" i="6"/>
  <c r="AI81" i="6"/>
  <c r="AF81" i="6"/>
  <c r="AC81" i="6"/>
  <c r="Z81" i="6"/>
  <c r="AI80" i="6"/>
  <c r="AF80" i="6"/>
  <c r="AC80" i="6"/>
  <c r="Z80" i="6"/>
  <c r="AI79" i="6"/>
  <c r="AF79" i="6"/>
  <c r="AC79" i="6"/>
  <c r="Z79" i="6"/>
  <c r="AI78" i="6"/>
  <c r="AF78" i="6"/>
  <c r="AC78" i="6"/>
  <c r="Z78" i="6"/>
  <c r="AI77" i="6"/>
  <c r="AF77" i="6"/>
  <c r="AC77" i="6"/>
  <c r="Z77" i="6"/>
  <c r="V77" i="6"/>
  <c r="G77" i="7" s="1"/>
  <c r="V77" i="7" s="1"/>
  <c r="G77" i="8" s="1"/>
  <c r="V77" i="8" s="1"/>
  <c r="G77" i="9" s="1"/>
  <c r="V77" i="9" s="1"/>
  <c r="G77" i="10" s="1"/>
  <c r="V77" i="10" s="1"/>
  <c r="G77" i="11" s="1"/>
  <c r="V77" i="11" s="1"/>
  <c r="G77" i="12" s="1"/>
  <c r="V77" i="12" s="1"/>
  <c r="U77" i="6"/>
  <c r="F77" i="7" s="1"/>
  <c r="U77" i="7" s="1"/>
  <c r="F77" i="8" s="1"/>
  <c r="U77" i="8" s="1"/>
  <c r="F77" i="9" s="1"/>
  <c r="U77" i="9" s="1"/>
  <c r="F77" i="10" s="1"/>
  <c r="U77" i="10" s="1"/>
  <c r="F77" i="11" s="1"/>
  <c r="U77" i="11" s="1"/>
  <c r="F77" i="12" s="1"/>
  <c r="U77" i="12" s="1"/>
  <c r="T77" i="6"/>
  <c r="H77" i="6"/>
  <c r="S77" i="6" s="1"/>
  <c r="AI76" i="6"/>
  <c r="AF76" i="6"/>
  <c r="AC76" i="6"/>
  <c r="Z76" i="6"/>
  <c r="V76" i="6"/>
  <c r="U76" i="6"/>
  <c r="F76" i="7" s="1"/>
  <c r="U76" i="7" s="1"/>
  <c r="F76" i="8" s="1"/>
  <c r="U76" i="8" s="1"/>
  <c r="F76" i="9" s="1"/>
  <c r="U76" i="9" s="1"/>
  <c r="F76" i="10" s="1"/>
  <c r="U76" i="10" s="1"/>
  <c r="F76" i="11" s="1"/>
  <c r="U76" i="11" s="1"/>
  <c r="F76" i="12" s="1"/>
  <c r="U76" i="12" s="1"/>
  <c r="T76" i="6"/>
  <c r="E76" i="7" s="1"/>
  <c r="T76" i="7" s="1"/>
  <c r="H76" i="6"/>
  <c r="S76" i="6" s="1"/>
  <c r="AI75" i="6"/>
  <c r="AF75" i="6"/>
  <c r="AC75" i="6"/>
  <c r="Z75" i="6"/>
  <c r="V75" i="6"/>
  <c r="G75" i="7" s="1"/>
  <c r="V75" i="7" s="1"/>
  <c r="G75" i="8" s="1"/>
  <c r="V75" i="8" s="1"/>
  <c r="G75" i="9" s="1"/>
  <c r="V75" i="9" s="1"/>
  <c r="G75" i="10" s="1"/>
  <c r="V75" i="10" s="1"/>
  <c r="G75" i="11" s="1"/>
  <c r="V75" i="11" s="1"/>
  <c r="G75" i="12" s="1"/>
  <c r="V75" i="12" s="1"/>
  <c r="U75" i="6"/>
  <c r="T75" i="6"/>
  <c r="E75" i="7" s="1"/>
  <c r="T75" i="7" s="1"/>
  <c r="H75" i="6"/>
  <c r="S75" i="6" s="1"/>
  <c r="AI74" i="6"/>
  <c r="AF74" i="6"/>
  <c r="AC74" i="6"/>
  <c r="Z74" i="6"/>
  <c r="V74" i="6"/>
  <c r="G74" i="7" s="1"/>
  <c r="V74" i="7" s="1"/>
  <c r="G74" i="8" s="1"/>
  <c r="V74" i="8" s="1"/>
  <c r="G74" i="9" s="1"/>
  <c r="V74" i="9" s="1"/>
  <c r="G74" i="10" s="1"/>
  <c r="V74" i="10" s="1"/>
  <c r="G74" i="11" s="1"/>
  <c r="V74" i="11" s="1"/>
  <c r="G74" i="12" s="1"/>
  <c r="V74" i="12" s="1"/>
  <c r="U74" i="6"/>
  <c r="F74" i="7" s="1"/>
  <c r="U74" i="7" s="1"/>
  <c r="F74" i="8" s="1"/>
  <c r="U74" i="8" s="1"/>
  <c r="F74" i="9" s="1"/>
  <c r="U74" i="9" s="1"/>
  <c r="F74" i="10" s="1"/>
  <c r="U74" i="10" s="1"/>
  <c r="F74" i="11" s="1"/>
  <c r="U74" i="11" s="1"/>
  <c r="F74" i="12" s="1"/>
  <c r="U74" i="12" s="1"/>
  <c r="T74" i="6"/>
  <c r="E74" i="7" s="1"/>
  <c r="H74" i="6"/>
  <c r="S74" i="6" s="1"/>
  <c r="AI73" i="6"/>
  <c r="AF73" i="6"/>
  <c r="AC73" i="6"/>
  <c r="Z73" i="6"/>
  <c r="V73" i="6"/>
  <c r="G73" i="7" s="1"/>
  <c r="V73" i="7" s="1"/>
  <c r="G73" i="8" s="1"/>
  <c r="V73" i="8" s="1"/>
  <c r="G73" i="9" s="1"/>
  <c r="V73" i="9" s="1"/>
  <c r="G73" i="10" s="1"/>
  <c r="V73" i="10" s="1"/>
  <c r="G73" i="11" s="1"/>
  <c r="V73" i="11" s="1"/>
  <c r="G73" i="12" s="1"/>
  <c r="V73" i="12" s="1"/>
  <c r="U73" i="6"/>
  <c r="F73" i="7" s="1"/>
  <c r="U73" i="7" s="1"/>
  <c r="F73" i="8" s="1"/>
  <c r="U73" i="8" s="1"/>
  <c r="F73" i="9" s="1"/>
  <c r="U73" i="9" s="1"/>
  <c r="F73" i="10" s="1"/>
  <c r="U73" i="10" s="1"/>
  <c r="F73" i="11" s="1"/>
  <c r="U73" i="11" s="1"/>
  <c r="F73" i="12" s="1"/>
  <c r="U73" i="12" s="1"/>
  <c r="T73" i="6"/>
  <c r="H73" i="6"/>
  <c r="S73" i="6" s="1"/>
  <c r="AI72" i="6"/>
  <c r="AF72" i="6"/>
  <c r="AC72" i="6"/>
  <c r="Z72" i="6"/>
  <c r="V72" i="6"/>
  <c r="G72" i="7" s="1"/>
  <c r="V72" i="7" s="1"/>
  <c r="G72" i="8" s="1"/>
  <c r="V72" i="8" s="1"/>
  <c r="G72" i="9" s="1"/>
  <c r="V72" i="9" s="1"/>
  <c r="G72" i="10" s="1"/>
  <c r="V72" i="10" s="1"/>
  <c r="G72" i="11" s="1"/>
  <c r="V72" i="11" s="1"/>
  <c r="G72" i="12" s="1"/>
  <c r="V72" i="12" s="1"/>
  <c r="U72" i="6"/>
  <c r="F72" i="7" s="1"/>
  <c r="U72" i="7" s="1"/>
  <c r="F72" i="8" s="1"/>
  <c r="U72" i="8" s="1"/>
  <c r="F72" i="9" s="1"/>
  <c r="U72" i="9" s="1"/>
  <c r="F72" i="10" s="1"/>
  <c r="U72" i="10" s="1"/>
  <c r="F72" i="11" s="1"/>
  <c r="U72" i="11" s="1"/>
  <c r="F72" i="12" s="1"/>
  <c r="U72" i="12" s="1"/>
  <c r="T72" i="6"/>
  <c r="E72" i="7" s="1"/>
  <c r="H72" i="6"/>
  <c r="S72" i="6" s="1"/>
  <c r="AI71" i="6"/>
  <c r="AF71" i="6"/>
  <c r="AC71" i="6"/>
  <c r="Z71" i="6"/>
  <c r="V71" i="6"/>
  <c r="G71" i="7" s="1"/>
  <c r="V71" i="7" s="1"/>
  <c r="G71" i="8" s="1"/>
  <c r="V71" i="8" s="1"/>
  <c r="G71" i="9" s="1"/>
  <c r="V71" i="9" s="1"/>
  <c r="G71" i="10" s="1"/>
  <c r="V71" i="10" s="1"/>
  <c r="G71" i="11" s="1"/>
  <c r="V71" i="11" s="1"/>
  <c r="G71" i="12" s="1"/>
  <c r="V71" i="12" s="1"/>
  <c r="U71" i="6"/>
  <c r="F71" i="7" s="1"/>
  <c r="U71" i="7" s="1"/>
  <c r="F71" i="8" s="1"/>
  <c r="U71" i="8" s="1"/>
  <c r="F71" i="9" s="1"/>
  <c r="U71" i="9" s="1"/>
  <c r="F71" i="10" s="1"/>
  <c r="U71" i="10" s="1"/>
  <c r="F71" i="11" s="1"/>
  <c r="U71" i="11" s="1"/>
  <c r="F71" i="12" s="1"/>
  <c r="U71" i="12" s="1"/>
  <c r="T71" i="6"/>
  <c r="E71" i="7" s="1"/>
  <c r="H71" i="6"/>
  <c r="S71" i="6" s="1"/>
  <c r="AI70" i="6"/>
  <c r="AF70" i="6"/>
  <c r="AC70" i="6"/>
  <c r="Z70" i="6"/>
  <c r="V70" i="6"/>
  <c r="G70" i="7" s="1"/>
  <c r="V70" i="7" s="1"/>
  <c r="G70" i="8" s="1"/>
  <c r="V70" i="8" s="1"/>
  <c r="G70" i="9" s="1"/>
  <c r="V70" i="9" s="1"/>
  <c r="G70" i="10" s="1"/>
  <c r="V70" i="10" s="1"/>
  <c r="G70" i="11" s="1"/>
  <c r="V70" i="11" s="1"/>
  <c r="G70" i="12" s="1"/>
  <c r="V70" i="12" s="1"/>
  <c r="U70" i="6"/>
  <c r="F70" i="7" s="1"/>
  <c r="U70" i="7" s="1"/>
  <c r="F70" i="8" s="1"/>
  <c r="U70" i="8" s="1"/>
  <c r="F70" i="9" s="1"/>
  <c r="U70" i="9" s="1"/>
  <c r="F70" i="10" s="1"/>
  <c r="U70" i="10" s="1"/>
  <c r="F70" i="11" s="1"/>
  <c r="U70" i="11" s="1"/>
  <c r="F70" i="12" s="1"/>
  <c r="U70" i="12" s="1"/>
  <c r="F149" i="20" s="1" a="1"/>
  <c r="F149" i="20" s="1"/>
  <c r="Z149" i="20" s="1"/>
  <c r="F150" i="13" s="1" a="1"/>
  <c r="F150" i="13" s="1"/>
  <c r="T70" i="6"/>
  <c r="H70" i="6"/>
  <c r="S70" i="6" s="1"/>
  <c r="AI69" i="6"/>
  <c r="AF69" i="6"/>
  <c r="AC69" i="6"/>
  <c r="Z69" i="6"/>
  <c r="V69" i="6"/>
  <c r="G69" i="7" s="1"/>
  <c r="V69" i="7" s="1"/>
  <c r="G69" i="8" s="1"/>
  <c r="V69" i="8" s="1"/>
  <c r="G69" i="9" s="1"/>
  <c r="V69" i="9" s="1"/>
  <c r="G69" i="10" s="1"/>
  <c r="V69" i="10" s="1"/>
  <c r="G69" i="11" s="1"/>
  <c r="V69" i="11" s="1"/>
  <c r="G69" i="12" s="1"/>
  <c r="V69" i="12" s="1"/>
  <c r="U69" i="6"/>
  <c r="F69" i="7" s="1"/>
  <c r="U69" i="7" s="1"/>
  <c r="F69" i="8" s="1"/>
  <c r="U69" i="8" s="1"/>
  <c r="F69" i="9" s="1"/>
  <c r="U69" i="9" s="1"/>
  <c r="F69" i="10" s="1"/>
  <c r="U69" i="10" s="1"/>
  <c r="F69" i="11" s="1"/>
  <c r="U69" i="11" s="1"/>
  <c r="F69" i="12" s="1"/>
  <c r="U69" i="12" s="1"/>
  <c r="T69" i="6"/>
  <c r="E69" i="7" s="1"/>
  <c r="H69" i="6"/>
  <c r="S69" i="6" s="1"/>
  <c r="AI68" i="6"/>
  <c r="AF68" i="6"/>
  <c r="AC68" i="6"/>
  <c r="Z68" i="6"/>
  <c r="V68" i="6"/>
  <c r="G68" i="7" s="1"/>
  <c r="V68" i="7" s="1"/>
  <c r="G68" i="8" s="1"/>
  <c r="V68" i="8" s="1"/>
  <c r="G68" i="9" s="1"/>
  <c r="V68" i="9" s="1"/>
  <c r="G68" i="10" s="1"/>
  <c r="V68" i="10" s="1"/>
  <c r="G68" i="11" s="1"/>
  <c r="V68" i="11" s="1"/>
  <c r="G68" i="12" s="1"/>
  <c r="V68" i="12" s="1"/>
  <c r="U68" i="6"/>
  <c r="F68" i="7" s="1"/>
  <c r="U68" i="7" s="1"/>
  <c r="F68" i="8" s="1"/>
  <c r="U68" i="8" s="1"/>
  <c r="F68" i="9" s="1"/>
  <c r="U68" i="9" s="1"/>
  <c r="F68" i="10" s="1"/>
  <c r="U68" i="10" s="1"/>
  <c r="F68" i="11" s="1"/>
  <c r="U68" i="11" s="1"/>
  <c r="F68" i="12" s="1"/>
  <c r="U68" i="12" s="1"/>
  <c r="T68" i="6"/>
  <c r="H68" i="6"/>
  <c r="S68" i="6" s="1"/>
  <c r="AI67" i="6"/>
  <c r="AF67" i="6"/>
  <c r="AC67" i="6"/>
  <c r="Z67" i="6"/>
  <c r="AI66" i="6"/>
  <c r="AF66" i="6"/>
  <c r="AC66" i="6"/>
  <c r="Z66" i="6"/>
  <c r="V66" i="6"/>
  <c r="G66" i="7" s="1"/>
  <c r="V66" i="7" s="1"/>
  <c r="G66" i="8" s="1"/>
  <c r="V66" i="8" s="1"/>
  <c r="G66" i="9" s="1"/>
  <c r="V66" i="9" s="1"/>
  <c r="G66" i="10" s="1"/>
  <c r="V66" i="10" s="1"/>
  <c r="G66" i="11" s="1"/>
  <c r="V66" i="11" s="1"/>
  <c r="G66" i="12" s="1"/>
  <c r="V66" i="12" s="1"/>
  <c r="U66" i="6"/>
  <c r="F66" i="7" s="1"/>
  <c r="U66" i="7" s="1"/>
  <c r="F66" i="8" s="1"/>
  <c r="U66" i="8" s="1"/>
  <c r="F66" i="9" s="1"/>
  <c r="U66" i="9" s="1"/>
  <c r="F66" i="10" s="1"/>
  <c r="U66" i="10" s="1"/>
  <c r="F66" i="11" s="1"/>
  <c r="U66" i="11" s="1"/>
  <c r="F66" i="12" s="1"/>
  <c r="U66" i="12" s="1"/>
  <c r="T66" i="6"/>
  <c r="E66" i="7" s="1"/>
  <c r="H66" i="6"/>
  <c r="S66" i="6" s="1"/>
  <c r="AI65" i="6"/>
  <c r="AF65" i="6"/>
  <c r="AC65" i="6"/>
  <c r="Z65" i="6"/>
  <c r="V65" i="6"/>
  <c r="G65" i="7" s="1"/>
  <c r="V65" i="7" s="1"/>
  <c r="G65" i="8" s="1"/>
  <c r="V65" i="8" s="1"/>
  <c r="G65" i="9" s="1"/>
  <c r="V65" i="9" s="1"/>
  <c r="G65" i="10" s="1"/>
  <c r="V65" i="10" s="1"/>
  <c r="G65" i="11" s="1"/>
  <c r="V65" i="11" s="1"/>
  <c r="G65" i="12" s="1"/>
  <c r="V65" i="12" s="1"/>
  <c r="U65" i="6"/>
  <c r="F65" i="7" s="1"/>
  <c r="U65" i="7" s="1"/>
  <c r="F65" i="8" s="1"/>
  <c r="U65" i="8" s="1"/>
  <c r="F65" i="9" s="1"/>
  <c r="U65" i="9" s="1"/>
  <c r="F65" i="10" s="1"/>
  <c r="U65" i="10" s="1"/>
  <c r="F65" i="11" s="1"/>
  <c r="U65" i="11" s="1"/>
  <c r="F65" i="12" s="1"/>
  <c r="U65" i="12" s="1"/>
  <c r="T65" i="6"/>
  <c r="E65" i="7" s="1"/>
  <c r="H65" i="6"/>
  <c r="S65" i="6" s="1"/>
  <c r="AI64" i="6"/>
  <c r="AF64" i="6"/>
  <c r="AC64" i="6"/>
  <c r="Z64" i="6"/>
  <c r="V64" i="6"/>
  <c r="G64" i="7" s="1"/>
  <c r="V64" i="7" s="1"/>
  <c r="G64" i="8" s="1"/>
  <c r="V64" i="8" s="1"/>
  <c r="G64" i="9" s="1"/>
  <c r="V64" i="9" s="1"/>
  <c r="G64" i="10" s="1"/>
  <c r="V64" i="10" s="1"/>
  <c r="G64" i="11" s="1"/>
  <c r="V64" i="11" s="1"/>
  <c r="G64" i="12" s="1"/>
  <c r="V64" i="12" s="1"/>
  <c r="U64" i="6"/>
  <c r="F64" i="7" s="1"/>
  <c r="U64" i="7" s="1"/>
  <c r="F64" i="8" s="1"/>
  <c r="U64" i="8" s="1"/>
  <c r="F64" i="9" s="1"/>
  <c r="U64" i="9" s="1"/>
  <c r="F64" i="10" s="1"/>
  <c r="U64" i="10" s="1"/>
  <c r="F64" i="11" s="1"/>
  <c r="U64" i="11" s="1"/>
  <c r="F64" i="12" s="1"/>
  <c r="U64" i="12" s="1"/>
  <c r="T64" i="6"/>
  <c r="H64" i="6"/>
  <c r="S64" i="6" s="1"/>
  <c r="AI63" i="6"/>
  <c r="AF63" i="6"/>
  <c r="AC63" i="6"/>
  <c r="Z63" i="6"/>
  <c r="V63" i="6"/>
  <c r="G63" i="7" s="1"/>
  <c r="V63" i="7" s="1"/>
  <c r="G63" i="8" s="1"/>
  <c r="V63" i="8" s="1"/>
  <c r="G63" i="9" s="1"/>
  <c r="V63" i="9" s="1"/>
  <c r="G63" i="10" s="1"/>
  <c r="V63" i="10" s="1"/>
  <c r="G63" i="11" s="1"/>
  <c r="V63" i="11" s="1"/>
  <c r="G63" i="12" s="1"/>
  <c r="V63" i="12" s="1"/>
  <c r="U63" i="6"/>
  <c r="F63" i="7" s="1"/>
  <c r="U63" i="7" s="1"/>
  <c r="F63" i="8" s="1"/>
  <c r="U63" i="8" s="1"/>
  <c r="F63" i="9" s="1"/>
  <c r="U63" i="9" s="1"/>
  <c r="F63" i="10" s="1"/>
  <c r="U63" i="10" s="1"/>
  <c r="F63" i="11" s="1"/>
  <c r="U63" i="11" s="1"/>
  <c r="F63" i="12" s="1"/>
  <c r="U63" i="12" s="1"/>
  <c r="T63" i="6"/>
  <c r="H63" i="6"/>
  <c r="S63" i="6" s="1"/>
  <c r="AI62" i="6"/>
  <c r="AF62" i="6"/>
  <c r="AC62" i="6"/>
  <c r="Z62" i="6"/>
  <c r="V62" i="6"/>
  <c r="U62" i="6"/>
  <c r="T62" i="6"/>
  <c r="H62" i="6"/>
  <c r="S62" i="6" s="1"/>
  <c r="AI61" i="6"/>
  <c r="AF61" i="6"/>
  <c r="AC61" i="6"/>
  <c r="Z61" i="6"/>
  <c r="V61" i="6"/>
  <c r="U61" i="6"/>
  <c r="F61" i="7" s="1"/>
  <c r="U61" i="7" s="1"/>
  <c r="F61" i="8" s="1"/>
  <c r="U61" i="8" s="1"/>
  <c r="F61" i="9" s="1"/>
  <c r="U61" i="9" s="1"/>
  <c r="F61" i="10" s="1"/>
  <c r="U61" i="10" s="1"/>
  <c r="F61" i="11" s="1"/>
  <c r="U61" i="11" s="1"/>
  <c r="F61" i="12" s="1"/>
  <c r="U61" i="12" s="1"/>
  <c r="T61" i="6"/>
  <c r="E61" i="7" s="1"/>
  <c r="T61" i="7" s="1"/>
  <c r="E61" i="8" s="1"/>
  <c r="H61" i="6"/>
  <c r="S61" i="6" s="1"/>
  <c r="AI60" i="6"/>
  <c r="AF60" i="6"/>
  <c r="AC60" i="6"/>
  <c r="Z60" i="6"/>
  <c r="V60" i="6"/>
  <c r="G60" i="7" s="1"/>
  <c r="V60" i="7" s="1"/>
  <c r="G60" i="8" s="1"/>
  <c r="V60" i="8" s="1"/>
  <c r="G60" i="9" s="1"/>
  <c r="V60" i="9" s="1"/>
  <c r="G60" i="10" s="1"/>
  <c r="V60" i="10" s="1"/>
  <c r="G60" i="11" s="1"/>
  <c r="V60" i="11" s="1"/>
  <c r="G60" i="12" s="1"/>
  <c r="V60" i="12" s="1"/>
  <c r="U60" i="6"/>
  <c r="F60" i="7" s="1"/>
  <c r="U60" i="7" s="1"/>
  <c r="F60" i="8" s="1"/>
  <c r="U60" i="8" s="1"/>
  <c r="F60" i="9" s="1"/>
  <c r="U60" i="9" s="1"/>
  <c r="F60" i="10" s="1"/>
  <c r="U60" i="10" s="1"/>
  <c r="F60" i="11" s="1"/>
  <c r="U60" i="11" s="1"/>
  <c r="F60" i="12" s="1"/>
  <c r="U60" i="12" s="1"/>
  <c r="T60" i="6"/>
  <c r="H60" i="6"/>
  <c r="S60" i="6" s="1"/>
  <c r="AI59" i="6"/>
  <c r="AF59" i="6"/>
  <c r="AC59" i="6"/>
  <c r="Z59" i="6"/>
  <c r="AI58" i="6"/>
  <c r="AF58" i="6"/>
  <c r="AC58" i="6"/>
  <c r="Z58" i="6"/>
  <c r="V58" i="6"/>
  <c r="G58" i="7" s="1"/>
  <c r="V58" i="7" s="1"/>
  <c r="G58" i="8" s="1"/>
  <c r="V58" i="8" s="1"/>
  <c r="G58" i="9" s="1"/>
  <c r="V58" i="9" s="1"/>
  <c r="G58" i="10" s="1"/>
  <c r="V58" i="10" s="1"/>
  <c r="G58" i="11" s="1"/>
  <c r="V58" i="11" s="1"/>
  <c r="G58" i="12" s="1"/>
  <c r="V58" i="12" s="1"/>
  <c r="U58" i="6"/>
  <c r="F58" i="7" s="1"/>
  <c r="U58" i="7" s="1"/>
  <c r="F58" i="8" s="1"/>
  <c r="U58" i="8" s="1"/>
  <c r="F58" i="9" s="1"/>
  <c r="U58" i="9" s="1"/>
  <c r="F58" i="10" s="1"/>
  <c r="U58" i="10" s="1"/>
  <c r="F58" i="11" s="1"/>
  <c r="U58" i="11" s="1"/>
  <c r="F58" i="12" s="1"/>
  <c r="U58" i="12" s="1"/>
  <c r="F142" i="20" s="1" a="1"/>
  <c r="F142" i="20" s="1"/>
  <c r="Z142" i="20" s="1"/>
  <c r="F143" i="13" s="1" a="1"/>
  <c r="F143" i="13" s="1"/>
  <c r="T58" i="6"/>
  <c r="H58" i="6"/>
  <c r="S58" i="6" s="1"/>
  <c r="AI57" i="6"/>
  <c r="AF57" i="6"/>
  <c r="AC57" i="6"/>
  <c r="Z57" i="6"/>
  <c r="AI56" i="6"/>
  <c r="AF56" i="6"/>
  <c r="AC56" i="6"/>
  <c r="Z56" i="6"/>
  <c r="V56" i="6"/>
  <c r="G56" i="7" s="1"/>
  <c r="V56" i="7" s="1"/>
  <c r="G56" i="8" s="1"/>
  <c r="V56" i="8" s="1"/>
  <c r="G56" i="9" s="1"/>
  <c r="V56" i="9" s="1"/>
  <c r="G56" i="10" s="1"/>
  <c r="V56" i="10" s="1"/>
  <c r="G56" i="11" s="1"/>
  <c r="V56" i="11" s="1"/>
  <c r="G56" i="12" s="1"/>
  <c r="V56" i="12" s="1"/>
  <c r="U56" i="6"/>
  <c r="F56" i="7" s="1"/>
  <c r="U56" i="7" s="1"/>
  <c r="F56" i="8" s="1"/>
  <c r="U56" i="8" s="1"/>
  <c r="F56" i="9" s="1"/>
  <c r="U56" i="9" s="1"/>
  <c r="F56" i="10" s="1"/>
  <c r="U56" i="10" s="1"/>
  <c r="F56" i="11" s="1"/>
  <c r="U56" i="11" s="1"/>
  <c r="F56" i="12" s="1"/>
  <c r="U56" i="12" s="1"/>
  <c r="T56" i="6"/>
  <c r="H56" i="6"/>
  <c r="S56" i="6" s="1"/>
  <c r="AI55" i="6"/>
  <c r="AF55" i="6"/>
  <c r="AC55" i="6"/>
  <c r="Z55" i="6"/>
  <c r="V55" i="6"/>
  <c r="G55" i="7" s="1"/>
  <c r="V55" i="7" s="1"/>
  <c r="G55" i="8" s="1"/>
  <c r="V55" i="8" s="1"/>
  <c r="G55" i="9" s="1"/>
  <c r="V55" i="9" s="1"/>
  <c r="G55" i="10" s="1"/>
  <c r="V55" i="10" s="1"/>
  <c r="G55" i="11" s="1"/>
  <c r="V55" i="11" s="1"/>
  <c r="G55" i="12" s="1"/>
  <c r="V55" i="12" s="1"/>
  <c r="U55" i="6"/>
  <c r="F55" i="7" s="1"/>
  <c r="U55" i="7" s="1"/>
  <c r="F55" i="8" s="1"/>
  <c r="U55" i="8" s="1"/>
  <c r="F55" i="9" s="1"/>
  <c r="U55" i="9" s="1"/>
  <c r="F55" i="10" s="1"/>
  <c r="U55" i="10" s="1"/>
  <c r="F55" i="11" s="1"/>
  <c r="U55" i="11" s="1"/>
  <c r="F55" i="12" s="1"/>
  <c r="U55" i="12" s="1"/>
  <c r="T55" i="6"/>
  <c r="E55" i="7" s="1"/>
  <c r="H55" i="6"/>
  <c r="S55" i="6" s="1"/>
  <c r="AI54" i="6"/>
  <c r="AF54" i="6"/>
  <c r="AC54" i="6"/>
  <c r="Z54" i="6"/>
  <c r="V54" i="6"/>
  <c r="G54" i="7" s="1"/>
  <c r="V54" i="7" s="1"/>
  <c r="G54" i="8" s="1"/>
  <c r="V54" i="8" s="1"/>
  <c r="G54" i="9" s="1"/>
  <c r="V54" i="9" s="1"/>
  <c r="G54" i="10" s="1"/>
  <c r="V54" i="10" s="1"/>
  <c r="G54" i="11" s="1"/>
  <c r="V54" i="11" s="1"/>
  <c r="G54" i="12" s="1"/>
  <c r="V54" i="12" s="1"/>
  <c r="U54" i="6"/>
  <c r="F54" i="7" s="1"/>
  <c r="U54" i="7" s="1"/>
  <c r="F54" i="8" s="1"/>
  <c r="U54" i="8" s="1"/>
  <c r="F54" i="9" s="1"/>
  <c r="U54" i="9" s="1"/>
  <c r="F54" i="10" s="1"/>
  <c r="U54" i="10" s="1"/>
  <c r="F54" i="11" s="1"/>
  <c r="U54" i="11" s="1"/>
  <c r="F54" i="12" s="1"/>
  <c r="U54" i="12" s="1"/>
  <c r="T54" i="6"/>
  <c r="H54" i="6"/>
  <c r="S54" i="6" s="1"/>
  <c r="AI53" i="6"/>
  <c r="AF53" i="6"/>
  <c r="AC53" i="6"/>
  <c r="Z53" i="6"/>
  <c r="V53" i="6"/>
  <c r="G53" i="7" s="1"/>
  <c r="V53" i="7" s="1"/>
  <c r="G53" i="8" s="1"/>
  <c r="V53" i="8" s="1"/>
  <c r="G53" i="9" s="1"/>
  <c r="V53" i="9" s="1"/>
  <c r="G53" i="10" s="1"/>
  <c r="V53" i="10" s="1"/>
  <c r="G53" i="11" s="1"/>
  <c r="V53" i="11" s="1"/>
  <c r="G53" i="12" s="1"/>
  <c r="V53" i="12" s="1"/>
  <c r="U53" i="6"/>
  <c r="F53" i="7" s="1"/>
  <c r="U53" i="7" s="1"/>
  <c r="F53" i="8" s="1"/>
  <c r="U53" i="8" s="1"/>
  <c r="F53" i="9" s="1"/>
  <c r="U53" i="9" s="1"/>
  <c r="F53" i="10" s="1"/>
  <c r="U53" i="10" s="1"/>
  <c r="F53" i="11" s="1"/>
  <c r="U53" i="11" s="1"/>
  <c r="F53" i="12" s="1"/>
  <c r="U53" i="12" s="1"/>
  <c r="F139" i="20" s="1" a="1"/>
  <c r="F139" i="20" s="1"/>
  <c r="T53" i="6"/>
  <c r="E53" i="7" s="1"/>
  <c r="T53" i="7" s="1"/>
  <c r="H53" i="6"/>
  <c r="S53" i="6" s="1"/>
  <c r="AI52" i="6"/>
  <c r="AF52" i="6"/>
  <c r="AC52" i="6"/>
  <c r="Z52" i="6"/>
  <c r="AI51" i="6"/>
  <c r="AF51" i="6"/>
  <c r="AC51" i="6"/>
  <c r="Z51" i="6"/>
  <c r="AI50" i="6"/>
  <c r="AF50" i="6"/>
  <c r="AC50" i="6"/>
  <c r="Z50" i="6"/>
  <c r="V50" i="6"/>
  <c r="U50" i="6"/>
  <c r="T50" i="6"/>
  <c r="H50" i="6"/>
  <c r="S50" i="6" s="1"/>
  <c r="AI49" i="6"/>
  <c r="AF49" i="6"/>
  <c r="AC49" i="6"/>
  <c r="Z49" i="6"/>
  <c r="AI48" i="6"/>
  <c r="AF48" i="6"/>
  <c r="AC48" i="6"/>
  <c r="Z48" i="6"/>
  <c r="V48" i="6"/>
  <c r="G48" i="7" s="1"/>
  <c r="V48" i="7" s="1"/>
  <c r="G48" i="8" s="1"/>
  <c r="V48" i="8" s="1"/>
  <c r="G48" i="9" s="1"/>
  <c r="V48" i="9" s="1"/>
  <c r="G48" i="10" s="1"/>
  <c r="V48" i="10" s="1"/>
  <c r="G48" i="11" s="1"/>
  <c r="V48" i="11" s="1"/>
  <c r="G48" i="12" s="1"/>
  <c r="V48" i="12" s="1"/>
  <c r="U48" i="6"/>
  <c r="F48" i="7" s="1"/>
  <c r="U48" i="7" s="1"/>
  <c r="F48" i="8" s="1"/>
  <c r="U48" i="8" s="1"/>
  <c r="F48" i="9" s="1"/>
  <c r="U48" i="9" s="1"/>
  <c r="F48" i="10" s="1"/>
  <c r="U48" i="10" s="1"/>
  <c r="F48" i="11" s="1"/>
  <c r="U48" i="11" s="1"/>
  <c r="F48" i="12" s="1"/>
  <c r="U48" i="12" s="1"/>
  <c r="T48" i="6"/>
  <c r="E48" i="7" s="1"/>
  <c r="H48" i="6"/>
  <c r="S48" i="6" s="1"/>
  <c r="AI47" i="6"/>
  <c r="AF47" i="6"/>
  <c r="AC47" i="6"/>
  <c r="Z47" i="6"/>
  <c r="V47" i="6"/>
  <c r="G47" i="7" s="1"/>
  <c r="V47" i="7" s="1"/>
  <c r="G47" i="8" s="1"/>
  <c r="V47" i="8" s="1"/>
  <c r="G47" i="9" s="1"/>
  <c r="V47" i="9" s="1"/>
  <c r="G47" i="10" s="1"/>
  <c r="V47" i="10" s="1"/>
  <c r="G47" i="11" s="1"/>
  <c r="V47" i="11" s="1"/>
  <c r="G47" i="12" s="1"/>
  <c r="V47" i="12" s="1"/>
  <c r="U47" i="6"/>
  <c r="F47" i="7" s="1"/>
  <c r="U47" i="7" s="1"/>
  <c r="F47" i="8" s="1"/>
  <c r="U47" i="8" s="1"/>
  <c r="F47" i="9" s="1"/>
  <c r="U47" i="9" s="1"/>
  <c r="F47" i="10" s="1"/>
  <c r="U47" i="10" s="1"/>
  <c r="F47" i="11" s="1"/>
  <c r="U47" i="11" s="1"/>
  <c r="F47" i="12" s="1"/>
  <c r="U47" i="12" s="1"/>
  <c r="T47" i="6"/>
  <c r="H47" i="6"/>
  <c r="S47" i="6" s="1"/>
  <c r="AI46" i="6"/>
  <c r="AF46" i="6"/>
  <c r="AC46" i="6"/>
  <c r="Z46" i="6"/>
  <c r="AI45" i="6"/>
  <c r="AF45" i="6"/>
  <c r="AC45" i="6"/>
  <c r="Z45" i="6"/>
  <c r="V45" i="6"/>
  <c r="U45" i="6"/>
  <c r="F45" i="7" s="1"/>
  <c r="U45" i="7" s="1"/>
  <c r="F45" i="8" s="1"/>
  <c r="U45" i="8" s="1"/>
  <c r="F45" i="9" s="1"/>
  <c r="U45" i="9" s="1"/>
  <c r="F45" i="10" s="1"/>
  <c r="U45" i="10" s="1"/>
  <c r="F45" i="11" s="1"/>
  <c r="U45" i="11" s="1"/>
  <c r="F45" i="12" s="1"/>
  <c r="U45" i="12" s="1"/>
  <c r="T45" i="6"/>
  <c r="E45" i="7" s="1"/>
  <c r="H45" i="6"/>
  <c r="S45" i="6" s="1"/>
  <c r="AI44" i="6"/>
  <c r="AF44" i="6"/>
  <c r="AC44" i="6"/>
  <c r="Z44" i="6"/>
  <c r="V44" i="6"/>
  <c r="G44" i="7" s="1"/>
  <c r="V44" i="7" s="1"/>
  <c r="G44" i="8" s="1"/>
  <c r="V44" i="8" s="1"/>
  <c r="G44" i="9" s="1"/>
  <c r="V44" i="9" s="1"/>
  <c r="G44" i="10" s="1"/>
  <c r="V44" i="10" s="1"/>
  <c r="G44" i="11" s="1"/>
  <c r="V44" i="11" s="1"/>
  <c r="G44" i="12" s="1"/>
  <c r="V44" i="12" s="1"/>
  <c r="U44" i="6"/>
  <c r="F44" i="7" s="1"/>
  <c r="U44" i="7" s="1"/>
  <c r="F44" i="8" s="1"/>
  <c r="U44" i="8" s="1"/>
  <c r="F44" i="9" s="1"/>
  <c r="U44" i="9" s="1"/>
  <c r="F44" i="10" s="1"/>
  <c r="U44" i="10" s="1"/>
  <c r="F44" i="11" s="1"/>
  <c r="U44" i="11" s="1"/>
  <c r="F44" i="12" s="1"/>
  <c r="U44" i="12" s="1"/>
  <c r="T44" i="6"/>
  <c r="H44" i="6"/>
  <c r="S44" i="6" s="1"/>
  <c r="AI43" i="6"/>
  <c r="AF43" i="6"/>
  <c r="AC43" i="6"/>
  <c r="Z43" i="6"/>
  <c r="AI42" i="6"/>
  <c r="AF42" i="6"/>
  <c r="AC42" i="6"/>
  <c r="Z42" i="6"/>
  <c r="V42" i="6"/>
  <c r="G42" i="7" s="1"/>
  <c r="V42" i="7" s="1"/>
  <c r="G42" i="8" s="1"/>
  <c r="V42" i="8" s="1"/>
  <c r="G42" i="9" s="1"/>
  <c r="V42" i="9" s="1"/>
  <c r="G42" i="10" s="1"/>
  <c r="V42" i="10" s="1"/>
  <c r="G42" i="11" s="1"/>
  <c r="V42" i="11" s="1"/>
  <c r="G42" i="12" s="1"/>
  <c r="V42" i="12" s="1"/>
  <c r="U42" i="6"/>
  <c r="F42" i="7" s="1"/>
  <c r="U42" i="7" s="1"/>
  <c r="F42" i="8" s="1"/>
  <c r="U42" i="8" s="1"/>
  <c r="F42" i="9" s="1"/>
  <c r="U42" i="9" s="1"/>
  <c r="F42" i="10" s="1"/>
  <c r="U42" i="10" s="1"/>
  <c r="F42" i="11" s="1"/>
  <c r="U42" i="11" s="1"/>
  <c r="F42" i="12" s="1"/>
  <c r="U42" i="12" s="1"/>
  <c r="T42" i="6"/>
  <c r="E42" i="7" s="1"/>
  <c r="H42" i="6"/>
  <c r="S42" i="6" s="1"/>
  <c r="AI41" i="6"/>
  <c r="AF41" i="6"/>
  <c r="AC41" i="6"/>
  <c r="Z41" i="6"/>
  <c r="AI40" i="6"/>
  <c r="AF40" i="6"/>
  <c r="AC40" i="6"/>
  <c r="Z40" i="6"/>
  <c r="V40" i="6"/>
  <c r="G40" i="7" s="1"/>
  <c r="V40" i="7" s="1"/>
  <c r="G40" i="8" s="1"/>
  <c r="V40" i="8" s="1"/>
  <c r="G40" i="9" s="1"/>
  <c r="V40" i="9" s="1"/>
  <c r="G40" i="10" s="1"/>
  <c r="V40" i="10" s="1"/>
  <c r="G40" i="11" s="1"/>
  <c r="V40" i="11" s="1"/>
  <c r="G40" i="12" s="1"/>
  <c r="V40" i="12" s="1"/>
  <c r="U40" i="6"/>
  <c r="F40" i="7" s="1"/>
  <c r="U40" i="7" s="1"/>
  <c r="F40" i="8" s="1"/>
  <c r="U40" i="8" s="1"/>
  <c r="F40" i="9" s="1"/>
  <c r="U40" i="9" s="1"/>
  <c r="F40" i="10" s="1"/>
  <c r="U40" i="10" s="1"/>
  <c r="F40" i="11" s="1"/>
  <c r="U40" i="11" s="1"/>
  <c r="F40" i="12" s="1"/>
  <c r="U40" i="12" s="1"/>
  <c r="F136" i="20" s="1" a="1"/>
  <c r="F136" i="20" s="1"/>
  <c r="Z136" i="20" s="1"/>
  <c r="F137" i="13" s="1" a="1"/>
  <c r="F137" i="13" s="1"/>
  <c r="T40" i="6"/>
  <c r="H40" i="6"/>
  <c r="S40" i="6" s="1"/>
  <c r="AI39" i="6"/>
  <c r="AF39" i="6"/>
  <c r="AC39" i="6"/>
  <c r="Z39" i="6"/>
  <c r="V39" i="6"/>
  <c r="G39" i="7" s="1"/>
  <c r="V39" i="7" s="1"/>
  <c r="G39" i="8" s="1"/>
  <c r="V39" i="8" s="1"/>
  <c r="G39" i="9" s="1"/>
  <c r="V39" i="9" s="1"/>
  <c r="G39" i="10" s="1"/>
  <c r="V39" i="10" s="1"/>
  <c r="G39" i="11" s="1"/>
  <c r="V39" i="11" s="1"/>
  <c r="G39" i="12" s="1"/>
  <c r="V39" i="12" s="1"/>
  <c r="U39" i="6"/>
  <c r="F39" i="7" s="1"/>
  <c r="U39" i="7" s="1"/>
  <c r="F39" i="8" s="1"/>
  <c r="U39" i="8" s="1"/>
  <c r="F39" i="9" s="1"/>
  <c r="U39" i="9" s="1"/>
  <c r="F39" i="10" s="1"/>
  <c r="U39" i="10" s="1"/>
  <c r="F39" i="11" s="1"/>
  <c r="U39" i="11" s="1"/>
  <c r="F39" i="12" s="1"/>
  <c r="U39" i="12" s="1"/>
  <c r="T39" i="6"/>
  <c r="E39" i="7" s="1"/>
  <c r="H39" i="6"/>
  <c r="S39" i="6" s="1"/>
  <c r="AI38" i="6"/>
  <c r="AF38" i="6"/>
  <c r="AC38" i="6"/>
  <c r="Z38" i="6"/>
  <c r="V38" i="6"/>
  <c r="G38" i="7" s="1"/>
  <c r="V38" i="7" s="1"/>
  <c r="G38" i="8" s="1"/>
  <c r="V38" i="8" s="1"/>
  <c r="G38" i="9" s="1"/>
  <c r="V38" i="9" s="1"/>
  <c r="G38" i="10" s="1"/>
  <c r="V38" i="10" s="1"/>
  <c r="G38" i="11" s="1"/>
  <c r="V38" i="11" s="1"/>
  <c r="G38" i="12" s="1"/>
  <c r="V38" i="12" s="1"/>
  <c r="U38" i="6"/>
  <c r="F38" i="7" s="1"/>
  <c r="U38" i="7" s="1"/>
  <c r="F38" i="8" s="1"/>
  <c r="U38" i="8" s="1"/>
  <c r="F38" i="9" s="1"/>
  <c r="U38" i="9" s="1"/>
  <c r="F38" i="10" s="1"/>
  <c r="U38" i="10" s="1"/>
  <c r="F38" i="11" s="1"/>
  <c r="U38" i="11" s="1"/>
  <c r="F38" i="12" s="1"/>
  <c r="U38" i="12" s="1"/>
  <c r="T38" i="6"/>
  <c r="H38" i="6"/>
  <c r="S38" i="6" s="1"/>
  <c r="AI37" i="6"/>
  <c r="AF37" i="6"/>
  <c r="AC37" i="6"/>
  <c r="Z37" i="6"/>
  <c r="V37" i="6"/>
  <c r="G37" i="7" s="1"/>
  <c r="V37" i="7" s="1"/>
  <c r="G37" i="8" s="1"/>
  <c r="V37" i="8" s="1"/>
  <c r="G37" i="9" s="1"/>
  <c r="V37" i="9" s="1"/>
  <c r="G37" i="10" s="1"/>
  <c r="V37" i="10" s="1"/>
  <c r="G37" i="11" s="1"/>
  <c r="V37" i="11" s="1"/>
  <c r="G37" i="12" s="1"/>
  <c r="V37" i="12" s="1"/>
  <c r="U37" i="6"/>
  <c r="F37" i="7" s="1"/>
  <c r="U37" i="7" s="1"/>
  <c r="F37" i="8" s="1"/>
  <c r="U37" i="8" s="1"/>
  <c r="F37" i="9" s="1"/>
  <c r="U37" i="9" s="1"/>
  <c r="F37" i="10" s="1"/>
  <c r="U37" i="10" s="1"/>
  <c r="F37" i="11" s="1"/>
  <c r="U37" i="11" s="1"/>
  <c r="F37" i="12" s="1"/>
  <c r="U37" i="12" s="1"/>
  <c r="T37" i="6"/>
  <c r="E37" i="7" s="1"/>
  <c r="H37" i="6"/>
  <c r="S37" i="6" s="1"/>
  <c r="AI36" i="6"/>
  <c r="AF36" i="6"/>
  <c r="AC36" i="6"/>
  <c r="Z36" i="6"/>
  <c r="AI35" i="6"/>
  <c r="AF35" i="6"/>
  <c r="AC35" i="6"/>
  <c r="Z35" i="6"/>
  <c r="V35" i="6"/>
  <c r="G35" i="7" s="1"/>
  <c r="V35" i="7" s="1"/>
  <c r="G35" i="8" s="1"/>
  <c r="V35" i="8" s="1"/>
  <c r="G35" i="9" s="1"/>
  <c r="V35" i="9" s="1"/>
  <c r="G35" i="10" s="1"/>
  <c r="V35" i="10" s="1"/>
  <c r="G35" i="11" s="1"/>
  <c r="V35" i="11" s="1"/>
  <c r="G35" i="12" s="1"/>
  <c r="V35" i="12" s="1"/>
  <c r="U35" i="6"/>
  <c r="F35" i="7" s="1"/>
  <c r="U35" i="7" s="1"/>
  <c r="F35" i="8" s="1"/>
  <c r="U35" i="8" s="1"/>
  <c r="F35" i="9" s="1"/>
  <c r="U35" i="9" s="1"/>
  <c r="F35" i="10" s="1"/>
  <c r="U35" i="10" s="1"/>
  <c r="F35" i="11" s="1"/>
  <c r="U35" i="11" s="1"/>
  <c r="F35" i="12" s="1"/>
  <c r="U35" i="12" s="1"/>
  <c r="T35" i="6"/>
  <c r="E35" i="7" s="1"/>
  <c r="H35" i="6"/>
  <c r="S35" i="6" s="1"/>
  <c r="AI34" i="6"/>
  <c r="AF34" i="6"/>
  <c r="AC34" i="6"/>
  <c r="Z34" i="6"/>
  <c r="V34" i="6"/>
  <c r="G34" i="7" s="1"/>
  <c r="V34" i="7" s="1"/>
  <c r="G34" i="8" s="1"/>
  <c r="V34" i="8" s="1"/>
  <c r="G34" i="9" s="1"/>
  <c r="V34" i="9" s="1"/>
  <c r="G34" i="10" s="1"/>
  <c r="V34" i="10" s="1"/>
  <c r="G34" i="11" s="1"/>
  <c r="V34" i="11" s="1"/>
  <c r="G34" i="12" s="1"/>
  <c r="V34" i="12" s="1"/>
  <c r="U34" i="6"/>
  <c r="F34" i="7" s="1"/>
  <c r="U34" i="7" s="1"/>
  <c r="T34" i="6"/>
  <c r="E34" i="7" s="1"/>
  <c r="T34" i="7" s="1"/>
  <c r="E34" i="8" s="1"/>
  <c r="H34" i="6"/>
  <c r="S34" i="6" s="1"/>
  <c r="AI33" i="6"/>
  <c r="AF33" i="6"/>
  <c r="AC33" i="6"/>
  <c r="Z33" i="6"/>
  <c r="AI32" i="6"/>
  <c r="AF32" i="6"/>
  <c r="AC32" i="6"/>
  <c r="Z32" i="6"/>
  <c r="AI31" i="6"/>
  <c r="AF31" i="6"/>
  <c r="AC31" i="6"/>
  <c r="Z31" i="6"/>
  <c r="AI30" i="6"/>
  <c r="AF30" i="6"/>
  <c r="AC30" i="6"/>
  <c r="Z30" i="6"/>
  <c r="AI29" i="6"/>
  <c r="AF29" i="6"/>
  <c r="AC29" i="6"/>
  <c r="Z29" i="6"/>
  <c r="AI28" i="6"/>
  <c r="AF28" i="6"/>
  <c r="AC28" i="6"/>
  <c r="Z28" i="6"/>
  <c r="V28" i="6"/>
  <c r="G28" i="7" s="1"/>
  <c r="V28" i="7" s="1"/>
  <c r="G28" i="8" s="1"/>
  <c r="V28" i="8" s="1"/>
  <c r="G28" i="9" s="1"/>
  <c r="V28" i="9" s="1"/>
  <c r="G28" i="10" s="1"/>
  <c r="V28" i="10" s="1"/>
  <c r="G28" i="11" s="1"/>
  <c r="V28" i="11" s="1"/>
  <c r="G28" i="12" s="1"/>
  <c r="V28" i="12" s="1"/>
  <c r="U28" i="6"/>
  <c r="F28" i="7" s="1"/>
  <c r="U28" i="7" s="1"/>
  <c r="F28" i="8" s="1"/>
  <c r="U28" i="8" s="1"/>
  <c r="F28" i="9" s="1"/>
  <c r="U28" i="9" s="1"/>
  <c r="F28" i="10" s="1"/>
  <c r="U28" i="10" s="1"/>
  <c r="F28" i="11" s="1"/>
  <c r="U28" i="11" s="1"/>
  <c r="F28" i="12" s="1"/>
  <c r="U28" i="12" s="1"/>
  <c r="T28" i="6"/>
  <c r="E28" i="7" s="1"/>
  <c r="T28" i="7" s="1"/>
  <c r="H28" i="6"/>
  <c r="S28" i="6" s="1"/>
  <c r="AI27" i="6"/>
  <c r="AF27" i="6"/>
  <c r="AC27" i="6"/>
  <c r="Z27" i="6"/>
  <c r="V27" i="6"/>
  <c r="G27" i="7" s="1"/>
  <c r="U27" i="6"/>
  <c r="F27" i="7" s="1"/>
  <c r="U27" i="7" s="1"/>
  <c r="F27" i="8" s="1"/>
  <c r="U27" i="8" s="1"/>
  <c r="F27" i="9" s="1"/>
  <c r="U27" i="9" s="1"/>
  <c r="F27" i="10" s="1"/>
  <c r="U27" i="10" s="1"/>
  <c r="F27" i="11" s="1"/>
  <c r="U27" i="11" s="1"/>
  <c r="F27" i="12" s="1"/>
  <c r="U27" i="12" s="1"/>
  <c r="T27" i="6"/>
  <c r="E27" i="7" s="1"/>
  <c r="T27" i="7" s="1"/>
  <c r="H27" i="6"/>
  <c r="S27" i="6" s="1"/>
  <c r="AI26" i="6"/>
  <c r="AF26" i="6"/>
  <c r="AC26" i="6"/>
  <c r="Z26" i="6"/>
  <c r="AI25" i="6"/>
  <c r="AF25" i="6"/>
  <c r="AC25" i="6"/>
  <c r="Z25" i="6"/>
  <c r="AI24" i="6"/>
  <c r="AF24" i="6"/>
  <c r="AC24" i="6"/>
  <c r="Z24" i="6"/>
  <c r="V24" i="6"/>
  <c r="G24" i="7" s="1"/>
  <c r="V24" i="7" s="1"/>
  <c r="G24" i="8" s="1"/>
  <c r="V24" i="8" s="1"/>
  <c r="G24" i="9" s="1"/>
  <c r="V24" i="9" s="1"/>
  <c r="G24" i="10" s="1"/>
  <c r="V24" i="10" s="1"/>
  <c r="G24" i="11" s="1"/>
  <c r="V24" i="11" s="1"/>
  <c r="G24" i="12" s="1"/>
  <c r="V24" i="12" s="1"/>
  <c r="U24" i="6"/>
  <c r="F24" i="7" s="1"/>
  <c r="U24" i="7" s="1"/>
  <c r="F24" i="8" s="1"/>
  <c r="U24" i="8" s="1"/>
  <c r="F24" i="9" s="1"/>
  <c r="U24" i="9" s="1"/>
  <c r="F24" i="10" s="1"/>
  <c r="U24" i="10" s="1"/>
  <c r="F24" i="11" s="1"/>
  <c r="U24" i="11" s="1"/>
  <c r="F24" i="12" s="1"/>
  <c r="U24" i="12" s="1"/>
  <c r="T24" i="6"/>
  <c r="E24" i="7" s="1"/>
  <c r="H24" i="6"/>
  <c r="S24" i="6" s="1"/>
  <c r="AI23" i="6"/>
  <c r="AF23" i="6"/>
  <c r="AC23" i="6"/>
  <c r="Z23" i="6"/>
  <c r="V23" i="6"/>
  <c r="G23" i="7" s="1"/>
  <c r="V23" i="7" s="1"/>
  <c r="G23" i="8" s="1"/>
  <c r="V23" i="8" s="1"/>
  <c r="G23" i="9" s="1"/>
  <c r="V23" i="9" s="1"/>
  <c r="G23" i="10" s="1"/>
  <c r="V23" i="10" s="1"/>
  <c r="G23" i="11" s="1"/>
  <c r="V23" i="11" s="1"/>
  <c r="G23" i="12" s="1"/>
  <c r="V23" i="12" s="1"/>
  <c r="U23" i="6"/>
  <c r="F23" i="7" s="1"/>
  <c r="U23" i="7" s="1"/>
  <c r="F23" i="8" s="1"/>
  <c r="U23" i="8" s="1"/>
  <c r="F23" i="9" s="1"/>
  <c r="U23" i="9" s="1"/>
  <c r="F23" i="10" s="1"/>
  <c r="U23" i="10" s="1"/>
  <c r="F23" i="11" s="1"/>
  <c r="U23" i="11" s="1"/>
  <c r="F23" i="12" s="1"/>
  <c r="U23" i="12" s="1"/>
  <c r="T23" i="6"/>
  <c r="H23" i="6"/>
  <c r="S23" i="6" s="1"/>
  <c r="AI22" i="6"/>
  <c r="AF22" i="6"/>
  <c r="AC22" i="6"/>
  <c r="Z22" i="6"/>
  <c r="AI21" i="6"/>
  <c r="AF21" i="6"/>
  <c r="AC21" i="6"/>
  <c r="Z21" i="6"/>
  <c r="AI20" i="6"/>
  <c r="AF20" i="6"/>
  <c r="AC20" i="6"/>
  <c r="Z20" i="6"/>
  <c r="V20" i="6"/>
  <c r="G20" i="7" s="1"/>
  <c r="V20" i="7" s="1"/>
  <c r="G20" i="8" s="1"/>
  <c r="V20" i="8" s="1"/>
  <c r="G20" i="9" s="1"/>
  <c r="V20" i="9" s="1"/>
  <c r="G20" i="10" s="1"/>
  <c r="V20" i="10" s="1"/>
  <c r="G20" i="11" s="1"/>
  <c r="V20" i="11" s="1"/>
  <c r="G20" i="12" s="1"/>
  <c r="V20" i="12" s="1"/>
  <c r="U20" i="6"/>
  <c r="T20" i="6"/>
  <c r="E20" i="7" s="1"/>
  <c r="T20" i="7" s="1"/>
  <c r="H20" i="6"/>
  <c r="S20" i="6" s="1"/>
  <c r="AI19" i="6"/>
  <c r="AF19" i="6"/>
  <c r="AC19" i="6"/>
  <c r="Z19" i="6"/>
  <c r="AI18" i="6"/>
  <c r="AF18" i="6"/>
  <c r="AC18" i="6"/>
  <c r="Z18" i="6"/>
  <c r="V18" i="6"/>
  <c r="G18" i="7" s="1"/>
  <c r="V18" i="7" s="1"/>
  <c r="G18" i="8" s="1"/>
  <c r="V18" i="8" s="1"/>
  <c r="G18" i="9" s="1"/>
  <c r="V18" i="9" s="1"/>
  <c r="G18" i="10" s="1"/>
  <c r="V18" i="10" s="1"/>
  <c r="G18" i="11" s="1"/>
  <c r="V18" i="11" s="1"/>
  <c r="G18" i="12" s="1"/>
  <c r="V18" i="12" s="1"/>
  <c r="U18" i="6"/>
  <c r="F18" i="7" s="1"/>
  <c r="U18" i="7" s="1"/>
  <c r="F18" i="8" s="1"/>
  <c r="U18" i="8" s="1"/>
  <c r="F18" i="9" s="1"/>
  <c r="U18" i="9" s="1"/>
  <c r="F18" i="10" s="1"/>
  <c r="U18" i="10" s="1"/>
  <c r="F18" i="11" s="1"/>
  <c r="U18" i="11" s="1"/>
  <c r="F18" i="12" s="1"/>
  <c r="U18" i="12" s="1"/>
  <c r="T18" i="6"/>
  <c r="H18" i="6"/>
  <c r="S18" i="6" s="1"/>
  <c r="AI17" i="6"/>
  <c r="AF17" i="6"/>
  <c r="AC17" i="6"/>
  <c r="Z17" i="6"/>
  <c r="V17" i="6"/>
  <c r="G17" i="7" s="1"/>
  <c r="V17" i="7" s="1"/>
  <c r="G17" i="8" s="1"/>
  <c r="V17" i="8" s="1"/>
  <c r="G17" i="9" s="1"/>
  <c r="V17" i="9" s="1"/>
  <c r="G17" i="10" s="1"/>
  <c r="V17" i="10" s="1"/>
  <c r="G17" i="11" s="1"/>
  <c r="V17" i="11" s="1"/>
  <c r="G17" i="12" s="1"/>
  <c r="V17" i="12" s="1"/>
  <c r="U17" i="6"/>
  <c r="F17" i="7" s="1"/>
  <c r="U17" i="7" s="1"/>
  <c r="F17" i="8" s="1"/>
  <c r="U17" i="8" s="1"/>
  <c r="F17" i="9" s="1"/>
  <c r="U17" i="9" s="1"/>
  <c r="F17" i="10" s="1"/>
  <c r="U17" i="10" s="1"/>
  <c r="F17" i="11" s="1"/>
  <c r="U17" i="11" s="1"/>
  <c r="F17" i="12" s="1"/>
  <c r="U17" i="12" s="1"/>
  <c r="T17" i="6"/>
  <c r="H17" i="6"/>
  <c r="S17" i="6" s="1"/>
  <c r="AI16" i="6"/>
  <c r="AF16" i="6"/>
  <c r="AC16" i="6"/>
  <c r="Z16" i="6"/>
  <c r="AI15" i="6"/>
  <c r="AF15" i="6"/>
  <c r="AC15" i="6"/>
  <c r="Z15" i="6"/>
  <c r="AI14" i="6"/>
  <c r="AF14" i="6"/>
  <c r="AC14" i="6"/>
  <c r="Z14" i="6"/>
  <c r="AI13" i="6"/>
  <c r="AF13" i="6"/>
  <c r="AC13" i="6"/>
  <c r="Z13" i="6"/>
  <c r="AI12" i="6"/>
  <c r="AF12" i="6"/>
  <c r="AC12" i="6"/>
  <c r="Z12" i="6"/>
  <c r="AI11" i="6"/>
  <c r="AF11" i="6"/>
  <c r="AC11" i="6"/>
  <c r="Z11" i="6"/>
  <c r="AI10" i="6"/>
  <c r="AF10" i="6"/>
  <c r="AC10" i="6"/>
  <c r="Z10" i="6"/>
  <c r="AI9" i="6"/>
  <c r="AF9" i="6"/>
  <c r="AC9" i="6"/>
  <c r="Z9" i="6"/>
  <c r="AI8" i="6"/>
  <c r="AF8" i="6"/>
  <c r="AC8" i="6"/>
  <c r="Z8" i="6"/>
  <c r="AI7" i="6"/>
  <c r="AF7" i="6"/>
  <c r="AC7" i="6"/>
  <c r="Z7" i="6"/>
  <c r="AI6" i="6"/>
  <c r="AF6" i="6"/>
  <c r="AC6" i="6"/>
  <c r="Z6" i="6"/>
  <c r="AI5" i="6"/>
  <c r="AF5" i="6"/>
  <c r="AC5" i="6"/>
  <c r="Z5" i="6"/>
  <c r="AI4" i="6"/>
  <c r="AF4" i="6"/>
  <c r="AC4" i="6"/>
  <c r="Z4" i="6"/>
  <c r="V4" i="6"/>
  <c r="G4" i="7" s="1"/>
  <c r="V4" i="7" s="1"/>
  <c r="G4" i="8" s="1"/>
  <c r="V4" i="8" s="1"/>
  <c r="G4" i="9" s="1"/>
  <c r="V4" i="9" s="1"/>
  <c r="G4" i="10" s="1"/>
  <c r="V4" i="10" s="1"/>
  <c r="G4" i="11" s="1"/>
  <c r="V4" i="11" s="1"/>
  <c r="G4" i="12" s="1"/>
  <c r="V4" i="12" s="1"/>
  <c r="U4" i="6"/>
  <c r="F4" i="7" s="1"/>
  <c r="U4" i="7" s="1"/>
  <c r="F4" i="8" s="1"/>
  <c r="U4" i="8" s="1"/>
  <c r="F4" i="9" s="1"/>
  <c r="U4" i="9" s="1"/>
  <c r="F4" i="10" s="1"/>
  <c r="U4" i="10" s="1"/>
  <c r="F4" i="11" s="1"/>
  <c r="U4" i="11" s="1"/>
  <c r="F4" i="12" s="1"/>
  <c r="U4" i="12" s="1"/>
  <c r="F94" i="20" s="1" a="1"/>
  <c r="F94" i="20" s="1"/>
  <c r="Z94" i="20" s="1"/>
  <c r="F95" i="13" s="1" a="1"/>
  <c r="F95" i="13" s="1"/>
  <c r="T4" i="6"/>
  <c r="H4" i="6"/>
  <c r="S4" i="6" s="1"/>
  <c r="AI3" i="6"/>
  <c r="AF3" i="6"/>
  <c r="AC3" i="6"/>
  <c r="Z3" i="6"/>
  <c r="V3" i="6"/>
  <c r="U3" i="6"/>
  <c r="T3" i="6"/>
  <c r="H3" i="6"/>
  <c r="S3" i="6" s="1"/>
  <c r="AI199" i="5"/>
  <c r="AF199" i="5"/>
  <c r="AC199" i="5"/>
  <c r="Z199" i="5"/>
  <c r="V199" i="5"/>
  <c r="U199" i="5"/>
  <c r="T199" i="5"/>
  <c r="H199" i="5"/>
  <c r="S199" i="5" s="1"/>
  <c r="AI198" i="5"/>
  <c r="AF198" i="5"/>
  <c r="AC198" i="5"/>
  <c r="Z198" i="5"/>
  <c r="AI197" i="5"/>
  <c r="AF197" i="5"/>
  <c r="AC197" i="5"/>
  <c r="Z197" i="5"/>
  <c r="V197" i="5"/>
  <c r="U197" i="5"/>
  <c r="T197" i="5"/>
  <c r="H197" i="5"/>
  <c r="S197" i="5" s="1"/>
  <c r="AI196" i="5"/>
  <c r="AF196" i="5"/>
  <c r="AC196" i="5"/>
  <c r="Z196" i="5"/>
  <c r="V196" i="5"/>
  <c r="U196" i="5"/>
  <c r="T196" i="5"/>
  <c r="H196" i="5"/>
  <c r="S196" i="5" s="1"/>
  <c r="AI195" i="5"/>
  <c r="AF195" i="5"/>
  <c r="AC195" i="5"/>
  <c r="Z195" i="5"/>
  <c r="V195" i="5"/>
  <c r="U195" i="5"/>
  <c r="T195" i="5"/>
  <c r="H195" i="5"/>
  <c r="S195" i="5" s="1"/>
  <c r="AI194" i="5"/>
  <c r="AF194" i="5"/>
  <c r="AC194" i="5"/>
  <c r="Z194" i="5"/>
  <c r="V194" i="5"/>
  <c r="U194" i="5"/>
  <c r="T194" i="5"/>
  <c r="H194" i="5"/>
  <c r="S194" i="5" s="1"/>
  <c r="AI193" i="5"/>
  <c r="AF193" i="5"/>
  <c r="AC193" i="5"/>
  <c r="Z193" i="5"/>
  <c r="AI192" i="5"/>
  <c r="AF192" i="5"/>
  <c r="AC192" i="5"/>
  <c r="Z192" i="5"/>
  <c r="AI191" i="5"/>
  <c r="AF191" i="5"/>
  <c r="AC191" i="5"/>
  <c r="Z191" i="5"/>
  <c r="V191" i="5"/>
  <c r="U191" i="5"/>
  <c r="T191" i="5"/>
  <c r="H191" i="5"/>
  <c r="S191" i="5" s="1"/>
  <c r="AI190" i="5"/>
  <c r="AF190" i="5"/>
  <c r="AC190" i="5"/>
  <c r="Z190" i="5"/>
  <c r="AI189" i="5"/>
  <c r="AF189" i="5"/>
  <c r="AC189" i="5"/>
  <c r="Z189" i="5"/>
  <c r="AI188" i="5"/>
  <c r="AF188" i="5"/>
  <c r="AC188" i="5"/>
  <c r="Z188" i="5"/>
  <c r="AI187" i="5"/>
  <c r="AF187" i="5"/>
  <c r="AC187" i="5"/>
  <c r="Z187" i="5"/>
  <c r="V187" i="5"/>
  <c r="U187" i="5"/>
  <c r="T187" i="5"/>
  <c r="H187" i="5"/>
  <c r="S187" i="5" s="1"/>
  <c r="AI186" i="5"/>
  <c r="AF186" i="5"/>
  <c r="AC186" i="5"/>
  <c r="Z186" i="5"/>
  <c r="V186" i="5"/>
  <c r="U186" i="5"/>
  <c r="T186" i="5"/>
  <c r="H186" i="5"/>
  <c r="S186" i="5" s="1"/>
  <c r="AI185" i="5"/>
  <c r="AF185" i="5"/>
  <c r="AC185" i="5"/>
  <c r="Z185" i="5"/>
  <c r="V185" i="5"/>
  <c r="U185" i="5"/>
  <c r="T185" i="5"/>
  <c r="H185" i="5"/>
  <c r="S185" i="5" s="1"/>
  <c r="AI184" i="5"/>
  <c r="AF184" i="5"/>
  <c r="AC184" i="5"/>
  <c r="Z184" i="5"/>
  <c r="V184" i="5"/>
  <c r="U184" i="5"/>
  <c r="T184" i="5"/>
  <c r="H184" i="5"/>
  <c r="S184" i="5" s="1"/>
  <c r="AI183" i="5"/>
  <c r="AF183" i="5"/>
  <c r="AC183" i="5"/>
  <c r="Z183" i="5"/>
  <c r="V183" i="5"/>
  <c r="U183" i="5"/>
  <c r="T183" i="5"/>
  <c r="H183" i="5"/>
  <c r="S183" i="5" s="1"/>
  <c r="AI182" i="5"/>
  <c r="AF182" i="5"/>
  <c r="AC182" i="5"/>
  <c r="Z182" i="5"/>
  <c r="V182" i="5"/>
  <c r="U182" i="5"/>
  <c r="T182" i="5"/>
  <c r="H182" i="5"/>
  <c r="S182" i="5" s="1"/>
  <c r="AI181" i="5"/>
  <c r="AF181" i="5"/>
  <c r="AC181" i="5"/>
  <c r="Z181" i="5"/>
  <c r="V181" i="5"/>
  <c r="U181" i="5"/>
  <c r="T181" i="5"/>
  <c r="H181" i="5"/>
  <c r="S181" i="5" s="1"/>
  <c r="AI180" i="5"/>
  <c r="AF180" i="5"/>
  <c r="AC180" i="5"/>
  <c r="Z180" i="5"/>
  <c r="V180" i="5"/>
  <c r="U180" i="5"/>
  <c r="T180" i="5"/>
  <c r="H180" i="5"/>
  <c r="S180" i="5" s="1"/>
  <c r="AI179" i="5"/>
  <c r="AF179" i="5"/>
  <c r="AC179" i="5"/>
  <c r="Z179" i="5"/>
  <c r="AI178" i="5"/>
  <c r="AF178" i="5"/>
  <c r="AC178" i="5"/>
  <c r="Z178" i="5"/>
  <c r="V178" i="5"/>
  <c r="U178" i="5"/>
  <c r="T178" i="5"/>
  <c r="H178" i="5"/>
  <c r="S178" i="5" s="1"/>
  <c r="AI177" i="5"/>
  <c r="AF177" i="5"/>
  <c r="AC177" i="5"/>
  <c r="Z177" i="5"/>
  <c r="AI176" i="5"/>
  <c r="AF176" i="5"/>
  <c r="AC176" i="5"/>
  <c r="Z176" i="5"/>
  <c r="V176" i="5"/>
  <c r="U176" i="5"/>
  <c r="T176" i="5"/>
  <c r="H176" i="5"/>
  <c r="S176" i="5" s="1"/>
  <c r="AI175" i="5"/>
  <c r="AF175" i="5"/>
  <c r="AC175" i="5"/>
  <c r="Z175" i="5"/>
  <c r="V175" i="5"/>
  <c r="U175" i="5"/>
  <c r="T175" i="5"/>
  <c r="H175" i="5"/>
  <c r="S175" i="5" s="1"/>
  <c r="AI174" i="5"/>
  <c r="AF174" i="5"/>
  <c r="AC174" i="5"/>
  <c r="Z174" i="5"/>
  <c r="V174" i="5"/>
  <c r="U174" i="5"/>
  <c r="T174" i="5"/>
  <c r="H174" i="5"/>
  <c r="S174" i="5" s="1"/>
  <c r="AI173" i="5"/>
  <c r="AF173" i="5"/>
  <c r="AC173" i="5"/>
  <c r="Z173" i="5"/>
  <c r="V173" i="5"/>
  <c r="U173" i="5"/>
  <c r="T173" i="5"/>
  <c r="H173" i="5"/>
  <c r="S173" i="5" s="1"/>
  <c r="AI172" i="5"/>
  <c r="AF172" i="5"/>
  <c r="AC172" i="5"/>
  <c r="Z172" i="5"/>
  <c r="AI171" i="5"/>
  <c r="AF171" i="5"/>
  <c r="AC171" i="5"/>
  <c r="Z171" i="5"/>
  <c r="AI170" i="5"/>
  <c r="AF170" i="5"/>
  <c r="AC170" i="5"/>
  <c r="Z170" i="5"/>
  <c r="AI169" i="5"/>
  <c r="AF169" i="5"/>
  <c r="AC169" i="5"/>
  <c r="Z169" i="5"/>
  <c r="AI168" i="5"/>
  <c r="AF168" i="5"/>
  <c r="AC168" i="5"/>
  <c r="Z168" i="5"/>
  <c r="AI167" i="5"/>
  <c r="AF167" i="5"/>
  <c r="AC167" i="5"/>
  <c r="Z167" i="5"/>
  <c r="AI166" i="5"/>
  <c r="AF166" i="5"/>
  <c r="AC166" i="5"/>
  <c r="Z166" i="5"/>
  <c r="AI165" i="5"/>
  <c r="AF165" i="5"/>
  <c r="AC165" i="5"/>
  <c r="Z165" i="5"/>
  <c r="AI164" i="5"/>
  <c r="AF164" i="5"/>
  <c r="AC164" i="5"/>
  <c r="Z164" i="5"/>
  <c r="AI163" i="5"/>
  <c r="AF163" i="5"/>
  <c r="AC163" i="5"/>
  <c r="Z163" i="5"/>
  <c r="AI162" i="5"/>
  <c r="AF162" i="5"/>
  <c r="AC162" i="5"/>
  <c r="Z162" i="5"/>
  <c r="AI161" i="5"/>
  <c r="AF161" i="5"/>
  <c r="AC161" i="5"/>
  <c r="Z161" i="5"/>
  <c r="V161" i="5"/>
  <c r="U161" i="5"/>
  <c r="T161" i="5"/>
  <c r="H161" i="5"/>
  <c r="S161" i="5" s="1"/>
  <c r="AI160" i="5"/>
  <c r="AF160" i="5"/>
  <c r="AC160" i="5"/>
  <c r="Z160" i="5"/>
  <c r="V160" i="5"/>
  <c r="U160" i="5"/>
  <c r="T160" i="5"/>
  <c r="H160" i="5"/>
  <c r="S160" i="5" s="1"/>
  <c r="AI159" i="5"/>
  <c r="AF159" i="5"/>
  <c r="AC159" i="5"/>
  <c r="Z159" i="5"/>
  <c r="V159" i="5"/>
  <c r="U159" i="5"/>
  <c r="T159" i="5"/>
  <c r="H159" i="5"/>
  <c r="S159" i="5" s="1"/>
  <c r="AI158" i="5"/>
  <c r="AF158" i="5"/>
  <c r="AC158" i="5"/>
  <c r="Z158" i="5"/>
  <c r="V158" i="5"/>
  <c r="U158" i="5"/>
  <c r="T158" i="5"/>
  <c r="H158" i="5"/>
  <c r="S158" i="5" s="1"/>
  <c r="AI157" i="5"/>
  <c r="AF157" i="5"/>
  <c r="AC157" i="5"/>
  <c r="Z157" i="5"/>
  <c r="V157" i="5"/>
  <c r="U157" i="5"/>
  <c r="T157" i="5"/>
  <c r="H157" i="5"/>
  <c r="S157" i="5" s="1"/>
  <c r="AI156" i="5"/>
  <c r="AF156" i="5"/>
  <c r="AC156" i="5"/>
  <c r="Z156" i="5"/>
  <c r="V156" i="5"/>
  <c r="U156" i="5"/>
  <c r="T156" i="5"/>
  <c r="H156" i="5"/>
  <c r="S156" i="5" s="1"/>
  <c r="AI155" i="5"/>
  <c r="AF155" i="5"/>
  <c r="AC155" i="5"/>
  <c r="Z155" i="5"/>
  <c r="V155" i="5"/>
  <c r="U155" i="5"/>
  <c r="T155" i="5"/>
  <c r="H155" i="5"/>
  <c r="S155" i="5" s="1"/>
  <c r="AI154" i="5"/>
  <c r="AF154" i="5"/>
  <c r="AC154" i="5"/>
  <c r="Z154" i="5"/>
  <c r="AI153" i="5"/>
  <c r="AF153" i="5"/>
  <c r="AC153" i="5"/>
  <c r="Z153" i="5"/>
  <c r="AI152" i="5"/>
  <c r="AF152" i="5"/>
  <c r="AC152" i="5"/>
  <c r="Z152" i="5"/>
  <c r="AI151" i="5"/>
  <c r="AF151" i="5"/>
  <c r="AC151" i="5"/>
  <c r="Z151" i="5"/>
  <c r="AI150" i="5"/>
  <c r="AF150" i="5"/>
  <c r="AC150" i="5"/>
  <c r="Z150" i="5"/>
  <c r="AI149" i="5"/>
  <c r="AF149" i="5"/>
  <c r="AC149" i="5"/>
  <c r="Z149" i="5"/>
  <c r="AI148" i="5"/>
  <c r="AF148" i="5"/>
  <c r="AC148" i="5"/>
  <c r="Z148" i="5"/>
  <c r="AI147" i="5"/>
  <c r="AF147" i="5"/>
  <c r="AC147" i="5"/>
  <c r="Z147" i="5"/>
  <c r="AI146" i="5"/>
  <c r="AF146" i="5"/>
  <c r="AC146" i="5"/>
  <c r="Z146" i="5"/>
  <c r="V146" i="5"/>
  <c r="U146" i="5"/>
  <c r="T146" i="5"/>
  <c r="H146" i="5"/>
  <c r="S146" i="5" s="1"/>
  <c r="AI145" i="5"/>
  <c r="AF145" i="5"/>
  <c r="AC145" i="5"/>
  <c r="Z145" i="5"/>
  <c r="AI144" i="5"/>
  <c r="AF144" i="5"/>
  <c r="AC144" i="5"/>
  <c r="Z144" i="5"/>
  <c r="V144" i="5"/>
  <c r="U144" i="5"/>
  <c r="T144" i="5"/>
  <c r="H144" i="5"/>
  <c r="S144" i="5" s="1"/>
  <c r="AI143" i="5"/>
  <c r="AF143" i="5"/>
  <c r="AC143" i="5"/>
  <c r="Z143" i="5"/>
  <c r="AI142" i="5"/>
  <c r="AF142" i="5"/>
  <c r="AC142" i="5"/>
  <c r="Z142" i="5"/>
  <c r="AI141" i="5"/>
  <c r="AF141" i="5"/>
  <c r="AC141" i="5"/>
  <c r="Z141" i="5"/>
  <c r="V141" i="5"/>
  <c r="U141" i="5"/>
  <c r="T141" i="5"/>
  <c r="H141" i="5"/>
  <c r="S141" i="5" s="1"/>
  <c r="AI140" i="5"/>
  <c r="AF140" i="5"/>
  <c r="AC140" i="5"/>
  <c r="Z140" i="5"/>
  <c r="V140" i="5"/>
  <c r="U140" i="5"/>
  <c r="T140" i="5"/>
  <c r="H140" i="5"/>
  <c r="S140" i="5" s="1"/>
  <c r="AI139" i="5"/>
  <c r="AF139" i="5"/>
  <c r="AC139" i="5"/>
  <c r="Z139" i="5"/>
  <c r="V139" i="5"/>
  <c r="U139" i="5"/>
  <c r="T139" i="5"/>
  <c r="H139" i="5"/>
  <c r="S139" i="5" s="1"/>
  <c r="AI138" i="5"/>
  <c r="AF138" i="5"/>
  <c r="AC138" i="5"/>
  <c r="Z138" i="5"/>
  <c r="V138" i="5"/>
  <c r="U138" i="5"/>
  <c r="T138" i="5"/>
  <c r="H138" i="5"/>
  <c r="S138" i="5" s="1"/>
  <c r="AI137" i="5"/>
  <c r="AF137" i="5"/>
  <c r="AC137" i="5"/>
  <c r="Z137" i="5"/>
  <c r="V137" i="5"/>
  <c r="U137" i="5"/>
  <c r="T137" i="5"/>
  <c r="H137" i="5"/>
  <c r="S137" i="5" s="1"/>
  <c r="AI136" i="5"/>
  <c r="AF136" i="5"/>
  <c r="AC136" i="5"/>
  <c r="Z136" i="5"/>
  <c r="V136" i="5"/>
  <c r="U136" i="5"/>
  <c r="T136" i="5"/>
  <c r="H136" i="5"/>
  <c r="S136" i="5" s="1"/>
  <c r="AI135" i="5"/>
  <c r="AF135" i="5"/>
  <c r="AC135" i="5"/>
  <c r="Z135" i="5"/>
  <c r="V135" i="5"/>
  <c r="U135" i="5"/>
  <c r="T135" i="5"/>
  <c r="H135" i="5"/>
  <c r="S135" i="5" s="1"/>
  <c r="AI134" i="5"/>
  <c r="AF134" i="5"/>
  <c r="AC134" i="5"/>
  <c r="Z134" i="5"/>
  <c r="V134" i="5"/>
  <c r="U134" i="5"/>
  <c r="T134" i="5"/>
  <c r="H134" i="5"/>
  <c r="S134" i="5" s="1"/>
  <c r="AI133" i="5"/>
  <c r="AF133" i="5"/>
  <c r="AC133" i="5"/>
  <c r="Z133" i="5"/>
  <c r="V133" i="5"/>
  <c r="U133" i="5"/>
  <c r="T133" i="5"/>
  <c r="H133" i="5"/>
  <c r="S133" i="5" s="1"/>
  <c r="AI132" i="5"/>
  <c r="AF132" i="5"/>
  <c r="AC132" i="5"/>
  <c r="Z132" i="5"/>
  <c r="V132" i="5"/>
  <c r="U132" i="5"/>
  <c r="T132" i="5"/>
  <c r="H132" i="5"/>
  <c r="S132" i="5" s="1"/>
  <c r="AI131" i="5"/>
  <c r="AF131" i="5"/>
  <c r="AC131" i="5"/>
  <c r="Z131" i="5"/>
  <c r="V131" i="5"/>
  <c r="U131" i="5"/>
  <c r="T131" i="5"/>
  <c r="H131" i="5"/>
  <c r="S131" i="5" s="1"/>
  <c r="AI130" i="5"/>
  <c r="AF130" i="5"/>
  <c r="AC130" i="5"/>
  <c r="Z130" i="5"/>
  <c r="V130" i="5"/>
  <c r="U130" i="5"/>
  <c r="T130" i="5"/>
  <c r="H130" i="5"/>
  <c r="S130" i="5" s="1"/>
  <c r="AI129" i="5"/>
  <c r="AF129" i="5"/>
  <c r="AC129" i="5"/>
  <c r="Z129" i="5"/>
  <c r="V129" i="5"/>
  <c r="U129" i="5"/>
  <c r="T129" i="5"/>
  <c r="H129" i="5"/>
  <c r="S129" i="5" s="1"/>
  <c r="AI128" i="5"/>
  <c r="AF128" i="5"/>
  <c r="AC128" i="5"/>
  <c r="Z128" i="5"/>
  <c r="V128" i="5"/>
  <c r="U128" i="5"/>
  <c r="T128" i="5"/>
  <c r="H128" i="5"/>
  <c r="S128" i="5" s="1"/>
  <c r="AI127" i="5"/>
  <c r="AF127" i="5"/>
  <c r="AC127" i="5"/>
  <c r="Z127" i="5"/>
  <c r="V127" i="5"/>
  <c r="U127" i="5"/>
  <c r="T127" i="5"/>
  <c r="H127" i="5"/>
  <c r="S127" i="5" s="1"/>
  <c r="AI126" i="5"/>
  <c r="AF126" i="5"/>
  <c r="AC126" i="5"/>
  <c r="Z126" i="5"/>
  <c r="V126" i="5"/>
  <c r="U126" i="5"/>
  <c r="T126" i="5"/>
  <c r="H126" i="5"/>
  <c r="S126" i="5" s="1"/>
  <c r="AI125" i="5"/>
  <c r="AF125" i="5"/>
  <c r="AC125" i="5"/>
  <c r="Z125" i="5"/>
  <c r="V125" i="5"/>
  <c r="U125" i="5"/>
  <c r="T125" i="5"/>
  <c r="H125" i="5"/>
  <c r="S125" i="5" s="1"/>
  <c r="AI124" i="5"/>
  <c r="AF124" i="5"/>
  <c r="AC124" i="5"/>
  <c r="Z124" i="5"/>
  <c r="V124" i="5"/>
  <c r="U124" i="5"/>
  <c r="T124" i="5"/>
  <c r="H124" i="5"/>
  <c r="S124" i="5" s="1"/>
  <c r="AI123" i="5"/>
  <c r="AF123" i="5"/>
  <c r="AC123" i="5"/>
  <c r="Z123" i="5"/>
  <c r="AI122" i="5"/>
  <c r="AF122" i="5"/>
  <c r="AC122" i="5"/>
  <c r="Z122" i="5"/>
  <c r="AI121" i="5"/>
  <c r="AF121" i="5"/>
  <c r="AC121" i="5"/>
  <c r="Z121" i="5"/>
  <c r="V121" i="5"/>
  <c r="U121" i="5"/>
  <c r="T121" i="5"/>
  <c r="H121" i="5"/>
  <c r="S121" i="5" s="1"/>
  <c r="AI120" i="5"/>
  <c r="AF120" i="5"/>
  <c r="AC120" i="5"/>
  <c r="Z120" i="5"/>
  <c r="V120" i="5"/>
  <c r="U120" i="5"/>
  <c r="T120" i="5"/>
  <c r="H120" i="5"/>
  <c r="S120" i="5" s="1"/>
  <c r="AI119" i="5"/>
  <c r="AF119" i="5"/>
  <c r="AC119" i="5"/>
  <c r="Z119" i="5"/>
  <c r="AI118" i="5"/>
  <c r="AF118" i="5"/>
  <c r="AC118" i="5"/>
  <c r="Z118" i="5"/>
  <c r="V118" i="5"/>
  <c r="U118" i="5"/>
  <c r="T118" i="5"/>
  <c r="H118" i="5"/>
  <c r="S118" i="5" s="1"/>
  <c r="AI117" i="5"/>
  <c r="AF117" i="5"/>
  <c r="AC117" i="5"/>
  <c r="Z117" i="5"/>
  <c r="V117" i="5"/>
  <c r="U117" i="5"/>
  <c r="T117" i="5"/>
  <c r="H117" i="5"/>
  <c r="S117" i="5" s="1"/>
  <c r="AI116" i="5"/>
  <c r="AF116" i="5"/>
  <c r="AC116" i="5"/>
  <c r="Z116" i="5"/>
  <c r="V116" i="5"/>
  <c r="U116" i="5"/>
  <c r="T116" i="5"/>
  <c r="H116" i="5"/>
  <c r="S116" i="5" s="1"/>
  <c r="AI115" i="5"/>
  <c r="AF115" i="5"/>
  <c r="AC115" i="5"/>
  <c r="Z115" i="5"/>
  <c r="V115" i="5"/>
  <c r="U115" i="5"/>
  <c r="T115" i="5"/>
  <c r="H115" i="5"/>
  <c r="S115" i="5" s="1"/>
  <c r="AI114" i="5"/>
  <c r="AF114" i="5"/>
  <c r="AC114" i="5"/>
  <c r="Z114" i="5"/>
  <c r="AI113" i="5"/>
  <c r="AF113" i="5"/>
  <c r="AC113" i="5"/>
  <c r="Z113" i="5"/>
  <c r="AI112" i="5"/>
  <c r="AF112" i="5"/>
  <c r="AC112" i="5"/>
  <c r="Z112" i="5"/>
  <c r="AI111" i="5"/>
  <c r="AF111" i="5"/>
  <c r="AC111" i="5"/>
  <c r="Z111" i="5"/>
  <c r="AI110" i="5"/>
  <c r="AF110" i="5"/>
  <c r="AC110" i="5"/>
  <c r="Z110" i="5"/>
  <c r="AI109" i="5"/>
  <c r="AF109" i="5"/>
  <c r="AC109" i="5"/>
  <c r="Z109" i="5"/>
  <c r="AI108" i="5"/>
  <c r="AF108" i="5"/>
  <c r="AC108" i="5"/>
  <c r="Z108" i="5"/>
  <c r="V108" i="5"/>
  <c r="U108" i="5"/>
  <c r="T108" i="5"/>
  <c r="H108" i="5"/>
  <c r="S108" i="5" s="1"/>
  <c r="AI107" i="5"/>
  <c r="AF107" i="5"/>
  <c r="AC107" i="5"/>
  <c r="Z107" i="5"/>
  <c r="V107" i="5"/>
  <c r="U107" i="5"/>
  <c r="T107" i="5"/>
  <c r="H107" i="5"/>
  <c r="S107" i="5" s="1"/>
  <c r="AI106" i="5"/>
  <c r="AF106" i="5"/>
  <c r="AC106" i="5"/>
  <c r="Z106" i="5"/>
  <c r="V106" i="5"/>
  <c r="U106" i="5"/>
  <c r="T106" i="5"/>
  <c r="H106" i="5"/>
  <c r="S106" i="5" s="1"/>
  <c r="AI105" i="5"/>
  <c r="AF105" i="5"/>
  <c r="AC105" i="5"/>
  <c r="Z105" i="5"/>
  <c r="AI104" i="5"/>
  <c r="AF104" i="5"/>
  <c r="AC104" i="5"/>
  <c r="Z104" i="5"/>
  <c r="V104" i="5"/>
  <c r="U104" i="5"/>
  <c r="T104" i="5"/>
  <c r="H104" i="5"/>
  <c r="S104" i="5" s="1"/>
  <c r="AI103" i="5"/>
  <c r="AF103" i="5"/>
  <c r="AC103" i="5"/>
  <c r="Z103" i="5"/>
  <c r="V103" i="5"/>
  <c r="U103" i="5"/>
  <c r="T103" i="5"/>
  <c r="H103" i="5"/>
  <c r="S103" i="5" s="1"/>
  <c r="AI102" i="5"/>
  <c r="AF102" i="5"/>
  <c r="AC102" i="5"/>
  <c r="Z102" i="5"/>
  <c r="V102" i="5"/>
  <c r="U102" i="5"/>
  <c r="T102" i="5"/>
  <c r="H102" i="5"/>
  <c r="S102" i="5" s="1"/>
  <c r="AI101" i="5"/>
  <c r="AF101" i="5"/>
  <c r="AC101" i="5"/>
  <c r="Z101" i="5"/>
  <c r="V101" i="5"/>
  <c r="U101" i="5"/>
  <c r="T101" i="5"/>
  <c r="H101" i="5"/>
  <c r="S101" i="5" s="1"/>
  <c r="AI100" i="5"/>
  <c r="AF100" i="5"/>
  <c r="AC100" i="5"/>
  <c r="Z100" i="5"/>
  <c r="V100" i="5"/>
  <c r="U100" i="5"/>
  <c r="T100" i="5"/>
  <c r="H100" i="5"/>
  <c r="S100" i="5" s="1"/>
  <c r="AI99" i="5"/>
  <c r="AF99" i="5"/>
  <c r="AC99" i="5"/>
  <c r="Z99" i="5"/>
  <c r="V99" i="5"/>
  <c r="U99" i="5"/>
  <c r="T99" i="5"/>
  <c r="H99" i="5"/>
  <c r="S99" i="5" s="1"/>
  <c r="AI98" i="5"/>
  <c r="AF98" i="5"/>
  <c r="AC98" i="5"/>
  <c r="Z98" i="5"/>
  <c r="AI97" i="5"/>
  <c r="AF97" i="5"/>
  <c r="AC97" i="5"/>
  <c r="Z97" i="5"/>
  <c r="V97" i="5"/>
  <c r="U97" i="5"/>
  <c r="T97" i="5"/>
  <c r="H97" i="5"/>
  <c r="S97" i="5" s="1"/>
  <c r="AI96" i="5"/>
  <c r="AF96" i="5"/>
  <c r="AC96" i="5"/>
  <c r="Z96" i="5"/>
  <c r="V96" i="5"/>
  <c r="U96" i="5"/>
  <c r="T96" i="5"/>
  <c r="H96" i="5"/>
  <c r="S96" i="5" s="1"/>
  <c r="AI95" i="5"/>
  <c r="AF95" i="5"/>
  <c r="AC95" i="5"/>
  <c r="Z95" i="5"/>
  <c r="V95" i="5"/>
  <c r="U95" i="5"/>
  <c r="T95" i="5"/>
  <c r="H95" i="5"/>
  <c r="S95" i="5" s="1"/>
  <c r="AI94" i="5"/>
  <c r="AF94" i="5"/>
  <c r="AC94" i="5"/>
  <c r="Z94" i="5"/>
  <c r="V94" i="5"/>
  <c r="U94" i="5"/>
  <c r="T94" i="5"/>
  <c r="H94" i="5"/>
  <c r="S94" i="5" s="1"/>
  <c r="AI93" i="5"/>
  <c r="AF93" i="5"/>
  <c r="AC93" i="5"/>
  <c r="Z93" i="5"/>
  <c r="AI92" i="5"/>
  <c r="AF92" i="5"/>
  <c r="AC92" i="5"/>
  <c r="Z92" i="5"/>
  <c r="AI91" i="5"/>
  <c r="AF91" i="5"/>
  <c r="AC91" i="5"/>
  <c r="Z91" i="5"/>
  <c r="V91" i="5"/>
  <c r="U91" i="5"/>
  <c r="T91" i="5"/>
  <c r="H91" i="5"/>
  <c r="S91" i="5" s="1"/>
  <c r="AI90" i="5"/>
  <c r="AF90" i="5"/>
  <c r="AC90" i="5"/>
  <c r="Z90" i="5"/>
  <c r="V90" i="5"/>
  <c r="U90" i="5"/>
  <c r="T90" i="5"/>
  <c r="H90" i="5"/>
  <c r="S90" i="5" s="1"/>
  <c r="AI89" i="5"/>
  <c r="AF89" i="5"/>
  <c r="AC89" i="5"/>
  <c r="Z89" i="5"/>
  <c r="V89" i="5"/>
  <c r="U89" i="5"/>
  <c r="T89" i="5"/>
  <c r="H89" i="5"/>
  <c r="S89" i="5" s="1"/>
  <c r="AI88" i="5"/>
  <c r="AF88" i="5"/>
  <c r="AC88" i="5"/>
  <c r="Z88" i="5"/>
  <c r="V88" i="5"/>
  <c r="U88" i="5"/>
  <c r="T88" i="5"/>
  <c r="H88" i="5"/>
  <c r="S88" i="5" s="1"/>
  <c r="AI87" i="5"/>
  <c r="AF87" i="5"/>
  <c r="AC87" i="5"/>
  <c r="Z87" i="5"/>
  <c r="V87" i="5"/>
  <c r="U87" i="5"/>
  <c r="T87" i="5"/>
  <c r="H87" i="5"/>
  <c r="S87" i="5" s="1"/>
  <c r="AI86" i="5"/>
  <c r="AF86" i="5"/>
  <c r="AC86" i="5"/>
  <c r="Z86" i="5"/>
  <c r="V86" i="5"/>
  <c r="U86" i="5"/>
  <c r="T86" i="5"/>
  <c r="H86" i="5"/>
  <c r="S86" i="5" s="1"/>
  <c r="AI85" i="5"/>
  <c r="AF85" i="5"/>
  <c r="AC85" i="5"/>
  <c r="Z85" i="5"/>
  <c r="V85" i="5"/>
  <c r="U85" i="5"/>
  <c r="T85" i="5"/>
  <c r="H85" i="5"/>
  <c r="S85" i="5" s="1"/>
  <c r="AI84" i="5"/>
  <c r="AF84" i="5"/>
  <c r="AC84" i="5"/>
  <c r="Z84" i="5"/>
  <c r="V84" i="5"/>
  <c r="U84" i="5"/>
  <c r="T84" i="5"/>
  <c r="H84" i="5"/>
  <c r="S84" i="5" s="1"/>
  <c r="AI83" i="5"/>
  <c r="AF83" i="5"/>
  <c r="AC83" i="5"/>
  <c r="Z83" i="5"/>
  <c r="AI82" i="5"/>
  <c r="AF82" i="5"/>
  <c r="AC82" i="5"/>
  <c r="Z82" i="5"/>
  <c r="AI81" i="5"/>
  <c r="AF81" i="5"/>
  <c r="AC81" i="5"/>
  <c r="Z81" i="5"/>
  <c r="AI80" i="5"/>
  <c r="AF80" i="5"/>
  <c r="AC80" i="5"/>
  <c r="Z80" i="5"/>
  <c r="AI79" i="5"/>
  <c r="AF79" i="5"/>
  <c r="AC79" i="5"/>
  <c r="Z79" i="5"/>
  <c r="AI78" i="5"/>
  <c r="AF78" i="5"/>
  <c r="AC78" i="5"/>
  <c r="Z78" i="5"/>
  <c r="AI77" i="5"/>
  <c r="AF77" i="5"/>
  <c r="AC77" i="5"/>
  <c r="Z77" i="5"/>
  <c r="V77" i="5"/>
  <c r="U77" i="5"/>
  <c r="T77" i="5"/>
  <c r="H77" i="5"/>
  <c r="S77" i="5" s="1"/>
  <c r="AI76" i="5"/>
  <c r="AF76" i="5"/>
  <c r="AC76" i="5"/>
  <c r="Z76" i="5"/>
  <c r="V76" i="5"/>
  <c r="U76" i="5"/>
  <c r="T76" i="5"/>
  <c r="H76" i="5"/>
  <c r="S76" i="5" s="1"/>
  <c r="AI75" i="5"/>
  <c r="AF75" i="5"/>
  <c r="AC75" i="5"/>
  <c r="Z75" i="5"/>
  <c r="V75" i="5"/>
  <c r="U75" i="5"/>
  <c r="T75" i="5"/>
  <c r="H75" i="5"/>
  <c r="S75" i="5" s="1"/>
  <c r="AI74" i="5"/>
  <c r="AF74" i="5"/>
  <c r="AC74" i="5"/>
  <c r="Z74" i="5"/>
  <c r="V74" i="5"/>
  <c r="U74" i="5"/>
  <c r="T74" i="5"/>
  <c r="H74" i="5"/>
  <c r="S74" i="5" s="1"/>
  <c r="AI73" i="5"/>
  <c r="AF73" i="5"/>
  <c r="AC73" i="5"/>
  <c r="Z73" i="5"/>
  <c r="V73" i="5"/>
  <c r="U73" i="5"/>
  <c r="T73" i="5"/>
  <c r="H73" i="5"/>
  <c r="S73" i="5" s="1"/>
  <c r="AI72" i="5"/>
  <c r="AF72" i="5"/>
  <c r="AC72" i="5"/>
  <c r="Z72" i="5"/>
  <c r="V72" i="5"/>
  <c r="U72" i="5"/>
  <c r="T72" i="5"/>
  <c r="H72" i="5"/>
  <c r="S72" i="5" s="1"/>
  <c r="AI71" i="5"/>
  <c r="AF71" i="5"/>
  <c r="AC71" i="5"/>
  <c r="Z71" i="5"/>
  <c r="V71" i="5"/>
  <c r="U71" i="5"/>
  <c r="T71" i="5"/>
  <c r="H71" i="5"/>
  <c r="S71" i="5" s="1"/>
  <c r="AI70" i="5"/>
  <c r="AF70" i="5"/>
  <c r="AC70" i="5"/>
  <c r="Z70" i="5"/>
  <c r="V70" i="5"/>
  <c r="U70" i="5"/>
  <c r="T70" i="5"/>
  <c r="H70" i="5"/>
  <c r="S70" i="5" s="1"/>
  <c r="AI69" i="5"/>
  <c r="AF69" i="5"/>
  <c r="AC69" i="5"/>
  <c r="Z69" i="5"/>
  <c r="V69" i="5"/>
  <c r="U69" i="5"/>
  <c r="T69" i="5"/>
  <c r="H69" i="5"/>
  <c r="S69" i="5" s="1"/>
  <c r="AI68" i="5"/>
  <c r="AF68" i="5"/>
  <c r="AC68" i="5"/>
  <c r="Z68" i="5"/>
  <c r="V68" i="5"/>
  <c r="U68" i="5"/>
  <c r="T68" i="5"/>
  <c r="H68" i="5"/>
  <c r="S68" i="5" s="1"/>
  <c r="AI67" i="5"/>
  <c r="AF67" i="5"/>
  <c r="AC67" i="5"/>
  <c r="Z67" i="5"/>
  <c r="AI66" i="5"/>
  <c r="AF66" i="5"/>
  <c r="AC66" i="5"/>
  <c r="Z66" i="5"/>
  <c r="V66" i="5"/>
  <c r="U66" i="5"/>
  <c r="T66" i="5"/>
  <c r="H66" i="5"/>
  <c r="S66" i="5" s="1"/>
  <c r="AI65" i="5"/>
  <c r="AF65" i="5"/>
  <c r="AC65" i="5"/>
  <c r="Z65" i="5"/>
  <c r="V65" i="5"/>
  <c r="U65" i="5"/>
  <c r="T65" i="5"/>
  <c r="H65" i="5"/>
  <c r="S65" i="5" s="1"/>
  <c r="AI64" i="5"/>
  <c r="AF64" i="5"/>
  <c r="AC64" i="5"/>
  <c r="Z64" i="5"/>
  <c r="V64" i="5"/>
  <c r="U64" i="5"/>
  <c r="T64" i="5"/>
  <c r="H64" i="5"/>
  <c r="S64" i="5" s="1"/>
  <c r="AI63" i="5"/>
  <c r="AF63" i="5"/>
  <c r="AC63" i="5"/>
  <c r="Z63" i="5"/>
  <c r="V63" i="5"/>
  <c r="U63" i="5"/>
  <c r="T63" i="5"/>
  <c r="H63" i="5"/>
  <c r="S63" i="5" s="1"/>
  <c r="AI62" i="5"/>
  <c r="AF62" i="5"/>
  <c r="AC62" i="5"/>
  <c r="Z62" i="5"/>
  <c r="V62" i="5"/>
  <c r="U62" i="5"/>
  <c r="T62" i="5"/>
  <c r="H62" i="5"/>
  <c r="S62" i="5" s="1"/>
  <c r="AI61" i="5"/>
  <c r="AF61" i="5"/>
  <c r="AC61" i="5"/>
  <c r="Z61" i="5"/>
  <c r="V61" i="5"/>
  <c r="U61" i="5"/>
  <c r="T61" i="5"/>
  <c r="H61" i="5"/>
  <c r="S61" i="5" s="1"/>
  <c r="AI60" i="5"/>
  <c r="AF60" i="5"/>
  <c r="AC60" i="5"/>
  <c r="Z60" i="5"/>
  <c r="V60" i="5"/>
  <c r="U60" i="5"/>
  <c r="T60" i="5"/>
  <c r="H60" i="5"/>
  <c r="S60" i="5" s="1"/>
  <c r="AI59" i="5"/>
  <c r="AF59" i="5"/>
  <c r="AC59" i="5"/>
  <c r="Z59" i="5"/>
  <c r="AI58" i="5"/>
  <c r="AF58" i="5"/>
  <c r="AC58" i="5"/>
  <c r="Z58" i="5"/>
  <c r="V58" i="5"/>
  <c r="U58" i="5"/>
  <c r="T58" i="5"/>
  <c r="H58" i="5"/>
  <c r="S58" i="5" s="1"/>
  <c r="AI57" i="5"/>
  <c r="AF57" i="5"/>
  <c r="AC57" i="5"/>
  <c r="Z57" i="5"/>
  <c r="AI56" i="5"/>
  <c r="AF56" i="5"/>
  <c r="AC56" i="5"/>
  <c r="Z56" i="5"/>
  <c r="V56" i="5"/>
  <c r="U56" i="5"/>
  <c r="T56" i="5"/>
  <c r="H56" i="5"/>
  <c r="S56" i="5" s="1"/>
  <c r="AI55" i="5"/>
  <c r="AF55" i="5"/>
  <c r="AC55" i="5"/>
  <c r="Z55" i="5"/>
  <c r="V55" i="5"/>
  <c r="U55" i="5"/>
  <c r="T55" i="5"/>
  <c r="H55" i="5"/>
  <c r="S55" i="5" s="1"/>
  <c r="AI54" i="5"/>
  <c r="AF54" i="5"/>
  <c r="AC54" i="5"/>
  <c r="Z54" i="5"/>
  <c r="V54" i="5"/>
  <c r="U54" i="5"/>
  <c r="T54" i="5"/>
  <c r="H54" i="5"/>
  <c r="S54" i="5" s="1"/>
  <c r="AI53" i="5"/>
  <c r="AF53" i="5"/>
  <c r="AC53" i="5"/>
  <c r="Z53" i="5"/>
  <c r="V53" i="5"/>
  <c r="U53" i="5"/>
  <c r="T53" i="5"/>
  <c r="H53" i="5"/>
  <c r="S53" i="5" s="1"/>
  <c r="AI52" i="5"/>
  <c r="AF52" i="5"/>
  <c r="AC52" i="5"/>
  <c r="Z52" i="5"/>
  <c r="AI51" i="5"/>
  <c r="AF51" i="5"/>
  <c r="AC51" i="5"/>
  <c r="Z51" i="5"/>
  <c r="AI50" i="5"/>
  <c r="AF50" i="5"/>
  <c r="AC50" i="5"/>
  <c r="Z50" i="5"/>
  <c r="V50" i="5"/>
  <c r="U50" i="5"/>
  <c r="T50" i="5"/>
  <c r="H50" i="5"/>
  <c r="S50" i="5" s="1"/>
  <c r="AI49" i="5"/>
  <c r="AF49" i="5"/>
  <c r="AC49" i="5"/>
  <c r="Z49" i="5"/>
  <c r="AI48" i="5"/>
  <c r="AF48" i="5"/>
  <c r="AC48" i="5"/>
  <c r="Z48" i="5"/>
  <c r="V48" i="5"/>
  <c r="U48" i="5"/>
  <c r="T48" i="5"/>
  <c r="H48" i="5"/>
  <c r="S48" i="5" s="1"/>
  <c r="AI47" i="5"/>
  <c r="AF47" i="5"/>
  <c r="AC47" i="5"/>
  <c r="Z47" i="5"/>
  <c r="V47" i="5"/>
  <c r="U47" i="5"/>
  <c r="T47" i="5"/>
  <c r="H47" i="5"/>
  <c r="S47" i="5" s="1"/>
  <c r="AI46" i="5"/>
  <c r="AF46" i="5"/>
  <c r="AC46" i="5"/>
  <c r="Z46" i="5"/>
  <c r="AI45" i="5"/>
  <c r="AF45" i="5"/>
  <c r="AC45" i="5"/>
  <c r="Z45" i="5"/>
  <c r="V45" i="5"/>
  <c r="U45" i="5"/>
  <c r="T45" i="5"/>
  <c r="H45" i="5"/>
  <c r="S45" i="5" s="1"/>
  <c r="AI44" i="5"/>
  <c r="AF44" i="5"/>
  <c r="AC44" i="5"/>
  <c r="Z44" i="5"/>
  <c r="V44" i="5"/>
  <c r="U44" i="5"/>
  <c r="T44" i="5"/>
  <c r="H44" i="5"/>
  <c r="S44" i="5" s="1"/>
  <c r="AI43" i="5"/>
  <c r="AF43" i="5"/>
  <c r="AC43" i="5"/>
  <c r="Z43" i="5"/>
  <c r="AI42" i="5"/>
  <c r="AF42" i="5"/>
  <c r="AC42" i="5"/>
  <c r="Z42" i="5"/>
  <c r="V42" i="5"/>
  <c r="U42" i="5"/>
  <c r="T42" i="5"/>
  <c r="H42" i="5"/>
  <c r="S42" i="5" s="1"/>
  <c r="AI41" i="5"/>
  <c r="AF41" i="5"/>
  <c r="AC41" i="5"/>
  <c r="Z41" i="5"/>
  <c r="AI40" i="5"/>
  <c r="AF40" i="5"/>
  <c r="AC40" i="5"/>
  <c r="Z40" i="5"/>
  <c r="V40" i="5"/>
  <c r="U40" i="5"/>
  <c r="T40" i="5"/>
  <c r="H40" i="5"/>
  <c r="S40" i="5" s="1"/>
  <c r="AI39" i="5"/>
  <c r="AF39" i="5"/>
  <c r="AC39" i="5"/>
  <c r="Z39" i="5"/>
  <c r="V39" i="5"/>
  <c r="U39" i="5"/>
  <c r="T39" i="5"/>
  <c r="H39" i="5"/>
  <c r="S39" i="5" s="1"/>
  <c r="AI38" i="5"/>
  <c r="AF38" i="5"/>
  <c r="AC38" i="5"/>
  <c r="Z38" i="5"/>
  <c r="V38" i="5"/>
  <c r="U38" i="5"/>
  <c r="T38" i="5"/>
  <c r="H38" i="5"/>
  <c r="S38" i="5" s="1"/>
  <c r="AI37" i="5"/>
  <c r="AF37" i="5"/>
  <c r="AC37" i="5"/>
  <c r="Z37" i="5"/>
  <c r="V37" i="5"/>
  <c r="U37" i="5"/>
  <c r="T37" i="5"/>
  <c r="H37" i="5"/>
  <c r="S37" i="5" s="1"/>
  <c r="AI36" i="5"/>
  <c r="AF36" i="5"/>
  <c r="AC36" i="5"/>
  <c r="Z36" i="5"/>
  <c r="AI35" i="5"/>
  <c r="AF35" i="5"/>
  <c r="AC35" i="5"/>
  <c r="Z35" i="5"/>
  <c r="V35" i="5"/>
  <c r="U35" i="5"/>
  <c r="T35" i="5"/>
  <c r="H35" i="5"/>
  <c r="S35" i="5" s="1"/>
  <c r="AI34" i="5"/>
  <c r="AF34" i="5"/>
  <c r="AC34" i="5"/>
  <c r="Z34" i="5"/>
  <c r="V34" i="5"/>
  <c r="U34" i="5"/>
  <c r="T34" i="5"/>
  <c r="H34" i="5"/>
  <c r="S34" i="5" s="1"/>
  <c r="AI33" i="5"/>
  <c r="AF33" i="5"/>
  <c r="AC33" i="5"/>
  <c r="Z33" i="5"/>
  <c r="AI32" i="5"/>
  <c r="AF32" i="5"/>
  <c r="AC32" i="5"/>
  <c r="Z32" i="5"/>
  <c r="AI31" i="5"/>
  <c r="AF31" i="5"/>
  <c r="AC31" i="5"/>
  <c r="Z31" i="5"/>
  <c r="AI30" i="5"/>
  <c r="AF30" i="5"/>
  <c r="AC30" i="5"/>
  <c r="Z30" i="5"/>
  <c r="AI29" i="5"/>
  <c r="AF29" i="5"/>
  <c r="AC29" i="5"/>
  <c r="Z29" i="5"/>
  <c r="AI28" i="5"/>
  <c r="AF28" i="5"/>
  <c r="AC28" i="5"/>
  <c r="Z28" i="5"/>
  <c r="V28" i="5"/>
  <c r="U28" i="5"/>
  <c r="T28" i="5"/>
  <c r="H28" i="5"/>
  <c r="S28" i="5" s="1"/>
  <c r="AI27" i="5"/>
  <c r="AF27" i="5"/>
  <c r="AC27" i="5"/>
  <c r="Z27" i="5"/>
  <c r="V27" i="5"/>
  <c r="U27" i="5"/>
  <c r="T27" i="5"/>
  <c r="H27" i="5"/>
  <c r="S27" i="5" s="1"/>
  <c r="AI26" i="5"/>
  <c r="AF26" i="5"/>
  <c r="AC26" i="5"/>
  <c r="Z26" i="5"/>
  <c r="AI25" i="5"/>
  <c r="AF25" i="5"/>
  <c r="AC25" i="5"/>
  <c r="Z25" i="5"/>
  <c r="AI24" i="5"/>
  <c r="AF24" i="5"/>
  <c r="AC24" i="5"/>
  <c r="Z24" i="5"/>
  <c r="V24" i="5"/>
  <c r="U24" i="5"/>
  <c r="T24" i="5"/>
  <c r="H24" i="5"/>
  <c r="S24" i="5" s="1"/>
  <c r="AI23" i="5"/>
  <c r="AF23" i="5"/>
  <c r="AC23" i="5"/>
  <c r="Z23" i="5"/>
  <c r="V23" i="5"/>
  <c r="U23" i="5"/>
  <c r="T23" i="5"/>
  <c r="H23" i="5"/>
  <c r="S23" i="5" s="1"/>
  <c r="AI22" i="5"/>
  <c r="AF22" i="5"/>
  <c r="AC22" i="5"/>
  <c r="Z22" i="5"/>
  <c r="AI21" i="5"/>
  <c r="AF21" i="5"/>
  <c r="AC21" i="5"/>
  <c r="Z21" i="5"/>
  <c r="AI20" i="5"/>
  <c r="AF20" i="5"/>
  <c r="AC20" i="5"/>
  <c r="Z20" i="5"/>
  <c r="V20" i="5"/>
  <c r="U20" i="5"/>
  <c r="T20" i="5"/>
  <c r="H20" i="5"/>
  <c r="S20" i="5" s="1"/>
  <c r="AI19" i="5"/>
  <c r="AF19" i="5"/>
  <c r="AC19" i="5"/>
  <c r="Z19" i="5"/>
  <c r="AI18" i="5"/>
  <c r="AF18" i="5"/>
  <c r="AC18" i="5"/>
  <c r="Z18" i="5"/>
  <c r="V18" i="5"/>
  <c r="U18" i="5"/>
  <c r="T18" i="5"/>
  <c r="H18" i="5"/>
  <c r="S18" i="5" s="1"/>
  <c r="AI17" i="5"/>
  <c r="AF17" i="5"/>
  <c r="AC17" i="5"/>
  <c r="Z17" i="5"/>
  <c r="V17" i="5"/>
  <c r="U17" i="5"/>
  <c r="T17" i="5"/>
  <c r="H17" i="5"/>
  <c r="S17" i="5" s="1"/>
  <c r="AI16" i="5"/>
  <c r="AF16" i="5"/>
  <c r="AC16" i="5"/>
  <c r="Z16" i="5"/>
  <c r="AI15" i="5"/>
  <c r="AF15" i="5"/>
  <c r="AC15" i="5"/>
  <c r="Z15" i="5"/>
  <c r="AI14" i="5"/>
  <c r="AF14" i="5"/>
  <c r="AC14" i="5"/>
  <c r="Z14" i="5"/>
  <c r="AI13" i="5"/>
  <c r="AF13" i="5"/>
  <c r="AC13" i="5"/>
  <c r="Z13" i="5"/>
  <c r="AI12" i="5"/>
  <c r="AF12" i="5"/>
  <c r="AC12" i="5"/>
  <c r="Z12" i="5"/>
  <c r="AI11" i="5"/>
  <c r="AF11" i="5"/>
  <c r="AC11" i="5"/>
  <c r="Z11" i="5"/>
  <c r="AI10" i="5"/>
  <c r="AF10" i="5"/>
  <c r="AC10" i="5"/>
  <c r="Z10" i="5"/>
  <c r="AI9" i="5"/>
  <c r="AF9" i="5"/>
  <c r="AC9" i="5"/>
  <c r="Z9" i="5"/>
  <c r="AI8" i="5"/>
  <c r="AF8" i="5"/>
  <c r="AC8" i="5"/>
  <c r="Z8" i="5"/>
  <c r="AI7" i="5"/>
  <c r="AF7" i="5"/>
  <c r="AC7" i="5"/>
  <c r="Z7" i="5"/>
  <c r="AI6" i="5"/>
  <c r="AF6" i="5"/>
  <c r="AC6" i="5"/>
  <c r="Z6" i="5"/>
  <c r="AI5" i="5"/>
  <c r="AF5" i="5"/>
  <c r="AC5" i="5"/>
  <c r="Z5" i="5"/>
  <c r="AI4" i="5"/>
  <c r="AF4" i="5"/>
  <c r="AC4" i="5"/>
  <c r="Z4" i="5"/>
  <c r="V4" i="5"/>
  <c r="U4" i="5"/>
  <c r="T4" i="5"/>
  <c r="H4" i="5"/>
  <c r="S4" i="5" s="1"/>
  <c r="AI3" i="5"/>
  <c r="AF3" i="5"/>
  <c r="AC3" i="5"/>
  <c r="Z3" i="5"/>
  <c r="V3" i="5"/>
  <c r="U3" i="5"/>
  <c r="T3" i="5"/>
  <c r="H3" i="5"/>
  <c r="S3" i="5" s="1"/>
  <c r="AI199" i="4"/>
  <c r="AF199" i="4"/>
  <c r="AC199" i="4"/>
  <c r="Z199" i="4"/>
  <c r="V199" i="4"/>
  <c r="U199" i="4"/>
  <c r="T199" i="4"/>
  <c r="H199" i="4"/>
  <c r="S199" i="4" s="1"/>
  <c r="AI198" i="4"/>
  <c r="AF198" i="4"/>
  <c r="AC198" i="4"/>
  <c r="Z198" i="4"/>
  <c r="V198" i="4"/>
  <c r="G198" i="5" s="1"/>
  <c r="V198" i="5" s="1"/>
  <c r="G198" i="6" s="1"/>
  <c r="V198" i="6" s="1"/>
  <c r="G198" i="7" s="1"/>
  <c r="V198" i="7" s="1"/>
  <c r="G198" i="8" s="1"/>
  <c r="V198" i="8" s="1"/>
  <c r="G198" i="9" s="1"/>
  <c r="V198" i="9" s="1"/>
  <c r="G198" i="10" s="1"/>
  <c r="V198" i="10" s="1"/>
  <c r="G198" i="11" s="1"/>
  <c r="V198" i="11" s="1"/>
  <c r="G198" i="12" s="1"/>
  <c r="V198" i="12" s="1"/>
  <c r="U198" i="4"/>
  <c r="F198" i="5" s="1"/>
  <c r="U198" i="5" s="1"/>
  <c r="F198" i="6" s="1"/>
  <c r="U198" i="6" s="1"/>
  <c r="F198" i="7" s="1"/>
  <c r="U198" i="7" s="1"/>
  <c r="F198" i="8" s="1"/>
  <c r="U198" i="8" s="1"/>
  <c r="F198" i="9" s="1"/>
  <c r="U198" i="9" s="1"/>
  <c r="F198" i="10" s="1"/>
  <c r="U198" i="10" s="1"/>
  <c r="F198" i="11" s="1"/>
  <c r="U198" i="11" s="1"/>
  <c r="F198" i="12" s="1"/>
  <c r="U198" i="12" s="1"/>
  <c r="T198" i="4"/>
  <c r="H198" i="4"/>
  <c r="S198" i="4" s="1"/>
  <c r="AI197" i="4"/>
  <c r="AF197" i="4"/>
  <c r="AC197" i="4"/>
  <c r="Z197" i="4"/>
  <c r="V197" i="4"/>
  <c r="U197" i="4"/>
  <c r="T197" i="4"/>
  <c r="H197" i="4"/>
  <c r="S197" i="4" s="1"/>
  <c r="AI196" i="4"/>
  <c r="AF196" i="4"/>
  <c r="AC196" i="4"/>
  <c r="Z196" i="4"/>
  <c r="V196" i="4"/>
  <c r="U196" i="4"/>
  <c r="T196" i="4"/>
  <c r="H196" i="4"/>
  <c r="S196" i="4" s="1"/>
  <c r="AI195" i="4"/>
  <c r="AF195" i="4"/>
  <c r="AC195" i="4"/>
  <c r="Z195" i="4"/>
  <c r="V195" i="4"/>
  <c r="U195" i="4"/>
  <c r="T195" i="4"/>
  <c r="H195" i="4"/>
  <c r="S195" i="4" s="1"/>
  <c r="AI194" i="4"/>
  <c r="AF194" i="4"/>
  <c r="AC194" i="4"/>
  <c r="Z194" i="4"/>
  <c r="V194" i="4"/>
  <c r="U194" i="4"/>
  <c r="T194" i="4"/>
  <c r="H194" i="4"/>
  <c r="S194" i="4" s="1"/>
  <c r="AI193" i="4"/>
  <c r="AF193" i="4"/>
  <c r="AC193" i="4"/>
  <c r="Z193" i="4"/>
  <c r="V193" i="4"/>
  <c r="U193" i="4"/>
  <c r="F193" i="5" s="1"/>
  <c r="U193" i="5" s="1"/>
  <c r="F193" i="6" s="1"/>
  <c r="U193" i="6" s="1"/>
  <c r="F193" i="7" s="1"/>
  <c r="U193" i="7" s="1"/>
  <c r="F193" i="8" s="1"/>
  <c r="U193" i="8" s="1"/>
  <c r="F193" i="9" s="1"/>
  <c r="U193" i="9" s="1"/>
  <c r="F193" i="10" s="1"/>
  <c r="U193" i="10" s="1"/>
  <c r="F193" i="11" s="1"/>
  <c r="U193" i="11" s="1"/>
  <c r="F193" i="12" s="1"/>
  <c r="U193" i="12" s="1"/>
  <c r="T193" i="4"/>
  <c r="E193" i="5" s="1"/>
  <c r="T193" i="5" s="1"/>
  <c r="H193" i="4"/>
  <c r="S193" i="4" s="1"/>
  <c r="AI192" i="4"/>
  <c r="AF192" i="4"/>
  <c r="AC192" i="4"/>
  <c r="Z192" i="4"/>
  <c r="V192" i="4"/>
  <c r="G192" i="5" s="1"/>
  <c r="V192" i="5" s="1"/>
  <c r="G192" i="6" s="1"/>
  <c r="V192" i="6" s="1"/>
  <c r="G192" i="7" s="1"/>
  <c r="V192" i="7" s="1"/>
  <c r="G192" i="8" s="1"/>
  <c r="V192" i="8" s="1"/>
  <c r="G192" i="9" s="1"/>
  <c r="V192" i="9" s="1"/>
  <c r="G192" i="10" s="1"/>
  <c r="V192" i="10" s="1"/>
  <c r="G192" i="11" s="1"/>
  <c r="V192" i="11" s="1"/>
  <c r="G192" i="12" s="1"/>
  <c r="V192" i="12" s="1"/>
  <c r="U192" i="4"/>
  <c r="F192" i="5" s="1"/>
  <c r="U192" i="5" s="1"/>
  <c r="F192" i="6" s="1"/>
  <c r="U192" i="6" s="1"/>
  <c r="F192" i="7" s="1"/>
  <c r="U192" i="7" s="1"/>
  <c r="F192" i="8" s="1"/>
  <c r="U192" i="8" s="1"/>
  <c r="F192" i="9" s="1"/>
  <c r="U192" i="9" s="1"/>
  <c r="F192" i="10" s="1"/>
  <c r="U192" i="10" s="1"/>
  <c r="F192" i="11" s="1"/>
  <c r="U192" i="11" s="1"/>
  <c r="F192" i="12" s="1"/>
  <c r="U192" i="12" s="1"/>
  <c r="F90" i="20" s="1" a="1"/>
  <c r="F90" i="20" s="1"/>
  <c r="Z90" i="20" s="1"/>
  <c r="F91" i="13" s="1" a="1"/>
  <c r="F91" i="13" s="1"/>
  <c r="T192" i="4"/>
  <c r="H192" i="4"/>
  <c r="S192" i="4" s="1"/>
  <c r="AI191" i="4"/>
  <c r="AF191" i="4"/>
  <c r="AC191" i="4"/>
  <c r="Z191" i="4"/>
  <c r="V191" i="4"/>
  <c r="U191" i="4"/>
  <c r="T191" i="4"/>
  <c r="H191" i="4"/>
  <c r="S191" i="4" s="1"/>
  <c r="AI190" i="4"/>
  <c r="AF190" i="4"/>
  <c r="AC190" i="4"/>
  <c r="Z190" i="4"/>
  <c r="V190" i="4"/>
  <c r="G190" i="5" s="1"/>
  <c r="V190" i="5" s="1"/>
  <c r="G190" i="6" s="1"/>
  <c r="V190" i="6" s="1"/>
  <c r="G190" i="7" s="1"/>
  <c r="V190" i="7" s="1"/>
  <c r="G190" i="8" s="1"/>
  <c r="V190" i="8" s="1"/>
  <c r="G190" i="9" s="1"/>
  <c r="V190" i="9" s="1"/>
  <c r="G190" i="10" s="1"/>
  <c r="V190" i="10" s="1"/>
  <c r="G190" i="11" s="1"/>
  <c r="V190" i="11" s="1"/>
  <c r="G190" i="12" s="1"/>
  <c r="V190" i="12" s="1"/>
  <c r="U190" i="4"/>
  <c r="F190" i="5" s="1"/>
  <c r="U190" i="5" s="1"/>
  <c r="F190" i="6" s="1"/>
  <c r="U190" i="6" s="1"/>
  <c r="F190" i="7" s="1"/>
  <c r="U190" i="7" s="1"/>
  <c r="F190" i="8" s="1"/>
  <c r="U190" i="8" s="1"/>
  <c r="F190" i="9" s="1"/>
  <c r="U190" i="9" s="1"/>
  <c r="F190" i="10" s="1"/>
  <c r="U190" i="10" s="1"/>
  <c r="F190" i="11" s="1"/>
  <c r="U190" i="11" s="1"/>
  <c r="F190" i="12" s="1"/>
  <c r="U190" i="12" s="1"/>
  <c r="T190" i="4"/>
  <c r="E190" i="5" s="1"/>
  <c r="H190" i="4"/>
  <c r="S190" i="4" s="1"/>
  <c r="AI189" i="4"/>
  <c r="AF189" i="4"/>
  <c r="AC189" i="4"/>
  <c r="Z189" i="4"/>
  <c r="V189" i="4"/>
  <c r="G189" i="5" s="1"/>
  <c r="V189" i="5" s="1"/>
  <c r="G189" i="6" s="1"/>
  <c r="V189" i="6" s="1"/>
  <c r="G189" i="7" s="1"/>
  <c r="V189" i="7" s="1"/>
  <c r="G189" i="8" s="1"/>
  <c r="V189" i="8" s="1"/>
  <c r="G189" i="9" s="1"/>
  <c r="V189" i="9" s="1"/>
  <c r="G189" i="10" s="1"/>
  <c r="V189" i="10" s="1"/>
  <c r="G189" i="11" s="1"/>
  <c r="V189" i="11" s="1"/>
  <c r="G189" i="12" s="1"/>
  <c r="V189" i="12" s="1"/>
  <c r="U189" i="4"/>
  <c r="F189" i="5" s="1"/>
  <c r="U189" i="5" s="1"/>
  <c r="F189" i="6" s="1"/>
  <c r="U189" i="6" s="1"/>
  <c r="F189" i="7" s="1"/>
  <c r="U189" i="7" s="1"/>
  <c r="F189" i="8" s="1"/>
  <c r="U189" i="8" s="1"/>
  <c r="F189" i="9" s="1"/>
  <c r="U189" i="9" s="1"/>
  <c r="F189" i="10" s="1"/>
  <c r="U189" i="10" s="1"/>
  <c r="F189" i="11" s="1"/>
  <c r="U189" i="11" s="1"/>
  <c r="F189" i="12" s="1"/>
  <c r="U189" i="12" s="1"/>
  <c r="T189" i="4"/>
  <c r="E189" i="5" s="1"/>
  <c r="H189" i="4"/>
  <c r="S189" i="4" s="1"/>
  <c r="AI188" i="4"/>
  <c r="AF188" i="4"/>
  <c r="AC188" i="4"/>
  <c r="Z188" i="4"/>
  <c r="V188" i="4"/>
  <c r="G188" i="5" s="1"/>
  <c r="V188" i="5" s="1"/>
  <c r="G188" i="6" s="1"/>
  <c r="V188" i="6" s="1"/>
  <c r="G188" i="7" s="1"/>
  <c r="V188" i="7" s="1"/>
  <c r="G188" i="8" s="1"/>
  <c r="V188" i="8" s="1"/>
  <c r="G188" i="9" s="1"/>
  <c r="V188" i="9" s="1"/>
  <c r="G188" i="10" s="1"/>
  <c r="V188" i="10" s="1"/>
  <c r="G188" i="11" s="1"/>
  <c r="V188" i="11" s="1"/>
  <c r="G188" i="12" s="1"/>
  <c r="V188" i="12" s="1"/>
  <c r="U188" i="4"/>
  <c r="F188" i="5" s="1"/>
  <c r="U188" i="5" s="1"/>
  <c r="F188" i="6" s="1"/>
  <c r="U188" i="6" s="1"/>
  <c r="F188" i="7" s="1"/>
  <c r="U188" i="7" s="1"/>
  <c r="F188" i="8" s="1"/>
  <c r="U188" i="8" s="1"/>
  <c r="F188" i="9" s="1"/>
  <c r="U188" i="9" s="1"/>
  <c r="F188" i="10" s="1"/>
  <c r="U188" i="10" s="1"/>
  <c r="F188" i="11" s="1"/>
  <c r="U188" i="11" s="1"/>
  <c r="F188" i="12" s="1"/>
  <c r="U188" i="12" s="1"/>
  <c r="F86" i="20" s="1" a="1"/>
  <c r="F86" i="20" s="1"/>
  <c r="Z86" i="20" s="1"/>
  <c r="F87" i="13" s="1" a="1"/>
  <c r="F87" i="13" s="1"/>
  <c r="T188" i="4"/>
  <c r="H188" i="4"/>
  <c r="S188" i="4" s="1"/>
  <c r="AI187" i="4"/>
  <c r="AF187" i="4"/>
  <c r="AC187" i="4"/>
  <c r="Z187" i="4"/>
  <c r="V187" i="4"/>
  <c r="U187" i="4"/>
  <c r="T187" i="4"/>
  <c r="H187" i="4"/>
  <c r="S187" i="4" s="1"/>
  <c r="AI186" i="4"/>
  <c r="AF186" i="4"/>
  <c r="AC186" i="4"/>
  <c r="Z186" i="4"/>
  <c r="V186" i="4"/>
  <c r="U186" i="4"/>
  <c r="T186" i="4"/>
  <c r="H186" i="4"/>
  <c r="S186" i="4" s="1"/>
  <c r="AI185" i="4"/>
  <c r="AF185" i="4"/>
  <c r="AC185" i="4"/>
  <c r="Z185" i="4"/>
  <c r="V185" i="4"/>
  <c r="U185" i="4"/>
  <c r="T185" i="4"/>
  <c r="H185" i="4"/>
  <c r="S185" i="4" s="1"/>
  <c r="AI184" i="4"/>
  <c r="AF184" i="4"/>
  <c r="AC184" i="4"/>
  <c r="Z184" i="4"/>
  <c r="V184" i="4"/>
  <c r="U184" i="4"/>
  <c r="T184" i="4"/>
  <c r="H184" i="4"/>
  <c r="S184" i="4" s="1"/>
  <c r="AI183" i="4"/>
  <c r="AF183" i="4"/>
  <c r="AC183" i="4"/>
  <c r="Z183" i="4"/>
  <c r="V183" i="4"/>
  <c r="U183" i="4"/>
  <c r="T183" i="4"/>
  <c r="H183" i="4"/>
  <c r="S183" i="4" s="1"/>
  <c r="AI182" i="4"/>
  <c r="AF182" i="4"/>
  <c r="AC182" i="4"/>
  <c r="Z182" i="4"/>
  <c r="V182" i="4"/>
  <c r="U182" i="4"/>
  <c r="T182" i="4"/>
  <c r="H182" i="4"/>
  <c r="S182" i="4" s="1"/>
  <c r="AI181" i="4"/>
  <c r="AF181" i="4"/>
  <c r="AC181" i="4"/>
  <c r="Z181" i="4"/>
  <c r="V181" i="4"/>
  <c r="U181" i="4"/>
  <c r="T181" i="4"/>
  <c r="H181" i="4"/>
  <c r="S181" i="4" s="1"/>
  <c r="AI180" i="4"/>
  <c r="AF180" i="4"/>
  <c r="AC180" i="4"/>
  <c r="Z180" i="4"/>
  <c r="V180" i="4"/>
  <c r="U180" i="4"/>
  <c r="T180" i="4"/>
  <c r="H180" i="4"/>
  <c r="S180" i="4" s="1"/>
  <c r="AI179" i="4"/>
  <c r="AF179" i="4"/>
  <c r="AC179" i="4"/>
  <c r="Z179" i="4"/>
  <c r="V179" i="4"/>
  <c r="U179" i="4"/>
  <c r="F179" i="5" s="1"/>
  <c r="U179" i="5" s="1"/>
  <c r="F179" i="6" s="1"/>
  <c r="U179" i="6" s="1"/>
  <c r="F179" i="7" s="1"/>
  <c r="U179" i="7" s="1"/>
  <c r="F179" i="8" s="1"/>
  <c r="U179" i="8" s="1"/>
  <c r="F179" i="9" s="1"/>
  <c r="U179" i="9" s="1"/>
  <c r="F179" i="10" s="1"/>
  <c r="U179" i="10" s="1"/>
  <c r="F179" i="11" s="1"/>
  <c r="U179" i="11" s="1"/>
  <c r="F179" i="12" s="1"/>
  <c r="U179" i="12" s="1"/>
  <c r="F85" i="20" s="1" a="1"/>
  <c r="F85" i="20" s="1"/>
  <c r="Z85" i="20" s="1"/>
  <c r="F86" i="13" s="1" a="1"/>
  <c r="F86" i="13" s="1"/>
  <c r="T179" i="4"/>
  <c r="E179" i="5" s="1"/>
  <c r="H179" i="4"/>
  <c r="S179" i="4" s="1"/>
  <c r="AI178" i="4"/>
  <c r="AF178" i="4"/>
  <c r="AC178" i="4"/>
  <c r="Z178" i="4"/>
  <c r="V178" i="4"/>
  <c r="U178" i="4"/>
  <c r="T178" i="4"/>
  <c r="H178" i="4"/>
  <c r="S178" i="4" s="1"/>
  <c r="AI177" i="4"/>
  <c r="AF177" i="4"/>
  <c r="AC177" i="4"/>
  <c r="Z177" i="4"/>
  <c r="V177" i="4"/>
  <c r="G177" i="5" s="1"/>
  <c r="V177" i="5" s="1"/>
  <c r="G177" i="6" s="1"/>
  <c r="V177" i="6" s="1"/>
  <c r="G177" i="7" s="1"/>
  <c r="V177" i="7" s="1"/>
  <c r="G177" i="8" s="1"/>
  <c r="V177" i="8" s="1"/>
  <c r="G177" i="9" s="1"/>
  <c r="V177" i="9" s="1"/>
  <c r="G177" i="10" s="1"/>
  <c r="V177" i="10" s="1"/>
  <c r="G177" i="11" s="1"/>
  <c r="V177" i="11" s="1"/>
  <c r="G177" i="12" s="1"/>
  <c r="V177" i="12" s="1"/>
  <c r="U177" i="4"/>
  <c r="F177" i="5" s="1"/>
  <c r="U177" i="5" s="1"/>
  <c r="F177" i="6" s="1"/>
  <c r="U177" i="6" s="1"/>
  <c r="F177" i="7" s="1"/>
  <c r="U177" i="7" s="1"/>
  <c r="F177" i="8" s="1"/>
  <c r="U177" i="8" s="1"/>
  <c r="F177" i="9" s="1"/>
  <c r="U177" i="9" s="1"/>
  <c r="F177" i="10" s="1"/>
  <c r="U177" i="10" s="1"/>
  <c r="F177" i="11" s="1"/>
  <c r="U177" i="11" s="1"/>
  <c r="F177" i="12" s="1"/>
  <c r="U177" i="12" s="1"/>
  <c r="T177" i="4"/>
  <c r="E177" i="5" s="1"/>
  <c r="H177" i="4"/>
  <c r="S177" i="4" s="1"/>
  <c r="AI176" i="4"/>
  <c r="AF176" i="4"/>
  <c r="AC176" i="4"/>
  <c r="Z176" i="4"/>
  <c r="V176" i="4"/>
  <c r="U176" i="4"/>
  <c r="T176" i="4"/>
  <c r="H176" i="4"/>
  <c r="S176" i="4" s="1"/>
  <c r="AI175" i="4"/>
  <c r="AF175" i="4"/>
  <c r="AC175" i="4"/>
  <c r="Z175" i="4"/>
  <c r="V175" i="4"/>
  <c r="U175" i="4"/>
  <c r="T175" i="4"/>
  <c r="H175" i="4"/>
  <c r="S175" i="4" s="1"/>
  <c r="AI174" i="4"/>
  <c r="AF174" i="4"/>
  <c r="AC174" i="4"/>
  <c r="Z174" i="4"/>
  <c r="V174" i="4"/>
  <c r="U174" i="4"/>
  <c r="T174" i="4"/>
  <c r="H174" i="4"/>
  <c r="S174" i="4" s="1"/>
  <c r="AI173" i="4"/>
  <c r="AF173" i="4"/>
  <c r="AC173" i="4"/>
  <c r="Z173" i="4"/>
  <c r="V173" i="4"/>
  <c r="U173" i="4"/>
  <c r="T173" i="4"/>
  <c r="H173" i="4"/>
  <c r="S173" i="4" s="1"/>
  <c r="AI172" i="4"/>
  <c r="AF172" i="4"/>
  <c r="AC172" i="4"/>
  <c r="Z172" i="4"/>
  <c r="V172" i="4"/>
  <c r="U172" i="4"/>
  <c r="F172" i="5" s="1"/>
  <c r="U172" i="5" s="1"/>
  <c r="F172" i="6" s="1"/>
  <c r="U172" i="6" s="1"/>
  <c r="F172" i="7" s="1"/>
  <c r="U172" i="7" s="1"/>
  <c r="F172" i="8" s="1"/>
  <c r="U172" i="8" s="1"/>
  <c r="F172" i="9" s="1"/>
  <c r="U172" i="9" s="1"/>
  <c r="F172" i="10" s="1"/>
  <c r="U172" i="10" s="1"/>
  <c r="F172" i="11" s="1"/>
  <c r="U172" i="11" s="1"/>
  <c r="F172" i="12" s="1"/>
  <c r="U172" i="12" s="1"/>
  <c r="T172" i="4"/>
  <c r="E172" i="5" s="1"/>
  <c r="H172" i="4"/>
  <c r="S172" i="4" s="1"/>
  <c r="AI171" i="4"/>
  <c r="AF171" i="4"/>
  <c r="AC171" i="4"/>
  <c r="Z171" i="4"/>
  <c r="V171" i="4"/>
  <c r="G171" i="5" s="1"/>
  <c r="V171" i="5" s="1"/>
  <c r="G171" i="6" s="1"/>
  <c r="V171" i="6" s="1"/>
  <c r="G171" i="7" s="1"/>
  <c r="V171" i="7" s="1"/>
  <c r="G171" i="8" s="1"/>
  <c r="V171" i="8" s="1"/>
  <c r="G171" i="9" s="1"/>
  <c r="V171" i="9" s="1"/>
  <c r="G171" i="10" s="1"/>
  <c r="V171" i="10" s="1"/>
  <c r="G171" i="11" s="1"/>
  <c r="V171" i="11" s="1"/>
  <c r="G171" i="12" s="1"/>
  <c r="V171" i="12" s="1"/>
  <c r="U171" i="4"/>
  <c r="F171" i="5" s="1"/>
  <c r="U171" i="5" s="1"/>
  <c r="F171" i="6" s="1"/>
  <c r="U171" i="6" s="1"/>
  <c r="F171" i="7" s="1"/>
  <c r="U171" i="7" s="1"/>
  <c r="F171" i="8" s="1"/>
  <c r="U171" i="8" s="1"/>
  <c r="F171" i="9" s="1"/>
  <c r="U171" i="9" s="1"/>
  <c r="F171" i="10" s="1"/>
  <c r="U171" i="10" s="1"/>
  <c r="F171" i="11" s="1"/>
  <c r="U171" i="11" s="1"/>
  <c r="F171" i="12" s="1"/>
  <c r="U171" i="12" s="1"/>
  <c r="T171" i="4"/>
  <c r="H171" i="4"/>
  <c r="S171" i="4" s="1"/>
  <c r="AI170" i="4"/>
  <c r="AF170" i="4"/>
  <c r="AC170" i="4"/>
  <c r="Z170" i="4"/>
  <c r="V170" i="4"/>
  <c r="G170" i="5" s="1"/>
  <c r="V170" i="5" s="1"/>
  <c r="G170" i="6" s="1"/>
  <c r="V170" i="6" s="1"/>
  <c r="G170" i="7" s="1"/>
  <c r="V170" i="7" s="1"/>
  <c r="G170" i="8" s="1"/>
  <c r="V170" i="8" s="1"/>
  <c r="G170" i="9" s="1"/>
  <c r="V170" i="9" s="1"/>
  <c r="G170" i="10" s="1"/>
  <c r="V170" i="10" s="1"/>
  <c r="G170" i="11" s="1"/>
  <c r="V170" i="11" s="1"/>
  <c r="G170" i="12" s="1"/>
  <c r="V170" i="12" s="1"/>
  <c r="U170" i="4"/>
  <c r="F170" i="5" s="1"/>
  <c r="U170" i="5" s="1"/>
  <c r="F170" i="6" s="1"/>
  <c r="U170" i="6" s="1"/>
  <c r="F170" i="7" s="1"/>
  <c r="U170" i="7" s="1"/>
  <c r="F170" i="8" s="1"/>
  <c r="U170" i="8" s="1"/>
  <c r="F170" i="9" s="1"/>
  <c r="U170" i="9" s="1"/>
  <c r="F170" i="10" s="1"/>
  <c r="U170" i="10" s="1"/>
  <c r="F170" i="11" s="1"/>
  <c r="U170" i="11" s="1"/>
  <c r="F170" i="12" s="1"/>
  <c r="U170" i="12" s="1"/>
  <c r="T170" i="4"/>
  <c r="H170" i="4"/>
  <c r="S170" i="4" s="1"/>
  <c r="AI169" i="4"/>
  <c r="AF169" i="4"/>
  <c r="AC169" i="4"/>
  <c r="Z169" i="4"/>
  <c r="V169" i="4"/>
  <c r="G169" i="5" s="1"/>
  <c r="V169" i="5" s="1"/>
  <c r="G169" i="6" s="1"/>
  <c r="V169" i="6" s="1"/>
  <c r="G169" i="7" s="1"/>
  <c r="V169" i="7" s="1"/>
  <c r="G169" i="8" s="1"/>
  <c r="V169" i="8" s="1"/>
  <c r="G169" i="9" s="1"/>
  <c r="V169" i="9" s="1"/>
  <c r="G169" i="10" s="1"/>
  <c r="V169" i="10" s="1"/>
  <c r="G169" i="11" s="1"/>
  <c r="V169" i="11" s="1"/>
  <c r="G169" i="12" s="1"/>
  <c r="V169" i="12" s="1"/>
  <c r="U169" i="4"/>
  <c r="F169" i="5" s="1"/>
  <c r="U169" i="5" s="1"/>
  <c r="F169" i="6" s="1"/>
  <c r="U169" i="6" s="1"/>
  <c r="F169" i="7" s="1"/>
  <c r="U169" i="7" s="1"/>
  <c r="F169" i="8" s="1"/>
  <c r="U169" i="8" s="1"/>
  <c r="F169" i="9" s="1"/>
  <c r="U169" i="9" s="1"/>
  <c r="F169" i="10" s="1"/>
  <c r="U169" i="10" s="1"/>
  <c r="F169" i="11" s="1"/>
  <c r="U169" i="11" s="1"/>
  <c r="F169" i="12" s="1"/>
  <c r="U169" i="12" s="1"/>
  <c r="T169" i="4"/>
  <c r="E169" i="5" s="1"/>
  <c r="T169" i="5" s="1"/>
  <c r="H169" i="4"/>
  <c r="S169" i="4" s="1"/>
  <c r="AI168" i="4"/>
  <c r="AF168" i="4"/>
  <c r="AC168" i="4"/>
  <c r="Z168" i="4"/>
  <c r="V168" i="4"/>
  <c r="G168" i="5" s="1"/>
  <c r="V168" i="5" s="1"/>
  <c r="G168" i="6" s="1"/>
  <c r="V168" i="6" s="1"/>
  <c r="G168" i="7" s="1"/>
  <c r="V168" i="7" s="1"/>
  <c r="G168" i="8" s="1"/>
  <c r="V168" i="8" s="1"/>
  <c r="G168" i="9" s="1"/>
  <c r="V168" i="9" s="1"/>
  <c r="G168" i="10" s="1"/>
  <c r="V168" i="10" s="1"/>
  <c r="G168" i="11" s="1"/>
  <c r="V168" i="11" s="1"/>
  <c r="G168" i="12" s="1"/>
  <c r="V168" i="12" s="1"/>
  <c r="U168" i="4"/>
  <c r="F168" i="5" s="1"/>
  <c r="U168" i="5" s="1"/>
  <c r="F168" i="6" s="1"/>
  <c r="U168" i="6" s="1"/>
  <c r="F168" i="7" s="1"/>
  <c r="U168" i="7" s="1"/>
  <c r="F168" i="8" s="1"/>
  <c r="U168" i="8" s="1"/>
  <c r="F168" i="9" s="1"/>
  <c r="U168" i="9" s="1"/>
  <c r="F168" i="10" s="1"/>
  <c r="U168" i="10" s="1"/>
  <c r="F168" i="11" s="1"/>
  <c r="U168" i="11" s="1"/>
  <c r="F168" i="12" s="1"/>
  <c r="U168" i="12" s="1"/>
  <c r="T168" i="4"/>
  <c r="E168" i="5" s="1"/>
  <c r="H168" i="4"/>
  <c r="S168" i="4" s="1"/>
  <c r="AI167" i="4"/>
  <c r="AF167" i="4"/>
  <c r="AC167" i="4"/>
  <c r="Z167" i="4"/>
  <c r="V167" i="4"/>
  <c r="U167" i="4"/>
  <c r="F167" i="5" s="1"/>
  <c r="U167" i="5" s="1"/>
  <c r="T167" i="4"/>
  <c r="E167" i="5" s="1"/>
  <c r="H167" i="4"/>
  <c r="S167" i="4" s="1"/>
  <c r="AI166" i="4"/>
  <c r="AF166" i="4"/>
  <c r="AC166" i="4"/>
  <c r="Z166" i="4"/>
  <c r="V166" i="4"/>
  <c r="G166" i="5" s="1"/>
  <c r="V166" i="5" s="1"/>
  <c r="G166" i="6" s="1"/>
  <c r="V166" i="6" s="1"/>
  <c r="G166" i="7" s="1"/>
  <c r="V166" i="7" s="1"/>
  <c r="G166" i="8" s="1"/>
  <c r="V166" i="8" s="1"/>
  <c r="G166" i="9" s="1"/>
  <c r="V166" i="9" s="1"/>
  <c r="G166" i="10" s="1"/>
  <c r="V166" i="10" s="1"/>
  <c r="G166" i="11" s="1"/>
  <c r="V166" i="11" s="1"/>
  <c r="G166" i="12" s="1"/>
  <c r="V166" i="12" s="1"/>
  <c r="U166" i="4"/>
  <c r="F166" i="5" s="1"/>
  <c r="U166" i="5" s="1"/>
  <c r="F166" i="6" s="1"/>
  <c r="U166" i="6" s="1"/>
  <c r="F166" i="7" s="1"/>
  <c r="U166" i="7" s="1"/>
  <c r="F166" i="8" s="1"/>
  <c r="U166" i="8" s="1"/>
  <c r="F166" i="9" s="1"/>
  <c r="U166" i="9" s="1"/>
  <c r="F166" i="10" s="1"/>
  <c r="U166" i="10" s="1"/>
  <c r="F166" i="11" s="1"/>
  <c r="U166" i="11" s="1"/>
  <c r="F166" i="12" s="1"/>
  <c r="U166" i="12" s="1"/>
  <c r="T166" i="4"/>
  <c r="E166" i="5" s="1"/>
  <c r="T166" i="5" s="1"/>
  <c r="E166" i="6" s="1"/>
  <c r="H166" i="4"/>
  <c r="S166" i="4" s="1"/>
  <c r="AI165" i="4"/>
  <c r="AF165" i="4"/>
  <c r="AC165" i="4"/>
  <c r="Z165" i="4"/>
  <c r="V165" i="4"/>
  <c r="G165" i="5" s="1"/>
  <c r="V165" i="5" s="1"/>
  <c r="G165" i="6" s="1"/>
  <c r="V165" i="6" s="1"/>
  <c r="G165" i="7" s="1"/>
  <c r="V165" i="7" s="1"/>
  <c r="G165" i="8" s="1"/>
  <c r="V165" i="8" s="1"/>
  <c r="G165" i="9" s="1"/>
  <c r="V165" i="9" s="1"/>
  <c r="G165" i="10" s="1"/>
  <c r="V165" i="10" s="1"/>
  <c r="G165" i="11" s="1"/>
  <c r="V165" i="11" s="1"/>
  <c r="G165" i="12" s="1"/>
  <c r="V165" i="12" s="1"/>
  <c r="U165" i="4"/>
  <c r="F165" i="5" s="1"/>
  <c r="U165" i="5" s="1"/>
  <c r="F165" i="6" s="1"/>
  <c r="U165" i="6" s="1"/>
  <c r="F165" i="7" s="1"/>
  <c r="U165" i="7" s="1"/>
  <c r="F165" i="8" s="1"/>
  <c r="U165" i="8" s="1"/>
  <c r="F165" i="9" s="1"/>
  <c r="U165" i="9" s="1"/>
  <c r="F165" i="10" s="1"/>
  <c r="U165" i="10" s="1"/>
  <c r="F165" i="11" s="1"/>
  <c r="U165" i="11" s="1"/>
  <c r="F165" i="12" s="1"/>
  <c r="U165" i="12" s="1"/>
  <c r="F76" i="20" s="1" a="1"/>
  <c r="F76" i="20" s="1"/>
  <c r="Z76" i="20" s="1"/>
  <c r="F77" i="13" s="1" a="1"/>
  <c r="F77" i="13" s="1"/>
  <c r="T165" i="4"/>
  <c r="E165" i="5" s="1"/>
  <c r="H165" i="4"/>
  <c r="S165" i="4" s="1"/>
  <c r="AI164" i="4"/>
  <c r="AF164" i="4"/>
  <c r="AC164" i="4"/>
  <c r="Z164" i="4"/>
  <c r="V164" i="4"/>
  <c r="G164" i="5" s="1"/>
  <c r="V164" i="5" s="1"/>
  <c r="G164" i="6" s="1"/>
  <c r="V164" i="6" s="1"/>
  <c r="G164" i="7" s="1"/>
  <c r="V164" i="7" s="1"/>
  <c r="G164" i="8" s="1"/>
  <c r="V164" i="8" s="1"/>
  <c r="G164" i="9" s="1"/>
  <c r="V164" i="9" s="1"/>
  <c r="G164" i="10" s="1"/>
  <c r="V164" i="10" s="1"/>
  <c r="G164" i="11" s="1"/>
  <c r="V164" i="11" s="1"/>
  <c r="G164" i="12" s="1"/>
  <c r="V164" i="12" s="1"/>
  <c r="U164" i="4"/>
  <c r="F164" i="5" s="1"/>
  <c r="U164" i="5" s="1"/>
  <c r="F164" i="6" s="1"/>
  <c r="U164" i="6" s="1"/>
  <c r="F164" i="7" s="1"/>
  <c r="U164" i="7" s="1"/>
  <c r="F164" i="8" s="1"/>
  <c r="U164" i="8" s="1"/>
  <c r="F164" i="9" s="1"/>
  <c r="U164" i="9" s="1"/>
  <c r="F164" i="10" s="1"/>
  <c r="U164" i="10" s="1"/>
  <c r="F164" i="11" s="1"/>
  <c r="U164" i="11" s="1"/>
  <c r="F164" i="12" s="1"/>
  <c r="U164" i="12" s="1"/>
  <c r="T164" i="4"/>
  <c r="E164" i="5" s="1"/>
  <c r="H164" i="4"/>
  <c r="S164" i="4" s="1"/>
  <c r="AI163" i="4"/>
  <c r="AF163" i="4"/>
  <c r="AC163" i="4"/>
  <c r="Z163" i="4"/>
  <c r="V163" i="4"/>
  <c r="G163" i="5" s="1"/>
  <c r="V163" i="5" s="1"/>
  <c r="G163" i="6" s="1"/>
  <c r="V163" i="6" s="1"/>
  <c r="G163" i="7" s="1"/>
  <c r="V163" i="7" s="1"/>
  <c r="G163" i="8" s="1"/>
  <c r="V163" i="8" s="1"/>
  <c r="G163" i="9" s="1"/>
  <c r="V163" i="9" s="1"/>
  <c r="G163" i="10" s="1"/>
  <c r="V163" i="10" s="1"/>
  <c r="G163" i="11" s="1"/>
  <c r="V163" i="11" s="1"/>
  <c r="G163" i="12" s="1"/>
  <c r="V163" i="12" s="1"/>
  <c r="U163" i="4"/>
  <c r="F163" i="5" s="1"/>
  <c r="U163" i="5" s="1"/>
  <c r="F163" i="6" s="1"/>
  <c r="U163" i="6" s="1"/>
  <c r="F163" i="7" s="1"/>
  <c r="U163" i="7" s="1"/>
  <c r="F163" i="8" s="1"/>
  <c r="U163" i="8" s="1"/>
  <c r="F163" i="9" s="1"/>
  <c r="U163" i="9" s="1"/>
  <c r="F163" i="10" s="1"/>
  <c r="U163" i="10" s="1"/>
  <c r="F163" i="11" s="1"/>
  <c r="U163" i="11" s="1"/>
  <c r="F163" i="12" s="1"/>
  <c r="U163" i="12" s="1"/>
  <c r="T163" i="4"/>
  <c r="E163" i="5" s="1"/>
  <c r="T163" i="5" s="1"/>
  <c r="H163" i="4"/>
  <c r="S163" i="4" s="1"/>
  <c r="AI162" i="4"/>
  <c r="AF162" i="4"/>
  <c r="AC162" i="4"/>
  <c r="Z162" i="4"/>
  <c r="V162" i="4"/>
  <c r="G162" i="5" s="1"/>
  <c r="V162" i="5" s="1"/>
  <c r="G162" i="6" s="1"/>
  <c r="V162" i="6" s="1"/>
  <c r="G162" i="7" s="1"/>
  <c r="V162" i="7" s="1"/>
  <c r="G162" i="8" s="1"/>
  <c r="V162" i="8" s="1"/>
  <c r="G162" i="9" s="1"/>
  <c r="V162" i="9" s="1"/>
  <c r="G162" i="10" s="1"/>
  <c r="V162" i="10" s="1"/>
  <c r="G162" i="11" s="1"/>
  <c r="V162" i="11" s="1"/>
  <c r="G162" i="12" s="1"/>
  <c r="V162" i="12" s="1"/>
  <c r="U162" i="4"/>
  <c r="F162" i="5" s="1"/>
  <c r="U162" i="5" s="1"/>
  <c r="F162" i="6" s="1"/>
  <c r="U162" i="6" s="1"/>
  <c r="F162" i="7" s="1"/>
  <c r="U162" i="7" s="1"/>
  <c r="F162" i="8" s="1"/>
  <c r="U162" i="8" s="1"/>
  <c r="F162" i="9" s="1"/>
  <c r="U162" i="9" s="1"/>
  <c r="F162" i="10" s="1"/>
  <c r="U162" i="10" s="1"/>
  <c r="F162" i="11" s="1"/>
  <c r="U162" i="11" s="1"/>
  <c r="F162" i="12" s="1"/>
  <c r="U162" i="12" s="1"/>
  <c r="T162" i="4"/>
  <c r="E162" i="5" s="1"/>
  <c r="T162" i="5" s="1"/>
  <c r="H162" i="4"/>
  <c r="S162" i="4" s="1"/>
  <c r="AI161" i="4"/>
  <c r="AF161" i="4"/>
  <c r="AC161" i="4"/>
  <c r="Z161" i="4"/>
  <c r="V161" i="4"/>
  <c r="U161" i="4"/>
  <c r="T161" i="4"/>
  <c r="H161" i="4"/>
  <c r="S161" i="4" s="1"/>
  <c r="AI160" i="4"/>
  <c r="AF160" i="4"/>
  <c r="AC160" i="4"/>
  <c r="Z160" i="4"/>
  <c r="V160" i="4"/>
  <c r="U160" i="4"/>
  <c r="T160" i="4"/>
  <c r="H160" i="4"/>
  <c r="S160" i="4" s="1"/>
  <c r="AI159" i="4"/>
  <c r="AF159" i="4"/>
  <c r="AC159" i="4"/>
  <c r="Z159" i="4"/>
  <c r="V159" i="4"/>
  <c r="U159" i="4"/>
  <c r="T159" i="4"/>
  <c r="H159" i="4"/>
  <c r="S159" i="4" s="1"/>
  <c r="AI158" i="4"/>
  <c r="AF158" i="4"/>
  <c r="AC158" i="4"/>
  <c r="Z158" i="4"/>
  <c r="V158" i="4"/>
  <c r="U158" i="4"/>
  <c r="T158" i="4"/>
  <c r="H158" i="4"/>
  <c r="S158" i="4" s="1"/>
  <c r="AI157" i="4"/>
  <c r="AF157" i="4"/>
  <c r="AC157" i="4"/>
  <c r="Z157" i="4"/>
  <c r="V157" i="4"/>
  <c r="U157" i="4"/>
  <c r="T157" i="4"/>
  <c r="H157" i="4"/>
  <c r="S157" i="4" s="1"/>
  <c r="AI156" i="4"/>
  <c r="AF156" i="4"/>
  <c r="AC156" i="4"/>
  <c r="Z156" i="4"/>
  <c r="V156" i="4"/>
  <c r="U156" i="4"/>
  <c r="T156" i="4"/>
  <c r="H156" i="4"/>
  <c r="S156" i="4" s="1"/>
  <c r="AI155" i="4"/>
  <c r="AF155" i="4"/>
  <c r="AC155" i="4"/>
  <c r="Z155" i="4"/>
  <c r="V155" i="4"/>
  <c r="U155" i="4"/>
  <c r="T155" i="4"/>
  <c r="H155" i="4"/>
  <c r="S155" i="4" s="1"/>
  <c r="AI154" i="4"/>
  <c r="AF154" i="4"/>
  <c r="AC154" i="4"/>
  <c r="Z154" i="4"/>
  <c r="V154" i="4"/>
  <c r="G154" i="5" s="1"/>
  <c r="V154" i="5" s="1"/>
  <c r="G154" i="6" s="1"/>
  <c r="V154" i="6" s="1"/>
  <c r="G154" i="7" s="1"/>
  <c r="V154" i="7" s="1"/>
  <c r="G154" i="8" s="1"/>
  <c r="V154" i="8" s="1"/>
  <c r="G154" i="9" s="1"/>
  <c r="V154" i="9" s="1"/>
  <c r="G154" i="10" s="1"/>
  <c r="V154" i="10" s="1"/>
  <c r="G154" i="11" s="1"/>
  <c r="V154" i="11" s="1"/>
  <c r="G154" i="12" s="1"/>
  <c r="V154" i="12" s="1"/>
  <c r="U154" i="4"/>
  <c r="F154" i="5" s="1"/>
  <c r="U154" i="5" s="1"/>
  <c r="F154" i="6" s="1"/>
  <c r="U154" i="6" s="1"/>
  <c r="F154" i="7" s="1"/>
  <c r="U154" i="7" s="1"/>
  <c r="F154" i="8" s="1"/>
  <c r="U154" i="8" s="1"/>
  <c r="F154" i="9" s="1"/>
  <c r="U154" i="9" s="1"/>
  <c r="F154" i="10" s="1"/>
  <c r="U154" i="10" s="1"/>
  <c r="F154" i="11" s="1"/>
  <c r="U154" i="11" s="1"/>
  <c r="F154" i="12" s="1"/>
  <c r="U154" i="12" s="1"/>
  <c r="T154" i="4"/>
  <c r="E154" i="5" s="1"/>
  <c r="T154" i="5" s="1"/>
  <c r="H154" i="4"/>
  <c r="S154" i="4" s="1"/>
  <c r="AI153" i="4"/>
  <c r="AF153" i="4"/>
  <c r="AC153" i="4"/>
  <c r="Z153" i="4"/>
  <c r="V153" i="4"/>
  <c r="G153" i="5" s="1"/>
  <c r="V153" i="5" s="1"/>
  <c r="G153" i="6" s="1"/>
  <c r="V153" i="6" s="1"/>
  <c r="G153" i="7" s="1"/>
  <c r="V153" i="7" s="1"/>
  <c r="G153" i="8" s="1"/>
  <c r="V153" i="8" s="1"/>
  <c r="G153" i="9" s="1"/>
  <c r="V153" i="9" s="1"/>
  <c r="G153" i="10" s="1"/>
  <c r="V153" i="10" s="1"/>
  <c r="G153" i="11" s="1"/>
  <c r="V153" i="11" s="1"/>
  <c r="G153" i="12" s="1"/>
  <c r="V153" i="12" s="1"/>
  <c r="U153" i="4"/>
  <c r="F153" i="5" s="1"/>
  <c r="T153" i="4"/>
  <c r="E153" i="5" s="1"/>
  <c r="T153" i="5" s="1"/>
  <c r="H153" i="4"/>
  <c r="S153" i="4" s="1"/>
  <c r="AI152" i="4"/>
  <c r="AF152" i="4"/>
  <c r="AC152" i="4"/>
  <c r="Z152" i="4"/>
  <c r="V152" i="4"/>
  <c r="G152" i="5" s="1"/>
  <c r="V152" i="5" s="1"/>
  <c r="G152" i="6" s="1"/>
  <c r="V152" i="6" s="1"/>
  <c r="G152" i="7" s="1"/>
  <c r="V152" i="7" s="1"/>
  <c r="G152" i="8" s="1"/>
  <c r="V152" i="8" s="1"/>
  <c r="G152" i="9" s="1"/>
  <c r="V152" i="9" s="1"/>
  <c r="G152" i="10" s="1"/>
  <c r="V152" i="10" s="1"/>
  <c r="G152" i="11" s="1"/>
  <c r="V152" i="11" s="1"/>
  <c r="G152" i="12" s="1"/>
  <c r="V152" i="12" s="1"/>
  <c r="U152" i="4"/>
  <c r="F152" i="5" s="1"/>
  <c r="U152" i="5" s="1"/>
  <c r="F152" i="6" s="1"/>
  <c r="U152" i="6" s="1"/>
  <c r="F152" i="7" s="1"/>
  <c r="U152" i="7" s="1"/>
  <c r="F152" i="8" s="1"/>
  <c r="U152" i="8" s="1"/>
  <c r="F152" i="9" s="1"/>
  <c r="U152" i="9" s="1"/>
  <c r="F152" i="10" s="1"/>
  <c r="U152" i="10" s="1"/>
  <c r="F152" i="11" s="1"/>
  <c r="U152" i="11" s="1"/>
  <c r="F152" i="12" s="1"/>
  <c r="U152" i="12" s="1"/>
  <c r="F69" i="20" s="1" a="1"/>
  <c r="F69" i="20" s="1"/>
  <c r="Z69" i="20" s="1"/>
  <c r="F70" i="13" s="1" a="1"/>
  <c r="F70" i="13" s="1"/>
  <c r="T152" i="4"/>
  <c r="H152" i="4"/>
  <c r="S152" i="4" s="1"/>
  <c r="AI151" i="4"/>
  <c r="AF151" i="4"/>
  <c r="AC151" i="4"/>
  <c r="Z151" i="4"/>
  <c r="V151" i="4"/>
  <c r="G151" i="5" s="1"/>
  <c r="V151" i="5" s="1"/>
  <c r="G151" i="6" s="1"/>
  <c r="V151" i="6" s="1"/>
  <c r="G151" i="7" s="1"/>
  <c r="V151" i="7" s="1"/>
  <c r="G151" i="8" s="1"/>
  <c r="V151" i="8" s="1"/>
  <c r="G151" i="9" s="1"/>
  <c r="V151" i="9" s="1"/>
  <c r="G151" i="10" s="1"/>
  <c r="V151" i="10" s="1"/>
  <c r="G151" i="11" s="1"/>
  <c r="V151" i="11" s="1"/>
  <c r="G151" i="12" s="1"/>
  <c r="V151" i="12" s="1"/>
  <c r="U151" i="4"/>
  <c r="F151" i="5" s="1"/>
  <c r="U151" i="5" s="1"/>
  <c r="F151" i="6" s="1"/>
  <c r="U151" i="6" s="1"/>
  <c r="F151" i="7" s="1"/>
  <c r="U151" i="7" s="1"/>
  <c r="F151" i="8" s="1"/>
  <c r="U151" i="8" s="1"/>
  <c r="F151" i="9" s="1"/>
  <c r="U151" i="9" s="1"/>
  <c r="F151" i="10" s="1"/>
  <c r="U151" i="10" s="1"/>
  <c r="F151" i="11" s="1"/>
  <c r="U151" i="11" s="1"/>
  <c r="F151" i="12" s="1"/>
  <c r="U151" i="12" s="1"/>
  <c r="T151" i="4"/>
  <c r="E151" i="5" s="1"/>
  <c r="T151" i="5" s="1"/>
  <c r="H151" i="4"/>
  <c r="S151" i="4" s="1"/>
  <c r="AI150" i="4"/>
  <c r="AF150" i="4"/>
  <c r="AC150" i="4"/>
  <c r="Z150" i="4"/>
  <c r="V150" i="4"/>
  <c r="G150" i="5" s="1"/>
  <c r="V150" i="5" s="1"/>
  <c r="G150" i="6" s="1"/>
  <c r="V150" i="6" s="1"/>
  <c r="G150" i="7" s="1"/>
  <c r="V150" i="7" s="1"/>
  <c r="G150" i="8" s="1"/>
  <c r="V150" i="8" s="1"/>
  <c r="G150" i="9" s="1"/>
  <c r="V150" i="9" s="1"/>
  <c r="G150" i="10" s="1"/>
  <c r="V150" i="10" s="1"/>
  <c r="G150" i="11" s="1"/>
  <c r="V150" i="11" s="1"/>
  <c r="G150" i="12" s="1"/>
  <c r="V150" i="12" s="1"/>
  <c r="U150" i="4"/>
  <c r="F150" i="5" s="1"/>
  <c r="U150" i="5" s="1"/>
  <c r="F150" i="6" s="1"/>
  <c r="U150" i="6" s="1"/>
  <c r="F150" i="7" s="1"/>
  <c r="U150" i="7" s="1"/>
  <c r="F150" i="8" s="1"/>
  <c r="U150" i="8" s="1"/>
  <c r="F150" i="9" s="1"/>
  <c r="U150" i="9" s="1"/>
  <c r="F150" i="10" s="1"/>
  <c r="U150" i="10" s="1"/>
  <c r="F150" i="11" s="1"/>
  <c r="U150" i="11" s="1"/>
  <c r="F150" i="12" s="1"/>
  <c r="U150" i="12" s="1"/>
  <c r="T150" i="4"/>
  <c r="H150" i="4"/>
  <c r="S150" i="4" s="1"/>
  <c r="AI149" i="4"/>
  <c r="AF149" i="4"/>
  <c r="AC149" i="4"/>
  <c r="Z149" i="4"/>
  <c r="V149" i="4"/>
  <c r="U149" i="4"/>
  <c r="F149" i="5" s="1"/>
  <c r="U149" i="5" s="1"/>
  <c r="F149" i="6" s="1"/>
  <c r="U149" i="6" s="1"/>
  <c r="F149" i="7" s="1"/>
  <c r="U149" i="7" s="1"/>
  <c r="F149" i="8" s="1"/>
  <c r="U149" i="8" s="1"/>
  <c r="F149" i="9" s="1"/>
  <c r="U149" i="9" s="1"/>
  <c r="F149" i="10" s="1"/>
  <c r="U149" i="10" s="1"/>
  <c r="F149" i="11" s="1"/>
  <c r="U149" i="11" s="1"/>
  <c r="F149" i="12" s="1"/>
  <c r="U149" i="12" s="1"/>
  <c r="T149" i="4"/>
  <c r="E149" i="5" s="1"/>
  <c r="H149" i="4"/>
  <c r="S149" i="4" s="1"/>
  <c r="AI148" i="4"/>
  <c r="AF148" i="4"/>
  <c r="AC148" i="4"/>
  <c r="Z148" i="4"/>
  <c r="V148" i="4"/>
  <c r="G148" i="5" s="1"/>
  <c r="V148" i="5" s="1"/>
  <c r="G148" i="6" s="1"/>
  <c r="V148" i="6" s="1"/>
  <c r="G148" i="7" s="1"/>
  <c r="V148" i="7" s="1"/>
  <c r="G148" i="8" s="1"/>
  <c r="V148" i="8" s="1"/>
  <c r="G148" i="9" s="1"/>
  <c r="V148" i="9" s="1"/>
  <c r="G148" i="10" s="1"/>
  <c r="V148" i="10" s="1"/>
  <c r="G148" i="11" s="1"/>
  <c r="V148" i="11" s="1"/>
  <c r="G148" i="12" s="1"/>
  <c r="V148" i="12" s="1"/>
  <c r="U148" i="4"/>
  <c r="F148" i="5" s="1"/>
  <c r="U148" i="5" s="1"/>
  <c r="F148" i="6" s="1"/>
  <c r="U148" i="6" s="1"/>
  <c r="F148" i="7" s="1"/>
  <c r="U148" i="7" s="1"/>
  <c r="F148" i="8" s="1"/>
  <c r="U148" i="8" s="1"/>
  <c r="F148" i="9" s="1"/>
  <c r="U148" i="9" s="1"/>
  <c r="F148" i="10" s="1"/>
  <c r="U148" i="10" s="1"/>
  <c r="F148" i="11" s="1"/>
  <c r="U148" i="11" s="1"/>
  <c r="F148" i="12" s="1"/>
  <c r="U148" i="12" s="1"/>
  <c r="T148" i="4"/>
  <c r="E148" i="5" s="1"/>
  <c r="H148" i="4"/>
  <c r="S148" i="4" s="1"/>
  <c r="AI147" i="4"/>
  <c r="AF147" i="4"/>
  <c r="AC147" i="4"/>
  <c r="Z147" i="4"/>
  <c r="V147" i="4"/>
  <c r="G147" i="5" s="1"/>
  <c r="V147" i="5" s="1"/>
  <c r="G147" i="6" s="1"/>
  <c r="V147" i="6" s="1"/>
  <c r="G147" i="7" s="1"/>
  <c r="V147" i="7" s="1"/>
  <c r="G147" i="8" s="1"/>
  <c r="V147" i="8" s="1"/>
  <c r="G147" i="9" s="1"/>
  <c r="V147" i="9" s="1"/>
  <c r="G147" i="10" s="1"/>
  <c r="V147" i="10" s="1"/>
  <c r="G147" i="11" s="1"/>
  <c r="V147" i="11" s="1"/>
  <c r="G147" i="12" s="1"/>
  <c r="V147" i="12" s="1"/>
  <c r="U147" i="4"/>
  <c r="F147" i="5" s="1"/>
  <c r="U147" i="5" s="1"/>
  <c r="F147" i="6" s="1"/>
  <c r="U147" i="6" s="1"/>
  <c r="F147" i="7" s="1"/>
  <c r="U147" i="7" s="1"/>
  <c r="F147" i="8" s="1"/>
  <c r="U147" i="8" s="1"/>
  <c r="F147" i="9" s="1"/>
  <c r="U147" i="9" s="1"/>
  <c r="F147" i="10" s="1"/>
  <c r="U147" i="10" s="1"/>
  <c r="F147" i="11" s="1"/>
  <c r="U147" i="11" s="1"/>
  <c r="F147" i="12" s="1"/>
  <c r="U147" i="12" s="1"/>
  <c r="T147" i="4"/>
  <c r="H147" i="4"/>
  <c r="S147" i="4" s="1"/>
  <c r="AI146" i="4"/>
  <c r="AF146" i="4"/>
  <c r="AC146" i="4"/>
  <c r="Z146" i="4"/>
  <c r="V146" i="4"/>
  <c r="U146" i="4"/>
  <c r="T146" i="4"/>
  <c r="H146" i="4"/>
  <c r="S146" i="4" s="1"/>
  <c r="AI145" i="4"/>
  <c r="AF145" i="4"/>
  <c r="AC145" i="4"/>
  <c r="Z145" i="4"/>
  <c r="V145" i="4"/>
  <c r="G145" i="5" s="1"/>
  <c r="V145" i="5" s="1"/>
  <c r="G145" i="6" s="1"/>
  <c r="V145" i="6" s="1"/>
  <c r="G145" i="7" s="1"/>
  <c r="V145" i="7" s="1"/>
  <c r="G145" i="8" s="1"/>
  <c r="V145" i="8" s="1"/>
  <c r="G145" i="9" s="1"/>
  <c r="V145" i="9" s="1"/>
  <c r="G145" i="10" s="1"/>
  <c r="V145" i="10" s="1"/>
  <c r="G145" i="11" s="1"/>
  <c r="V145" i="11" s="1"/>
  <c r="G145" i="12" s="1"/>
  <c r="V145" i="12" s="1"/>
  <c r="U145" i="4"/>
  <c r="F145" i="5" s="1"/>
  <c r="U145" i="5" s="1"/>
  <c r="F145" i="6" s="1"/>
  <c r="U145" i="6" s="1"/>
  <c r="F145" i="7" s="1"/>
  <c r="U145" i="7" s="1"/>
  <c r="F145" i="8" s="1"/>
  <c r="U145" i="8" s="1"/>
  <c r="F145" i="9" s="1"/>
  <c r="U145" i="9" s="1"/>
  <c r="F145" i="10" s="1"/>
  <c r="U145" i="10" s="1"/>
  <c r="F145" i="11" s="1"/>
  <c r="U145" i="11" s="1"/>
  <c r="F145" i="12" s="1"/>
  <c r="U145" i="12" s="1"/>
  <c r="T145" i="4"/>
  <c r="E145" i="5" s="1"/>
  <c r="H145" i="4"/>
  <c r="S145" i="4" s="1"/>
  <c r="AI144" i="4"/>
  <c r="AF144" i="4"/>
  <c r="AC144" i="4"/>
  <c r="Z144" i="4"/>
  <c r="V144" i="4"/>
  <c r="U144" i="4"/>
  <c r="T144" i="4"/>
  <c r="H144" i="4"/>
  <c r="S144" i="4" s="1"/>
  <c r="AI143" i="4"/>
  <c r="AF143" i="4"/>
  <c r="AC143" i="4"/>
  <c r="Z143" i="4"/>
  <c r="V143" i="4"/>
  <c r="U143" i="4"/>
  <c r="F143" i="5" s="1"/>
  <c r="U143" i="5" s="1"/>
  <c r="F143" i="6" s="1"/>
  <c r="U143" i="6" s="1"/>
  <c r="F143" i="7" s="1"/>
  <c r="U143" i="7" s="1"/>
  <c r="F143" i="8" s="1"/>
  <c r="U143" i="8" s="1"/>
  <c r="F143" i="9" s="1"/>
  <c r="U143" i="9" s="1"/>
  <c r="F143" i="10" s="1"/>
  <c r="U143" i="10" s="1"/>
  <c r="F143" i="11" s="1"/>
  <c r="U143" i="11" s="1"/>
  <c r="F143" i="12" s="1"/>
  <c r="U143" i="12" s="1"/>
  <c r="T143" i="4"/>
  <c r="E143" i="5" s="1"/>
  <c r="T143" i="5" s="1"/>
  <c r="H143" i="4"/>
  <c r="S143" i="4" s="1"/>
  <c r="AI142" i="4"/>
  <c r="AF142" i="4"/>
  <c r="AC142" i="4"/>
  <c r="Z142" i="4"/>
  <c r="V142" i="4"/>
  <c r="G142" i="5" s="1"/>
  <c r="V142" i="5" s="1"/>
  <c r="G142" i="6" s="1"/>
  <c r="V142" i="6" s="1"/>
  <c r="G142" i="7" s="1"/>
  <c r="V142" i="7" s="1"/>
  <c r="G142" i="8" s="1"/>
  <c r="V142" i="8" s="1"/>
  <c r="G142" i="9" s="1"/>
  <c r="V142" i="9" s="1"/>
  <c r="G142" i="10" s="1"/>
  <c r="V142" i="10" s="1"/>
  <c r="G142" i="11" s="1"/>
  <c r="V142" i="11" s="1"/>
  <c r="G142" i="12" s="1"/>
  <c r="V142" i="12" s="1"/>
  <c r="U142" i="4"/>
  <c r="F142" i="5" s="1"/>
  <c r="U142" i="5" s="1"/>
  <c r="F142" i="6" s="1"/>
  <c r="U142" i="6" s="1"/>
  <c r="F142" i="7" s="1"/>
  <c r="U142" i="7" s="1"/>
  <c r="F142" i="8" s="1"/>
  <c r="U142" i="8" s="1"/>
  <c r="F142" i="9" s="1"/>
  <c r="U142" i="9" s="1"/>
  <c r="F142" i="10" s="1"/>
  <c r="U142" i="10" s="1"/>
  <c r="F142" i="11" s="1"/>
  <c r="U142" i="11" s="1"/>
  <c r="F142" i="12" s="1"/>
  <c r="U142" i="12" s="1"/>
  <c r="T142" i="4"/>
  <c r="E142" i="5" s="1"/>
  <c r="H142" i="4"/>
  <c r="S142" i="4" s="1"/>
  <c r="AI141" i="4"/>
  <c r="AF141" i="4"/>
  <c r="AC141" i="4"/>
  <c r="Z141" i="4"/>
  <c r="V141" i="4"/>
  <c r="U141" i="4"/>
  <c r="T141" i="4"/>
  <c r="H141" i="4"/>
  <c r="S141" i="4" s="1"/>
  <c r="AI140" i="4"/>
  <c r="AF140" i="4"/>
  <c r="AC140" i="4"/>
  <c r="Z140" i="4"/>
  <c r="V140" i="4"/>
  <c r="U140" i="4"/>
  <c r="T140" i="4"/>
  <c r="H140" i="4"/>
  <c r="S140" i="4" s="1"/>
  <c r="AI139" i="4"/>
  <c r="AF139" i="4"/>
  <c r="AC139" i="4"/>
  <c r="Z139" i="4"/>
  <c r="V139" i="4"/>
  <c r="U139" i="4"/>
  <c r="T139" i="4"/>
  <c r="H139" i="4"/>
  <c r="S139" i="4" s="1"/>
  <c r="AI138" i="4"/>
  <c r="AF138" i="4"/>
  <c r="AC138" i="4"/>
  <c r="Z138" i="4"/>
  <c r="V138" i="4"/>
  <c r="U138" i="4"/>
  <c r="T138" i="4"/>
  <c r="H138" i="4"/>
  <c r="S138" i="4" s="1"/>
  <c r="AI137" i="4"/>
  <c r="AF137" i="4"/>
  <c r="AC137" i="4"/>
  <c r="Z137" i="4"/>
  <c r="V137" i="4"/>
  <c r="U137" i="4"/>
  <c r="T137" i="4"/>
  <c r="H137" i="4"/>
  <c r="S137" i="4" s="1"/>
  <c r="AI136" i="4"/>
  <c r="AF136" i="4"/>
  <c r="AC136" i="4"/>
  <c r="Z136" i="4"/>
  <c r="V136" i="4"/>
  <c r="U136" i="4"/>
  <c r="T136" i="4"/>
  <c r="H136" i="4"/>
  <c r="S136" i="4" s="1"/>
  <c r="AI135" i="4"/>
  <c r="AF135" i="4"/>
  <c r="AC135" i="4"/>
  <c r="Z135" i="4"/>
  <c r="V135" i="4"/>
  <c r="U135" i="4"/>
  <c r="T135" i="4"/>
  <c r="H135" i="4"/>
  <c r="S135" i="4" s="1"/>
  <c r="AI134" i="4"/>
  <c r="AF134" i="4"/>
  <c r="AC134" i="4"/>
  <c r="Z134" i="4"/>
  <c r="V134" i="4"/>
  <c r="U134" i="4"/>
  <c r="T134" i="4"/>
  <c r="H134" i="4"/>
  <c r="S134" i="4" s="1"/>
  <c r="AI133" i="4"/>
  <c r="AF133" i="4"/>
  <c r="AC133" i="4"/>
  <c r="Z133" i="4"/>
  <c r="V133" i="4"/>
  <c r="U133" i="4"/>
  <c r="T133" i="4"/>
  <c r="H133" i="4"/>
  <c r="S133" i="4" s="1"/>
  <c r="AI132" i="4"/>
  <c r="AF132" i="4"/>
  <c r="AC132" i="4"/>
  <c r="Z132" i="4"/>
  <c r="V132" i="4"/>
  <c r="U132" i="4"/>
  <c r="T132" i="4"/>
  <c r="H132" i="4"/>
  <c r="S132" i="4" s="1"/>
  <c r="AI131" i="4"/>
  <c r="AF131" i="4"/>
  <c r="AC131" i="4"/>
  <c r="Z131" i="4"/>
  <c r="V131" i="4"/>
  <c r="U131" i="4"/>
  <c r="T131" i="4"/>
  <c r="H131" i="4"/>
  <c r="S131" i="4" s="1"/>
  <c r="AI130" i="4"/>
  <c r="AF130" i="4"/>
  <c r="AC130" i="4"/>
  <c r="Z130" i="4"/>
  <c r="V130" i="4"/>
  <c r="U130" i="4"/>
  <c r="T130" i="4"/>
  <c r="H130" i="4"/>
  <c r="S130" i="4" s="1"/>
  <c r="AI129" i="4"/>
  <c r="AF129" i="4"/>
  <c r="AC129" i="4"/>
  <c r="Z129" i="4"/>
  <c r="V129" i="4"/>
  <c r="U129" i="4"/>
  <c r="T129" i="4"/>
  <c r="H129" i="4"/>
  <c r="S129" i="4" s="1"/>
  <c r="AI128" i="4"/>
  <c r="AF128" i="4"/>
  <c r="AC128" i="4"/>
  <c r="Z128" i="4"/>
  <c r="V128" i="4"/>
  <c r="U128" i="4"/>
  <c r="T128" i="4"/>
  <c r="H128" i="4"/>
  <c r="S128" i="4" s="1"/>
  <c r="AI127" i="4"/>
  <c r="AF127" i="4"/>
  <c r="AC127" i="4"/>
  <c r="Z127" i="4"/>
  <c r="V127" i="4"/>
  <c r="U127" i="4"/>
  <c r="T127" i="4"/>
  <c r="H127" i="4"/>
  <c r="S127" i="4" s="1"/>
  <c r="AI126" i="4"/>
  <c r="AF126" i="4"/>
  <c r="AC126" i="4"/>
  <c r="Z126" i="4"/>
  <c r="V126" i="4"/>
  <c r="U126" i="4"/>
  <c r="T126" i="4"/>
  <c r="H126" i="4"/>
  <c r="S126" i="4" s="1"/>
  <c r="AI125" i="4"/>
  <c r="AF125" i="4"/>
  <c r="AC125" i="4"/>
  <c r="Z125" i="4"/>
  <c r="V125" i="4"/>
  <c r="U125" i="4"/>
  <c r="T125" i="4"/>
  <c r="H125" i="4"/>
  <c r="S125" i="4" s="1"/>
  <c r="AI124" i="4"/>
  <c r="AF124" i="4"/>
  <c r="AC124" i="4"/>
  <c r="Z124" i="4"/>
  <c r="V124" i="4"/>
  <c r="U124" i="4"/>
  <c r="T124" i="4"/>
  <c r="H124" i="4"/>
  <c r="S124" i="4" s="1"/>
  <c r="AI123" i="4"/>
  <c r="AF123" i="4"/>
  <c r="AC123" i="4"/>
  <c r="Z123" i="4"/>
  <c r="V123" i="4"/>
  <c r="G123" i="5" s="1"/>
  <c r="V123" i="5" s="1"/>
  <c r="G123" i="6" s="1"/>
  <c r="V123" i="6" s="1"/>
  <c r="G123" i="7" s="1"/>
  <c r="V123" i="7" s="1"/>
  <c r="G123" i="8" s="1"/>
  <c r="V123" i="8" s="1"/>
  <c r="G123" i="9" s="1"/>
  <c r="V123" i="9" s="1"/>
  <c r="G123" i="10" s="1"/>
  <c r="V123" i="10" s="1"/>
  <c r="G123" i="11" s="1"/>
  <c r="V123" i="11" s="1"/>
  <c r="G123" i="12" s="1"/>
  <c r="V123" i="12" s="1"/>
  <c r="U123" i="4"/>
  <c r="F123" i="5" s="1"/>
  <c r="U123" i="5" s="1"/>
  <c r="F123" i="6" s="1"/>
  <c r="U123" i="6" s="1"/>
  <c r="F123" i="7" s="1"/>
  <c r="U123" i="7" s="1"/>
  <c r="F123" i="8" s="1"/>
  <c r="U123" i="8" s="1"/>
  <c r="F123" i="9" s="1"/>
  <c r="U123" i="9" s="1"/>
  <c r="F123" i="10" s="1"/>
  <c r="U123" i="10" s="1"/>
  <c r="F123" i="11" s="1"/>
  <c r="U123" i="11" s="1"/>
  <c r="F123" i="12" s="1"/>
  <c r="U123" i="12" s="1"/>
  <c r="T123" i="4"/>
  <c r="H123" i="4"/>
  <c r="S123" i="4" s="1"/>
  <c r="AI122" i="4"/>
  <c r="AF122" i="4"/>
  <c r="AC122" i="4"/>
  <c r="Z122" i="4"/>
  <c r="V122" i="4"/>
  <c r="G122" i="5" s="1"/>
  <c r="V122" i="5" s="1"/>
  <c r="G122" i="6" s="1"/>
  <c r="V122" i="6" s="1"/>
  <c r="G122" i="7" s="1"/>
  <c r="V122" i="7" s="1"/>
  <c r="G122" i="8" s="1"/>
  <c r="V122" i="8" s="1"/>
  <c r="G122" i="9" s="1"/>
  <c r="V122" i="9" s="1"/>
  <c r="G122" i="10" s="1"/>
  <c r="V122" i="10" s="1"/>
  <c r="G122" i="11" s="1"/>
  <c r="V122" i="11" s="1"/>
  <c r="G122" i="12" s="1"/>
  <c r="V122" i="12" s="1"/>
  <c r="U122" i="4"/>
  <c r="F122" i="5" s="1"/>
  <c r="U122" i="5" s="1"/>
  <c r="F122" i="6" s="1"/>
  <c r="U122" i="6" s="1"/>
  <c r="F122" i="7" s="1"/>
  <c r="U122" i="7" s="1"/>
  <c r="F122" i="8" s="1"/>
  <c r="U122" i="8" s="1"/>
  <c r="F122" i="9" s="1"/>
  <c r="U122" i="9" s="1"/>
  <c r="F122" i="10" s="1"/>
  <c r="U122" i="10" s="1"/>
  <c r="F122" i="11" s="1"/>
  <c r="U122" i="11" s="1"/>
  <c r="F122" i="12" s="1"/>
  <c r="U122" i="12" s="1"/>
  <c r="T122" i="4"/>
  <c r="H122" i="4"/>
  <c r="S122" i="4" s="1"/>
  <c r="AI121" i="4"/>
  <c r="AF121" i="4"/>
  <c r="AC121" i="4"/>
  <c r="Z121" i="4"/>
  <c r="V121" i="4"/>
  <c r="U121" i="4"/>
  <c r="T121" i="4"/>
  <c r="H121" i="4"/>
  <c r="S121" i="4" s="1"/>
  <c r="AI120" i="4"/>
  <c r="AF120" i="4"/>
  <c r="AC120" i="4"/>
  <c r="Z120" i="4"/>
  <c r="V120" i="4"/>
  <c r="U120" i="4"/>
  <c r="T120" i="4"/>
  <c r="H120" i="4"/>
  <c r="S120" i="4" s="1"/>
  <c r="AI119" i="4"/>
  <c r="AF119" i="4"/>
  <c r="AC119" i="4"/>
  <c r="Z119" i="4"/>
  <c r="V119" i="4"/>
  <c r="U119" i="4"/>
  <c r="F119" i="5" s="1"/>
  <c r="U119" i="5" s="1"/>
  <c r="F119" i="6" s="1"/>
  <c r="U119" i="6" s="1"/>
  <c r="F119" i="7" s="1"/>
  <c r="U119" i="7" s="1"/>
  <c r="F119" i="8" s="1"/>
  <c r="U119" i="8" s="1"/>
  <c r="F119" i="9" s="1"/>
  <c r="U119" i="9" s="1"/>
  <c r="F119" i="10" s="1"/>
  <c r="U119" i="10" s="1"/>
  <c r="F119" i="11" s="1"/>
  <c r="U119" i="11" s="1"/>
  <c r="F119" i="12" s="1"/>
  <c r="U119" i="12" s="1"/>
  <c r="F56" i="20" s="1" a="1"/>
  <c r="F56" i="20" s="1"/>
  <c r="T119" i="4"/>
  <c r="E119" i="5" s="1"/>
  <c r="T119" i="5" s="1"/>
  <c r="H119" i="4"/>
  <c r="S119" i="4" s="1"/>
  <c r="AI118" i="4"/>
  <c r="AF118" i="4"/>
  <c r="AC118" i="4"/>
  <c r="Z118" i="4"/>
  <c r="V118" i="4"/>
  <c r="U118" i="4"/>
  <c r="T118" i="4"/>
  <c r="H118" i="4"/>
  <c r="S118" i="4" s="1"/>
  <c r="AI117" i="4"/>
  <c r="AF117" i="4"/>
  <c r="AC117" i="4"/>
  <c r="Z117" i="4"/>
  <c r="V117" i="4"/>
  <c r="U117" i="4"/>
  <c r="T117" i="4"/>
  <c r="H117" i="4"/>
  <c r="S117" i="4" s="1"/>
  <c r="AI116" i="4"/>
  <c r="AF116" i="4"/>
  <c r="AC116" i="4"/>
  <c r="Z116" i="4"/>
  <c r="V116" i="4"/>
  <c r="U116" i="4"/>
  <c r="T116" i="4"/>
  <c r="H116" i="4"/>
  <c r="S116" i="4" s="1"/>
  <c r="AI115" i="4"/>
  <c r="AF115" i="4"/>
  <c r="AC115" i="4"/>
  <c r="Z115" i="4"/>
  <c r="V115" i="4"/>
  <c r="U115" i="4"/>
  <c r="T115" i="4"/>
  <c r="H115" i="4"/>
  <c r="S115" i="4" s="1"/>
  <c r="AI114" i="4"/>
  <c r="AF114" i="4"/>
  <c r="AC114" i="4"/>
  <c r="Z114" i="4"/>
  <c r="V114" i="4"/>
  <c r="G114" i="5" s="1"/>
  <c r="V114" i="5" s="1"/>
  <c r="G114" i="6" s="1"/>
  <c r="V114" i="6" s="1"/>
  <c r="G114" i="7" s="1"/>
  <c r="V114" i="7" s="1"/>
  <c r="G114" i="8" s="1"/>
  <c r="V114" i="8" s="1"/>
  <c r="G114" i="9" s="1"/>
  <c r="V114" i="9" s="1"/>
  <c r="G114" i="10" s="1"/>
  <c r="V114" i="10" s="1"/>
  <c r="G114" i="11" s="1"/>
  <c r="V114" i="11" s="1"/>
  <c r="G114" i="12" s="1"/>
  <c r="V114" i="12" s="1"/>
  <c r="U114" i="4"/>
  <c r="F114" i="5" s="1"/>
  <c r="U114" i="5" s="1"/>
  <c r="F114" i="6" s="1"/>
  <c r="U114" i="6" s="1"/>
  <c r="F114" i="7" s="1"/>
  <c r="U114" i="7" s="1"/>
  <c r="F114" i="8" s="1"/>
  <c r="U114" i="8" s="1"/>
  <c r="F114" i="9" s="1"/>
  <c r="U114" i="9" s="1"/>
  <c r="F114" i="10" s="1"/>
  <c r="U114" i="10" s="1"/>
  <c r="F114" i="11" s="1"/>
  <c r="U114" i="11" s="1"/>
  <c r="F114" i="12" s="1"/>
  <c r="U114" i="12" s="1"/>
  <c r="T114" i="4"/>
  <c r="H114" i="4"/>
  <c r="S114" i="4" s="1"/>
  <c r="AI113" i="4"/>
  <c r="AF113" i="4"/>
  <c r="AC113" i="4"/>
  <c r="Z113" i="4"/>
  <c r="V113" i="4"/>
  <c r="U113" i="4"/>
  <c r="F113" i="5" s="1"/>
  <c r="U113" i="5" s="1"/>
  <c r="F113" i="6" s="1"/>
  <c r="U113" i="6" s="1"/>
  <c r="F113" i="7" s="1"/>
  <c r="U113" i="7" s="1"/>
  <c r="F113" i="8" s="1"/>
  <c r="U113" i="8" s="1"/>
  <c r="F113" i="9" s="1"/>
  <c r="U113" i="9" s="1"/>
  <c r="F113" i="10" s="1"/>
  <c r="U113" i="10" s="1"/>
  <c r="F113" i="11" s="1"/>
  <c r="U113" i="11" s="1"/>
  <c r="F113" i="12" s="1"/>
  <c r="U113" i="12" s="1"/>
  <c r="T113" i="4"/>
  <c r="E113" i="5" s="1"/>
  <c r="T113" i="5" s="1"/>
  <c r="H113" i="4"/>
  <c r="S113" i="4" s="1"/>
  <c r="AI112" i="4"/>
  <c r="AF112" i="4"/>
  <c r="AC112" i="4"/>
  <c r="Z112" i="4"/>
  <c r="V112" i="4"/>
  <c r="G112" i="5" s="1"/>
  <c r="V112" i="5" s="1"/>
  <c r="G112" i="6" s="1"/>
  <c r="V112" i="6" s="1"/>
  <c r="G112" i="7" s="1"/>
  <c r="V112" i="7" s="1"/>
  <c r="G112" i="8" s="1"/>
  <c r="V112" i="8" s="1"/>
  <c r="G112" i="9" s="1"/>
  <c r="V112" i="9" s="1"/>
  <c r="G112" i="10" s="1"/>
  <c r="V112" i="10" s="1"/>
  <c r="G112" i="11" s="1"/>
  <c r="V112" i="11" s="1"/>
  <c r="G112" i="12" s="1"/>
  <c r="V112" i="12" s="1"/>
  <c r="U112" i="4"/>
  <c r="T112" i="4"/>
  <c r="E112" i="5" s="1"/>
  <c r="T112" i="5" s="1"/>
  <c r="H112" i="4"/>
  <c r="S112" i="4" s="1"/>
  <c r="AI111" i="4"/>
  <c r="AF111" i="4"/>
  <c r="AC111" i="4"/>
  <c r="Z111" i="4"/>
  <c r="V111" i="4"/>
  <c r="G111" i="5" s="1"/>
  <c r="V111" i="5" s="1"/>
  <c r="G111" i="6" s="1"/>
  <c r="V111" i="6" s="1"/>
  <c r="G111" i="7" s="1"/>
  <c r="V111" i="7" s="1"/>
  <c r="G111" i="8" s="1"/>
  <c r="V111" i="8" s="1"/>
  <c r="G111" i="9" s="1"/>
  <c r="V111" i="9" s="1"/>
  <c r="G111" i="10" s="1"/>
  <c r="V111" i="10" s="1"/>
  <c r="G111" i="11" s="1"/>
  <c r="V111" i="11" s="1"/>
  <c r="G111" i="12" s="1"/>
  <c r="V111" i="12" s="1"/>
  <c r="U111" i="4"/>
  <c r="F111" i="5" s="1"/>
  <c r="U111" i="5" s="1"/>
  <c r="F111" i="6" s="1"/>
  <c r="U111" i="6" s="1"/>
  <c r="F111" i="7" s="1"/>
  <c r="U111" i="7" s="1"/>
  <c r="F111" i="8" s="1"/>
  <c r="U111" i="8" s="1"/>
  <c r="F111" i="9" s="1"/>
  <c r="U111" i="9" s="1"/>
  <c r="F111" i="10" s="1"/>
  <c r="U111" i="10" s="1"/>
  <c r="F111" i="11" s="1"/>
  <c r="U111" i="11" s="1"/>
  <c r="F111" i="12" s="1"/>
  <c r="U111" i="12" s="1"/>
  <c r="T111" i="4"/>
  <c r="E111" i="5" s="1"/>
  <c r="H111" i="4"/>
  <c r="S111" i="4" s="1"/>
  <c r="AI110" i="4"/>
  <c r="AF110" i="4"/>
  <c r="AC110" i="4"/>
  <c r="Z110" i="4"/>
  <c r="V110" i="4"/>
  <c r="G110" i="5" s="1"/>
  <c r="V110" i="5" s="1"/>
  <c r="G110" i="6" s="1"/>
  <c r="V110" i="6" s="1"/>
  <c r="G110" i="7" s="1"/>
  <c r="V110" i="7" s="1"/>
  <c r="G110" i="8" s="1"/>
  <c r="V110" i="8" s="1"/>
  <c r="G110" i="9" s="1"/>
  <c r="V110" i="9" s="1"/>
  <c r="G110" i="10" s="1"/>
  <c r="V110" i="10" s="1"/>
  <c r="G110" i="11" s="1"/>
  <c r="V110" i="11" s="1"/>
  <c r="G110" i="12" s="1"/>
  <c r="V110" i="12" s="1"/>
  <c r="U110" i="4"/>
  <c r="F110" i="5" s="1"/>
  <c r="U110" i="5" s="1"/>
  <c r="F110" i="6" s="1"/>
  <c r="U110" i="6" s="1"/>
  <c r="F110" i="7" s="1"/>
  <c r="U110" i="7" s="1"/>
  <c r="F110" i="8" s="1"/>
  <c r="U110" i="8" s="1"/>
  <c r="F110" i="9" s="1"/>
  <c r="U110" i="9" s="1"/>
  <c r="F110" i="10" s="1"/>
  <c r="U110" i="10" s="1"/>
  <c r="F110" i="11" s="1"/>
  <c r="U110" i="11" s="1"/>
  <c r="F110" i="12" s="1"/>
  <c r="U110" i="12" s="1"/>
  <c r="T110" i="4"/>
  <c r="H110" i="4"/>
  <c r="S110" i="4" s="1"/>
  <c r="AI109" i="4"/>
  <c r="AF109" i="4"/>
  <c r="AC109" i="4"/>
  <c r="Z109" i="4"/>
  <c r="V109" i="4"/>
  <c r="G109" i="5" s="1"/>
  <c r="V109" i="5" s="1"/>
  <c r="G109" i="6" s="1"/>
  <c r="V109" i="6" s="1"/>
  <c r="G109" i="7" s="1"/>
  <c r="V109" i="7" s="1"/>
  <c r="G109" i="8" s="1"/>
  <c r="V109" i="8" s="1"/>
  <c r="G109" i="9" s="1"/>
  <c r="V109" i="9" s="1"/>
  <c r="G109" i="10" s="1"/>
  <c r="V109" i="10" s="1"/>
  <c r="G109" i="11" s="1"/>
  <c r="V109" i="11" s="1"/>
  <c r="G109" i="12" s="1"/>
  <c r="V109" i="12" s="1"/>
  <c r="U109" i="4"/>
  <c r="F109" i="5" s="1"/>
  <c r="U109" i="5" s="1"/>
  <c r="F109" i="6" s="1"/>
  <c r="U109" i="6" s="1"/>
  <c r="F109" i="7" s="1"/>
  <c r="U109" i="7" s="1"/>
  <c r="F109" i="8" s="1"/>
  <c r="U109" i="8" s="1"/>
  <c r="F109" i="9" s="1"/>
  <c r="U109" i="9" s="1"/>
  <c r="F109" i="10" s="1"/>
  <c r="U109" i="10" s="1"/>
  <c r="F109" i="11" s="1"/>
  <c r="U109" i="11" s="1"/>
  <c r="F109" i="12" s="1"/>
  <c r="U109" i="12" s="1"/>
  <c r="T109" i="4"/>
  <c r="E109" i="5" s="1"/>
  <c r="T109" i="5" s="1"/>
  <c r="H109" i="4"/>
  <c r="S109" i="4" s="1"/>
  <c r="AI108" i="4"/>
  <c r="AF108" i="4"/>
  <c r="AC108" i="4"/>
  <c r="Z108" i="4"/>
  <c r="V108" i="4"/>
  <c r="U108" i="4"/>
  <c r="T108" i="4"/>
  <c r="H108" i="4"/>
  <c r="S108" i="4" s="1"/>
  <c r="AI107" i="4"/>
  <c r="AF107" i="4"/>
  <c r="AC107" i="4"/>
  <c r="Z107" i="4"/>
  <c r="V107" i="4"/>
  <c r="U107" i="4"/>
  <c r="T107" i="4"/>
  <c r="H107" i="4"/>
  <c r="S107" i="4" s="1"/>
  <c r="AI106" i="4"/>
  <c r="AF106" i="4"/>
  <c r="AC106" i="4"/>
  <c r="Z106" i="4"/>
  <c r="V106" i="4"/>
  <c r="U106" i="4"/>
  <c r="T106" i="4"/>
  <c r="H106" i="4"/>
  <c r="S106" i="4" s="1"/>
  <c r="AI105" i="4"/>
  <c r="AF105" i="4"/>
  <c r="AC105" i="4"/>
  <c r="Z105" i="4"/>
  <c r="V105" i="4"/>
  <c r="G105" i="5" s="1"/>
  <c r="V105" i="5" s="1"/>
  <c r="G105" i="6" s="1"/>
  <c r="V105" i="6" s="1"/>
  <c r="G105" i="7" s="1"/>
  <c r="V105" i="7" s="1"/>
  <c r="G105" i="8" s="1"/>
  <c r="V105" i="8" s="1"/>
  <c r="G105" i="9" s="1"/>
  <c r="V105" i="9" s="1"/>
  <c r="G105" i="10" s="1"/>
  <c r="V105" i="10" s="1"/>
  <c r="G105" i="11" s="1"/>
  <c r="V105" i="11" s="1"/>
  <c r="G105" i="12" s="1"/>
  <c r="V105" i="12" s="1"/>
  <c r="U105" i="4"/>
  <c r="F105" i="5" s="1"/>
  <c r="U105" i="5" s="1"/>
  <c r="F105" i="6" s="1"/>
  <c r="U105" i="6" s="1"/>
  <c r="F105" i="7" s="1"/>
  <c r="U105" i="7" s="1"/>
  <c r="F105" i="8" s="1"/>
  <c r="U105" i="8" s="1"/>
  <c r="F105" i="9" s="1"/>
  <c r="U105" i="9" s="1"/>
  <c r="F105" i="10" s="1"/>
  <c r="U105" i="10" s="1"/>
  <c r="F105" i="11" s="1"/>
  <c r="U105" i="11" s="1"/>
  <c r="F105" i="12" s="1"/>
  <c r="U105" i="12" s="1"/>
  <c r="T105" i="4"/>
  <c r="E105" i="5" s="1"/>
  <c r="H105" i="4"/>
  <c r="S105" i="4" s="1"/>
  <c r="AI104" i="4"/>
  <c r="AF104" i="4"/>
  <c r="AC104" i="4"/>
  <c r="Z104" i="4"/>
  <c r="V104" i="4"/>
  <c r="U104" i="4"/>
  <c r="T104" i="4"/>
  <c r="H104" i="4"/>
  <c r="S104" i="4" s="1"/>
  <c r="AI103" i="4"/>
  <c r="AF103" i="4"/>
  <c r="AC103" i="4"/>
  <c r="Z103" i="4"/>
  <c r="V103" i="4"/>
  <c r="U103" i="4"/>
  <c r="T103" i="4"/>
  <c r="H103" i="4"/>
  <c r="S103" i="4" s="1"/>
  <c r="AI102" i="4"/>
  <c r="AF102" i="4"/>
  <c r="AC102" i="4"/>
  <c r="Z102" i="4"/>
  <c r="V102" i="4"/>
  <c r="U102" i="4"/>
  <c r="T102" i="4"/>
  <c r="H102" i="4"/>
  <c r="S102" i="4" s="1"/>
  <c r="AI101" i="4"/>
  <c r="AF101" i="4"/>
  <c r="AC101" i="4"/>
  <c r="Z101" i="4"/>
  <c r="V101" i="4"/>
  <c r="U101" i="4"/>
  <c r="T101" i="4"/>
  <c r="H101" i="4"/>
  <c r="S101" i="4" s="1"/>
  <c r="AI100" i="4"/>
  <c r="AF100" i="4"/>
  <c r="AC100" i="4"/>
  <c r="Z100" i="4"/>
  <c r="V100" i="4"/>
  <c r="U100" i="4"/>
  <c r="T100" i="4"/>
  <c r="H100" i="4"/>
  <c r="S100" i="4" s="1"/>
  <c r="AI99" i="4"/>
  <c r="AF99" i="4"/>
  <c r="AC99" i="4"/>
  <c r="Z99" i="4"/>
  <c r="V99" i="4"/>
  <c r="U99" i="4"/>
  <c r="T99" i="4"/>
  <c r="H99" i="4"/>
  <c r="S99" i="4" s="1"/>
  <c r="AI98" i="4"/>
  <c r="AF98" i="4"/>
  <c r="AC98" i="4"/>
  <c r="Z98" i="4"/>
  <c r="V98" i="4"/>
  <c r="G98" i="5" s="1"/>
  <c r="V98" i="5" s="1"/>
  <c r="G98" i="6" s="1"/>
  <c r="V98" i="6" s="1"/>
  <c r="G98" i="7" s="1"/>
  <c r="V98" i="7" s="1"/>
  <c r="G98" i="8" s="1"/>
  <c r="V98" i="8" s="1"/>
  <c r="G98" i="9" s="1"/>
  <c r="V98" i="9" s="1"/>
  <c r="G98" i="10" s="1"/>
  <c r="V98" i="10" s="1"/>
  <c r="G98" i="11" s="1"/>
  <c r="V98" i="11" s="1"/>
  <c r="G98" i="12" s="1"/>
  <c r="V98" i="12" s="1"/>
  <c r="U98" i="4"/>
  <c r="F98" i="5" s="1"/>
  <c r="U98" i="5" s="1"/>
  <c r="F98" i="6" s="1"/>
  <c r="U98" i="6" s="1"/>
  <c r="F98" i="7" s="1"/>
  <c r="U98" i="7" s="1"/>
  <c r="F98" i="8" s="1"/>
  <c r="U98" i="8" s="1"/>
  <c r="F98" i="9" s="1"/>
  <c r="U98" i="9" s="1"/>
  <c r="F98" i="10" s="1"/>
  <c r="U98" i="10" s="1"/>
  <c r="F98" i="11" s="1"/>
  <c r="U98" i="11" s="1"/>
  <c r="F98" i="12" s="1"/>
  <c r="U98" i="12" s="1"/>
  <c r="T98" i="4"/>
  <c r="H98" i="4"/>
  <c r="S98" i="4" s="1"/>
  <c r="AI97" i="4"/>
  <c r="AF97" i="4"/>
  <c r="AC97" i="4"/>
  <c r="Z97" i="4"/>
  <c r="V97" i="4"/>
  <c r="U97" i="4"/>
  <c r="T97" i="4"/>
  <c r="H97" i="4"/>
  <c r="S97" i="4" s="1"/>
  <c r="AI96" i="4"/>
  <c r="AF96" i="4"/>
  <c r="AC96" i="4"/>
  <c r="Z96" i="4"/>
  <c r="V96" i="4"/>
  <c r="U96" i="4"/>
  <c r="T96" i="4"/>
  <c r="H96" i="4"/>
  <c r="S96" i="4" s="1"/>
  <c r="AI95" i="4"/>
  <c r="AF95" i="4"/>
  <c r="AC95" i="4"/>
  <c r="Z95" i="4"/>
  <c r="V95" i="4"/>
  <c r="U95" i="4"/>
  <c r="T95" i="4"/>
  <c r="H95" i="4"/>
  <c r="S95" i="4" s="1"/>
  <c r="AI94" i="4"/>
  <c r="AF94" i="4"/>
  <c r="AC94" i="4"/>
  <c r="Z94" i="4"/>
  <c r="V94" i="4"/>
  <c r="U94" i="4"/>
  <c r="T94" i="4"/>
  <c r="H94" i="4"/>
  <c r="S94" i="4" s="1"/>
  <c r="AI93" i="4"/>
  <c r="AF93" i="4"/>
  <c r="AC93" i="4"/>
  <c r="Z93" i="4"/>
  <c r="V93" i="4"/>
  <c r="G93" i="5" s="1"/>
  <c r="V93" i="5" s="1"/>
  <c r="G93" i="6" s="1"/>
  <c r="V93" i="6" s="1"/>
  <c r="G93" i="7" s="1"/>
  <c r="V93" i="7" s="1"/>
  <c r="G93" i="8" s="1"/>
  <c r="V93" i="8" s="1"/>
  <c r="G93" i="9" s="1"/>
  <c r="V93" i="9" s="1"/>
  <c r="G93" i="10" s="1"/>
  <c r="V93" i="10" s="1"/>
  <c r="G93" i="11" s="1"/>
  <c r="V93" i="11" s="1"/>
  <c r="G93" i="12" s="1"/>
  <c r="V93" i="12" s="1"/>
  <c r="U93" i="4"/>
  <c r="F93" i="5" s="1"/>
  <c r="U93" i="5" s="1"/>
  <c r="F93" i="6" s="1"/>
  <c r="U93" i="6" s="1"/>
  <c r="F93" i="7" s="1"/>
  <c r="U93" i="7" s="1"/>
  <c r="F93" i="8" s="1"/>
  <c r="U93" i="8" s="1"/>
  <c r="F93" i="9" s="1"/>
  <c r="U93" i="9" s="1"/>
  <c r="F93" i="10" s="1"/>
  <c r="U93" i="10" s="1"/>
  <c r="F93" i="11" s="1"/>
  <c r="U93" i="11" s="1"/>
  <c r="F93" i="12" s="1"/>
  <c r="U93" i="12" s="1"/>
  <c r="F46" i="20" s="1" a="1"/>
  <c r="F46" i="20" s="1"/>
  <c r="Z46" i="20" s="1"/>
  <c r="F47" i="13" s="1" a="1"/>
  <c r="F47" i="13" s="1"/>
  <c r="T93" i="4"/>
  <c r="H93" i="4"/>
  <c r="S93" i="4" s="1"/>
  <c r="AI92" i="4"/>
  <c r="AF92" i="4"/>
  <c r="AC92" i="4"/>
  <c r="Z92" i="4"/>
  <c r="V92" i="4"/>
  <c r="G92" i="5" s="1"/>
  <c r="V92" i="5" s="1"/>
  <c r="G92" i="6" s="1"/>
  <c r="V92" i="6" s="1"/>
  <c r="G92" i="7" s="1"/>
  <c r="V92" i="7" s="1"/>
  <c r="G92" i="8" s="1"/>
  <c r="V92" i="8" s="1"/>
  <c r="G92" i="9" s="1"/>
  <c r="V92" i="9" s="1"/>
  <c r="G92" i="10" s="1"/>
  <c r="V92" i="10" s="1"/>
  <c r="G92" i="11" s="1"/>
  <c r="V92" i="11" s="1"/>
  <c r="G92" i="12" s="1"/>
  <c r="V92" i="12" s="1"/>
  <c r="U92" i="4"/>
  <c r="F92" i="5" s="1"/>
  <c r="U92" i="5" s="1"/>
  <c r="F92" i="6" s="1"/>
  <c r="U92" i="6" s="1"/>
  <c r="F92" i="7" s="1"/>
  <c r="U92" i="7" s="1"/>
  <c r="F92" i="8" s="1"/>
  <c r="U92" i="8" s="1"/>
  <c r="F92" i="9" s="1"/>
  <c r="U92" i="9" s="1"/>
  <c r="F92" i="10" s="1"/>
  <c r="U92" i="10" s="1"/>
  <c r="F92" i="11" s="1"/>
  <c r="U92" i="11" s="1"/>
  <c r="F92" i="12" s="1"/>
  <c r="U92" i="12" s="1"/>
  <c r="T92" i="4"/>
  <c r="H92" i="4"/>
  <c r="S92" i="4" s="1"/>
  <c r="AI91" i="4"/>
  <c r="AF91" i="4"/>
  <c r="AC91" i="4"/>
  <c r="Z91" i="4"/>
  <c r="V91" i="4"/>
  <c r="U91" i="4"/>
  <c r="T91" i="4"/>
  <c r="H91" i="4"/>
  <c r="S91" i="4" s="1"/>
  <c r="AI90" i="4"/>
  <c r="AF90" i="4"/>
  <c r="AC90" i="4"/>
  <c r="Z90" i="4"/>
  <c r="V90" i="4"/>
  <c r="U90" i="4"/>
  <c r="T90" i="4"/>
  <c r="H90" i="4"/>
  <c r="S90" i="4" s="1"/>
  <c r="AI89" i="4"/>
  <c r="AF89" i="4"/>
  <c r="AC89" i="4"/>
  <c r="Z89" i="4"/>
  <c r="V89" i="4"/>
  <c r="U89" i="4"/>
  <c r="T89" i="4"/>
  <c r="H89" i="4"/>
  <c r="S89" i="4" s="1"/>
  <c r="AI88" i="4"/>
  <c r="AF88" i="4"/>
  <c r="AC88" i="4"/>
  <c r="Z88" i="4"/>
  <c r="V88" i="4"/>
  <c r="U88" i="4"/>
  <c r="T88" i="4"/>
  <c r="H88" i="4"/>
  <c r="S88" i="4" s="1"/>
  <c r="AI87" i="4"/>
  <c r="AF87" i="4"/>
  <c r="AC87" i="4"/>
  <c r="Z87" i="4"/>
  <c r="V87" i="4"/>
  <c r="U87" i="4"/>
  <c r="T87" i="4"/>
  <c r="H87" i="4"/>
  <c r="S87" i="4" s="1"/>
  <c r="AI86" i="4"/>
  <c r="AF86" i="4"/>
  <c r="AC86" i="4"/>
  <c r="Z86" i="4"/>
  <c r="V86" i="4"/>
  <c r="U86" i="4"/>
  <c r="T86" i="4"/>
  <c r="H86" i="4"/>
  <c r="S86" i="4" s="1"/>
  <c r="AI85" i="4"/>
  <c r="AF85" i="4"/>
  <c r="AC85" i="4"/>
  <c r="Z85" i="4"/>
  <c r="V85" i="4"/>
  <c r="U85" i="4"/>
  <c r="T85" i="4"/>
  <c r="H85" i="4"/>
  <c r="S85" i="4" s="1"/>
  <c r="AI84" i="4"/>
  <c r="AF84" i="4"/>
  <c r="AC84" i="4"/>
  <c r="Z84" i="4"/>
  <c r="V84" i="4"/>
  <c r="U84" i="4"/>
  <c r="T84" i="4"/>
  <c r="H84" i="4"/>
  <c r="S84" i="4" s="1"/>
  <c r="AI83" i="4"/>
  <c r="AF83" i="4"/>
  <c r="AC83" i="4"/>
  <c r="Z83" i="4"/>
  <c r="V83" i="4"/>
  <c r="U83" i="4"/>
  <c r="F83" i="5" s="1"/>
  <c r="T83" i="4"/>
  <c r="E83" i="5" s="1"/>
  <c r="T83" i="5" s="1"/>
  <c r="E83" i="6" s="1"/>
  <c r="T83" i="6" s="1"/>
  <c r="H83" i="4"/>
  <c r="S83" i="4" s="1"/>
  <c r="AI82" i="4"/>
  <c r="AF82" i="4"/>
  <c r="AC82" i="4"/>
  <c r="Z82" i="4"/>
  <c r="V82" i="4"/>
  <c r="G82" i="5" s="1"/>
  <c r="V82" i="5" s="1"/>
  <c r="G82" i="6" s="1"/>
  <c r="V82" i="6" s="1"/>
  <c r="G82" i="7" s="1"/>
  <c r="V82" i="7" s="1"/>
  <c r="G82" i="8" s="1"/>
  <c r="V82" i="8" s="1"/>
  <c r="G82" i="9" s="1"/>
  <c r="V82" i="9" s="1"/>
  <c r="G82" i="10" s="1"/>
  <c r="V82" i="10" s="1"/>
  <c r="G82" i="11" s="1"/>
  <c r="V82" i="11" s="1"/>
  <c r="G82" i="12" s="1"/>
  <c r="V82" i="12" s="1"/>
  <c r="U82" i="4"/>
  <c r="F82" i="5" s="1"/>
  <c r="U82" i="5" s="1"/>
  <c r="F82" i="6" s="1"/>
  <c r="U82" i="6" s="1"/>
  <c r="F82" i="7" s="1"/>
  <c r="U82" i="7" s="1"/>
  <c r="F82" i="8" s="1"/>
  <c r="U82" i="8" s="1"/>
  <c r="F82" i="9" s="1"/>
  <c r="U82" i="9" s="1"/>
  <c r="F82" i="10" s="1"/>
  <c r="U82" i="10" s="1"/>
  <c r="F82" i="11" s="1"/>
  <c r="U82" i="11" s="1"/>
  <c r="F82" i="12" s="1"/>
  <c r="U82" i="12" s="1"/>
  <c r="T82" i="4"/>
  <c r="E82" i="5" s="1"/>
  <c r="T82" i="5" s="1"/>
  <c r="H82" i="4"/>
  <c r="S82" i="4" s="1"/>
  <c r="AI81" i="4"/>
  <c r="AF81" i="4"/>
  <c r="AC81" i="4"/>
  <c r="Z81" i="4"/>
  <c r="V81" i="4"/>
  <c r="G81" i="5" s="1"/>
  <c r="V81" i="5" s="1"/>
  <c r="G81" i="6" s="1"/>
  <c r="V81" i="6" s="1"/>
  <c r="G81" i="7" s="1"/>
  <c r="V81" i="7" s="1"/>
  <c r="G81" i="8" s="1"/>
  <c r="V81" i="8" s="1"/>
  <c r="G81" i="9" s="1"/>
  <c r="V81" i="9" s="1"/>
  <c r="G81" i="10" s="1"/>
  <c r="V81" i="10" s="1"/>
  <c r="G81" i="11" s="1"/>
  <c r="V81" i="11" s="1"/>
  <c r="G81" i="12" s="1"/>
  <c r="V81" i="12" s="1"/>
  <c r="U81" i="4"/>
  <c r="F81" i="5" s="1"/>
  <c r="U81" i="5" s="1"/>
  <c r="F81" i="6" s="1"/>
  <c r="U81" i="6" s="1"/>
  <c r="F81" i="7" s="1"/>
  <c r="U81" i="7" s="1"/>
  <c r="F81" i="8" s="1"/>
  <c r="U81" i="8" s="1"/>
  <c r="F81" i="9" s="1"/>
  <c r="U81" i="9" s="1"/>
  <c r="F81" i="10" s="1"/>
  <c r="U81" i="10" s="1"/>
  <c r="F81" i="11" s="1"/>
  <c r="U81" i="11" s="1"/>
  <c r="F81" i="12" s="1"/>
  <c r="U81" i="12" s="1"/>
  <c r="F42" i="20" s="1" a="1"/>
  <c r="F42" i="20" s="1"/>
  <c r="T81" i="4"/>
  <c r="E81" i="5" s="1"/>
  <c r="T81" i="5" s="1"/>
  <c r="H81" i="4"/>
  <c r="S81" i="4" s="1"/>
  <c r="AI80" i="4"/>
  <c r="AF80" i="4"/>
  <c r="AC80" i="4"/>
  <c r="Z80" i="4"/>
  <c r="V80" i="4"/>
  <c r="G80" i="5" s="1"/>
  <c r="V80" i="5" s="1"/>
  <c r="G80" i="6" s="1"/>
  <c r="V80" i="6" s="1"/>
  <c r="G80" i="7" s="1"/>
  <c r="V80" i="7" s="1"/>
  <c r="G80" i="8" s="1"/>
  <c r="V80" i="8" s="1"/>
  <c r="G80" i="9" s="1"/>
  <c r="V80" i="9" s="1"/>
  <c r="G80" i="10" s="1"/>
  <c r="V80" i="10" s="1"/>
  <c r="G80" i="11" s="1"/>
  <c r="V80" i="11" s="1"/>
  <c r="G80" i="12" s="1"/>
  <c r="V80" i="12" s="1"/>
  <c r="U80" i="4"/>
  <c r="F80" i="5" s="1"/>
  <c r="U80" i="5" s="1"/>
  <c r="F80" i="6" s="1"/>
  <c r="U80" i="6" s="1"/>
  <c r="F80" i="7" s="1"/>
  <c r="U80" i="7" s="1"/>
  <c r="F80" i="8" s="1"/>
  <c r="U80" i="8" s="1"/>
  <c r="F80" i="9" s="1"/>
  <c r="U80" i="9" s="1"/>
  <c r="F80" i="10" s="1"/>
  <c r="U80" i="10" s="1"/>
  <c r="F80" i="11" s="1"/>
  <c r="U80" i="11" s="1"/>
  <c r="F80" i="12" s="1"/>
  <c r="U80" i="12" s="1"/>
  <c r="T80" i="4"/>
  <c r="H80" i="4"/>
  <c r="S80" i="4" s="1"/>
  <c r="AI79" i="4"/>
  <c r="AF79" i="4"/>
  <c r="AC79" i="4"/>
  <c r="Z79" i="4"/>
  <c r="V79" i="4"/>
  <c r="G79" i="5" s="1"/>
  <c r="V79" i="5" s="1"/>
  <c r="G79" i="6" s="1"/>
  <c r="V79" i="6" s="1"/>
  <c r="G79" i="7" s="1"/>
  <c r="V79" i="7" s="1"/>
  <c r="G79" i="8" s="1"/>
  <c r="V79" i="8" s="1"/>
  <c r="G79" i="9" s="1"/>
  <c r="V79" i="9" s="1"/>
  <c r="G79" i="10" s="1"/>
  <c r="V79" i="10" s="1"/>
  <c r="G79" i="11" s="1"/>
  <c r="V79" i="11" s="1"/>
  <c r="G79" i="12" s="1"/>
  <c r="V79" i="12" s="1"/>
  <c r="U79" i="4"/>
  <c r="F79" i="5" s="1"/>
  <c r="U79" i="5" s="1"/>
  <c r="F79" i="6" s="1"/>
  <c r="U79" i="6" s="1"/>
  <c r="F79" i="7" s="1"/>
  <c r="U79" i="7" s="1"/>
  <c r="F79" i="8" s="1"/>
  <c r="U79" i="8" s="1"/>
  <c r="F79" i="9" s="1"/>
  <c r="U79" i="9" s="1"/>
  <c r="F79" i="10" s="1"/>
  <c r="U79" i="10" s="1"/>
  <c r="F79" i="11" s="1"/>
  <c r="U79" i="11" s="1"/>
  <c r="F79" i="12" s="1"/>
  <c r="U79" i="12" s="1"/>
  <c r="T79" i="4"/>
  <c r="E79" i="5" s="1"/>
  <c r="H79" i="4"/>
  <c r="S79" i="4" s="1"/>
  <c r="AI78" i="4"/>
  <c r="AF78" i="4"/>
  <c r="AC78" i="4"/>
  <c r="Z78" i="4"/>
  <c r="V78" i="4"/>
  <c r="G78" i="5" s="1"/>
  <c r="V78" i="5" s="1"/>
  <c r="G78" i="6" s="1"/>
  <c r="V78" i="6" s="1"/>
  <c r="G78" i="7" s="1"/>
  <c r="V78" i="7" s="1"/>
  <c r="G78" i="8" s="1"/>
  <c r="V78" i="8" s="1"/>
  <c r="G78" i="9" s="1"/>
  <c r="V78" i="9" s="1"/>
  <c r="G78" i="10" s="1"/>
  <c r="V78" i="10" s="1"/>
  <c r="G78" i="11" s="1"/>
  <c r="V78" i="11" s="1"/>
  <c r="G78" i="12" s="1"/>
  <c r="V78" i="12" s="1"/>
  <c r="U78" i="4"/>
  <c r="F78" i="5" s="1"/>
  <c r="U78" i="5" s="1"/>
  <c r="F78" i="6" s="1"/>
  <c r="U78" i="6" s="1"/>
  <c r="F78" i="7" s="1"/>
  <c r="U78" i="7" s="1"/>
  <c r="F78" i="8" s="1"/>
  <c r="U78" i="8" s="1"/>
  <c r="F78" i="9" s="1"/>
  <c r="U78" i="9" s="1"/>
  <c r="F78" i="10" s="1"/>
  <c r="U78" i="10" s="1"/>
  <c r="F78" i="11" s="1"/>
  <c r="U78" i="11" s="1"/>
  <c r="F78" i="12" s="1"/>
  <c r="U78" i="12" s="1"/>
  <c r="T78" i="4"/>
  <c r="H78" i="4"/>
  <c r="S78" i="4" s="1"/>
  <c r="AI77" i="4"/>
  <c r="AF77" i="4"/>
  <c r="AC77" i="4"/>
  <c r="Z77" i="4"/>
  <c r="V77" i="4"/>
  <c r="U77" i="4"/>
  <c r="T77" i="4"/>
  <c r="H77" i="4"/>
  <c r="S77" i="4" s="1"/>
  <c r="AI76" i="4"/>
  <c r="AF76" i="4"/>
  <c r="AC76" i="4"/>
  <c r="Z76" i="4"/>
  <c r="V76" i="4"/>
  <c r="U76" i="4"/>
  <c r="T76" i="4"/>
  <c r="H76" i="4"/>
  <c r="S76" i="4" s="1"/>
  <c r="AI75" i="4"/>
  <c r="AF75" i="4"/>
  <c r="AC75" i="4"/>
  <c r="Z75" i="4"/>
  <c r="V75" i="4"/>
  <c r="U75" i="4"/>
  <c r="T75" i="4"/>
  <c r="H75" i="4"/>
  <c r="S75" i="4" s="1"/>
  <c r="AI74" i="4"/>
  <c r="AF74" i="4"/>
  <c r="AC74" i="4"/>
  <c r="Z74" i="4"/>
  <c r="V74" i="4"/>
  <c r="U74" i="4"/>
  <c r="T74" i="4"/>
  <c r="H74" i="4"/>
  <c r="S74" i="4" s="1"/>
  <c r="AI73" i="4"/>
  <c r="AF73" i="4"/>
  <c r="AC73" i="4"/>
  <c r="Z73" i="4"/>
  <c r="V73" i="4"/>
  <c r="U73" i="4"/>
  <c r="T73" i="4"/>
  <c r="H73" i="4"/>
  <c r="S73" i="4" s="1"/>
  <c r="AI72" i="4"/>
  <c r="AF72" i="4"/>
  <c r="AC72" i="4"/>
  <c r="Z72" i="4"/>
  <c r="V72" i="4"/>
  <c r="U72" i="4"/>
  <c r="T72" i="4"/>
  <c r="H72" i="4"/>
  <c r="S72" i="4" s="1"/>
  <c r="AI71" i="4"/>
  <c r="AF71" i="4"/>
  <c r="AC71" i="4"/>
  <c r="Z71" i="4"/>
  <c r="V71" i="4"/>
  <c r="U71" i="4"/>
  <c r="T71" i="4"/>
  <c r="H71" i="4"/>
  <c r="S71" i="4" s="1"/>
  <c r="AI70" i="4"/>
  <c r="AF70" i="4"/>
  <c r="AC70" i="4"/>
  <c r="Z70" i="4"/>
  <c r="V70" i="4"/>
  <c r="U70" i="4"/>
  <c r="T70" i="4"/>
  <c r="H70" i="4"/>
  <c r="S70" i="4" s="1"/>
  <c r="AI69" i="4"/>
  <c r="AF69" i="4"/>
  <c r="AC69" i="4"/>
  <c r="Z69" i="4"/>
  <c r="V69" i="4"/>
  <c r="U69" i="4"/>
  <c r="T69" i="4"/>
  <c r="H69" i="4"/>
  <c r="S69" i="4" s="1"/>
  <c r="AI68" i="4"/>
  <c r="AF68" i="4"/>
  <c r="AC68" i="4"/>
  <c r="Z68" i="4"/>
  <c r="V68" i="4"/>
  <c r="U68" i="4"/>
  <c r="T68" i="4"/>
  <c r="H68" i="4"/>
  <c r="S68" i="4" s="1"/>
  <c r="AI67" i="4"/>
  <c r="AF67" i="4"/>
  <c r="AC67" i="4"/>
  <c r="Z67" i="4"/>
  <c r="V67" i="4"/>
  <c r="G67" i="5" s="1"/>
  <c r="V67" i="5" s="1"/>
  <c r="G67" i="6" s="1"/>
  <c r="V67" i="6" s="1"/>
  <c r="G67" i="7" s="1"/>
  <c r="V67" i="7" s="1"/>
  <c r="G67" i="8" s="1"/>
  <c r="V67" i="8" s="1"/>
  <c r="G67" i="9" s="1"/>
  <c r="V67" i="9" s="1"/>
  <c r="G67" i="10" s="1"/>
  <c r="V67" i="10" s="1"/>
  <c r="G67" i="11" s="1"/>
  <c r="V67" i="11" s="1"/>
  <c r="G67" i="12" s="1"/>
  <c r="V67" i="12" s="1"/>
  <c r="U67" i="4"/>
  <c r="F67" i="5" s="1"/>
  <c r="U67" i="5" s="1"/>
  <c r="F67" i="6" s="1"/>
  <c r="U67" i="6" s="1"/>
  <c r="F67" i="7" s="1"/>
  <c r="U67" i="7" s="1"/>
  <c r="F67" i="8" s="1"/>
  <c r="U67" i="8" s="1"/>
  <c r="F67" i="9" s="1"/>
  <c r="U67" i="9" s="1"/>
  <c r="F67" i="10" s="1"/>
  <c r="U67" i="10" s="1"/>
  <c r="F67" i="11" s="1"/>
  <c r="U67" i="11" s="1"/>
  <c r="F67" i="12" s="1"/>
  <c r="U67" i="12" s="1"/>
  <c r="T67" i="4"/>
  <c r="E67" i="5" s="1"/>
  <c r="T67" i="5" s="1"/>
  <c r="H67" i="4"/>
  <c r="S67" i="4" s="1"/>
  <c r="AI66" i="4"/>
  <c r="AF66" i="4"/>
  <c r="AC66" i="4"/>
  <c r="Z66" i="4"/>
  <c r="V66" i="4"/>
  <c r="U66" i="4"/>
  <c r="T66" i="4"/>
  <c r="H66" i="4"/>
  <c r="S66" i="4" s="1"/>
  <c r="AI65" i="4"/>
  <c r="AF65" i="4"/>
  <c r="AC65" i="4"/>
  <c r="Z65" i="4"/>
  <c r="V65" i="4"/>
  <c r="U65" i="4"/>
  <c r="T65" i="4"/>
  <c r="H65" i="4"/>
  <c r="S65" i="4" s="1"/>
  <c r="AI64" i="4"/>
  <c r="AF64" i="4"/>
  <c r="AC64" i="4"/>
  <c r="Z64" i="4"/>
  <c r="V64" i="4"/>
  <c r="U64" i="4"/>
  <c r="T64" i="4"/>
  <c r="H64" i="4"/>
  <c r="S64" i="4" s="1"/>
  <c r="AI63" i="4"/>
  <c r="AF63" i="4"/>
  <c r="AC63" i="4"/>
  <c r="Z63" i="4"/>
  <c r="V63" i="4"/>
  <c r="U63" i="4"/>
  <c r="T63" i="4"/>
  <c r="H63" i="4"/>
  <c r="S63" i="4" s="1"/>
  <c r="AI62" i="4"/>
  <c r="AF62" i="4"/>
  <c r="AC62" i="4"/>
  <c r="Z62" i="4"/>
  <c r="V62" i="4"/>
  <c r="U62" i="4"/>
  <c r="T62" i="4"/>
  <c r="H62" i="4"/>
  <c r="S62" i="4" s="1"/>
  <c r="AI61" i="4"/>
  <c r="AF61" i="4"/>
  <c r="AC61" i="4"/>
  <c r="Z61" i="4"/>
  <c r="V61" i="4"/>
  <c r="U61" i="4"/>
  <c r="T61" i="4"/>
  <c r="H61" i="4"/>
  <c r="S61" i="4" s="1"/>
  <c r="AI60" i="4"/>
  <c r="AF60" i="4"/>
  <c r="AC60" i="4"/>
  <c r="Z60" i="4"/>
  <c r="V60" i="4"/>
  <c r="U60" i="4"/>
  <c r="T60" i="4"/>
  <c r="H60" i="4"/>
  <c r="S60" i="4" s="1"/>
  <c r="AI59" i="4"/>
  <c r="AF59" i="4"/>
  <c r="AC59" i="4"/>
  <c r="Z59" i="4"/>
  <c r="V59" i="4"/>
  <c r="U59" i="4"/>
  <c r="F59" i="5" s="1"/>
  <c r="U59" i="5" s="1"/>
  <c r="F59" i="6" s="1"/>
  <c r="U59" i="6" s="1"/>
  <c r="F59" i="7" s="1"/>
  <c r="U59" i="7" s="1"/>
  <c r="F59" i="8" s="1"/>
  <c r="U59" i="8" s="1"/>
  <c r="F59" i="9" s="1"/>
  <c r="U59" i="9" s="1"/>
  <c r="F59" i="10" s="1"/>
  <c r="U59" i="10" s="1"/>
  <c r="F59" i="11" s="1"/>
  <c r="U59" i="11" s="1"/>
  <c r="F59" i="12" s="1"/>
  <c r="U59" i="12" s="1"/>
  <c r="T59" i="4"/>
  <c r="E59" i="5" s="1"/>
  <c r="H59" i="4"/>
  <c r="S59" i="4" s="1"/>
  <c r="AI58" i="4"/>
  <c r="AF58" i="4"/>
  <c r="AC58" i="4"/>
  <c r="Z58" i="4"/>
  <c r="V58" i="4"/>
  <c r="U58" i="4"/>
  <c r="T58" i="4"/>
  <c r="H58" i="4"/>
  <c r="S58" i="4" s="1"/>
  <c r="AI57" i="4"/>
  <c r="AF57" i="4"/>
  <c r="AC57" i="4"/>
  <c r="Z57" i="4"/>
  <c r="V57" i="4"/>
  <c r="G57" i="5" s="1"/>
  <c r="V57" i="5" s="1"/>
  <c r="G57" i="6" s="1"/>
  <c r="V57" i="6" s="1"/>
  <c r="G57" i="7" s="1"/>
  <c r="V57" i="7" s="1"/>
  <c r="G57" i="8" s="1"/>
  <c r="V57" i="8" s="1"/>
  <c r="G57" i="9" s="1"/>
  <c r="V57" i="9" s="1"/>
  <c r="G57" i="10" s="1"/>
  <c r="V57" i="10" s="1"/>
  <c r="G57" i="11" s="1"/>
  <c r="V57" i="11" s="1"/>
  <c r="G57" i="12" s="1"/>
  <c r="V57" i="12" s="1"/>
  <c r="U57" i="4"/>
  <c r="F57" i="5" s="1"/>
  <c r="U57" i="5" s="1"/>
  <c r="F57" i="6" s="1"/>
  <c r="U57" i="6" s="1"/>
  <c r="F57" i="7" s="1"/>
  <c r="U57" i="7" s="1"/>
  <c r="F57" i="8" s="1"/>
  <c r="U57" i="8" s="1"/>
  <c r="F57" i="9" s="1"/>
  <c r="U57" i="9" s="1"/>
  <c r="F57" i="10" s="1"/>
  <c r="U57" i="10" s="1"/>
  <c r="F57" i="11" s="1"/>
  <c r="U57" i="11" s="1"/>
  <c r="F57" i="12" s="1"/>
  <c r="U57" i="12" s="1"/>
  <c r="T57" i="4"/>
  <c r="E57" i="5" s="1"/>
  <c r="H57" i="4"/>
  <c r="S57" i="4" s="1"/>
  <c r="AI56" i="4"/>
  <c r="AF56" i="4"/>
  <c r="AC56" i="4"/>
  <c r="Z56" i="4"/>
  <c r="V56" i="4"/>
  <c r="U56" i="4"/>
  <c r="T56" i="4"/>
  <c r="H56" i="4"/>
  <c r="S56" i="4" s="1"/>
  <c r="AI55" i="4"/>
  <c r="AF55" i="4"/>
  <c r="AC55" i="4"/>
  <c r="Z55" i="4"/>
  <c r="V55" i="4"/>
  <c r="U55" i="4"/>
  <c r="T55" i="4"/>
  <c r="H55" i="4"/>
  <c r="S55" i="4" s="1"/>
  <c r="AI54" i="4"/>
  <c r="AF54" i="4"/>
  <c r="AC54" i="4"/>
  <c r="Z54" i="4"/>
  <c r="V54" i="4"/>
  <c r="U54" i="4"/>
  <c r="T54" i="4"/>
  <c r="H54" i="4"/>
  <c r="S54" i="4" s="1"/>
  <c r="AI53" i="4"/>
  <c r="AF53" i="4"/>
  <c r="AC53" i="4"/>
  <c r="Z53" i="4"/>
  <c r="V53" i="4"/>
  <c r="U53" i="4"/>
  <c r="T53" i="4"/>
  <c r="H53" i="4"/>
  <c r="S53" i="4" s="1"/>
  <c r="AI52" i="4"/>
  <c r="AF52" i="4"/>
  <c r="AC52" i="4"/>
  <c r="Z52" i="4"/>
  <c r="V52" i="4"/>
  <c r="G52" i="5" s="1"/>
  <c r="V52" i="5" s="1"/>
  <c r="G52" i="6" s="1"/>
  <c r="V52" i="6" s="1"/>
  <c r="G52" i="7" s="1"/>
  <c r="V52" i="7" s="1"/>
  <c r="G52" i="8" s="1"/>
  <c r="V52" i="8" s="1"/>
  <c r="G52" i="9" s="1"/>
  <c r="V52" i="9" s="1"/>
  <c r="G52" i="10" s="1"/>
  <c r="V52" i="10" s="1"/>
  <c r="G52" i="11" s="1"/>
  <c r="V52" i="11" s="1"/>
  <c r="G52" i="12" s="1"/>
  <c r="V52" i="12" s="1"/>
  <c r="U52" i="4"/>
  <c r="F52" i="5" s="1"/>
  <c r="U52" i="5" s="1"/>
  <c r="F52" i="6" s="1"/>
  <c r="U52" i="6" s="1"/>
  <c r="F52" i="7" s="1"/>
  <c r="U52" i="7" s="1"/>
  <c r="F52" i="8" s="1"/>
  <c r="U52" i="8" s="1"/>
  <c r="F52" i="9" s="1"/>
  <c r="U52" i="9" s="1"/>
  <c r="F52" i="10" s="1"/>
  <c r="U52" i="10" s="1"/>
  <c r="F52" i="11" s="1"/>
  <c r="U52" i="11" s="1"/>
  <c r="F52" i="12" s="1"/>
  <c r="U52" i="12" s="1"/>
  <c r="T52" i="4"/>
  <c r="E52" i="5" s="1"/>
  <c r="T52" i="5" s="1"/>
  <c r="H52" i="4"/>
  <c r="S52" i="4" s="1"/>
  <c r="AI51" i="4"/>
  <c r="AF51" i="4"/>
  <c r="AC51" i="4"/>
  <c r="Z51" i="4"/>
  <c r="V51" i="4"/>
  <c r="G51" i="5" s="1"/>
  <c r="V51" i="5" s="1"/>
  <c r="G51" i="6" s="1"/>
  <c r="V51" i="6" s="1"/>
  <c r="G51" i="7" s="1"/>
  <c r="V51" i="7" s="1"/>
  <c r="G51" i="8" s="1"/>
  <c r="V51" i="8" s="1"/>
  <c r="G51" i="9" s="1"/>
  <c r="V51" i="9" s="1"/>
  <c r="G51" i="10" s="1"/>
  <c r="V51" i="10" s="1"/>
  <c r="G51" i="11" s="1"/>
  <c r="V51" i="11" s="1"/>
  <c r="G51" i="12" s="1"/>
  <c r="V51" i="12" s="1"/>
  <c r="U51" i="4"/>
  <c r="F51" i="5" s="1"/>
  <c r="U51" i="5" s="1"/>
  <c r="F51" i="6" s="1"/>
  <c r="U51" i="6" s="1"/>
  <c r="F51" i="7" s="1"/>
  <c r="U51" i="7" s="1"/>
  <c r="F51" i="8" s="1"/>
  <c r="U51" i="8" s="1"/>
  <c r="F51" i="9" s="1"/>
  <c r="U51" i="9" s="1"/>
  <c r="F51" i="10" s="1"/>
  <c r="U51" i="10" s="1"/>
  <c r="F51" i="11" s="1"/>
  <c r="U51" i="11" s="1"/>
  <c r="F51" i="12" s="1"/>
  <c r="U51" i="12" s="1"/>
  <c r="T51" i="4"/>
  <c r="H51" i="4"/>
  <c r="S51" i="4" s="1"/>
  <c r="AI50" i="4"/>
  <c r="AF50" i="4"/>
  <c r="AC50" i="4"/>
  <c r="Z50" i="4"/>
  <c r="V50" i="4"/>
  <c r="U50" i="4"/>
  <c r="T50" i="4"/>
  <c r="H50" i="4"/>
  <c r="S50" i="4" s="1"/>
  <c r="AI49" i="4"/>
  <c r="AF49" i="4"/>
  <c r="AC49" i="4"/>
  <c r="Z49" i="4"/>
  <c r="V49" i="4"/>
  <c r="G49" i="5" s="1"/>
  <c r="V49" i="5" s="1"/>
  <c r="G49" i="6" s="1"/>
  <c r="V49" i="6" s="1"/>
  <c r="G49" i="7" s="1"/>
  <c r="V49" i="7" s="1"/>
  <c r="G49" i="8" s="1"/>
  <c r="V49" i="8" s="1"/>
  <c r="G49" i="9" s="1"/>
  <c r="V49" i="9" s="1"/>
  <c r="G49" i="10" s="1"/>
  <c r="V49" i="10" s="1"/>
  <c r="G49" i="11" s="1"/>
  <c r="V49" i="11" s="1"/>
  <c r="G49" i="12" s="1"/>
  <c r="V49" i="12" s="1"/>
  <c r="U49" i="4"/>
  <c r="F49" i="5" s="1"/>
  <c r="U49" i="5" s="1"/>
  <c r="F49" i="6" s="1"/>
  <c r="U49" i="6" s="1"/>
  <c r="F49" i="7" s="1"/>
  <c r="U49" i="7" s="1"/>
  <c r="F49" i="8" s="1"/>
  <c r="U49" i="8" s="1"/>
  <c r="F49" i="9" s="1"/>
  <c r="U49" i="9" s="1"/>
  <c r="F49" i="10" s="1"/>
  <c r="U49" i="10" s="1"/>
  <c r="F49" i="11" s="1"/>
  <c r="U49" i="11" s="1"/>
  <c r="F49" i="12" s="1"/>
  <c r="U49" i="12" s="1"/>
  <c r="T49" i="4"/>
  <c r="E49" i="5" s="1"/>
  <c r="T49" i="5" s="1"/>
  <c r="E49" i="6" s="1"/>
  <c r="H49" i="4"/>
  <c r="S49" i="4" s="1"/>
  <c r="AI48" i="4"/>
  <c r="AF48" i="4"/>
  <c r="AC48" i="4"/>
  <c r="Z48" i="4"/>
  <c r="V48" i="4"/>
  <c r="U48" i="4"/>
  <c r="T48" i="4"/>
  <c r="H48" i="4"/>
  <c r="S48" i="4" s="1"/>
  <c r="AI47" i="4"/>
  <c r="AF47" i="4"/>
  <c r="AC47" i="4"/>
  <c r="Z47" i="4"/>
  <c r="V47" i="4"/>
  <c r="U47" i="4"/>
  <c r="T47" i="4"/>
  <c r="H47" i="4"/>
  <c r="S47" i="4" s="1"/>
  <c r="AI46" i="4"/>
  <c r="AF46" i="4"/>
  <c r="AC46" i="4"/>
  <c r="Z46" i="4"/>
  <c r="V46" i="4"/>
  <c r="G46" i="5" s="1"/>
  <c r="V46" i="5" s="1"/>
  <c r="G46" i="6" s="1"/>
  <c r="V46" i="6" s="1"/>
  <c r="G46" i="7" s="1"/>
  <c r="V46" i="7" s="1"/>
  <c r="G46" i="8" s="1"/>
  <c r="V46" i="8" s="1"/>
  <c r="G46" i="9" s="1"/>
  <c r="V46" i="9" s="1"/>
  <c r="G46" i="10" s="1"/>
  <c r="V46" i="10" s="1"/>
  <c r="G46" i="11" s="1"/>
  <c r="V46" i="11" s="1"/>
  <c r="G46" i="12" s="1"/>
  <c r="V46" i="12" s="1"/>
  <c r="U46" i="4"/>
  <c r="F46" i="5" s="1"/>
  <c r="U46" i="5" s="1"/>
  <c r="F46" i="6" s="1"/>
  <c r="U46" i="6" s="1"/>
  <c r="F46" i="7" s="1"/>
  <c r="U46" i="7" s="1"/>
  <c r="F46" i="8" s="1"/>
  <c r="U46" i="8" s="1"/>
  <c r="F46" i="9" s="1"/>
  <c r="U46" i="9" s="1"/>
  <c r="F46" i="10" s="1"/>
  <c r="U46" i="10" s="1"/>
  <c r="F46" i="11" s="1"/>
  <c r="U46" i="11" s="1"/>
  <c r="F46" i="12" s="1"/>
  <c r="U46" i="12" s="1"/>
  <c r="T46" i="4"/>
  <c r="H46" i="4"/>
  <c r="S46" i="4" s="1"/>
  <c r="AI45" i="4"/>
  <c r="AF45" i="4"/>
  <c r="AC45" i="4"/>
  <c r="Z45" i="4"/>
  <c r="V45" i="4"/>
  <c r="U45" i="4"/>
  <c r="T45" i="4"/>
  <c r="H45" i="4"/>
  <c r="S45" i="4" s="1"/>
  <c r="AI44" i="4"/>
  <c r="AF44" i="4"/>
  <c r="AC44" i="4"/>
  <c r="Z44" i="4"/>
  <c r="V44" i="4"/>
  <c r="U44" i="4"/>
  <c r="T44" i="4"/>
  <c r="H44" i="4"/>
  <c r="S44" i="4" s="1"/>
  <c r="AI43" i="4"/>
  <c r="AF43" i="4"/>
  <c r="AC43" i="4"/>
  <c r="Z43" i="4"/>
  <c r="V43" i="4"/>
  <c r="G43" i="5" s="1"/>
  <c r="V43" i="5" s="1"/>
  <c r="G43" i="6" s="1"/>
  <c r="V43" i="6" s="1"/>
  <c r="G43" i="7" s="1"/>
  <c r="V43" i="7" s="1"/>
  <c r="G43" i="8" s="1"/>
  <c r="V43" i="8" s="1"/>
  <c r="G43" i="9" s="1"/>
  <c r="V43" i="9" s="1"/>
  <c r="G43" i="10" s="1"/>
  <c r="V43" i="10" s="1"/>
  <c r="G43" i="11" s="1"/>
  <c r="V43" i="11" s="1"/>
  <c r="G43" i="12" s="1"/>
  <c r="V43" i="12" s="1"/>
  <c r="U43" i="4"/>
  <c r="F43" i="5" s="1"/>
  <c r="T43" i="4"/>
  <c r="E43" i="5" s="1"/>
  <c r="T43" i="5" s="1"/>
  <c r="E43" i="6" s="1"/>
  <c r="T43" i="6" s="1"/>
  <c r="H43" i="4"/>
  <c r="S43" i="4" s="1"/>
  <c r="AI42" i="4"/>
  <c r="AF42" i="4"/>
  <c r="AC42" i="4"/>
  <c r="Z42" i="4"/>
  <c r="V42" i="4"/>
  <c r="U42" i="4"/>
  <c r="T42" i="4"/>
  <c r="H42" i="4"/>
  <c r="S42" i="4" s="1"/>
  <c r="AI41" i="4"/>
  <c r="AF41" i="4"/>
  <c r="AC41" i="4"/>
  <c r="Z41" i="4"/>
  <c r="V41" i="4"/>
  <c r="U41" i="4"/>
  <c r="F41" i="5" s="1"/>
  <c r="U41" i="5" s="1"/>
  <c r="F41" i="6" s="1"/>
  <c r="U41" i="6" s="1"/>
  <c r="F41" i="7" s="1"/>
  <c r="U41" i="7" s="1"/>
  <c r="F41" i="8" s="1"/>
  <c r="U41" i="8" s="1"/>
  <c r="F41" i="9" s="1"/>
  <c r="U41" i="9" s="1"/>
  <c r="F41" i="10" s="1"/>
  <c r="U41" i="10" s="1"/>
  <c r="F41" i="11" s="1"/>
  <c r="U41" i="11" s="1"/>
  <c r="F41" i="12" s="1"/>
  <c r="U41" i="12" s="1"/>
  <c r="T41" i="4"/>
  <c r="E41" i="5" s="1"/>
  <c r="T41" i="5" s="1"/>
  <c r="E41" i="6" s="1"/>
  <c r="T41" i="6" s="1"/>
  <c r="H41" i="4"/>
  <c r="S41" i="4" s="1"/>
  <c r="AI40" i="4"/>
  <c r="AF40" i="4"/>
  <c r="AC40" i="4"/>
  <c r="Z40" i="4"/>
  <c r="V40" i="4"/>
  <c r="U40" i="4"/>
  <c r="T40" i="4"/>
  <c r="H40" i="4"/>
  <c r="S40" i="4" s="1"/>
  <c r="AI39" i="4"/>
  <c r="AF39" i="4"/>
  <c r="AC39" i="4"/>
  <c r="Z39" i="4"/>
  <c r="V39" i="4"/>
  <c r="U39" i="4"/>
  <c r="T39" i="4"/>
  <c r="H39" i="4"/>
  <c r="S39" i="4" s="1"/>
  <c r="AI38" i="4"/>
  <c r="AF38" i="4"/>
  <c r="AC38" i="4"/>
  <c r="Z38" i="4"/>
  <c r="V38" i="4"/>
  <c r="U38" i="4"/>
  <c r="T38" i="4"/>
  <c r="H38" i="4"/>
  <c r="S38" i="4" s="1"/>
  <c r="AI37" i="4"/>
  <c r="AF37" i="4"/>
  <c r="AC37" i="4"/>
  <c r="Z37" i="4"/>
  <c r="V37" i="4"/>
  <c r="U37" i="4"/>
  <c r="T37" i="4"/>
  <c r="H37" i="4"/>
  <c r="S37" i="4" s="1"/>
  <c r="AI36" i="4"/>
  <c r="AF36" i="4"/>
  <c r="AC36" i="4"/>
  <c r="Z36" i="4"/>
  <c r="V36" i="4"/>
  <c r="G36" i="5" s="1"/>
  <c r="V36" i="5" s="1"/>
  <c r="G36" i="6" s="1"/>
  <c r="V36" i="6" s="1"/>
  <c r="G36" i="7" s="1"/>
  <c r="V36" i="7" s="1"/>
  <c r="G36" i="8" s="1"/>
  <c r="V36" i="8" s="1"/>
  <c r="G36" i="9" s="1"/>
  <c r="V36" i="9" s="1"/>
  <c r="G36" i="10" s="1"/>
  <c r="V36" i="10" s="1"/>
  <c r="G36" i="11" s="1"/>
  <c r="V36" i="11" s="1"/>
  <c r="G36" i="12" s="1"/>
  <c r="V36" i="12" s="1"/>
  <c r="U36" i="4"/>
  <c r="F36" i="5" s="1"/>
  <c r="U36" i="5" s="1"/>
  <c r="F36" i="6" s="1"/>
  <c r="U36" i="6" s="1"/>
  <c r="F36" i="7" s="1"/>
  <c r="U36" i="7" s="1"/>
  <c r="F36" i="8" s="1"/>
  <c r="U36" i="8" s="1"/>
  <c r="F36" i="9" s="1"/>
  <c r="U36" i="9" s="1"/>
  <c r="F36" i="10" s="1"/>
  <c r="U36" i="10" s="1"/>
  <c r="F36" i="11" s="1"/>
  <c r="U36" i="11" s="1"/>
  <c r="F36" i="12" s="1"/>
  <c r="U36" i="12" s="1"/>
  <c r="T36" i="4"/>
  <c r="H36" i="4"/>
  <c r="S36" i="4" s="1"/>
  <c r="AI35" i="4"/>
  <c r="AF35" i="4"/>
  <c r="AC35" i="4"/>
  <c r="Z35" i="4"/>
  <c r="V35" i="4"/>
  <c r="U35" i="4"/>
  <c r="T35" i="4"/>
  <c r="H35" i="4"/>
  <c r="S35" i="4" s="1"/>
  <c r="AI34" i="4"/>
  <c r="AF34" i="4"/>
  <c r="AC34" i="4"/>
  <c r="Z34" i="4"/>
  <c r="V34" i="4"/>
  <c r="U34" i="4"/>
  <c r="T34" i="4"/>
  <c r="H34" i="4"/>
  <c r="S34" i="4" s="1"/>
  <c r="AI33" i="4"/>
  <c r="AF33" i="4"/>
  <c r="AC33" i="4"/>
  <c r="Z33" i="4"/>
  <c r="V33" i="4"/>
  <c r="G33" i="5" s="1"/>
  <c r="V33" i="5" s="1"/>
  <c r="G33" i="6" s="1"/>
  <c r="V33" i="6" s="1"/>
  <c r="G33" i="7" s="1"/>
  <c r="V33" i="7" s="1"/>
  <c r="G33" i="8" s="1"/>
  <c r="V33" i="8" s="1"/>
  <c r="G33" i="9" s="1"/>
  <c r="V33" i="9" s="1"/>
  <c r="G33" i="10" s="1"/>
  <c r="V33" i="10" s="1"/>
  <c r="G33" i="11" s="1"/>
  <c r="V33" i="11" s="1"/>
  <c r="G33" i="12" s="1"/>
  <c r="V33" i="12" s="1"/>
  <c r="U33" i="4"/>
  <c r="F33" i="5" s="1"/>
  <c r="U33" i="5" s="1"/>
  <c r="F33" i="6" s="1"/>
  <c r="U33" i="6" s="1"/>
  <c r="F33" i="7" s="1"/>
  <c r="U33" i="7" s="1"/>
  <c r="F33" i="8" s="1"/>
  <c r="U33" i="8" s="1"/>
  <c r="F33" i="9" s="1"/>
  <c r="U33" i="9" s="1"/>
  <c r="F33" i="10" s="1"/>
  <c r="U33" i="10" s="1"/>
  <c r="F33" i="11" s="1"/>
  <c r="U33" i="11" s="1"/>
  <c r="F33" i="12" s="1"/>
  <c r="U33" i="12" s="1"/>
  <c r="T33" i="4"/>
  <c r="E33" i="5" s="1"/>
  <c r="H33" i="4"/>
  <c r="S33" i="4" s="1"/>
  <c r="AI32" i="4"/>
  <c r="AF32" i="4"/>
  <c r="AC32" i="4"/>
  <c r="Z32" i="4"/>
  <c r="V32" i="4"/>
  <c r="G32" i="5" s="1"/>
  <c r="V32" i="5" s="1"/>
  <c r="G32" i="6" s="1"/>
  <c r="V32" i="6" s="1"/>
  <c r="G32" i="7" s="1"/>
  <c r="V32" i="7" s="1"/>
  <c r="G32" i="8" s="1"/>
  <c r="V32" i="8" s="1"/>
  <c r="G32" i="9" s="1"/>
  <c r="V32" i="9" s="1"/>
  <c r="G32" i="10" s="1"/>
  <c r="V32" i="10" s="1"/>
  <c r="G32" i="11" s="1"/>
  <c r="V32" i="11" s="1"/>
  <c r="G32" i="12" s="1"/>
  <c r="V32" i="12" s="1"/>
  <c r="U32" i="4"/>
  <c r="F32" i="5" s="1"/>
  <c r="U32" i="5" s="1"/>
  <c r="F32" i="6" s="1"/>
  <c r="U32" i="6" s="1"/>
  <c r="F32" i="7" s="1"/>
  <c r="U32" i="7" s="1"/>
  <c r="F32" i="8" s="1"/>
  <c r="U32" i="8" s="1"/>
  <c r="F32" i="9" s="1"/>
  <c r="U32" i="9" s="1"/>
  <c r="F32" i="10" s="1"/>
  <c r="U32" i="10" s="1"/>
  <c r="F32" i="11" s="1"/>
  <c r="U32" i="11" s="1"/>
  <c r="F32" i="12" s="1"/>
  <c r="U32" i="12" s="1"/>
  <c r="T32" i="4"/>
  <c r="E32" i="5" s="1"/>
  <c r="H32" i="4"/>
  <c r="S32" i="4" s="1"/>
  <c r="AI31" i="4"/>
  <c r="AF31" i="4"/>
  <c r="AC31" i="4"/>
  <c r="Z31" i="4"/>
  <c r="V31" i="4"/>
  <c r="G31" i="5" s="1"/>
  <c r="V31" i="5" s="1"/>
  <c r="G31" i="6" s="1"/>
  <c r="V31" i="6" s="1"/>
  <c r="G31" i="7" s="1"/>
  <c r="V31" i="7" s="1"/>
  <c r="G31" i="8" s="1"/>
  <c r="V31" i="8" s="1"/>
  <c r="G31" i="9" s="1"/>
  <c r="V31" i="9" s="1"/>
  <c r="G31" i="10" s="1"/>
  <c r="V31" i="10" s="1"/>
  <c r="G31" i="11" s="1"/>
  <c r="V31" i="11" s="1"/>
  <c r="G31" i="12" s="1"/>
  <c r="V31" i="12" s="1"/>
  <c r="U31" i="4"/>
  <c r="T31" i="4"/>
  <c r="E31" i="5" s="1"/>
  <c r="H31" i="4"/>
  <c r="S31" i="4" s="1"/>
  <c r="AI30" i="4"/>
  <c r="AF30" i="4"/>
  <c r="AC30" i="4"/>
  <c r="Z30" i="4"/>
  <c r="V30" i="4"/>
  <c r="G30" i="5" s="1"/>
  <c r="V30" i="5" s="1"/>
  <c r="G30" i="6" s="1"/>
  <c r="V30" i="6" s="1"/>
  <c r="G30" i="7" s="1"/>
  <c r="V30" i="7" s="1"/>
  <c r="G30" i="8" s="1"/>
  <c r="V30" i="8" s="1"/>
  <c r="G30" i="9" s="1"/>
  <c r="V30" i="9" s="1"/>
  <c r="G30" i="10" s="1"/>
  <c r="V30" i="10" s="1"/>
  <c r="G30" i="11" s="1"/>
  <c r="V30" i="11" s="1"/>
  <c r="G30" i="12" s="1"/>
  <c r="V30" i="12" s="1"/>
  <c r="U30" i="4"/>
  <c r="F30" i="5" s="1"/>
  <c r="U30" i="5" s="1"/>
  <c r="F30" i="6" s="1"/>
  <c r="U30" i="6" s="1"/>
  <c r="F30" i="7" s="1"/>
  <c r="U30" i="7" s="1"/>
  <c r="F30" i="8" s="1"/>
  <c r="U30" i="8" s="1"/>
  <c r="F30" i="9" s="1"/>
  <c r="U30" i="9" s="1"/>
  <c r="F30" i="10" s="1"/>
  <c r="U30" i="10" s="1"/>
  <c r="F30" i="11" s="1"/>
  <c r="U30" i="11" s="1"/>
  <c r="F30" i="12" s="1"/>
  <c r="U30" i="12" s="1"/>
  <c r="T30" i="4"/>
  <c r="H30" i="4"/>
  <c r="S30" i="4" s="1"/>
  <c r="AI29" i="4"/>
  <c r="AF29" i="4"/>
  <c r="AC29" i="4"/>
  <c r="Z29" i="4"/>
  <c r="V29" i="4"/>
  <c r="U29" i="4"/>
  <c r="F29" i="5" s="1"/>
  <c r="U29" i="5" s="1"/>
  <c r="F29" i="6" s="1"/>
  <c r="U29" i="6" s="1"/>
  <c r="F29" i="7" s="1"/>
  <c r="U29" i="7" s="1"/>
  <c r="F29" i="8" s="1"/>
  <c r="U29" i="8" s="1"/>
  <c r="F29" i="9" s="1"/>
  <c r="U29" i="9" s="1"/>
  <c r="F29" i="10" s="1"/>
  <c r="U29" i="10" s="1"/>
  <c r="F29" i="11" s="1"/>
  <c r="U29" i="11" s="1"/>
  <c r="F29" i="12" s="1"/>
  <c r="U29" i="12" s="1"/>
  <c r="T29" i="4"/>
  <c r="E29" i="5" s="1"/>
  <c r="T29" i="5" s="1"/>
  <c r="E29" i="6" s="1"/>
  <c r="T29" i="6" s="1"/>
  <c r="E29" i="7" s="1"/>
  <c r="H29" i="4"/>
  <c r="S29" i="4" s="1"/>
  <c r="AI28" i="4"/>
  <c r="AF28" i="4"/>
  <c r="AC28" i="4"/>
  <c r="Z28" i="4"/>
  <c r="V28" i="4"/>
  <c r="U28" i="4"/>
  <c r="T28" i="4"/>
  <c r="H28" i="4"/>
  <c r="S28" i="4" s="1"/>
  <c r="AI27" i="4"/>
  <c r="AF27" i="4"/>
  <c r="AC27" i="4"/>
  <c r="Z27" i="4"/>
  <c r="V27" i="4"/>
  <c r="U27" i="4"/>
  <c r="T27" i="4"/>
  <c r="H27" i="4"/>
  <c r="S27" i="4" s="1"/>
  <c r="AI26" i="4"/>
  <c r="AF26" i="4"/>
  <c r="AC26" i="4"/>
  <c r="Z26" i="4"/>
  <c r="V26" i="4"/>
  <c r="G26" i="5" s="1"/>
  <c r="V26" i="5" s="1"/>
  <c r="G26" i="6" s="1"/>
  <c r="V26" i="6" s="1"/>
  <c r="G26" i="7" s="1"/>
  <c r="V26" i="7" s="1"/>
  <c r="G26" i="8" s="1"/>
  <c r="V26" i="8" s="1"/>
  <c r="G26" i="9" s="1"/>
  <c r="V26" i="9" s="1"/>
  <c r="G26" i="10" s="1"/>
  <c r="V26" i="10" s="1"/>
  <c r="G26" i="11" s="1"/>
  <c r="V26" i="11" s="1"/>
  <c r="G26" i="12" s="1"/>
  <c r="V26" i="12" s="1"/>
  <c r="U26" i="4"/>
  <c r="F26" i="5" s="1"/>
  <c r="U26" i="5" s="1"/>
  <c r="F26" i="6" s="1"/>
  <c r="U26" i="6" s="1"/>
  <c r="F26" i="7" s="1"/>
  <c r="U26" i="7" s="1"/>
  <c r="F26" i="8" s="1"/>
  <c r="U26" i="8" s="1"/>
  <c r="F26" i="9" s="1"/>
  <c r="U26" i="9" s="1"/>
  <c r="F26" i="10" s="1"/>
  <c r="U26" i="10" s="1"/>
  <c r="F26" i="11" s="1"/>
  <c r="U26" i="11" s="1"/>
  <c r="F26" i="12" s="1"/>
  <c r="U26" i="12" s="1"/>
  <c r="F20" i="20" s="1" a="1"/>
  <c r="F20" i="20" s="1"/>
  <c r="Z20" i="20" s="1"/>
  <c r="F20" i="13" s="1" a="1"/>
  <c r="F20" i="13" s="1"/>
  <c r="T26" i="4"/>
  <c r="H26" i="4"/>
  <c r="S26" i="4" s="1"/>
  <c r="AI25" i="4"/>
  <c r="AF25" i="4"/>
  <c r="AC25" i="4"/>
  <c r="Z25" i="4"/>
  <c r="V25" i="4"/>
  <c r="G25" i="5" s="1"/>
  <c r="V25" i="5" s="1"/>
  <c r="G25" i="6" s="1"/>
  <c r="V25" i="6" s="1"/>
  <c r="G25" i="7" s="1"/>
  <c r="V25" i="7" s="1"/>
  <c r="G25" i="8" s="1"/>
  <c r="V25" i="8" s="1"/>
  <c r="G25" i="9" s="1"/>
  <c r="V25" i="9" s="1"/>
  <c r="G25" i="10" s="1"/>
  <c r="V25" i="10" s="1"/>
  <c r="G25" i="11" s="1"/>
  <c r="V25" i="11" s="1"/>
  <c r="G25" i="12" s="1"/>
  <c r="V25" i="12" s="1"/>
  <c r="U25" i="4"/>
  <c r="F25" i="5" s="1"/>
  <c r="U25" i="5" s="1"/>
  <c r="F25" i="6" s="1"/>
  <c r="U25" i="6" s="1"/>
  <c r="F25" i="7" s="1"/>
  <c r="U25" i="7" s="1"/>
  <c r="F25" i="8" s="1"/>
  <c r="U25" i="8" s="1"/>
  <c r="F25" i="9" s="1"/>
  <c r="U25" i="9" s="1"/>
  <c r="F25" i="10" s="1"/>
  <c r="U25" i="10" s="1"/>
  <c r="F25" i="11" s="1"/>
  <c r="U25" i="11" s="1"/>
  <c r="F25" i="12" s="1"/>
  <c r="U25" i="12" s="1"/>
  <c r="T25" i="4"/>
  <c r="E25" i="5" s="1"/>
  <c r="H25" i="4"/>
  <c r="S25" i="4" s="1"/>
  <c r="AI24" i="4"/>
  <c r="AF24" i="4"/>
  <c r="AC24" i="4"/>
  <c r="Z24" i="4"/>
  <c r="V24" i="4"/>
  <c r="U24" i="4"/>
  <c r="T24" i="4"/>
  <c r="H24" i="4"/>
  <c r="S24" i="4" s="1"/>
  <c r="AI23" i="4"/>
  <c r="AF23" i="4"/>
  <c r="AC23" i="4"/>
  <c r="Z23" i="4"/>
  <c r="V23" i="4"/>
  <c r="U23" i="4"/>
  <c r="T23" i="4"/>
  <c r="H23" i="4"/>
  <c r="S23" i="4" s="1"/>
  <c r="AI22" i="4"/>
  <c r="AF22" i="4"/>
  <c r="AC22" i="4"/>
  <c r="Z22" i="4"/>
  <c r="V22" i="4"/>
  <c r="G22" i="5" s="1"/>
  <c r="V22" i="5" s="1"/>
  <c r="G22" i="6" s="1"/>
  <c r="V22" i="6" s="1"/>
  <c r="G22" i="7" s="1"/>
  <c r="V22" i="7" s="1"/>
  <c r="G22" i="8" s="1"/>
  <c r="V22" i="8" s="1"/>
  <c r="G22" i="9" s="1"/>
  <c r="V22" i="9" s="1"/>
  <c r="G22" i="10" s="1"/>
  <c r="V22" i="10" s="1"/>
  <c r="G22" i="11" s="1"/>
  <c r="V22" i="11" s="1"/>
  <c r="G22" i="12" s="1"/>
  <c r="V22" i="12" s="1"/>
  <c r="U22" i="4"/>
  <c r="F22" i="5" s="1"/>
  <c r="U22" i="5" s="1"/>
  <c r="F22" i="6" s="1"/>
  <c r="U22" i="6" s="1"/>
  <c r="F22" i="7" s="1"/>
  <c r="U22" i="7" s="1"/>
  <c r="F22" i="8" s="1"/>
  <c r="U22" i="8" s="1"/>
  <c r="F22" i="9" s="1"/>
  <c r="U22" i="9" s="1"/>
  <c r="F22" i="10" s="1"/>
  <c r="U22" i="10" s="1"/>
  <c r="F22" i="11" s="1"/>
  <c r="U22" i="11" s="1"/>
  <c r="F22" i="12" s="1"/>
  <c r="U22" i="12" s="1"/>
  <c r="T22" i="4"/>
  <c r="E22" i="5" s="1"/>
  <c r="T22" i="5" s="1"/>
  <c r="E22" i="6" s="1"/>
  <c r="H22" i="4"/>
  <c r="S22" i="4" s="1"/>
  <c r="AI21" i="4"/>
  <c r="AF21" i="4"/>
  <c r="AC21" i="4"/>
  <c r="Z21" i="4"/>
  <c r="V21" i="4"/>
  <c r="G21" i="5" s="1"/>
  <c r="V21" i="5" s="1"/>
  <c r="G21" i="6" s="1"/>
  <c r="V21" i="6" s="1"/>
  <c r="G21" i="7" s="1"/>
  <c r="V21" i="7" s="1"/>
  <c r="G21" i="8" s="1"/>
  <c r="V21" i="8" s="1"/>
  <c r="G21" i="9" s="1"/>
  <c r="V21" i="9" s="1"/>
  <c r="G21" i="10" s="1"/>
  <c r="V21" i="10" s="1"/>
  <c r="G21" i="11" s="1"/>
  <c r="V21" i="11" s="1"/>
  <c r="G21" i="12" s="1"/>
  <c r="V21" i="12" s="1"/>
  <c r="U21" i="4"/>
  <c r="F21" i="5" s="1"/>
  <c r="U21" i="5" s="1"/>
  <c r="F21" i="6" s="1"/>
  <c r="U21" i="6" s="1"/>
  <c r="F21" i="7" s="1"/>
  <c r="U21" i="7" s="1"/>
  <c r="F21" i="8" s="1"/>
  <c r="U21" i="8" s="1"/>
  <c r="F21" i="9" s="1"/>
  <c r="U21" i="9" s="1"/>
  <c r="F21" i="10" s="1"/>
  <c r="U21" i="10" s="1"/>
  <c r="F21" i="11" s="1"/>
  <c r="U21" i="11" s="1"/>
  <c r="F21" i="12" s="1"/>
  <c r="U21" i="12" s="1"/>
  <c r="T21" i="4"/>
  <c r="E21" i="5" s="1"/>
  <c r="T21" i="5" s="1"/>
  <c r="H21" i="4"/>
  <c r="S21" i="4" s="1"/>
  <c r="AI20" i="4"/>
  <c r="AF20" i="4"/>
  <c r="AC20" i="4"/>
  <c r="Z20" i="4"/>
  <c r="V20" i="4"/>
  <c r="U20" i="4"/>
  <c r="T20" i="4"/>
  <c r="H20" i="4"/>
  <c r="S20" i="4" s="1"/>
  <c r="AI19" i="4"/>
  <c r="AF19" i="4"/>
  <c r="AC19" i="4"/>
  <c r="Z19" i="4"/>
  <c r="V19" i="4"/>
  <c r="U19" i="4"/>
  <c r="F19" i="5" s="1"/>
  <c r="U19" i="5" s="1"/>
  <c r="F19" i="6" s="1"/>
  <c r="U19" i="6" s="1"/>
  <c r="F19" i="7" s="1"/>
  <c r="U19" i="7" s="1"/>
  <c r="F19" i="8" s="1"/>
  <c r="U19" i="8" s="1"/>
  <c r="F19" i="9" s="1"/>
  <c r="U19" i="9" s="1"/>
  <c r="F19" i="10" s="1"/>
  <c r="U19" i="10" s="1"/>
  <c r="F19" i="11" s="1"/>
  <c r="U19" i="11" s="1"/>
  <c r="F19" i="12" s="1"/>
  <c r="U19" i="12" s="1"/>
  <c r="T19" i="4"/>
  <c r="E19" i="5" s="1"/>
  <c r="T19" i="5" s="1"/>
  <c r="E19" i="6" s="1"/>
  <c r="T19" i="6" s="1"/>
  <c r="H19" i="4"/>
  <c r="S19" i="4" s="1"/>
  <c r="AI18" i="4"/>
  <c r="AF18" i="4"/>
  <c r="AC18" i="4"/>
  <c r="Z18" i="4"/>
  <c r="V18" i="4"/>
  <c r="U18" i="4"/>
  <c r="T18" i="4"/>
  <c r="H18" i="4"/>
  <c r="S18" i="4" s="1"/>
  <c r="AI17" i="4"/>
  <c r="AF17" i="4"/>
  <c r="AC17" i="4"/>
  <c r="Z17" i="4"/>
  <c r="V17" i="4"/>
  <c r="U17" i="4"/>
  <c r="T17" i="4"/>
  <c r="H17" i="4"/>
  <c r="S17" i="4" s="1"/>
  <c r="AI16" i="4"/>
  <c r="AF16" i="4"/>
  <c r="AC16" i="4"/>
  <c r="Z16" i="4"/>
  <c r="V16" i="4"/>
  <c r="G16" i="5" s="1"/>
  <c r="V16" i="5" s="1"/>
  <c r="G16" i="6" s="1"/>
  <c r="V16" i="6" s="1"/>
  <c r="G16" i="7" s="1"/>
  <c r="V16" i="7" s="1"/>
  <c r="G16" i="8" s="1"/>
  <c r="V16" i="8" s="1"/>
  <c r="G16" i="9" s="1"/>
  <c r="V16" i="9" s="1"/>
  <c r="G16" i="10" s="1"/>
  <c r="V16" i="10" s="1"/>
  <c r="G16" i="11" s="1"/>
  <c r="V16" i="11" s="1"/>
  <c r="G16" i="12" s="1"/>
  <c r="V16" i="12" s="1"/>
  <c r="U16" i="4"/>
  <c r="F16" i="5" s="1"/>
  <c r="U16" i="5" s="1"/>
  <c r="F16" i="6" s="1"/>
  <c r="U16" i="6" s="1"/>
  <c r="F16" i="7" s="1"/>
  <c r="U16" i="7" s="1"/>
  <c r="F16" i="8" s="1"/>
  <c r="U16" i="8" s="1"/>
  <c r="F16" i="9" s="1"/>
  <c r="U16" i="9" s="1"/>
  <c r="F16" i="10" s="1"/>
  <c r="U16" i="10" s="1"/>
  <c r="F16" i="11" s="1"/>
  <c r="U16" i="11" s="1"/>
  <c r="F16" i="12" s="1"/>
  <c r="U16" i="12" s="1"/>
  <c r="T16" i="4"/>
  <c r="E16" i="5" s="1"/>
  <c r="H16" i="4"/>
  <c r="S16" i="4" s="1"/>
  <c r="AI15" i="4"/>
  <c r="AF15" i="4"/>
  <c r="AC15" i="4"/>
  <c r="Z15" i="4"/>
  <c r="V15" i="4"/>
  <c r="G15" i="5" s="1"/>
  <c r="V15" i="5" s="1"/>
  <c r="G15" i="6" s="1"/>
  <c r="V15" i="6" s="1"/>
  <c r="G15" i="7" s="1"/>
  <c r="V15" i="7" s="1"/>
  <c r="G15" i="8" s="1"/>
  <c r="V15" i="8" s="1"/>
  <c r="G15" i="9" s="1"/>
  <c r="V15" i="9" s="1"/>
  <c r="G15" i="10" s="1"/>
  <c r="V15" i="10" s="1"/>
  <c r="G15" i="11" s="1"/>
  <c r="V15" i="11" s="1"/>
  <c r="G15" i="12" s="1"/>
  <c r="V15" i="12" s="1"/>
  <c r="U15" i="4"/>
  <c r="F15" i="5" s="1"/>
  <c r="U15" i="5" s="1"/>
  <c r="F15" i="6" s="1"/>
  <c r="U15" i="6" s="1"/>
  <c r="F15" i="7" s="1"/>
  <c r="U15" i="7" s="1"/>
  <c r="F15" i="8" s="1"/>
  <c r="U15" i="8" s="1"/>
  <c r="F15" i="9" s="1"/>
  <c r="U15" i="9" s="1"/>
  <c r="F15" i="10" s="1"/>
  <c r="U15" i="10" s="1"/>
  <c r="F15" i="11" s="1"/>
  <c r="U15" i="11" s="1"/>
  <c r="F15" i="12" s="1"/>
  <c r="U15" i="12" s="1"/>
  <c r="T15" i="4"/>
  <c r="H15" i="4"/>
  <c r="S15" i="4" s="1"/>
  <c r="AI14" i="4"/>
  <c r="AF14" i="4"/>
  <c r="AC14" i="4"/>
  <c r="Z14" i="4"/>
  <c r="V14" i="4"/>
  <c r="G14" i="5" s="1"/>
  <c r="V14" i="5" s="1"/>
  <c r="G14" i="6" s="1"/>
  <c r="V14" i="6" s="1"/>
  <c r="G14" i="7" s="1"/>
  <c r="V14" i="7" s="1"/>
  <c r="G14" i="8" s="1"/>
  <c r="V14" i="8" s="1"/>
  <c r="G14" i="9" s="1"/>
  <c r="V14" i="9" s="1"/>
  <c r="G14" i="10" s="1"/>
  <c r="V14" i="10" s="1"/>
  <c r="G14" i="11" s="1"/>
  <c r="V14" i="11" s="1"/>
  <c r="G14" i="12" s="1"/>
  <c r="V14" i="12" s="1"/>
  <c r="U14" i="4"/>
  <c r="F14" i="5" s="1"/>
  <c r="U14" i="5" s="1"/>
  <c r="F14" i="6" s="1"/>
  <c r="U14" i="6" s="1"/>
  <c r="F14" i="7" s="1"/>
  <c r="U14" i="7" s="1"/>
  <c r="F14" i="8" s="1"/>
  <c r="U14" i="8" s="1"/>
  <c r="F14" i="9" s="1"/>
  <c r="U14" i="9" s="1"/>
  <c r="F14" i="10" s="1"/>
  <c r="U14" i="10" s="1"/>
  <c r="F14" i="11" s="1"/>
  <c r="U14" i="11" s="1"/>
  <c r="F14" i="12" s="1"/>
  <c r="U14" i="12" s="1"/>
  <c r="T14" i="4"/>
  <c r="H14" i="4"/>
  <c r="S14" i="4" s="1"/>
  <c r="AI13" i="4"/>
  <c r="AF13" i="4"/>
  <c r="AC13" i="4"/>
  <c r="Z13" i="4"/>
  <c r="V13" i="4"/>
  <c r="U13" i="4"/>
  <c r="F13" i="5" s="1"/>
  <c r="U13" i="5" s="1"/>
  <c r="F13" i="6" s="1"/>
  <c r="U13" i="6" s="1"/>
  <c r="F13" i="7" s="1"/>
  <c r="U13" i="7" s="1"/>
  <c r="F13" i="8" s="1"/>
  <c r="U13" i="8" s="1"/>
  <c r="F13" i="9" s="1"/>
  <c r="U13" i="9" s="1"/>
  <c r="F13" i="10" s="1"/>
  <c r="U13" i="10" s="1"/>
  <c r="F13" i="11" s="1"/>
  <c r="U13" i="11" s="1"/>
  <c r="F13" i="12" s="1"/>
  <c r="U13" i="12" s="1"/>
  <c r="T13" i="4"/>
  <c r="E13" i="5" s="1"/>
  <c r="H13" i="4"/>
  <c r="S13" i="4" s="1"/>
  <c r="AI12" i="4"/>
  <c r="AF12" i="4"/>
  <c r="AC12" i="4"/>
  <c r="Z12" i="4"/>
  <c r="V12" i="4"/>
  <c r="G12" i="5" s="1"/>
  <c r="V12" i="5" s="1"/>
  <c r="G12" i="6" s="1"/>
  <c r="V12" i="6" s="1"/>
  <c r="G12" i="7" s="1"/>
  <c r="V12" i="7" s="1"/>
  <c r="G12" i="8" s="1"/>
  <c r="V12" i="8" s="1"/>
  <c r="G12" i="9" s="1"/>
  <c r="V12" i="9" s="1"/>
  <c r="G12" i="10" s="1"/>
  <c r="V12" i="10" s="1"/>
  <c r="G12" i="11" s="1"/>
  <c r="V12" i="11" s="1"/>
  <c r="G12" i="12" s="1"/>
  <c r="V12" i="12" s="1"/>
  <c r="U12" i="4"/>
  <c r="F12" i="5" s="1"/>
  <c r="U12" i="5" s="1"/>
  <c r="F12" i="6" s="1"/>
  <c r="U12" i="6" s="1"/>
  <c r="F12" i="7" s="1"/>
  <c r="U12" i="7" s="1"/>
  <c r="F12" i="8" s="1"/>
  <c r="U12" i="8" s="1"/>
  <c r="F12" i="9" s="1"/>
  <c r="U12" i="9" s="1"/>
  <c r="F12" i="10" s="1"/>
  <c r="U12" i="10" s="1"/>
  <c r="F12" i="11" s="1"/>
  <c r="U12" i="11" s="1"/>
  <c r="F12" i="12" s="1"/>
  <c r="U12" i="12" s="1"/>
  <c r="T12" i="4"/>
  <c r="H12" i="4"/>
  <c r="S12" i="4" s="1"/>
  <c r="AI11" i="4"/>
  <c r="AF11" i="4"/>
  <c r="AC11" i="4"/>
  <c r="Z11" i="4"/>
  <c r="V11" i="4"/>
  <c r="U11" i="4"/>
  <c r="F11" i="5" s="1"/>
  <c r="U11" i="5" s="1"/>
  <c r="F11" i="6" s="1"/>
  <c r="U11" i="6" s="1"/>
  <c r="F11" i="7" s="1"/>
  <c r="U11" i="7" s="1"/>
  <c r="F11" i="8" s="1"/>
  <c r="U11" i="8" s="1"/>
  <c r="F11" i="9" s="1"/>
  <c r="U11" i="9" s="1"/>
  <c r="F11" i="10" s="1"/>
  <c r="U11" i="10" s="1"/>
  <c r="F11" i="11" s="1"/>
  <c r="U11" i="11" s="1"/>
  <c r="F11" i="12" s="1"/>
  <c r="U11" i="12" s="1"/>
  <c r="T11" i="4"/>
  <c r="E11" i="5" s="1"/>
  <c r="T11" i="5" s="1"/>
  <c r="H11" i="4"/>
  <c r="S11" i="4" s="1"/>
  <c r="AI10" i="4"/>
  <c r="AF10" i="4"/>
  <c r="AC10" i="4"/>
  <c r="Z10" i="4"/>
  <c r="V10" i="4"/>
  <c r="G10" i="5" s="1"/>
  <c r="V10" i="5" s="1"/>
  <c r="G10" i="6" s="1"/>
  <c r="V10" i="6" s="1"/>
  <c r="G10" i="7" s="1"/>
  <c r="V10" i="7" s="1"/>
  <c r="G10" i="8" s="1"/>
  <c r="V10" i="8" s="1"/>
  <c r="G10" i="9" s="1"/>
  <c r="V10" i="9" s="1"/>
  <c r="G10" i="10" s="1"/>
  <c r="V10" i="10" s="1"/>
  <c r="G10" i="11" s="1"/>
  <c r="V10" i="11" s="1"/>
  <c r="G10" i="12" s="1"/>
  <c r="V10" i="12" s="1"/>
  <c r="U10" i="4"/>
  <c r="F10" i="5" s="1"/>
  <c r="U10" i="5" s="1"/>
  <c r="F10" i="6" s="1"/>
  <c r="U10" i="6" s="1"/>
  <c r="F10" i="7" s="1"/>
  <c r="U10" i="7" s="1"/>
  <c r="F10" i="8" s="1"/>
  <c r="U10" i="8" s="1"/>
  <c r="F10" i="9" s="1"/>
  <c r="U10" i="9" s="1"/>
  <c r="F10" i="10" s="1"/>
  <c r="U10" i="10" s="1"/>
  <c r="F10" i="11" s="1"/>
  <c r="U10" i="11" s="1"/>
  <c r="F10" i="12" s="1"/>
  <c r="U10" i="12" s="1"/>
  <c r="T10" i="4"/>
  <c r="E10" i="5" s="1"/>
  <c r="H10" i="4"/>
  <c r="S10" i="4" s="1"/>
  <c r="AI9" i="4"/>
  <c r="AF9" i="4"/>
  <c r="AC9" i="4"/>
  <c r="Z9" i="4"/>
  <c r="V9" i="4"/>
  <c r="G9" i="5" s="1"/>
  <c r="V9" i="5" s="1"/>
  <c r="G9" i="6" s="1"/>
  <c r="V9" i="6" s="1"/>
  <c r="G9" i="7" s="1"/>
  <c r="V9" i="7" s="1"/>
  <c r="G9" i="8" s="1"/>
  <c r="V9" i="8" s="1"/>
  <c r="G9" i="9" s="1"/>
  <c r="V9" i="9" s="1"/>
  <c r="G9" i="10" s="1"/>
  <c r="V9" i="10" s="1"/>
  <c r="G9" i="11" s="1"/>
  <c r="V9" i="11" s="1"/>
  <c r="G9" i="12" s="1"/>
  <c r="V9" i="12" s="1"/>
  <c r="U9" i="4"/>
  <c r="F9" i="5" s="1"/>
  <c r="U9" i="5" s="1"/>
  <c r="F9" i="6" s="1"/>
  <c r="U9" i="6" s="1"/>
  <c r="F9" i="7" s="1"/>
  <c r="U9" i="7" s="1"/>
  <c r="F9" i="8" s="1"/>
  <c r="U9" i="8" s="1"/>
  <c r="F9" i="9" s="1"/>
  <c r="U9" i="9" s="1"/>
  <c r="F9" i="10" s="1"/>
  <c r="U9" i="10" s="1"/>
  <c r="F9" i="11" s="1"/>
  <c r="U9" i="11" s="1"/>
  <c r="F9" i="12" s="1"/>
  <c r="U9" i="12" s="1"/>
  <c r="T9" i="4"/>
  <c r="E9" i="5" s="1"/>
  <c r="T9" i="5" s="1"/>
  <c r="H9" i="4"/>
  <c r="S9" i="4" s="1"/>
  <c r="AI8" i="4"/>
  <c r="AF8" i="4"/>
  <c r="AC8" i="4"/>
  <c r="Z8" i="4"/>
  <c r="V8" i="4"/>
  <c r="G8" i="5" s="1"/>
  <c r="V8" i="5" s="1"/>
  <c r="G8" i="6" s="1"/>
  <c r="V8" i="6" s="1"/>
  <c r="G8" i="7" s="1"/>
  <c r="V8" i="7" s="1"/>
  <c r="G8" i="8" s="1"/>
  <c r="V8" i="8" s="1"/>
  <c r="G8" i="9" s="1"/>
  <c r="V8" i="9" s="1"/>
  <c r="G8" i="10" s="1"/>
  <c r="V8" i="10" s="1"/>
  <c r="G8" i="11" s="1"/>
  <c r="V8" i="11" s="1"/>
  <c r="G8" i="12" s="1"/>
  <c r="V8" i="12" s="1"/>
  <c r="U8" i="4"/>
  <c r="F8" i="5" s="1"/>
  <c r="U8" i="5" s="1"/>
  <c r="F8" i="6" s="1"/>
  <c r="U8" i="6" s="1"/>
  <c r="F8" i="7" s="1"/>
  <c r="U8" i="7" s="1"/>
  <c r="F8" i="8" s="1"/>
  <c r="U8" i="8" s="1"/>
  <c r="F8" i="9" s="1"/>
  <c r="U8" i="9" s="1"/>
  <c r="F8" i="10" s="1"/>
  <c r="U8" i="10" s="1"/>
  <c r="F8" i="11" s="1"/>
  <c r="U8" i="11" s="1"/>
  <c r="F8" i="12" s="1"/>
  <c r="U8" i="12" s="1"/>
  <c r="F7" i="20" s="1" a="1"/>
  <c r="F7" i="20" s="1"/>
  <c r="Z7" i="20" s="1"/>
  <c r="F7" i="13" s="1" a="1"/>
  <c r="F7" i="13" s="1"/>
  <c r="T8" i="4"/>
  <c r="H8" i="4"/>
  <c r="S8" i="4" s="1"/>
  <c r="AI7" i="4"/>
  <c r="AF7" i="4"/>
  <c r="AC7" i="4"/>
  <c r="Z7" i="4"/>
  <c r="V7" i="4"/>
  <c r="G7" i="5" s="1"/>
  <c r="V7" i="5" s="1"/>
  <c r="G7" i="6" s="1"/>
  <c r="V7" i="6" s="1"/>
  <c r="G7" i="7" s="1"/>
  <c r="V7" i="7" s="1"/>
  <c r="G7" i="8" s="1"/>
  <c r="V7" i="8" s="1"/>
  <c r="G7" i="9" s="1"/>
  <c r="V7" i="9" s="1"/>
  <c r="G7" i="10" s="1"/>
  <c r="V7" i="10" s="1"/>
  <c r="G7" i="11" s="1"/>
  <c r="V7" i="11" s="1"/>
  <c r="G7" i="12" s="1"/>
  <c r="V7" i="12" s="1"/>
  <c r="U7" i="4"/>
  <c r="F7" i="5" s="1"/>
  <c r="U7" i="5" s="1"/>
  <c r="F7" i="6" s="1"/>
  <c r="U7" i="6" s="1"/>
  <c r="F7" i="7" s="1"/>
  <c r="U7" i="7" s="1"/>
  <c r="F7" i="8" s="1"/>
  <c r="U7" i="8" s="1"/>
  <c r="F7" i="9" s="1"/>
  <c r="U7" i="9" s="1"/>
  <c r="F7" i="10" s="1"/>
  <c r="U7" i="10" s="1"/>
  <c r="F7" i="11" s="1"/>
  <c r="U7" i="11" s="1"/>
  <c r="F7" i="12" s="1"/>
  <c r="U7" i="12" s="1"/>
  <c r="T7" i="4"/>
  <c r="E7" i="5" s="1"/>
  <c r="H7" i="4"/>
  <c r="S7" i="4" s="1"/>
  <c r="AI6" i="4"/>
  <c r="AF6" i="4"/>
  <c r="AC6" i="4"/>
  <c r="Z6" i="4"/>
  <c r="V6" i="4"/>
  <c r="G6" i="5" s="1"/>
  <c r="V6" i="5" s="1"/>
  <c r="G6" i="6" s="1"/>
  <c r="V6" i="6" s="1"/>
  <c r="G6" i="7" s="1"/>
  <c r="V6" i="7" s="1"/>
  <c r="G6" i="8" s="1"/>
  <c r="V6" i="8" s="1"/>
  <c r="G6" i="9" s="1"/>
  <c r="V6" i="9" s="1"/>
  <c r="G6" i="10" s="1"/>
  <c r="V6" i="10" s="1"/>
  <c r="G6" i="11" s="1"/>
  <c r="V6" i="11" s="1"/>
  <c r="G6" i="12" s="1"/>
  <c r="V6" i="12" s="1"/>
  <c r="U6" i="4"/>
  <c r="F6" i="5" s="1"/>
  <c r="U6" i="5" s="1"/>
  <c r="F6" i="6" s="1"/>
  <c r="U6" i="6" s="1"/>
  <c r="F6" i="7" s="1"/>
  <c r="U6" i="7" s="1"/>
  <c r="F6" i="8" s="1"/>
  <c r="U6" i="8" s="1"/>
  <c r="F6" i="9" s="1"/>
  <c r="U6" i="9" s="1"/>
  <c r="F6" i="10" s="1"/>
  <c r="U6" i="10" s="1"/>
  <c r="F6" i="11" s="1"/>
  <c r="U6" i="11" s="1"/>
  <c r="F6" i="12" s="1"/>
  <c r="U6" i="12" s="1"/>
  <c r="T6" i="4"/>
  <c r="H6" i="4"/>
  <c r="S6" i="4" s="1"/>
  <c r="AI5" i="4"/>
  <c r="AF5" i="4"/>
  <c r="AC5" i="4"/>
  <c r="Z5" i="4"/>
  <c r="V5" i="4"/>
  <c r="U5" i="4"/>
  <c r="F5" i="5" s="1"/>
  <c r="U5" i="5" s="1"/>
  <c r="F5" i="6" s="1"/>
  <c r="U5" i="6" s="1"/>
  <c r="F5" i="7" s="1"/>
  <c r="U5" i="7" s="1"/>
  <c r="F5" i="8" s="1"/>
  <c r="U5" i="8" s="1"/>
  <c r="F5" i="9" s="1"/>
  <c r="U5" i="9" s="1"/>
  <c r="F5" i="10" s="1"/>
  <c r="U5" i="10" s="1"/>
  <c r="F5" i="11" s="1"/>
  <c r="U5" i="11" s="1"/>
  <c r="F5" i="12" s="1"/>
  <c r="U5" i="12" s="1"/>
  <c r="T5" i="4"/>
  <c r="E5" i="5" s="1"/>
  <c r="H5" i="4"/>
  <c r="S5" i="4" s="1"/>
  <c r="AI4" i="4"/>
  <c r="AF4" i="4"/>
  <c r="AC4" i="4"/>
  <c r="Z4" i="4"/>
  <c r="V4" i="4"/>
  <c r="U4" i="4"/>
  <c r="T4" i="4"/>
  <c r="H4" i="4"/>
  <c r="S4" i="4" s="1"/>
  <c r="AI3" i="4"/>
  <c r="AF3" i="4"/>
  <c r="AC3" i="4"/>
  <c r="Z3" i="4"/>
  <c r="V3" i="4"/>
  <c r="U3" i="4"/>
  <c r="T3" i="4"/>
  <c r="H3" i="4"/>
  <c r="S3" i="4" s="1"/>
  <c r="C4" i="2"/>
  <c r="I193" i="15" l="1"/>
  <c r="I187" i="15"/>
  <c r="K187" i="15" s="1"/>
  <c r="I183" i="15"/>
  <c r="I181" i="15"/>
  <c r="I175" i="15"/>
  <c r="I169" i="15"/>
  <c r="I167" i="15"/>
  <c r="I163" i="15"/>
  <c r="I157" i="15"/>
  <c r="I139" i="15"/>
  <c r="I137" i="15"/>
  <c r="I135" i="15"/>
  <c r="I133" i="15"/>
  <c r="I127" i="15"/>
  <c r="I123" i="15"/>
  <c r="I121" i="15"/>
  <c r="I111" i="15"/>
  <c r="I109" i="15"/>
  <c r="I107" i="15"/>
  <c r="E90" i="13" a="1"/>
  <c r="E90" i="13" s="1"/>
  <c r="G90" i="13" s="1"/>
  <c r="G37" i="13"/>
  <c r="Z37" i="13"/>
  <c r="X37" i="13" s="1"/>
  <c r="Z3" i="13"/>
  <c r="Z49" i="13"/>
  <c r="Z60" i="13"/>
  <c r="Z73" i="13"/>
  <c r="Z90" i="13"/>
  <c r="I201" i="15"/>
  <c r="I185" i="15"/>
  <c r="I179" i="15"/>
  <c r="I173" i="15"/>
  <c r="I155" i="15"/>
  <c r="I149" i="15"/>
  <c r="I143" i="15"/>
  <c r="I131" i="15"/>
  <c r="I125" i="15"/>
  <c r="I119" i="15"/>
  <c r="I113" i="15"/>
  <c r="I101" i="15"/>
  <c r="I203" i="15"/>
  <c r="Y3" i="20"/>
  <c r="X3" i="20" s="1"/>
  <c r="I191" i="15"/>
  <c r="J191" i="15" s="1"/>
  <c r="I161" i="15"/>
  <c r="I171" i="15"/>
  <c r="I159" i="15"/>
  <c r="I147" i="15"/>
  <c r="F29" i="20"/>
  <c r="Z29" i="20" s="1"/>
  <c r="F29" i="13" s="1" a="1"/>
  <c r="F29" i="13" s="1"/>
  <c r="AA89" i="20"/>
  <c r="X89" i="20"/>
  <c r="F80" i="20" a="1"/>
  <c r="F80" i="20" s="1"/>
  <c r="Z80" i="20" s="1"/>
  <c r="F19" i="20" a="1"/>
  <c r="F19" i="20" s="1"/>
  <c r="Z19" i="20" s="1"/>
  <c r="F19" i="13" s="1" a="1"/>
  <c r="F19" i="13" s="1"/>
  <c r="F147" i="20" a="1"/>
  <c r="F147" i="20" s="1"/>
  <c r="Z147" i="20" s="1"/>
  <c r="F151" i="20" a="1"/>
  <c r="F151" i="20" s="1"/>
  <c r="Z151" i="20" s="1"/>
  <c r="F154" i="20" a="1"/>
  <c r="F154" i="20" s="1"/>
  <c r="Z154" i="20" s="1"/>
  <c r="F155" i="13" s="1" a="1"/>
  <c r="F155" i="13" s="1"/>
  <c r="F166" i="20" a="1"/>
  <c r="F166" i="20" s="1"/>
  <c r="Z166" i="20" s="1"/>
  <c r="F167" i="13" s="1" a="1"/>
  <c r="F167" i="13" s="1"/>
  <c r="F170" i="20" a="1"/>
  <c r="F170" i="20" s="1"/>
  <c r="Z170" i="20" s="1"/>
  <c r="F191" i="20" a="1"/>
  <c r="F191" i="20" s="1"/>
  <c r="F195" i="20" a="1"/>
  <c r="F195" i="20" s="1"/>
  <c r="Z195" i="20" s="1"/>
  <c r="F65" i="20" a="1"/>
  <c r="F65" i="20" s="1"/>
  <c r="Z65" i="20" s="1"/>
  <c r="F66" i="13" s="1" a="1"/>
  <c r="F66" i="13" s="1"/>
  <c r="F74" i="20" a="1"/>
  <c r="F74" i="20" s="1"/>
  <c r="Z74" i="20" s="1"/>
  <c r="F75" i="13" s="1" a="1"/>
  <c r="F75" i="13" s="1"/>
  <c r="Z75" i="13" s="1"/>
  <c r="F88" i="20" a="1"/>
  <c r="F88" i="20" s="1"/>
  <c r="F131" i="20" a="1"/>
  <c r="F131" i="20" s="1"/>
  <c r="Z131" i="20" s="1"/>
  <c r="F13" i="20" a="1"/>
  <c r="F13" i="20" s="1"/>
  <c r="Z13" i="20" s="1"/>
  <c r="F49" i="20" a="1"/>
  <c r="F49" i="20" s="1"/>
  <c r="Z49" i="20" s="1"/>
  <c r="F63" i="20" a="1"/>
  <c r="F63" i="20" s="1"/>
  <c r="Y72" i="20"/>
  <c r="F92" i="20" a="1"/>
  <c r="F92" i="20" s="1"/>
  <c r="Z92" i="20" s="1"/>
  <c r="F96" i="20" a="1"/>
  <c r="F96" i="20" s="1"/>
  <c r="Z96" i="20" s="1"/>
  <c r="F99" i="20" a="1"/>
  <c r="F99" i="20" s="1"/>
  <c r="Z99" i="20" s="1"/>
  <c r="F103" i="20" a="1"/>
  <c r="F103" i="20" s="1"/>
  <c r="Z103" i="20" s="1"/>
  <c r="F113" i="20" a="1"/>
  <c r="F113" i="20" s="1"/>
  <c r="Z113" i="20" s="1"/>
  <c r="F114" i="13" s="1" a="1"/>
  <c r="F114" i="13" s="1"/>
  <c r="F137" i="20" a="1"/>
  <c r="F137" i="20" s="1"/>
  <c r="Z137" i="20" s="1"/>
  <c r="F140" i="20" a="1"/>
  <c r="F140" i="20" s="1"/>
  <c r="Z140" i="20" s="1"/>
  <c r="F143" i="20" a="1"/>
  <c r="F143" i="20" s="1"/>
  <c r="Z143" i="20" s="1"/>
  <c r="F150" i="20" a="1"/>
  <c r="F150" i="20" s="1"/>
  <c r="Z150" i="20" s="1"/>
  <c r="F162" i="20" a="1"/>
  <c r="F162" i="20" s="1"/>
  <c r="Z162" i="20" s="1"/>
  <c r="F178" i="20" a="1"/>
  <c r="F178" i="20" s="1"/>
  <c r="Z178" i="20" s="1"/>
  <c r="F179" i="13" s="1" a="1"/>
  <c r="F179" i="13" s="1"/>
  <c r="F182" i="20" a="1"/>
  <c r="F182" i="20" s="1"/>
  <c r="Y59" i="20"/>
  <c r="F8" i="20" a="1"/>
  <c r="F8" i="20" s="1"/>
  <c r="Z8" i="20" s="1"/>
  <c r="F24" i="20" a="1"/>
  <c r="F24" i="20" s="1"/>
  <c r="Z24" i="20" s="1"/>
  <c r="F31" i="20" a="1"/>
  <c r="F31" i="20" s="1"/>
  <c r="Z31" i="20" s="1"/>
  <c r="F43" i="20" a="1"/>
  <c r="F43" i="20" s="1"/>
  <c r="Z43" i="20" s="1"/>
  <c r="F44" i="13" s="1" a="1"/>
  <c r="F44" i="13" s="1"/>
  <c r="F55" i="20" a="1"/>
  <c r="F55" i="20" s="1"/>
  <c r="Z55" i="20" s="1"/>
  <c r="F67" i="20" a="1"/>
  <c r="F67" i="20" s="1"/>
  <c r="Z67" i="20" s="1"/>
  <c r="F81" i="20" a="1"/>
  <c r="F81" i="20" s="1"/>
  <c r="Z81" i="20" s="1"/>
  <c r="F84" i="20" a="1"/>
  <c r="F84" i="20" s="1"/>
  <c r="Z84" i="20" s="1"/>
  <c r="F87" i="20" a="1"/>
  <c r="F87" i="20" s="1"/>
  <c r="F146" i="20" a="1"/>
  <c r="F146" i="20" s="1"/>
  <c r="Z146" i="20" s="1"/>
  <c r="F174" i="20" a="1"/>
  <c r="F174" i="20" s="1"/>
  <c r="Z174" i="20" s="1"/>
  <c r="F190" i="20" a="1"/>
  <c r="F190" i="20" s="1"/>
  <c r="Z190" i="20" s="1"/>
  <c r="F6" i="20" a="1"/>
  <c r="F6" i="20" s="1"/>
  <c r="Z6" i="20" s="1"/>
  <c r="F21" i="20" a="1"/>
  <c r="F21" i="20" s="1"/>
  <c r="Z21" i="20" s="1"/>
  <c r="F30" i="20" a="1"/>
  <c r="F30" i="20" s="1"/>
  <c r="Z30" i="20" s="1"/>
  <c r="F35" i="20" a="1"/>
  <c r="F35" i="20" s="1"/>
  <c r="Z35" i="20" s="1"/>
  <c r="F35" i="13" s="1" a="1"/>
  <c r="F35" i="13" s="1"/>
  <c r="F54" i="20" a="1"/>
  <c r="F54" i="20" s="1"/>
  <c r="Z54" i="20" s="1"/>
  <c r="F58" i="20" a="1"/>
  <c r="F58" i="20" s="1"/>
  <c r="Z58" i="20" s="1"/>
  <c r="F59" i="13" s="1" a="1"/>
  <c r="F59" i="13" s="1"/>
  <c r="F62" i="20" a="1"/>
  <c r="F62" i="20" s="1"/>
  <c r="Z62" i="20" s="1"/>
  <c r="F66" i="20" a="1"/>
  <c r="F66" i="20" s="1"/>
  <c r="Z66" i="20" s="1"/>
  <c r="F77" i="20" a="1"/>
  <c r="F77" i="20" s="1"/>
  <c r="Z77" i="20" s="1"/>
  <c r="F78" i="13" s="1" a="1"/>
  <c r="F78" i="13" s="1"/>
  <c r="Z78" i="13" s="1"/>
  <c r="F109" i="20" a="1"/>
  <c r="F109" i="20" s="1"/>
  <c r="Z109" i="20" s="1"/>
  <c r="F110" i="13" s="1" a="1"/>
  <c r="F110" i="13" s="1"/>
  <c r="F134" i="20" a="1"/>
  <c r="F134" i="20" s="1"/>
  <c r="Z134" i="20" s="1"/>
  <c r="F135" i="13" s="1" a="1"/>
  <c r="F135" i="13" s="1"/>
  <c r="F158" i="20" a="1"/>
  <c r="F158" i="20" s="1"/>
  <c r="F161" i="20" a="1"/>
  <c r="F161" i="20" s="1"/>
  <c r="Z161" i="20" s="1"/>
  <c r="F169" i="20" a="1"/>
  <c r="F169" i="20" s="1"/>
  <c r="Z169" i="20" s="1"/>
  <c r="F181" i="20" a="1"/>
  <c r="F181" i="20" s="1"/>
  <c r="Z181" i="20" s="1"/>
  <c r="F187" i="20" a="1"/>
  <c r="F187" i="20" s="1"/>
  <c r="Z187" i="20" s="1"/>
  <c r="F188" i="13" s="1" a="1"/>
  <c r="F188" i="13" s="1"/>
  <c r="F194" i="20" a="1"/>
  <c r="F194" i="20" s="1"/>
  <c r="Z194" i="20" s="1"/>
  <c r="F10" i="20" a="1"/>
  <c r="F10" i="20" s="1"/>
  <c r="Z10" i="20" s="1"/>
  <c r="F27" i="20" a="1"/>
  <c r="F27" i="20" s="1"/>
  <c r="Z27" i="20" s="1"/>
  <c r="F34" i="20" a="1"/>
  <c r="F34" i="20" s="1"/>
  <c r="Z34" i="20" s="1"/>
  <c r="F40" i="20" a="1"/>
  <c r="F40" i="20" s="1"/>
  <c r="Z40" i="20" s="1"/>
  <c r="F51" i="20" a="1"/>
  <c r="F51" i="20" s="1"/>
  <c r="Z51" i="20" s="1"/>
  <c r="F91" i="20" a="1"/>
  <c r="F91" i="20" s="1"/>
  <c r="Z91" i="20" s="1"/>
  <c r="F115" i="20" a="1"/>
  <c r="F115" i="20" s="1"/>
  <c r="Z115" i="20" s="1"/>
  <c r="F118" i="20" a="1"/>
  <c r="F118" i="20" s="1"/>
  <c r="Z118" i="20" s="1"/>
  <c r="F121" i="20" a="1"/>
  <c r="F121" i="20" s="1"/>
  <c r="Z121" i="20" s="1"/>
  <c r="F124" i="20" a="1"/>
  <c r="F124" i="20" s="1"/>
  <c r="Z124" i="20" s="1"/>
  <c r="F130" i="20" a="1"/>
  <c r="F130" i="20" s="1"/>
  <c r="Z130" i="20" s="1"/>
  <c r="F131" i="13" s="1" a="1"/>
  <c r="F131" i="13" s="1"/>
  <c r="F153" i="20" a="1"/>
  <c r="F153" i="20" s="1"/>
  <c r="Z153" i="20" s="1"/>
  <c r="F165" i="20" a="1"/>
  <c r="F165" i="20" s="1"/>
  <c r="Z165" i="20" s="1"/>
  <c r="F177" i="20" a="1"/>
  <c r="F177" i="20" s="1"/>
  <c r="Z177" i="20" s="1"/>
  <c r="F197" i="20" a="1"/>
  <c r="F197" i="20" s="1"/>
  <c r="Z197" i="20" s="1"/>
  <c r="F5" i="20" a="1"/>
  <c r="F5" i="20" s="1"/>
  <c r="Z5" i="20" s="1"/>
  <c r="F15" i="20" a="1"/>
  <c r="F15" i="20" s="1"/>
  <c r="Z15" i="20" s="1"/>
  <c r="F15" i="13" s="1" a="1"/>
  <c r="F15" i="13" s="1"/>
  <c r="F18" i="20" a="1"/>
  <c r="F18" i="20" s="1"/>
  <c r="Z18" i="20" s="1"/>
  <c r="F45" i="20" a="1"/>
  <c r="F45" i="20" s="1"/>
  <c r="Z45" i="20" s="1"/>
  <c r="F73" i="20" a="1"/>
  <c r="F73" i="20" s="1"/>
  <c r="Z73" i="20" s="1"/>
  <c r="F95" i="20" a="1"/>
  <c r="F95" i="20" s="1"/>
  <c r="Z95" i="20" s="1"/>
  <c r="F98" i="20" a="1"/>
  <c r="F98" i="20" s="1"/>
  <c r="Z98" i="20" s="1"/>
  <c r="F102" i="20" a="1"/>
  <c r="F102" i="20" s="1"/>
  <c r="Z102" i="20" s="1"/>
  <c r="F103" i="13" s="1" a="1"/>
  <c r="F103" i="13" s="1"/>
  <c r="F105" i="20" a="1"/>
  <c r="F105" i="20" s="1"/>
  <c r="Z105" i="20" s="1"/>
  <c r="F127" i="20" a="1"/>
  <c r="F127" i="20" s="1"/>
  <c r="Z127" i="20" s="1"/>
  <c r="F145" i="20" a="1"/>
  <c r="F145" i="20" s="1"/>
  <c r="Z145" i="20" s="1"/>
  <c r="F157" i="20" a="1"/>
  <c r="F157" i="20" s="1"/>
  <c r="Z157" i="20" s="1"/>
  <c r="F186" i="20" a="1"/>
  <c r="F186" i="20" s="1"/>
  <c r="F12" i="20" a="1"/>
  <c r="F12" i="20" s="1"/>
  <c r="Z12" i="20" s="1"/>
  <c r="F12" i="13" s="1" a="1"/>
  <c r="F12" i="13" s="1"/>
  <c r="F37" i="20" a="1"/>
  <c r="F37" i="20" s="1"/>
  <c r="Z37" i="20" s="1"/>
  <c r="F83" i="20" a="1"/>
  <c r="F83" i="20" s="1"/>
  <c r="Z83" i="20" s="1"/>
  <c r="F17" i="20" a="1"/>
  <c r="F17" i="20" s="1"/>
  <c r="Z17" i="20" s="1"/>
  <c r="F26" i="20" a="1"/>
  <c r="F26" i="20" s="1"/>
  <c r="Z26" i="20" s="1"/>
  <c r="F47" i="20" a="1"/>
  <c r="F47" i="20" s="1"/>
  <c r="Z47" i="20" s="1"/>
  <c r="F50" i="20" a="1"/>
  <c r="F50" i="20" s="1"/>
  <c r="Z50" i="20" s="1"/>
  <c r="F51" i="13" s="1" a="1"/>
  <c r="F51" i="13" s="1"/>
  <c r="Z51" i="13" s="1"/>
  <c r="F57" i="20" a="1"/>
  <c r="F57" i="20" s="1"/>
  <c r="Z57" i="20" s="1"/>
  <c r="F61" i="20" a="1"/>
  <c r="F61" i="20" s="1"/>
  <c r="Z61" i="20" s="1"/>
  <c r="F79" i="20" a="1"/>
  <c r="F79" i="20" s="1"/>
  <c r="Z79" i="20" s="1"/>
  <c r="F97" i="20" a="1"/>
  <c r="F97" i="20" s="1"/>
  <c r="Z97" i="20" s="1"/>
  <c r="F111" i="20" a="1"/>
  <c r="F111" i="20" s="1"/>
  <c r="Z111" i="20" s="1"/>
  <c r="F123" i="20" a="1"/>
  <c r="F123" i="20" s="1"/>
  <c r="Z123" i="20" s="1"/>
  <c r="F126" i="20" a="1"/>
  <c r="F126" i="20" s="1"/>
  <c r="Z126" i="20" s="1"/>
  <c r="F141" i="20" a="1"/>
  <c r="F141" i="20" s="1"/>
  <c r="Z141" i="20" s="1"/>
  <c r="F142" i="13" s="1" a="1"/>
  <c r="F142" i="13" s="1"/>
  <c r="F148" i="20" a="1"/>
  <c r="F148" i="20" s="1"/>
  <c r="Z148" i="20" s="1"/>
  <c r="F152" i="20" a="1"/>
  <c r="F152" i="20" s="1"/>
  <c r="Z152" i="20" s="1"/>
  <c r="F176" i="20" a="1"/>
  <c r="F176" i="20" s="1"/>
  <c r="Z176" i="20" s="1"/>
  <c r="F184" i="20" a="1"/>
  <c r="F184" i="20" s="1"/>
  <c r="Z184" i="20" s="1"/>
  <c r="F185" i="13" s="1" a="1"/>
  <c r="F185" i="13" s="1"/>
  <c r="F129" i="20" a="1"/>
  <c r="F129" i="20" s="1"/>
  <c r="Z129" i="20" s="1"/>
  <c r="F9" i="20" a="1"/>
  <c r="F9" i="20" s="1"/>
  <c r="G9" i="20" s="1"/>
  <c r="F39" i="20" a="1"/>
  <c r="F39" i="20" s="1"/>
  <c r="Z39" i="20" s="1"/>
  <c r="F75" i="20" a="1"/>
  <c r="F75" i="20" s="1"/>
  <c r="Z75" i="20" s="1"/>
  <c r="F101" i="20" a="1"/>
  <c r="F101" i="20" s="1"/>
  <c r="Z101" i="20" s="1"/>
  <c r="F104" i="20" a="1"/>
  <c r="F104" i="20" s="1"/>
  <c r="F114" i="20" a="1"/>
  <c r="F114" i="20" s="1"/>
  <c r="Z114" i="20" s="1"/>
  <c r="F120" i="20" a="1"/>
  <c r="F120" i="20" s="1"/>
  <c r="Z120" i="20" s="1"/>
  <c r="F138" i="20" a="1"/>
  <c r="F138" i="20" s="1"/>
  <c r="Z138" i="20" s="1"/>
  <c r="F144" i="20" a="1"/>
  <c r="F144" i="20" s="1"/>
  <c r="Z144" i="20" s="1"/>
  <c r="F175" i="20" a="1"/>
  <c r="F175" i="20" s="1"/>
  <c r="Z175" i="20" s="1"/>
  <c r="F4" i="20" a="1"/>
  <c r="F4" i="20" s="1"/>
  <c r="Z4" i="20" s="1"/>
  <c r="F4" i="13" s="1" a="1"/>
  <c r="F4" i="13" s="1"/>
  <c r="Z4" i="13" s="1"/>
  <c r="F14" i="20" a="1"/>
  <c r="F14" i="20" s="1"/>
  <c r="Z14" i="20" s="1"/>
  <c r="F32" i="20" a="1"/>
  <c r="F32" i="20" s="1"/>
  <c r="Z32" i="20" s="1"/>
  <c r="F36" i="20" a="1"/>
  <c r="F36" i="20" s="1"/>
  <c r="Z36" i="20" s="1"/>
  <c r="Y48" i="20"/>
  <c r="F60" i="20" a="1"/>
  <c r="F60" i="20" s="1"/>
  <c r="F64" i="20" a="1"/>
  <c r="F64" i="20" s="1"/>
  <c r="Z64" i="20" s="1"/>
  <c r="F65" i="13" s="1" a="1"/>
  <c r="F65" i="13" s="1"/>
  <c r="Z65" i="13" s="1"/>
  <c r="F100" i="20" a="1"/>
  <c r="F100" i="20" s="1"/>
  <c r="Z100" i="20" s="1"/>
  <c r="F107" i="20" a="1"/>
  <c r="F107" i="20" s="1"/>
  <c r="Z107" i="20" s="1"/>
  <c r="F132" i="20" a="1"/>
  <c r="F132" i="20" s="1"/>
  <c r="Z132" i="20" s="1"/>
  <c r="F135" i="20" a="1"/>
  <c r="F135" i="20" s="1"/>
  <c r="Z135" i="20" s="1"/>
  <c r="F163" i="20" a="1"/>
  <c r="F163" i="20" s="1"/>
  <c r="Z163" i="20" s="1"/>
  <c r="F179" i="20" a="1"/>
  <c r="F179" i="20" s="1"/>
  <c r="Z179" i="20" s="1"/>
  <c r="F183" i="20" a="1"/>
  <c r="F183" i="20" s="1"/>
  <c r="Z183" i="20" s="1"/>
  <c r="F33" i="20" a="1"/>
  <c r="F33" i="20" s="1"/>
  <c r="F11" i="20" a="1"/>
  <c r="F11" i="20" s="1"/>
  <c r="Z11" i="20" s="1"/>
  <c r="F22" i="20" a="1"/>
  <c r="F22" i="20" s="1"/>
  <c r="Z22" i="20" s="1"/>
  <c r="F25" i="20" a="1"/>
  <c r="F25" i="20" s="1"/>
  <c r="Z25" i="20" s="1"/>
  <c r="F41" i="20" a="1"/>
  <c r="F41" i="20" s="1"/>
  <c r="Z41" i="20" s="1"/>
  <c r="F52" i="20" a="1"/>
  <c r="F52" i="20" s="1"/>
  <c r="Z52" i="20" s="1"/>
  <c r="F68" i="20" a="1"/>
  <c r="F68" i="20" s="1"/>
  <c r="Z68" i="20" s="1"/>
  <c r="F71" i="20" a="1"/>
  <c r="F71" i="20" s="1"/>
  <c r="Z71" i="20" s="1"/>
  <c r="F82" i="20" a="1"/>
  <c r="F82" i="20" s="1"/>
  <c r="Z82" i="20" s="1"/>
  <c r="F93" i="20" a="1"/>
  <c r="F93" i="20" s="1"/>
  <c r="Z93" i="20" s="1"/>
  <c r="F110" i="20" a="1"/>
  <c r="F110" i="20" s="1"/>
  <c r="Z110" i="20" s="1"/>
  <c r="F155" i="20" a="1"/>
  <c r="F155" i="20" s="1"/>
  <c r="Z155" i="20" s="1"/>
  <c r="F159" i="20" a="1"/>
  <c r="F159" i="20" s="1"/>
  <c r="Z159" i="20" s="1"/>
  <c r="F167" i="20" a="1"/>
  <c r="F167" i="20" s="1"/>
  <c r="Z167" i="20" s="1"/>
  <c r="F171" i="20" a="1"/>
  <c r="F171" i="20" s="1"/>
  <c r="Z171" i="20" s="1"/>
  <c r="F188" i="20" a="1"/>
  <c r="F188" i="20" s="1"/>
  <c r="Z188" i="20" s="1"/>
  <c r="F192" i="20" a="1"/>
  <c r="F192" i="20" s="1"/>
  <c r="Z192" i="20" s="1"/>
  <c r="I188" i="15"/>
  <c r="I99" i="15"/>
  <c r="I97" i="15"/>
  <c r="I95" i="15"/>
  <c r="I91" i="15"/>
  <c r="I89" i="15"/>
  <c r="I87" i="15"/>
  <c r="I85" i="15"/>
  <c r="I83" i="15"/>
  <c r="I79" i="15"/>
  <c r="I77" i="15"/>
  <c r="I75" i="15"/>
  <c r="I73" i="15"/>
  <c r="I71" i="15"/>
  <c r="I67" i="15"/>
  <c r="I65" i="15"/>
  <c r="I63" i="15"/>
  <c r="I61" i="15"/>
  <c r="I59" i="15"/>
  <c r="I55" i="15"/>
  <c r="I53" i="15"/>
  <c r="I51" i="15"/>
  <c r="I49" i="15"/>
  <c r="I47" i="15"/>
  <c r="I43" i="15"/>
  <c r="I41" i="15"/>
  <c r="I39" i="15"/>
  <c r="I37" i="15"/>
  <c r="I35" i="15"/>
  <c r="I31" i="15"/>
  <c r="I29" i="15"/>
  <c r="I19" i="15"/>
  <c r="I17" i="15"/>
  <c r="Z42" i="20"/>
  <c r="Z108" i="20"/>
  <c r="Z139" i="20"/>
  <c r="Z193" i="20"/>
  <c r="Z56" i="20"/>
  <c r="Z63" i="20"/>
  <c r="Z182" i="20"/>
  <c r="Z172" i="20"/>
  <c r="AP9" i="20"/>
  <c r="Y9" i="20" s="1"/>
  <c r="E9" i="13" s="1" a="1"/>
  <c r="E9" i="13" s="1"/>
  <c r="X59" i="20"/>
  <c r="Z158" i="20"/>
  <c r="Z88" i="20"/>
  <c r="X72" i="20"/>
  <c r="W199" i="20"/>
  <c r="I186" i="15"/>
  <c r="K186" i="15" s="1"/>
  <c r="I176" i="15"/>
  <c r="I164" i="15"/>
  <c r="I152" i="15"/>
  <c r="I140" i="15"/>
  <c r="I128" i="15"/>
  <c r="I116" i="15"/>
  <c r="I92" i="15"/>
  <c r="I80" i="15"/>
  <c r="I68" i="15"/>
  <c r="I56" i="15"/>
  <c r="I44" i="15"/>
  <c r="I32" i="15"/>
  <c r="I20" i="15"/>
  <c r="W88" i="5"/>
  <c r="W129" i="5"/>
  <c r="W17" i="5"/>
  <c r="W50" i="5"/>
  <c r="W61" i="5"/>
  <c r="W64" i="5"/>
  <c r="W69" i="5"/>
  <c r="W94" i="5"/>
  <c r="W99" i="5"/>
  <c r="Z29" i="13"/>
  <c r="I189" i="15"/>
  <c r="K189" i="15" s="1"/>
  <c r="I104" i="15"/>
  <c r="I200" i="15"/>
  <c r="K200" i="15" s="1"/>
  <c r="I184" i="15"/>
  <c r="I182" i="15"/>
  <c r="K182" i="15" s="1"/>
  <c r="I180" i="15"/>
  <c r="K180" i="15" s="1"/>
  <c r="I178" i="15"/>
  <c r="I174" i="15"/>
  <c r="K174" i="15" s="1"/>
  <c r="I172" i="15"/>
  <c r="I170" i="15"/>
  <c r="I168" i="15"/>
  <c r="I166" i="15"/>
  <c r="I162" i="15"/>
  <c r="I160" i="15"/>
  <c r="I158" i="15"/>
  <c r="I156" i="15"/>
  <c r="I154" i="15"/>
  <c r="I150" i="15"/>
  <c r="I148" i="15"/>
  <c r="K148" i="15" s="1"/>
  <c r="I146" i="15"/>
  <c r="I144" i="15"/>
  <c r="I142" i="15"/>
  <c r="I138" i="15"/>
  <c r="I136" i="15"/>
  <c r="I134" i="15"/>
  <c r="I132" i="15"/>
  <c r="I130" i="15"/>
  <c r="I126" i="15"/>
  <c r="I124" i="15"/>
  <c r="I122" i="15"/>
  <c r="I120" i="15"/>
  <c r="I118" i="15"/>
  <c r="I114" i="15"/>
  <c r="I112" i="15"/>
  <c r="I110" i="15"/>
  <c r="I108" i="15"/>
  <c r="I106" i="15"/>
  <c r="I102" i="15"/>
  <c r="I100" i="15"/>
  <c r="I98" i="15"/>
  <c r="I96" i="15"/>
  <c r="I94" i="15"/>
  <c r="I90" i="15"/>
  <c r="I88" i="15"/>
  <c r="I86" i="15"/>
  <c r="I84" i="15"/>
  <c r="I82" i="15"/>
  <c r="I78" i="15"/>
  <c r="I76" i="15"/>
  <c r="I74" i="15"/>
  <c r="I72" i="15"/>
  <c r="I70" i="15"/>
  <c r="I66" i="15"/>
  <c r="I64" i="15"/>
  <c r="I62" i="15"/>
  <c r="K62" i="15" s="1"/>
  <c r="I60" i="15"/>
  <c r="I58" i="15"/>
  <c r="I54" i="15"/>
  <c r="I52" i="15"/>
  <c r="I50" i="15"/>
  <c r="I48" i="15"/>
  <c r="I46" i="15"/>
  <c r="I42" i="15"/>
  <c r="I40" i="15"/>
  <c r="I38" i="15"/>
  <c r="I36" i="15"/>
  <c r="I34" i="15"/>
  <c r="I30" i="15"/>
  <c r="I28" i="15"/>
  <c r="J28" i="15" s="1"/>
  <c r="I26" i="15"/>
  <c r="I24" i="15"/>
  <c r="J24" i="15" s="1"/>
  <c r="I22" i="15"/>
  <c r="I18" i="15"/>
  <c r="I16" i="15"/>
  <c r="I14" i="15"/>
  <c r="I12" i="15"/>
  <c r="I204" i="15"/>
  <c r="I202" i="15"/>
  <c r="I198" i="15"/>
  <c r="K198" i="15" s="1"/>
  <c r="I196" i="15"/>
  <c r="I194" i="15"/>
  <c r="I192" i="15"/>
  <c r="K192" i="15" s="1"/>
  <c r="I190" i="15"/>
  <c r="I177" i="15"/>
  <c r="I165" i="15"/>
  <c r="I153" i="15"/>
  <c r="K153" i="15" s="1"/>
  <c r="I141" i="15"/>
  <c r="I129" i="15"/>
  <c r="I117" i="15"/>
  <c r="I105" i="15"/>
  <c r="I93" i="15"/>
  <c r="I81" i="15"/>
  <c r="I69" i="15"/>
  <c r="I57" i="15"/>
  <c r="I45" i="15"/>
  <c r="I33" i="15"/>
  <c r="I27" i="15"/>
  <c r="I25" i="15"/>
  <c r="I23" i="15"/>
  <c r="I21" i="15"/>
  <c r="I15" i="15"/>
  <c r="I13" i="15"/>
  <c r="I11" i="15"/>
  <c r="I10" i="15"/>
  <c r="K10" i="15" s="1"/>
  <c r="I199" i="15"/>
  <c r="I197" i="15"/>
  <c r="J197" i="15" s="1"/>
  <c r="W50" i="7"/>
  <c r="W39" i="4"/>
  <c r="W54" i="4"/>
  <c r="W72" i="4"/>
  <c r="W78" i="4"/>
  <c r="H55" i="7"/>
  <c r="S55" i="7" s="1"/>
  <c r="W183" i="4"/>
  <c r="W192" i="4"/>
  <c r="W195" i="4"/>
  <c r="W74" i="5"/>
  <c r="W104" i="5"/>
  <c r="W106" i="5"/>
  <c r="W124" i="5"/>
  <c r="W68" i="4"/>
  <c r="W161" i="5"/>
  <c r="W134" i="4"/>
  <c r="W73" i="4"/>
  <c r="W103" i="4"/>
  <c r="W130" i="4"/>
  <c r="W133" i="4"/>
  <c r="W69" i="6"/>
  <c r="W128" i="11"/>
  <c r="W76" i="4"/>
  <c r="W69" i="4"/>
  <c r="H166" i="6"/>
  <c r="S166" i="6" s="1"/>
  <c r="W100" i="7"/>
  <c r="W144" i="5"/>
  <c r="W29" i="4"/>
  <c r="W175" i="4"/>
  <c r="W94" i="4"/>
  <c r="W40" i="4"/>
  <c r="W46" i="4"/>
  <c r="W116" i="4"/>
  <c r="W28" i="5"/>
  <c r="W143" i="4"/>
  <c r="W97" i="4"/>
  <c r="W118" i="4"/>
  <c r="Z103" i="13"/>
  <c r="W64" i="4"/>
  <c r="W35" i="4"/>
  <c r="W67" i="4"/>
  <c r="W77" i="4"/>
  <c r="W117" i="4"/>
  <c r="W139" i="4"/>
  <c r="H142" i="5"/>
  <c r="S142" i="5" s="1"/>
  <c r="W149" i="4"/>
  <c r="W178" i="4"/>
  <c r="W181" i="4"/>
  <c r="W130" i="5"/>
  <c r="W94" i="6"/>
  <c r="W185" i="4"/>
  <c r="W184" i="4"/>
  <c r="W128" i="6"/>
  <c r="E196" i="7"/>
  <c r="H196" i="7" s="1"/>
  <c r="S196" i="7" s="1"/>
  <c r="W196" i="6"/>
  <c r="Z131" i="13"/>
  <c r="W44" i="4"/>
  <c r="W120" i="4"/>
  <c r="W123" i="4"/>
  <c r="W126" i="4"/>
  <c r="W136" i="4"/>
  <c r="W28" i="4"/>
  <c r="W31" i="4"/>
  <c r="W95" i="4"/>
  <c r="Z59" i="13"/>
  <c r="W197" i="4"/>
  <c r="E192" i="5"/>
  <c r="H192" i="5" s="1"/>
  <c r="S192" i="5" s="1"/>
  <c r="Z137" i="13"/>
  <c r="K201" i="15"/>
  <c r="Z66" i="13"/>
  <c r="W121" i="4"/>
  <c r="W5" i="4"/>
  <c r="Z7" i="13"/>
  <c r="W27" i="4"/>
  <c r="W47" i="4"/>
  <c r="W141" i="4"/>
  <c r="W183" i="5"/>
  <c r="W3" i="11"/>
  <c r="Z77" i="13"/>
  <c r="Z181" i="13"/>
  <c r="W53" i="4"/>
  <c r="W85" i="4"/>
  <c r="W88" i="4"/>
  <c r="W186" i="4"/>
  <c r="W66" i="5"/>
  <c r="W196" i="5"/>
  <c r="W3" i="7"/>
  <c r="Z107" i="13"/>
  <c r="W200" i="13"/>
  <c r="W112" i="4"/>
  <c r="W125" i="4"/>
  <c r="W55" i="5"/>
  <c r="F112" i="5"/>
  <c r="U112" i="5" s="1"/>
  <c r="F112" i="6" s="1"/>
  <c r="U112" i="6" s="1"/>
  <c r="F112" i="7" s="1"/>
  <c r="U112" i="7" s="1"/>
  <c r="F112" i="8" s="1"/>
  <c r="U112" i="8" s="1"/>
  <c r="F112" i="9" s="1"/>
  <c r="U112" i="9" s="1"/>
  <c r="F112" i="10" s="1"/>
  <c r="U112" i="10" s="1"/>
  <c r="F112" i="11" s="1"/>
  <c r="U112" i="11" s="1"/>
  <c r="F112" i="12" s="1"/>
  <c r="U112" i="12" s="1"/>
  <c r="W155" i="5"/>
  <c r="Z95" i="13"/>
  <c r="W100" i="6"/>
  <c r="W127" i="6"/>
  <c r="W160" i="4"/>
  <c r="W4" i="4"/>
  <c r="W99" i="4"/>
  <c r="W106" i="4"/>
  <c r="W140" i="4"/>
  <c r="W131" i="5"/>
  <c r="W134" i="5"/>
  <c r="W140" i="5"/>
  <c r="W155" i="7"/>
  <c r="W191" i="11"/>
  <c r="W59" i="4"/>
  <c r="B12" i="2"/>
  <c r="W7" i="4"/>
  <c r="H16" i="5"/>
  <c r="S16" i="5" s="1"/>
  <c r="Z20" i="13"/>
  <c r="W58" i="4"/>
  <c r="W61" i="4"/>
  <c r="W71" i="4"/>
  <c r="W166" i="4"/>
  <c r="W65" i="5"/>
  <c r="W195" i="5"/>
  <c r="Z188" i="13"/>
  <c r="Z155" i="13"/>
  <c r="Z118" i="13"/>
  <c r="W155" i="12"/>
  <c r="W115" i="6"/>
  <c r="Z86" i="13"/>
  <c r="Z110" i="13"/>
  <c r="Z179" i="13"/>
  <c r="Z117" i="13"/>
  <c r="Z19" i="13"/>
  <c r="Z129" i="13"/>
  <c r="Z165" i="13"/>
  <c r="Z135" i="13"/>
  <c r="Z167" i="13"/>
  <c r="Z169" i="13"/>
  <c r="Z123" i="13"/>
  <c r="Z70" i="13"/>
  <c r="Z91" i="13"/>
  <c r="Z126" i="13"/>
  <c r="Z44" i="13"/>
  <c r="Z185" i="13"/>
  <c r="Z150" i="13"/>
  <c r="Z161" i="13"/>
  <c r="Z35" i="13"/>
  <c r="Z174" i="13"/>
  <c r="Z114" i="13"/>
  <c r="Z190" i="13"/>
  <c r="Z157" i="13"/>
  <c r="Z47" i="13"/>
  <c r="Z12" i="13"/>
  <c r="Z15" i="13"/>
  <c r="Z87" i="13"/>
  <c r="Z142" i="13"/>
  <c r="Z143" i="13"/>
  <c r="Z186" i="13"/>
  <c r="H148" i="5"/>
  <c r="S148" i="5" s="1"/>
  <c r="T148" i="5"/>
  <c r="W148" i="5" s="1"/>
  <c r="T167" i="5"/>
  <c r="E167" i="6" s="1"/>
  <c r="T167" i="6" s="1"/>
  <c r="E167" i="7" s="1"/>
  <c r="E87" i="7"/>
  <c r="T87" i="7" s="1"/>
  <c r="W87" i="6"/>
  <c r="F31" i="5"/>
  <c r="U31" i="5" s="1"/>
  <c r="F31" i="6" s="1"/>
  <c r="U31" i="6" s="1"/>
  <c r="F31" i="7" s="1"/>
  <c r="U31" i="7" s="1"/>
  <c r="F31" i="8" s="1"/>
  <c r="U31" i="8" s="1"/>
  <c r="F31" i="9" s="1"/>
  <c r="U31" i="9" s="1"/>
  <c r="F31" i="10" s="1"/>
  <c r="U31" i="10" s="1"/>
  <c r="F31" i="11" s="1"/>
  <c r="U31" i="11" s="1"/>
  <c r="F31" i="12" s="1"/>
  <c r="U31" i="12" s="1"/>
  <c r="W60" i="6"/>
  <c r="E60" i="7"/>
  <c r="H60" i="7" s="1"/>
  <c r="S60" i="7" s="1"/>
  <c r="W10" i="4"/>
  <c r="W48" i="4"/>
  <c r="W52" i="4"/>
  <c r="W75" i="4"/>
  <c r="W83" i="4"/>
  <c r="G83" i="5"/>
  <c r="V83" i="5" s="1"/>
  <c r="G83" i="6" s="1"/>
  <c r="V83" i="6" s="1"/>
  <c r="G83" i="7" s="1"/>
  <c r="V83" i="7" s="1"/>
  <c r="G83" i="8" s="1"/>
  <c r="V83" i="8" s="1"/>
  <c r="G83" i="9" s="1"/>
  <c r="V83" i="9" s="1"/>
  <c r="G83" i="10" s="1"/>
  <c r="V83" i="10" s="1"/>
  <c r="G83" i="11" s="1"/>
  <c r="V83" i="11" s="1"/>
  <c r="G83" i="12" s="1"/>
  <c r="V83" i="12" s="1"/>
  <c r="W124" i="4"/>
  <c r="W131" i="4"/>
  <c r="W144" i="4"/>
  <c r="W147" i="4"/>
  <c r="W182" i="4"/>
  <c r="W190" i="4"/>
  <c r="W40" i="5"/>
  <c r="W117" i="5"/>
  <c r="W199" i="5"/>
  <c r="E17" i="7"/>
  <c r="T17" i="7" s="1"/>
  <c r="E17" i="8" s="1"/>
  <c r="T17" i="8" s="1"/>
  <c r="W17" i="6"/>
  <c r="W23" i="6"/>
  <c r="W193" i="4"/>
  <c r="G193" i="5"/>
  <c r="V193" i="5" s="1"/>
  <c r="G193" i="6" s="1"/>
  <c r="V193" i="6" s="1"/>
  <c r="G193" i="7" s="1"/>
  <c r="V193" i="7" s="1"/>
  <c r="G193" i="8" s="1"/>
  <c r="V193" i="8" s="1"/>
  <c r="G193" i="9" s="1"/>
  <c r="V193" i="9" s="1"/>
  <c r="G193" i="10" s="1"/>
  <c r="V193" i="10" s="1"/>
  <c r="G193" i="11" s="1"/>
  <c r="V193" i="11" s="1"/>
  <c r="G193" i="12" s="1"/>
  <c r="V193" i="12" s="1"/>
  <c r="W127" i="4"/>
  <c r="W23" i="4"/>
  <c r="W34" i="4"/>
  <c r="W37" i="4"/>
  <c r="W89" i="4"/>
  <c r="W155" i="4"/>
  <c r="E171" i="5"/>
  <c r="W171" i="4"/>
  <c r="W37" i="5"/>
  <c r="W181" i="5"/>
  <c r="W191" i="5"/>
  <c r="W172" i="4"/>
  <c r="W179" i="4"/>
  <c r="W41" i="4"/>
  <c r="W196" i="4"/>
  <c r="W12" i="4"/>
  <c r="H22" i="6"/>
  <c r="S22" i="6" s="1"/>
  <c r="W82" i="4"/>
  <c r="W102" i="4"/>
  <c r="W113" i="4"/>
  <c r="W129" i="4"/>
  <c r="W174" i="4"/>
  <c r="W199" i="4"/>
  <c r="W23" i="5"/>
  <c r="W156" i="5"/>
  <c r="W17" i="4"/>
  <c r="W55" i="4"/>
  <c r="W65" i="4"/>
  <c r="W79" i="4"/>
  <c r="W100" i="4"/>
  <c r="W107" i="4"/>
  <c r="W151" i="4"/>
  <c r="W137" i="4"/>
  <c r="W15" i="4"/>
  <c r="W19" i="4"/>
  <c r="W50" i="4"/>
  <c r="W74" i="4"/>
  <c r="W146" i="4"/>
  <c r="W161" i="4"/>
  <c r="W100" i="5"/>
  <c r="W4" i="6"/>
  <c r="W154" i="4"/>
  <c r="W90" i="5"/>
  <c r="W21" i="4"/>
  <c r="W63" i="4"/>
  <c r="W84" i="4"/>
  <c r="W73" i="5"/>
  <c r="W126" i="5"/>
  <c r="W136" i="5"/>
  <c r="G172" i="5"/>
  <c r="V172" i="5" s="1"/>
  <c r="G172" i="6" s="1"/>
  <c r="V172" i="6" s="1"/>
  <c r="G172" i="7" s="1"/>
  <c r="V172" i="7" s="1"/>
  <c r="G172" i="8" s="1"/>
  <c r="V172" i="8" s="1"/>
  <c r="G172" i="9" s="1"/>
  <c r="V172" i="9" s="1"/>
  <c r="G172" i="10" s="1"/>
  <c r="V172" i="10" s="1"/>
  <c r="G172" i="11" s="1"/>
  <c r="V172" i="11" s="1"/>
  <c r="G172" i="12" s="1"/>
  <c r="V172" i="12" s="1"/>
  <c r="E199" i="7"/>
  <c r="H199" i="7" s="1"/>
  <c r="S199" i="7" s="1"/>
  <c r="W199" i="6"/>
  <c r="H7" i="5"/>
  <c r="S7" i="5" s="1"/>
  <c r="W66" i="4"/>
  <c r="W87" i="4"/>
  <c r="W91" i="4"/>
  <c r="W115" i="4"/>
  <c r="W119" i="4"/>
  <c r="W135" i="4"/>
  <c r="W153" i="4"/>
  <c r="W157" i="4"/>
  <c r="W194" i="4"/>
  <c r="W133" i="5"/>
  <c r="T172" i="5"/>
  <c r="E172" i="6" s="1"/>
  <c r="W89" i="6"/>
  <c r="W42" i="4"/>
  <c r="H49" i="5"/>
  <c r="S49" i="5" s="1"/>
  <c r="W138" i="4"/>
  <c r="W156" i="4"/>
  <c r="W167" i="4"/>
  <c r="G167" i="5"/>
  <c r="V167" i="5" s="1"/>
  <c r="G167" i="6" s="1"/>
  <c r="V167" i="6" s="1"/>
  <c r="G167" i="7" s="1"/>
  <c r="V167" i="7" s="1"/>
  <c r="G167" i="8" s="1"/>
  <c r="V167" i="8" s="1"/>
  <c r="G167" i="9" s="1"/>
  <c r="V167" i="9" s="1"/>
  <c r="G167" i="10" s="1"/>
  <c r="V167" i="10" s="1"/>
  <c r="G167" i="11" s="1"/>
  <c r="V167" i="11" s="1"/>
  <c r="G167" i="12" s="1"/>
  <c r="V167" i="12" s="1"/>
  <c r="W38" i="5"/>
  <c r="E46" i="5"/>
  <c r="T46" i="5" s="1"/>
  <c r="E46" i="6" s="1"/>
  <c r="W115" i="5"/>
  <c r="W18" i="6"/>
  <c r="W3" i="4"/>
  <c r="W11" i="4"/>
  <c r="W38" i="4"/>
  <c r="W45" i="4"/>
  <c r="W70" i="4"/>
  <c r="W101" i="4"/>
  <c r="W159" i="4"/>
  <c r="W173" i="4"/>
  <c r="W187" i="4"/>
  <c r="W191" i="4"/>
  <c r="T7" i="5"/>
  <c r="E7" i="6" s="1"/>
  <c r="T7" i="6" s="1"/>
  <c r="G29" i="5"/>
  <c r="G41" i="5"/>
  <c r="V41" i="5" s="1"/>
  <c r="G41" i="6" s="1"/>
  <c r="W61" i="6"/>
  <c r="W76" i="6"/>
  <c r="W62" i="4"/>
  <c r="W75" i="5"/>
  <c r="W138" i="5"/>
  <c r="W182" i="6"/>
  <c r="W198" i="4"/>
  <c r="W39" i="5"/>
  <c r="W44" i="5"/>
  <c r="W77" i="5"/>
  <c r="W86" i="5"/>
  <c r="W127" i="5"/>
  <c r="W141" i="5"/>
  <c r="W191" i="12"/>
  <c r="W4" i="5"/>
  <c r="W20" i="5"/>
  <c r="W56" i="5"/>
  <c r="W121" i="5"/>
  <c r="W137" i="5"/>
  <c r="W174" i="5"/>
  <c r="W184" i="5"/>
  <c r="W187" i="5"/>
  <c r="W103" i="6"/>
  <c r="W134" i="6"/>
  <c r="W155" i="11"/>
  <c r="B4" i="15"/>
  <c r="W191" i="9"/>
  <c r="W100" i="12"/>
  <c r="W103" i="5"/>
  <c r="W125" i="5"/>
  <c r="W146" i="5"/>
  <c r="W175" i="5"/>
  <c r="W28" i="6"/>
  <c r="W104" i="6"/>
  <c r="W186" i="6"/>
  <c r="W54" i="5"/>
  <c r="W62" i="5"/>
  <c r="W76" i="5"/>
  <c r="F167" i="6"/>
  <c r="U167" i="6" s="1"/>
  <c r="F167" i="7" s="1"/>
  <c r="U167" i="7" s="1"/>
  <c r="F167" i="8" s="1"/>
  <c r="U167" i="8" s="1"/>
  <c r="F167" i="9" s="1"/>
  <c r="U167" i="9" s="1"/>
  <c r="F167" i="10" s="1"/>
  <c r="U167" i="10" s="1"/>
  <c r="F167" i="11" s="1"/>
  <c r="U167" i="11" s="1"/>
  <c r="F167" i="12" s="1"/>
  <c r="U167" i="12" s="1"/>
  <c r="W42" i="5"/>
  <c r="W47" i="5"/>
  <c r="W118" i="5"/>
  <c r="T22" i="6"/>
  <c r="W22" i="6" s="1"/>
  <c r="W27" i="5"/>
  <c r="W35" i="5"/>
  <c r="W89" i="5"/>
  <c r="W120" i="5"/>
  <c r="W159" i="5"/>
  <c r="W176" i="5"/>
  <c r="W178" i="5"/>
  <c r="W185" i="5"/>
  <c r="W95" i="5"/>
  <c r="W135" i="5"/>
  <c r="W72" i="5"/>
  <c r="W63" i="5"/>
  <c r="W82" i="5"/>
  <c r="W68" i="5"/>
  <c r="W84" i="5"/>
  <c r="W91" i="5"/>
  <c r="W96" i="5"/>
  <c r="W158" i="5"/>
  <c r="W18" i="5"/>
  <c r="W48" i="5"/>
  <c r="W71" i="5"/>
  <c r="W139" i="5"/>
  <c r="W157" i="5"/>
  <c r="W87" i="5"/>
  <c r="W194" i="5"/>
  <c r="W197" i="5"/>
  <c r="W85" i="5"/>
  <c r="W102" i="5"/>
  <c r="W70" i="5"/>
  <c r="W107" i="5"/>
  <c r="W116" i="5"/>
  <c r="W160" i="5"/>
  <c r="T166" i="6"/>
  <c r="E166" i="7" s="1"/>
  <c r="T166" i="7" s="1"/>
  <c r="W62" i="6"/>
  <c r="W66" i="6"/>
  <c r="W84" i="6"/>
  <c r="H139" i="7"/>
  <c r="S139" i="7" s="1"/>
  <c r="W140" i="6"/>
  <c r="W194" i="6"/>
  <c r="G61" i="7"/>
  <c r="V61" i="7" s="1"/>
  <c r="G61" i="8" s="1"/>
  <c r="V61" i="8" s="1"/>
  <c r="G61" i="9" s="1"/>
  <c r="V61" i="9" s="1"/>
  <c r="G61" i="10" s="1"/>
  <c r="V61" i="10" s="1"/>
  <c r="G61" i="11" s="1"/>
  <c r="V61" i="11" s="1"/>
  <c r="G61" i="12" s="1"/>
  <c r="V61" i="12" s="1"/>
  <c r="G76" i="7"/>
  <c r="V76" i="7" s="1"/>
  <c r="G76" i="8" s="1"/>
  <c r="V76" i="8" s="1"/>
  <c r="G76" i="9" s="1"/>
  <c r="V76" i="9" s="1"/>
  <c r="G76" i="10" s="1"/>
  <c r="V76" i="10" s="1"/>
  <c r="G76" i="11" s="1"/>
  <c r="V76" i="11" s="1"/>
  <c r="G76" i="12" s="1"/>
  <c r="V76" i="12" s="1"/>
  <c r="E115" i="7"/>
  <c r="H115" i="7" s="1"/>
  <c r="S115" i="7" s="1"/>
  <c r="H120" i="7"/>
  <c r="S120" i="7" s="1"/>
  <c r="W35" i="6"/>
  <c r="W180" i="6"/>
  <c r="T139" i="7"/>
  <c r="W139" i="7" s="1"/>
  <c r="W20" i="6"/>
  <c r="W126" i="6"/>
  <c r="W157" i="6"/>
  <c r="W161" i="6"/>
  <c r="W50" i="6"/>
  <c r="W175" i="6"/>
  <c r="E23" i="7"/>
  <c r="T23" i="7" s="1"/>
  <c r="W191" i="6"/>
  <c r="E4" i="7"/>
  <c r="H4" i="7" s="1"/>
  <c r="S4" i="7" s="1"/>
  <c r="E18" i="7"/>
  <c r="T18" i="7" s="1"/>
  <c r="T55" i="7"/>
  <c r="E55" i="8" s="1"/>
  <c r="W107" i="6"/>
  <c r="W155" i="6"/>
  <c r="H28" i="7"/>
  <c r="S28" i="7" s="1"/>
  <c r="W34" i="6"/>
  <c r="H39" i="7"/>
  <c r="S39" i="7" s="1"/>
  <c r="W90" i="6"/>
  <c r="W117" i="6"/>
  <c r="W53" i="6"/>
  <c r="W85" i="6"/>
  <c r="H157" i="7"/>
  <c r="S157" i="7" s="1"/>
  <c r="T39" i="7"/>
  <c r="W39" i="7" s="1"/>
  <c r="W128" i="7"/>
  <c r="W191" i="7"/>
  <c r="W62" i="7"/>
  <c r="W194" i="7"/>
  <c r="W104" i="7"/>
  <c r="W100" i="11"/>
  <c r="W3" i="10"/>
  <c r="W100" i="9"/>
  <c r="W128" i="10"/>
  <c r="W155" i="10"/>
  <c r="W100" i="10"/>
  <c r="W191" i="10"/>
  <c r="W62" i="9"/>
  <c r="W155" i="9"/>
  <c r="W128" i="9"/>
  <c r="W3" i="9"/>
  <c r="W194" i="8"/>
  <c r="W100" i="8"/>
  <c r="W3" i="8"/>
  <c r="W191" i="8"/>
  <c r="W155" i="8"/>
  <c r="W62" i="8"/>
  <c r="E134" i="9"/>
  <c r="T134" i="9" s="1"/>
  <c r="E134" i="10" s="1"/>
  <c r="W134" i="8"/>
  <c r="T165" i="5"/>
  <c r="H165" i="5"/>
  <c r="S165" i="5" s="1"/>
  <c r="U153" i="5"/>
  <c r="F153" i="6" s="1"/>
  <c r="U153" i="6" s="1"/>
  <c r="F153" i="7" s="1"/>
  <c r="U153" i="7" s="1"/>
  <c r="F153" i="8" s="1"/>
  <c r="U153" i="8" s="1"/>
  <c r="F153" i="9" s="1"/>
  <c r="U153" i="9" s="1"/>
  <c r="F153" i="10" s="1"/>
  <c r="U153" i="10" s="1"/>
  <c r="F153" i="11" s="1"/>
  <c r="U153" i="11" s="1"/>
  <c r="F153" i="12" s="1"/>
  <c r="U153" i="12" s="1"/>
  <c r="H153" i="5"/>
  <c r="S153" i="5" s="1"/>
  <c r="W145" i="4"/>
  <c r="E151" i="6"/>
  <c r="W151" i="5"/>
  <c r="T177" i="5"/>
  <c r="H177" i="5"/>
  <c r="S177" i="5" s="1"/>
  <c r="E41" i="7"/>
  <c r="W126" i="7"/>
  <c r="E126" i="8"/>
  <c r="W137" i="6"/>
  <c r="T94" i="7"/>
  <c r="H94" i="7"/>
  <c r="S94" i="7" s="1"/>
  <c r="W9" i="4"/>
  <c r="G13" i="5"/>
  <c r="V13" i="5" s="1"/>
  <c r="G13" i="6" s="1"/>
  <c r="V13" i="6" s="1"/>
  <c r="G13" i="7" s="1"/>
  <c r="V13" i="7" s="1"/>
  <c r="G13" i="8" s="1"/>
  <c r="V13" i="8" s="1"/>
  <c r="G13" i="9" s="1"/>
  <c r="V13" i="9" s="1"/>
  <c r="G13" i="10" s="1"/>
  <c r="V13" i="10" s="1"/>
  <c r="G13" i="11" s="1"/>
  <c r="V13" i="11" s="1"/>
  <c r="G13" i="12" s="1"/>
  <c r="V13" i="12" s="1"/>
  <c r="W13" i="4"/>
  <c r="W30" i="4"/>
  <c r="E30" i="5"/>
  <c r="W98" i="4"/>
  <c r="E98" i="5"/>
  <c r="H32" i="5"/>
  <c r="S32" i="5" s="1"/>
  <c r="T32" i="5"/>
  <c r="H49" i="6"/>
  <c r="S49" i="6" s="1"/>
  <c r="E67" i="6"/>
  <c r="W67" i="5"/>
  <c r="E169" i="6"/>
  <c r="W169" i="5"/>
  <c r="E193" i="6"/>
  <c r="E133" i="7"/>
  <c r="W133" i="6"/>
  <c r="E136" i="7"/>
  <c r="W136" i="6"/>
  <c r="T5" i="5"/>
  <c r="E11" i="6"/>
  <c r="E51" i="5"/>
  <c r="W51" i="4"/>
  <c r="T105" i="5"/>
  <c r="H105" i="5"/>
  <c r="S105" i="5" s="1"/>
  <c r="W165" i="4"/>
  <c r="H10" i="5"/>
  <c r="S10" i="5" s="1"/>
  <c r="T10" i="5"/>
  <c r="W24" i="5"/>
  <c r="W49" i="5"/>
  <c r="E163" i="6"/>
  <c r="W163" i="5"/>
  <c r="E56" i="7"/>
  <c r="W56" i="6"/>
  <c r="E88" i="7"/>
  <c r="W88" i="6"/>
  <c r="E118" i="7"/>
  <c r="W118" i="6"/>
  <c r="E178" i="7"/>
  <c r="W178" i="6"/>
  <c r="E28" i="8"/>
  <c r="W28" i="7"/>
  <c r="E108" i="8"/>
  <c r="E119" i="6"/>
  <c r="V27" i="7"/>
  <c r="G27" i="8" s="1"/>
  <c r="V27" i="8" s="1"/>
  <c r="G27" i="9" s="1"/>
  <c r="V27" i="9" s="1"/>
  <c r="G27" i="10" s="1"/>
  <c r="V27" i="10" s="1"/>
  <c r="G27" i="11" s="1"/>
  <c r="V27" i="11" s="1"/>
  <c r="G27" i="12" s="1"/>
  <c r="V27" i="12" s="1"/>
  <c r="H27" i="7"/>
  <c r="S27" i="7" s="1"/>
  <c r="E52" i="6"/>
  <c r="W52" i="5"/>
  <c r="G185" i="7"/>
  <c r="V185" i="7" s="1"/>
  <c r="G185" i="8" s="1"/>
  <c r="V185" i="8" s="1"/>
  <c r="G185" i="9" s="1"/>
  <c r="V185" i="9" s="1"/>
  <c r="G185" i="10" s="1"/>
  <c r="V185" i="10" s="1"/>
  <c r="G185" i="11" s="1"/>
  <c r="V185" i="11" s="1"/>
  <c r="G185" i="12" s="1"/>
  <c r="V185" i="12" s="1"/>
  <c r="W185" i="6"/>
  <c r="T13" i="5"/>
  <c r="E170" i="5"/>
  <c r="W170" i="4"/>
  <c r="W26" i="4"/>
  <c r="E26" i="5"/>
  <c r="H37" i="7"/>
  <c r="S37" i="7" s="1"/>
  <c r="T37" i="7"/>
  <c r="E125" i="7"/>
  <c r="W125" i="6"/>
  <c r="T33" i="5"/>
  <c r="H33" i="5"/>
  <c r="S33" i="5" s="1"/>
  <c r="E93" i="5"/>
  <c r="W93" i="4"/>
  <c r="H79" i="5"/>
  <c r="S79" i="5" s="1"/>
  <c r="T79" i="5"/>
  <c r="U83" i="5"/>
  <c r="E112" i="6"/>
  <c r="E123" i="5"/>
  <c r="T179" i="5"/>
  <c r="T45" i="7"/>
  <c r="E43" i="7"/>
  <c r="W22" i="4"/>
  <c r="E153" i="6"/>
  <c r="H21" i="5"/>
  <c r="S21" i="5" s="1"/>
  <c r="T168" i="5"/>
  <c r="H168" i="5"/>
  <c r="S168" i="5" s="1"/>
  <c r="G45" i="7"/>
  <c r="V45" i="7" s="1"/>
  <c r="G45" i="8" s="1"/>
  <c r="V45" i="8" s="1"/>
  <c r="G45" i="9" s="1"/>
  <c r="V45" i="9" s="1"/>
  <c r="G45" i="10" s="1"/>
  <c r="V45" i="10" s="1"/>
  <c r="G45" i="11" s="1"/>
  <c r="V45" i="11" s="1"/>
  <c r="G45" i="12" s="1"/>
  <c r="V45" i="12" s="1"/>
  <c r="W45" i="6"/>
  <c r="T124" i="7"/>
  <c r="H124" i="7"/>
  <c r="S124" i="7" s="1"/>
  <c r="H161" i="7"/>
  <c r="S161" i="7" s="1"/>
  <c r="T161" i="7"/>
  <c r="T57" i="5"/>
  <c r="H57" i="5"/>
  <c r="S57" i="5" s="1"/>
  <c r="T189" i="5"/>
  <c r="H189" i="5"/>
  <c r="S189" i="5" s="1"/>
  <c r="T111" i="5"/>
  <c r="H111" i="5"/>
  <c r="S111" i="5" s="1"/>
  <c r="H162" i="5"/>
  <c r="S162" i="5" s="1"/>
  <c r="T42" i="7"/>
  <c r="H42" i="7"/>
  <c r="S42" i="7" s="1"/>
  <c r="E44" i="7"/>
  <c r="W44" i="6"/>
  <c r="E102" i="7"/>
  <c r="W102" i="6"/>
  <c r="E19" i="7"/>
  <c r="T61" i="8"/>
  <c r="E173" i="8"/>
  <c r="W173" i="7"/>
  <c r="E154" i="6"/>
  <c r="W154" i="5"/>
  <c r="W27" i="6"/>
  <c r="W96" i="6"/>
  <c r="E131" i="8"/>
  <c r="W131" i="7"/>
  <c r="W81" i="4"/>
  <c r="E109" i="6"/>
  <c r="W109" i="5"/>
  <c r="T140" i="7"/>
  <c r="H140" i="7"/>
  <c r="S140" i="7" s="1"/>
  <c r="T59" i="5"/>
  <c r="W21" i="5"/>
  <c r="E21" i="6"/>
  <c r="U43" i="5"/>
  <c r="F43" i="6" s="1"/>
  <c r="U43" i="6" s="1"/>
  <c r="F43" i="7" s="1"/>
  <c r="U43" i="7" s="1"/>
  <c r="F43" i="8" s="1"/>
  <c r="U43" i="8" s="1"/>
  <c r="F43" i="9" s="1"/>
  <c r="U43" i="9" s="1"/>
  <c r="F43" i="10" s="1"/>
  <c r="U43" i="10" s="1"/>
  <c r="F43" i="11" s="1"/>
  <c r="U43" i="11" s="1"/>
  <c r="F43" i="12" s="1"/>
  <c r="U43" i="12" s="1"/>
  <c r="H43" i="5"/>
  <c r="S43" i="5" s="1"/>
  <c r="W111" i="4"/>
  <c r="W114" i="4"/>
  <c r="E114" i="5"/>
  <c r="W43" i="4"/>
  <c r="W81" i="5"/>
  <c r="E81" i="6"/>
  <c r="E110" i="5"/>
  <c r="W110" i="4"/>
  <c r="T149" i="5"/>
  <c r="H52" i="5"/>
  <c r="S52" i="5" s="1"/>
  <c r="T49" i="6"/>
  <c r="E70" i="7"/>
  <c r="W70" i="6"/>
  <c r="E174" i="7"/>
  <c r="W174" i="6"/>
  <c r="E147" i="5"/>
  <c r="W97" i="7"/>
  <c r="W20" i="4"/>
  <c r="W24" i="4"/>
  <c r="W25" i="4"/>
  <c r="E92" i="5"/>
  <c r="W92" i="4"/>
  <c r="W96" i="4"/>
  <c r="W148" i="4"/>
  <c r="W164" i="4"/>
  <c r="W168" i="4"/>
  <c r="W169" i="4"/>
  <c r="T16" i="5"/>
  <c r="W34" i="5"/>
  <c r="W58" i="5"/>
  <c r="E78" i="5"/>
  <c r="H151" i="5"/>
  <c r="S151" i="5" s="1"/>
  <c r="W182" i="5"/>
  <c r="W186" i="5"/>
  <c r="E47" i="7"/>
  <c r="W47" i="6"/>
  <c r="E54" i="7"/>
  <c r="W54" i="6"/>
  <c r="W55" i="6"/>
  <c r="E82" i="6"/>
  <c r="E91" i="7"/>
  <c r="W91" i="6"/>
  <c r="W124" i="6"/>
  <c r="T157" i="8"/>
  <c r="H157" i="8"/>
  <c r="S157" i="8" s="1"/>
  <c r="E197" i="7"/>
  <c r="W197" i="6"/>
  <c r="W134" i="7"/>
  <c r="W95" i="6"/>
  <c r="E95" i="7"/>
  <c r="E121" i="7"/>
  <c r="W121" i="6"/>
  <c r="H184" i="7"/>
  <c r="S184" i="7" s="1"/>
  <c r="T184" i="7"/>
  <c r="W9" i="5"/>
  <c r="E9" i="6"/>
  <c r="E40" i="7"/>
  <c r="W40" i="6"/>
  <c r="E117" i="8"/>
  <c r="W117" i="7"/>
  <c r="E8" i="5"/>
  <c r="W8" i="4"/>
  <c r="E80" i="5"/>
  <c r="W80" i="4"/>
  <c r="E152" i="5"/>
  <c r="W152" i="4"/>
  <c r="T97" i="8"/>
  <c r="H97" i="8"/>
  <c r="S97" i="8" s="1"/>
  <c r="E143" i="6"/>
  <c r="W48" i="6"/>
  <c r="E73" i="7"/>
  <c r="W73" i="6"/>
  <c r="W33" i="4"/>
  <c r="W105" i="4"/>
  <c r="H164" i="5"/>
  <c r="S164" i="5" s="1"/>
  <c r="H190" i="5"/>
  <c r="S190" i="5" s="1"/>
  <c r="W3" i="6"/>
  <c r="E58" i="7"/>
  <c r="W58" i="6"/>
  <c r="E86" i="7"/>
  <c r="W86" i="6"/>
  <c r="T101" i="7"/>
  <c r="H101" i="7"/>
  <c r="S101" i="7" s="1"/>
  <c r="F108" i="7"/>
  <c r="W108" i="6"/>
  <c r="W184" i="6"/>
  <c r="W84" i="7"/>
  <c r="E84" i="8"/>
  <c r="W157" i="7"/>
  <c r="T180" i="7"/>
  <c r="H180" i="7"/>
  <c r="S180" i="7" s="1"/>
  <c r="H187" i="7"/>
  <c r="S187" i="7" s="1"/>
  <c r="W16" i="4"/>
  <c r="W32" i="4"/>
  <c r="W36" i="4"/>
  <c r="W104" i="4"/>
  <c r="W108" i="4"/>
  <c r="W109" i="4"/>
  <c r="W176" i="4"/>
  <c r="W180" i="4"/>
  <c r="H9" i="5"/>
  <c r="S9" i="5" s="1"/>
  <c r="E12" i="5"/>
  <c r="E15" i="5"/>
  <c r="H25" i="5"/>
  <c r="S25" i="5" s="1"/>
  <c r="T31" i="5"/>
  <c r="H81" i="5"/>
  <c r="S81" i="5" s="1"/>
  <c r="H109" i="5"/>
  <c r="S109" i="5" s="1"/>
  <c r="T142" i="5"/>
  <c r="E20" i="8"/>
  <c r="H65" i="7"/>
  <c r="S65" i="7" s="1"/>
  <c r="T65" i="7"/>
  <c r="H131" i="7"/>
  <c r="S131" i="7" s="1"/>
  <c r="W132" i="6"/>
  <c r="E183" i="7"/>
  <c r="W183" i="6"/>
  <c r="F20" i="7"/>
  <c r="U20" i="7" s="1"/>
  <c r="F20" i="8" s="1"/>
  <c r="U20" i="8" s="1"/>
  <c r="F20" i="9" s="1"/>
  <c r="U20" i="9" s="1"/>
  <c r="F20" i="10" s="1"/>
  <c r="U20" i="10" s="1"/>
  <c r="F20" i="11" s="1"/>
  <c r="U20" i="11" s="1"/>
  <c r="F20" i="12" s="1"/>
  <c r="U20" i="12" s="1"/>
  <c r="H89" i="7"/>
  <c r="S89" i="7" s="1"/>
  <c r="H82" i="5"/>
  <c r="S82" i="5" s="1"/>
  <c r="T69" i="7"/>
  <c r="H69" i="7"/>
  <c r="S69" i="7" s="1"/>
  <c r="W74" i="6"/>
  <c r="E83" i="7"/>
  <c r="E6" i="5"/>
  <c r="W6" i="4"/>
  <c r="W189" i="4"/>
  <c r="G19" i="5"/>
  <c r="V19" i="5" s="1"/>
  <c r="G19" i="6" s="1"/>
  <c r="V19" i="6" s="1"/>
  <c r="G19" i="7" s="1"/>
  <c r="V19" i="7" s="1"/>
  <c r="G19" i="8" s="1"/>
  <c r="V19" i="8" s="1"/>
  <c r="G19" i="9" s="1"/>
  <c r="V19" i="9" s="1"/>
  <c r="G19" i="10" s="1"/>
  <c r="V19" i="10" s="1"/>
  <c r="G19" i="11" s="1"/>
  <c r="V19" i="11" s="1"/>
  <c r="G19" i="12" s="1"/>
  <c r="V19" i="12" s="1"/>
  <c r="H22" i="5"/>
  <c r="S22" i="5" s="1"/>
  <c r="E68" i="7"/>
  <c r="W68" i="6"/>
  <c r="T72" i="7"/>
  <c r="H72" i="7"/>
  <c r="S72" i="7" s="1"/>
  <c r="H107" i="7"/>
  <c r="S107" i="7" s="1"/>
  <c r="T107" i="7"/>
  <c r="E116" i="7"/>
  <c r="W116" i="6"/>
  <c r="E176" i="7"/>
  <c r="W176" i="6"/>
  <c r="T24" i="7"/>
  <c r="H24" i="7"/>
  <c r="S24" i="7" s="1"/>
  <c r="T66" i="7"/>
  <c r="H66" i="7"/>
  <c r="S66" i="7" s="1"/>
  <c r="T71" i="7"/>
  <c r="H71" i="7"/>
  <c r="S71" i="7" s="1"/>
  <c r="W177" i="4"/>
  <c r="W120" i="7"/>
  <c r="E120" i="8"/>
  <c r="E135" i="7"/>
  <c r="W135" i="6"/>
  <c r="E150" i="5"/>
  <c r="W150" i="4"/>
  <c r="W49" i="4"/>
  <c r="E188" i="5"/>
  <c r="W188" i="4"/>
  <c r="W22" i="5"/>
  <c r="W60" i="5"/>
  <c r="W101" i="5"/>
  <c r="H145" i="5"/>
  <c r="S145" i="5" s="1"/>
  <c r="H154" i="5"/>
  <c r="S154" i="5" s="1"/>
  <c r="H163" i="5"/>
  <c r="S163" i="5" s="1"/>
  <c r="T164" i="5"/>
  <c r="T190" i="5"/>
  <c r="W24" i="6"/>
  <c r="E38" i="7"/>
  <c r="W38" i="6"/>
  <c r="W39" i="6"/>
  <c r="H126" i="7"/>
  <c r="S126" i="7" s="1"/>
  <c r="T156" i="7"/>
  <c r="H34" i="7"/>
  <c r="S34" i="7" s="1"/>
  <c r="T48" i="7"/>
  <c r="H48" i="7"/>
  <c r="S48" i="7" s="1"/>
  <c r="E53" i="8"/>
  <c r="W53" i="7"/>
  <c r="H137" i="7"/>
  <c r="S137" i="7" s="1"/>
  <c r="E122" i="5"/>
  <c r="W122" i="4"/>
  <c r="E14" i="5"/>
  <c r="W14" i="4"/>
  <c r="W18" i="4"/>
  <c r="W57" i="4"/>
  <c r="W86" i="4"/>
  <c r="W90" i="4"/>
  <c r="W142" i="4"/>
  <c r="W158" i="4"/>
  <c r="W162" i="4"/>
  <c r="W163" i="4"/>
  <c r="T25" i="5"/>
  <c r="E36" i="5"/>
  <c r="W45" i="5"/>
  <c r="W53" i="5"/>
  <c r="W97" i="5"/>
  <c r="T145" i="5"/>
  <c r="H166" i="5"/>
  <c r="S166" i="5" s="1"/>
  <c r="W180" i="5"/>
  <c r="E198" i="5"/>
  <c r="E27" i="8"/>
  <c r="W42" i="6"/>
  <c r="E64" i="7"/>
  <c r="W64" i="6"/>
  <c r="W65" i="6"/>
  <c r="E75" i="8"/>
  <c r="E89" i="8"/>
  <c r="W89" i="7"/>
  <c r="E130" i="7"/>
  <c r="W130" i="6"/>
  <c r="W131" i="6"/>
  <c r="F156" i="7"/>
  <c r="U156" i="7" s="1"/>
  <c r="F156" i="8" s="1"/>
  <c r="U156" i="8" s="1"/>
  <c r="F156" i="9" s="1"/>
  <c r="U156" i="9" s="1"/>
  <c r="F156" i="10" s="1"/>
  <c r="U156" i="10" s="1"/>
  <c r="F156" i="11" s="1"/>
  <c r="U156" i="11" s="1"/>
  <c r="F156" i="12" s="1"/>
  <c r="U156" i="12" s="1"/>
  <c r="W156" i="6"/>
  <c r="T175" i="7"/>
  <c r="H175" i="7"/>
  <c r="S175" i="7" s="1"/>
  <c r="E137" i="8"/>
  <c r="W137" i="7"/>
  <c r="E194" i="10"/>
  <c r="W194" i="9"/>
  <c r="W56" i="4"/>
  <c r="W60" i="4"/>
  <c r="W128" i="4"/>
  <c r="W132" i="4"/>
  <c r="W3" i="5"/>
  <c r="T29" i="7"/>
  <c r="H67" i="5"/>
  <c r="S67" i="5" s="1"/>
  <c r="W108" i="5"/>
  <c r="E113" i="6"/>
  <c r="W128" i="5"/>
  <c r="W132" i="5"/>
  <c r="E162" i="6"/>
  <c r="W162" i="5"/>
  <c r="W166" i="5"/>
  <c r="H169" i="5"/>
  <c r="S169" i="5" s="1"/>
  <c r="W173" i="5"/>
  <c r="F34" i="8"/>
  <c r="U34" i="8" s="1"/>
  <c r="F34" i="9" s="1"/>
  <c r="U34" i="9" s="1"/>
  <c r="F34" i="10" s="1"/>
  <c r="U34" i="10" s="1"/>
  <c r="F34" i="11" s="1"/>
  <c r="U34" i="11" s="1"/>
  <c r="F34" i="12" s="1"/>
  <c r="U34" i="12" s="1"/>
  <c r="W34" i="7"/>
  <c r="F75" i="7"/>
  <c r="W75" i="6"/>
  <c r="H96" i="7"/>
  <c r="S96" i="7" s="1"/>
  <c r="T96" i="7"/>
  <c r="E99" i="7"/>
  <c r="W99" i="6"/>
  <c r="E106" i="7"/>
  <c r="W106" i="6"/>
  <c r="W141" i="6"/>
  <c r="E141" i="7"/>
  <c r="W195" i="6"/>
  <c r="F195" i="7"/>
  <c r="U195" i="7" s="1"/>
  <c r="F195" i="8" s="1"/>
  <c r="U195" i="8" s="1"/>
  <c r="F195" i="9" s="1"/>
  <c r="U195" i="9" s="1"/>
  <c r="F195" i="10" s="1"/>
  <c r="U195" i="10" s="1"/>
  <c r="F195" i="11" s="1"/>
  <c r="U195" i="11" s="1"/>
  <c r="F195" i="12" s="1"/>
  <c r="U195" i="12" s="1"/>
  <c r="E76" i="8"/>
  <c r="G11" i="5"/>
  <c r="V11" i="5" s="1"/>
  <c r="G11" i="6" s="1"/>
  <c r="V11" i="6" s="1"/>
  <c r="G11" i="7" s="1"/>
  <c r="V11" i="7" s="1"/>
  <c r="G11" i="8" s="1"/>
  <c r="V11" i="8" s="1"/>
  <c r="G11" i="9" s="1"/>
  <c r="V11" i="9" s="1"/>
  <c r="G11" i="10" s="1"/>
  <c r="V11" i="10" s="1"/>
  <c r="G11" i="11" s="1"/>
  <c r="V11" i="11" s="1"/>
  <c r="G11" i="12" s="1"/>
  <c r="V11" i="12" s="1"/>
  <c r="G59" i="5"/>
  <c r="V59" i="5" s="1"/>
  <c r="G59" i="6" s="1"/>
  <c r="V59" i="6" s="1"/>
  <c r="G59" i="7" s="1"/>
  <c r="V59" i="7" s="1"/>
  <c r="G59" i="8" s="1"/>
  <c r="V59" i="8" s="1"/>
  <c r="G59" i="9" s="1"/>
  <c r="V59" i="9" s="1"/>
  <c r="G59" i="10" s="1"/>
  <c r="V59" i="10" s="1"/>
  <c r="G59" i="11" s="1"/>
  <c r="V59" i="11" s="1"/>
  <c r="G59" i="12" s="1"/>
  <c r="V59" i="12" s="1"/>
  <c r="G113" i="5"/>
  <c r="V113" i="5" s="1"/>
  <c r="G113" i="6" s="1"/>
  <c r="V113" i="6" s="1"/>
  <c r="G113" i="7" s="1"/>
  <c r="V113" i="7" s="1"/>
  <c r="G113" i="8" s="1"/>
  <c r="V113" i="8" s="1"/>
  <c r="G113" i="9" s="1"/>
  <c r="V113" i="9" s="1"/>
  <c r="G113" i="10" s="1"/>
  <c r="V113" i="10" s="1"/>
  <c r="G113" i="11" s="1"/>
  <c r="V113" i="11" s="1"/>
  <c r="G113" i="12" s="1"/>
  <c r="V113" i="12" s="1"/>
  <c r="G179" i="5"/>
  <c r="V179" i="5" s="1"/>
  <c r="G179" i="6" s="1"/>
  <c r="V179" i="6" s="1"/>
  <c r="G179" i="7" s="1"/>
  <c r="V179" i="7" s="1"/>
  <c r="G179" i="8" s="1"/>
  <c r="V179" i="8" s="1"/>
  <c r="G179" i="9" s="1"/>
  <c r="V179" i="9" s="1"/>
  <c r="G179" i="10" s="1"/>
  <c r="V179" i="10" s="1"/>
  <c r="G179" i="11" s="1"/>
  <c r="V179" i="11" s="1"/>
  <c r="G179" i="12" s="1"/>
  <c r="V179" i="12" s="1"/>
  <c r="E63" i="7"/>
  <c r="W63" i="6"/>
  <c r="H74" i="7"/>
  <c r="S74" i="7" s="1"/>
  <c r="E146" i="7"/>
  <c r="W146" i="6"/>
  <c r="T195" i="7"/>
  <c r="W101" i="6"/>
  <c r="E129" i="7"/>
  <c r="W129" i="6"/>
  <c r="H160" i="7"/>
  <c r="S160" i="7" s="1"/>
  <c r="E182" i="8"/>
  <c r="E187" i="8"/>
  <c r="W187" i="7"/>
  <c r="H117" i="7"/>
  <c r="S117" i="7" s="1"/>
  <c r="H159" i="7"/>
  <c r="S159" i="7" s="1"/>
  <c r="T159" i="7"/>
  <c r="G182" i="7"/>
  <c r="V182" i="7" s="1"/>
  <c r="G182" i="8" s="1"/>
  <c r="V182" i="8" s="1"/>
  <c r="G182" i="9" s="1"/>
  <c r="V182" i="9" s="1"/>
  <c r="G182" i="10" s="1"/>
  <c r="V182" i="10" s="1"/>
  <c r="G182" i="11" s="1"/>
  <c r="V182" i="11" s="1"/>
  <c r="G182" i="12" s="1"/>
  <c r="V182" i="12" s="1"/>
  <c r="H97" i="7"/>
  <c r="S97" i="7" s="1"/>
  <c r="H138" i="7"/>
  <c r="S138" i="7" s="1"/>
  <c r="W139" i="6"/>
  <c r="E144" i="7"/>
  <c r="W144" i="6"/>
  <c r="W160" i="6"/>
  <c r="H173" i="7"/>
  <c r="S173" i="7" s="1"/>
  <c r="T186" i="7"/>
  <c r="W187" i="6"/>
  <c r="H90" i="7"/>
  <c r="S90" i="7" s="1"/>
  <c r="T181" i="7"/>
  <c r="H181" i="7"/>
  <c r="S181" i="7" s="1"/>
  <c r="T35" i="7"/>
  <c r="H35" i="7"/>
  <c r="S35" i="7" s="1"/>
  <c r="H53" i="7"/>
  <c r="S53" i="7" s="1"/>
  <c r="E77" i="7"/>
  <c r="W77" i="6"/>
  <c r="H85" i="7"/>
  <c r="S85" i="7" s="1"/>
  <c r="T90" i="8"/>
  <c r="H90" i="8"/>
  <c r="S90" i="8" s="1"/>
  <c r="H103" i="7"/>
  <c r="S103" i="7" s="1"/>
  <c r="H127" i="7"/>
  <c r="S127" i="7" s="1"/>
  <c r="T127" i="7"/>
  <c r="T103" i="7"/>
  <c r="H132" i="7"/>
  <c r="S132" i="7" s="1"/>
  <c r="T160" i="7"/>
  <c r="G5" i="5"/>
  <c r="V5" i="5" s="1"/>
  <c r="G5" i="6" s="1"/>
  <c r="V5" i="6" s="1"/>
  <c r="G5" i="7" s="1"/>
  <c r="V5" i="7" s="1"/>
  <c r="G5" i="8" s="1"/>
  <c r="V5" i="8" s="1"/>
  <c r="G5" i="9" s="1"/>
  <c r="V5" i="9" s="1"/>
  <c r="G5" i="10" s="1"/>
  <c r="V5" i="10" s="1"/>
  <c r="G5" i="11" s="1"/>
  <c r="V5" i="11" s="1"/>
  <c r="G5" i="12" s="1"/>
  <c r="V5" i="12" s="1"/>
  <c r="G119" i="5"/>
  <c r="V119" i="5" s="1"/>
  <c r="G119" i="6" s="1"/>
  <c r="V119" i="6" s="1"/>
  <c r="G119" i="7" s="1"/>
  <c r="V119" i="7" s="1"/>
  <c r="G119" i="8" s="1"/>
  <c r="V119" i="8" s="1"/>
  <c r="G119" i="9" s="1"/>
  <c r="V119" i="9" s="1"/>
  <c r="G119" i="10" s="1"/>
  <c r="V119" i="10" s="1"/>
  <c r="G119" i="11" s="1"/>
  <c r="V119" i="11" s="1"/>
  <c r="G119" i="12" s="1"/>
  <c r="V119" i="12" s="1"/>
  <c r="G143" i="5"/>
  <c r="V143" i="5" s="1"/>
  <c r="G143" i="6" s="1"/>
  <c r="V143" i="6" s="1"/>
  <c r="G143" i="7" s="1"/>
  <c r="V143" i="7" s="1"/>
  <c r="G143" i="8" s="1"/>
  <c r="V143" i="8" s="1"/>
  <c r="G143" i="9" s="1"/>
  <c r="V143" i="9" s="1"/>
  <c r="G143" i="10" s="1"/>
  <c r="V143" i="10" s="1"/>
  <c r="G143" i="11" s="1"/>
  <c r="V143" i="11" s="1"/>
  <c r="G143" i="12" s="1"/>
  <c r="V143" i="12" s="1"/>
  <c r="G149" i="5"/>
  <c r="V149" i="5" s="1"/>
  <c r="G149" i="6" s="1"/>
  <c r="V149" i="6" s="1"/>
  <c r="G149" i="7" s="1"/>
  <c r="V149" i="7" s="1"/>
  <c r="G149" i="8" s="1"/>
  <c r="V149" i="8" s="1"/>
  <c r="G149" i="9" s="1"/>
  <c r="V149" i="9" s="1"/>
  <c r="G149" i="10" s="1"/>
  <c r="V149" i="10" s="1"/>
  <c r="G149" i="11" s="1"/>
  <c r="V149" i="11" s="1"/>
  <c r="G149" i="12" s="1"/>
  <c r="V149" i="12" s="1"/>
  <c r="W120" i="6"/>
  <c r="E132" i="8"/>
  <c r="W132" i="7"/>
  <c r="E158" i="7"/>
  <c r="W158" i="6"/>
  <c r="W159" i="6"/>
  <c r="W181" i="6"/>
  <c r="T185" i="7"/>
  <c r="T85" i="7"/>
  <c r="T138" i="7"/>
  <c r="G186" i="7"/>
  <c r="V186" i="7" s="1"/>
  <c r="G186" i="8" s="1"/>
  <c r="V186" i="8" s="1"/>
  <c r="G186" i="9" s="1"/>
  <c r="V186" i="9" s="1"/>
  <c r="G186" i="10" s="1"/>
  <c r="V186" i="10" s="1"/>
  <c r="G186" i="11" s="1"/>
  <c r="V186" i="11" s="1"/>
  <c r="G186" i="12" s="1"/>
  <c r="V186" i="12" s="1"/>
  <c r="T34" i="8"/>
  <c r="W37" i="6"/>
  <c r="W71" i="6"/>
  <c r="W72" i="6"/>
  <c r="H84" i="7"/>
  <c r="S84" i="7" s="1"/>
  <c r="W97" i="6"/>
  <c r="W138" i="6"/>
  <c r="W173" i="6"/>
  <c r="T74" i="7"/>
  <c r="W90" i="7"/>
  <c r="V134" i="9"/>
  <c r="G134" i="10" s="1"/>
  <c r="V134" i="10" s="1"/>
  <c r="G134" i="11" s="1"/>
  <c r="V134" i="11" s="1"/>
  <c r="G134" i="12" s="1"/>
  <c r="V134" i="12" s="1"/>
  <c r="E50" i="9"/>
  <c r="W50" i="8"/>
  <c r="E62" i="12"/>
  <c r="W62" i="11"/>
  <c r="H104" i="8"/>
  <c r="S104" i="8" s="1"/>
  <c r="T104" i="8"/>
  <c r="W128" i="8"/>
  <c r="W62" i="10"/>
  <c r="W3" i="12"/>
  <c r="W128" i="12"/>
  <c r="J187" i="15" l="1"/>
  <c r="F64" i="13" a="1"/>
  <c r="F64" i="13" s="1"/>
  <c r="Z64" i="13" s="1"/>
  <c r="F133" i="13" a="1"/>
  <c r="F133" i="13" s="1"/>
  <c r="Z133" i="13" s="1"/>
  <c r="F139" i="13" a="1"/>
  <c r="F139" i="13" s="1"/>
  <c r="Z139" i="13" s="1"/>
  <c r="F149" i="13" a="1"/>
  <c r="F149" i="13" s="1"/>
  <c r="Z149" i="13" s="1"/>
  <c r="F17" i="13" a="1"/>
  <c r="F17" i="13" s="1"/>
  <c r="Z17" i="13" s="1"/>
  <c r="F74" i="13" a="1"/>
  <c r="F74" i="13" s="1"/>
  <c r="Z74" i="13" s="1"/>
  <c r="F119" i="13" a="1"/>
  <c r="F119" i="13" s="1"/>
  <c r="Z119" i="13" s="1"/>
  <c r="F162" i="13" a="1"/>
  <c r="F162" i="13" s="1"/>
  <c r="Z162" i="13" s="1"/>
  <c r="F6" i="13" a="1"/>
  <c r="F6" i="13" s="1"/>
  <c r="Z6" i="13" s="1"/>
  <c r="F8" i="13" a="1"/>
  <c r="F8" i="13" s="1"/>
  <c r="Z8" i="13" s="1"/>
  <c r="F97" i="13" a="1"/>
  <c r="F97" i="13" s="1"/>
  <c r="Z97" i="13" s="1"/>
  <c r="F171" i="13" a="1"/>
  <c r="F171" i="13" s="1"/>
  <c r="Z171" i="13" s="1"/>
  <c r="F72" i="13" a="1"/>
  <c r="F72" i="13" s="1"/>
  <c r="Z72" i="13" s="1"/>
  <c r="F69" i="13" a="1"/>
  <c r="F69" i="13" s="1"/>
  <c r="Z69" i="13" s="1"/>
  <c r="F108" i="13" a="1"/>
  <c r="F108" i="13" s="1"/>
  <c r="Z108" i="13" s="1"/>
  <c r="F121" i="13" a="1"/>
  <c r="F121" i="13" s="1"/>
  <c r="Z121" i="13" s="1"/>
  <c r="F84" i="13" a="1"/>
  <c r="F84" i="13" s="1"/>
  <c r="Z84" i="13" s="1"/>
  <c r="F46" i="13" a="1"/>
  <c r="F46" i="13" s="1"/>
  <c r="Z46" i="13" s="1"/>
  <c r="F116" i="13" a="1"/>
  <c r="F116" i="13" s="1"/>
  <c r="Z116" i="13" s="1"/>
  <c r="F191" i="13" a="1"/>
  <c r="F191" i="13" s="1"/>
  <c r="Z191" i="13" s="1"/>
  <c r="E60" i="13" a="1"/>
  <c r="E60" i="13" s="1"/>
  <c r="Y60" i="13" s="1"/>
  <c r="AA60" i="13" s="1"/>
  <c r="F93" i="13" a="1"/>
  <c r="F93" i="13" s="1"/>
  <c r="Z93" i="13" s="1"/>
  <c r="F57" i="13" a="1"/>
  <c r="F57" i="13" s="1"/>
  <c r="Z57" i="13" s="1"/>
  <c r="F194" i="13" a="1"/>
  <c r="F194" i="13" s="1"/>
  <c r="Z194" i="13" s="1"/>
  <c r="F53" i="13" a="1"/>
  <c r="F53" i="13" s="1"/>
  <c r="Z53" i="13" s="1"/>
  <c r="F101" i="13" a="1"/>
  <c r="F101" i="13" s="1"/>
  <c r="Z101" i="13" s="1"/>
  <c r="F115" i="13" a="1"/>
  <c r="F115" i="13" s="1"/>
  <c r="Z115" i="13" s="1"/>
  <c r="F127" i="13" a="1"/>
  <c r="F127" i="13" s="1"/>
  <c r="Z127" i="13" s="1"/>
  <c r="F38" i="13" a="1"/>
  <c r="F38" i="13" s="1"/>
  <c r="Z38" i="13" s="1"/>
  <c r="F18" i="13" a="1"/>
  <c r="F18" i="13" s="1"/>
  <c r="Z18" i="13" s="1"/>
  <c r="F92" i="13" a="1"/>
  <c r="F92" i="13" s="1"/>
  <c r="Z92" i="13" s="1"/>
  <c r="F175" i="13" a="1"/>
  <c r="F175" i="13" s="1"/>
  <c r="Z175" i="13" s="1"/>
  <c r="E73" i="13" a="1"/>
  <c r="E73" i="13" s="1"/>
  <c r="Y73" i="13" s="1"/>
  <c r="F42" i="13" a="1"/>
  <c r="F42" i="13" s="1"/>
  <c r="Z42" i="13" s="1"/>
  <c r="F124" i="13" a="1"/>
  <c r="F124" i="13" s="1"/>
  <c r="Z124" i="13" s="1"/>
  <c r="F52" i="13" a="1"/>
  <c r="F52" i="13" s="1"/>
  <c r="Z52" i="13" s="1"/>
  <c r="F147" i="13" a="1"/>
  <c r="F147" i="13" s="1"/>
  <c r="Z147" i="13" s="1"/>
  <c r="F152" i="13" a="1"/>
  <c r="F152" i="13" s="1"/>
  <c r="Z152" i="13" s="1"/>
  <c r="F193" i="13" a="1"/>
  <c r="F193" i="13" s="1"/>
  <c r="Z193" i="13" s="1"/>
  <c r="F109" i="13" a="1"/>
  <c r="F109" i="13" s="1"/>
  <c r="Z109" i="13" s="1"/>
  <c r="F189" i="13" a="1"/>
  <c r="F189" i="13" s="1"/>
  <c r="Z189" i="13" s="1"/>
  <c r="F25" i="13" a="1"/>
  <c r="F25" i="13" s="1"/>
  <c r="Z25" i="13" s="1"/>
  <c r="F102" i="13" a="1"/>
  <c r="F102" i="13" s="1"/>
  <c r="Z102" i="13" s="1"/>
  <c r="F112" i="13" a="1"/>
  <c r="F112" i="13" s="1"/>
  <c r="Z112" i="13" s="1"/>
  <c r="F5" i="13" a="1"/>
  <c r="F5" i="13" s="1"/>
  <c r="Z5" i="13" s="1"/>
  <c r="F41" i="13" a="1"/>
  <c r="F41" i="13" s="1"/>
  <c r="Z41" i="13" s="1"/>
  <c r="F163" i="13" a="1"/>
  <c r="F163" i="13" s="1"/>
  <c r="Z163" i="13" s="1"/>
  <c r="F50" i="13" a="1"/>
  <c r="F50" i="13" s="1"/>
  <c r="Z50" i="13" s="1"/>
  <c r="F148" i="13" a="1"/>
  <c r="F148" i="13" s="1"/>
  <c r="Z148" i="13" s="1"/>
  <c r="F140" i="13" a="1"/>
  <c r="F140" i="13" s="1"/>
  <c r="Z140" i="13" s="1"/>
  <c r="F43" i="13" a="1"/>
  <c r="F43" i="13" s="1"/>
  <c r="Z43" i="13" s="1"/>
  <c r="F172" i="13" a="1"/>
  <c r="F172" i="13" s="1"/>
  <c r="Z172" i="13" s="1"/>
  <c r="F22" i="13" a="1"/>
  <c r="F22" i="13" s="1"/>
  <c r="Z22" i="13" s="1"/>
  <c r="E49" i="13" a="1"/>
  <c r="E49" i="13" s="1"/>
  <c r="G49" i="13" s="1"/>
  <c r="F76" i="13" a="1"/>
  <c r="F76" i="13" s="1"/>
  <c r="Z76" i="13" s="1"/>
  <c r="F98" i="13" a="1"/>
  <c r="F98" i="13" s="1"/>
  <c r="Z98" i="13" s="1"/>
  <c r="F158" i="13" a="1"/>
  <c r="F158" i="13" s="1"/>
  <c r="Z158" i="13" s="1"/>
  <c r="F198" i="13" a="1"/>
  <c r="F198" i="13" s="1"/>
  <c r="Z198" i="13" s="1"/>
  <c r="F34" i="13" a="1"/>
  <c r="F34" i="13" s="1"/>
  <c r="Z34" i="13" s="1"/>
  <c r="F67" i="13" a="1"/>
  <c r="F67" i="13" s="1"/>
  <c r="Z67" i="13" s="1"/>
  <c r="F85" i="13" a="1"/>
  <c r="F85" i="13" s="1"/>
  <c r="Z85" i="13" s="1"/>
  <c r="F151" i="13" a="1"/>
  <c r="F151" i="13" s="1"/>
  <c r="Z151" i="13" s="1"/>
  <c r="F13" i="13" a="1"/>
  <c r="F13" i="13" s="1"/>
  <c r="Z13" i="13" s="1"/>
  <c r="E3" i="13" a="1"/>
  <c r="E3" i="13" s="1"/>
  <c r="Y3" i="13" s="1"/>
  <c r="AA3" i="13" s="1"/>
  <c r="F89" i="13" a="1"/>
  <c r="F89" i="13" s="1"/>
  <c r="Z89" i="13" s="1"/>
  <c r="F168" i="13" a="1"/>
  <c r="F168" i="13" s="1"/>
  <c r="Z168" i="13" s="1"/>
  <c r="F11" i="13" a="1"/>
  <c r="F11" i="13" s="1"/>
  <c r="Z11" i="13" s="1"/>
  <c r="F36" i="13" a="1"/>
  <c r="F36" i="13" s="1"/>
  <c r="Z36" i="13" s="1"/>
  <c r="F40" i="13" a="1"/>
  <c r="F40" i="13" s="1"/>
  <c r="Z40" i="13" s="1"/>
  <c r="F80" i="13" a="1"/>
  <c r="F80" i="13" s="1"/>
  <c r="Z80" i="13" s="1"/>
  <c r="F146" i="13" a="1"/>
  <c r="F146" i="13" s="1"/>
  <c r="Z146" i="13" s="1"/>
  <c r="F178" i="13" a="1"/>
  <c r="F178" i="13" s="1"/>
  <c r="Z178" i="13" s="1"/>
  <c r="F27" i="13" a="1"/>
  <c r="F27" i="13" s="1"/>
  <c r="Z27" i="13" s="1"/>
  <c r="F63" i="13" a="1"/>
  <c r="F63" i="13" s="1"/>
  <c r="Z63" i="13" s="1"/>
  <c r="F82" i="13" a="1"/>
  <c r="F82" i="13" s="1"/>
  <c r="Z82" i="13" s="1"/>
  <c r="F144" i="13" a="1"/>
  <c r="F144" i="13" s="1"/>
  <c r="Z144" i="13" s="1"/>
  <c r="F132" i="13" a="1"/>
  <c r="F132" i="13" s="1"/>
  <c r="Z132" i="13" s="1"/>
  <c r="F81" i="13" a="1"/>
  <c r="F81" i="13" s="1"/>
  <c r="Z81" i="13" s="1"/>
  <c r="F159" i="13" a="1"/>
  <c r="F159" i="13" s="1"/>
  <c r="Z159" i="13" s="1"/>
  <c r="F160" i="13" a="1"/>
  <c r="F160" i="13" s="1"/>
  <c r="Z160" i="13" s="1"/>
  <c r="F32" i="13" a="1"/>
  <c r="F32" i="13" s="1"/>
  <c r="Z32" i="13" s="1"/>
  <c r="F62" i="13" a="1"/>
  <c r="F62" i="13" s="1"/>
  <c r="Z62" i="13" s="1"/>
  <c r="F128" i="13" a="1"/>
  <c r="F128" i="13" s="1"/>
  <c r="Z128" i="13" s="1"/>
  <c r="F166" i="13" a="1"/>
  <c r="F166" i="13" s="1"/>
  <c r="Z166" i="13" s="1"/>
  <c r="F10" i="13" a="1"/>
  <c r="F10" i="13" s="1"/>
  <c r="Z10" i="13" s="1"/>
  <c r="F68" i="13" a="1"/>
  <c r="F68" i="13" s="1"/>
  <c r="Z68" i="13" s="1"/>
  <c r="F141" i="13" a="1"/>
  <c r="F141" i="13" s="1"/>
  <c r="Z141" i="13" s="1"/>
  <c r="Y90" i="13"/>
  <c r="AA90" i="13" s="1"/>
  <c r="F156" i="13" a="1"/>
  <c r="F156" i="13" s="1"/>
  <c r="Z156" i="13" s="1"/>
  <c r="F184" i="13" a="1"/>
  <c r="F184" i="13" s="1"/>
  <c r="Z184" i="13" s="1"/>
  <c r="F14" i="13" a="1"/>
  <c r="F14" i="13" s="1"/>
  <c r="Z14" i="13" s="1"/>
  <c r="Z130" i="13"/>
  <c r="F130" i="13" a="1"/>
  <c r="F130" i="13" s="1"/>
  <c r="F58" i="13" a="1"/>
  <c r="F58" i="13" s="1"/>
  <c r="Z58" i="13" s="1"/>
  <c r="Z106" i="13"/>
  <c r="F106" i="13" a="1"/>
  <c r="F106" i="13" s="1"/>
  <c r="F154" i="13" a="1"/>
  <c r="F154" i="13" s="1"/>
  <c r="Z154" i="13" s="1"/>
  <c r="F195" i="13" a="1"/>
  <c r="F195" i="13" s="1"/>
  <c r="Z195" i="13" s="1"/>
  <c r="F55" i="13" a="1"/>
  <c r="F55" i="13" s="1"/>
  <c r="Z55" i="13" s="1"/>
  <c r="Z56" i="13"/>
  <c r="F56" i="13" a="1"/>
  <c r="F56" i="13" s="1"/>
  <c r="F138" i="13" a="1"/>
  <c r="F138" i="13" s="1"/>
  <c r="Z138" i="13" s="1"/>
  <c r="Z173" i="13"/>
  <c r="F173" i="13" a="1"/>
  <c r="F173" i="13" s="1"/>
  <c r="F94" i="13" a="1"/>
  <c r="F94" i="13" s="1"/>
  <c r="Z94" i="13" s="1"/>
  <c r="F164" i="13" a="1"/>
  <c r="F164" i="13" s="1"/>
  <c r="Z164" i="13" s="1"/>
  <c r="F176" i="13" a="1"/>
  <c r="F176" i="13" s="1"/>
  <c r="Z176" i="13" s="1"/>
  <c r="Z177" i="13"/>
  <c r="F177" i="13" a="1"/>
  <c r="F177" i="13" s="1"/>
  <c r="F48" i="13" a="1"/>
  <c r="F48" i="13" s="1"/>
  <c r="Z48" i="13" s="1"/>
  <c r="Z99" i="13"/>
  <c r="F99" i="13" a="1"/>
  <c r="F99" i="13" s="1"/>
  <c r="F125" i="13" a="1"/>
  <c r="F125" i="13" s="1"/>
  <c r="Z125" i="13" s="1"/>
  <c r="F182" i="13" a="1"/>
  <c r="F182" i="13" s="1"/>
  <c r="Z182" i="13" s="1"/>
  <c r="F30" i="13" a="1"/>
  <c r="F30" i="13" s="1"/>
  <c r="Z30" i="13" s="1"/>
  <c r="Z31" i="13"/>
  <c r="F31" i="13" a="1"/>
  <c r="F31" i="13" s="1"/>
  <c r="F104" i="13" a="1"/>
  <c r="F104" i="13" s="1"/>
  <c r="Z104" i="13" s="1"/>
  <c r="F196" i="13" a="1"/>
  <c r="F196" i="13" s="1"/>
  <c r="Z196" i="13" s="1"/>
  <c r="F111" i="13" a="1"/>
  <c r="F111" i="13" s="1"/>
  <c r="Z111" i="13" s="1"/>
  <c r="F180" i="13" a="1"/>
  <c r="F180" i="13" s="1"/>
  <c r="Z180" i="13" s="1"/>
  <c r="F183" i="13" a="1"/>
  <c r="F183" i="13" s="1"/>
  <c r="Z183" i="13" s="1"/>
  <c r="Z83" i="13"/>
  <c r="F83" i="13" a="1"/>
  <c r="F83" i="13" s="1"/>
  <c r="F136" i="13" a="1"/>
  <c r="F136" i="13" s="1"/>
  <c r="Z136" i="13" s="1"/>
  <c r="F145" i="13" a="1"/>
  <c r="F145" i="13" s="1"/>
  <c r="Z145" i="13" s="1"/>
  <c r="F153" i="13" a="1"/>
  <c r="F153" i="13" s="1"/>
  <c r="Z153" i="13" s="1"/>
  <c r="F26" i="13" a="1"/>
  <c r="F26" i="13" s="1"/>
  <c r="Z26" i="13" s="1"/>
  <c r="F96" i="13" a="1"/>
  <c r="F96" i="13" s="1"/>
  <c r="Z96" i="13" s="1"/>
  <c r="Z122" i="13"/>
  <c r="F122" i="13" a="1"/>
  <c r="F122" i="13" s="1"/>
  <c r="F170" i="13" a="1"/>
  <c r="F170" i="13" s="1"/>
  <c r="Z170" i="13" s="1"/>
  <c r="F21" i="13" a="1"/>
  <c r="F21" i="13" s="1"/>
  <c r="Z21" i="13" s="1"/>
  <c r="F24" i="13" a="1"/>
  <c r="F24" i="13" s="1"/>
  <c r="Z24" i="13" s="1"/>
  <c r="F100" i="13" a="1"/>
  <c r="F100" i="13" s="1"/>
  <c r="Z100" i="13" s="1"/>
  <c r="K191" i="15"/>
  <c r="Z9" i="20"/>
  <c r="X9" i="20" s="1"/>
  <c r="AA3" i="20"/>
  <c r="G60" i="13"/>
  <c r="G73" i="13"/>
  <c r="H16" i="15"/>
  <c r="Y9" i="13"/>
  <c r="T196" i="7"/>
  <c r="E196" i="8" s="1"/>
  <c r="H134" i="9"/>
  <c r="S134" i="9" s="1"/>
  <c r="H112" i="5"/>
  <c r="S112" i="5" s="1"/>
  <c r="X48" i="20"/>
  <c r="H55" i="15"/>
  <c r="AA59" i="20"/>
  <c r="H66" i="15"/>
  <c r="AA72" i="20"/>
  <c r="H79" i="15"/>
  <c r="H10" i="15"/>
  <c r="E148" i="6"/>
  <c r="H148" i="6" s="1"/>
  <c r="S148" i="6" s="1"/>
  <c r="T192" i="5"/>
  <c r="E192" i="6" s="1"/>
  <c r="AA48" i="20"/>
  <c r="J180" i="15"/>
  <c r="H87" i="7"/>
  <c r="S87" i="7" s="1"/>
  <c r="F53" i="20" a="1"/>
  <c r="F53" i="20" s="1"/>
  <c r="Z53" i="20" s="1"/>
  <c r="Z104" i="20"/>
  <c r="Z60" i="20"/>
  <c r="F28" i="20" a="1"/>
  <c r="F28" i="20" s="1"/>
  <c r="Z28" i="20" s="1"/>
  <c r="Z186" i="20"/>
  <c r="Z87" i="20"/>
  <c r="Z33" i="20"/>
  <c r="F70" i="20" a="1"/>
  <c r="F70" i="20" s="1"/>
  <c r="Z70" i="20" s="1"/>
  <c r="F23" i="20" a="1"/>
  <c r="F23" i="20" s="1"/>
  <c r="Z23" i="20" s="1"/>
  <c r="H41" i="5"/>
  <c r="S41" i="5" s="1"/>
  <c r="W112" i="5"/>
  <c r="F16" i="20"/>
  <c r="Z16" i="20" s="1"/>
  <c r="F196" i="20" a="1"/>
  <c r="F196" i="20" s="1"/>
  <c r="Z196" i="20" s="1"/>
  <c r="E139" i="8"/>
  <c r="T139" i="8" s="1"/>
  <c r="Z191" i="20"/>
  <c r="F133" i="20" a="1"/>
  <c r="F133" i="20" s="1"/>
  <c r="Z133" i="20" s="1"/>
  <c r="F78" i="20" a="1"/>
  <c r="F78" i="20" s="1"/>
  <c r="Z78" i="20" s="1"/>
  <c r="F119" i="20" a="1"/>
  <c r="F119" i="20" s="1"/>
  <c r="Z119" i="20" s="1"/>
  <c r="K197" i="15"/>
  <c r="H166" i="7"/>
  <c r="S166" i="7" s="1"/>
  <c r="J10" i="15"/>
  <c r="T60" i="7"/>
  <c r="E60" i="8" s="1"/>
  <c r="E39" i="8"/>
  <c r="H39" i="8" s="1"/>
  <c r="S39" i="8" s="1"/>
  <c r="H172" i="6"/>
  <c r="S172" i="6" s="1"/>
  <c r="T4" i="7"/>
  <c r="W4" i="7" s="1"/>
  <c r="W55" i="7"/>
  <c r="W61" i="7"/>
  <c r="W193" i="5"/>
  <c r="J186" i="15"/>
  <c r="J148" i="15"/>
  <c r="J153" i="15"/>
  <c r="W7" i="5"/>
  <c r="H17" i="8"/>
  <c r="S17" i="8" s="1"/>
  <c r="H7" i="6"/>
  <c r="S7" i="6" s="1"/>
  <c r="W17" i="7"/>
  <c r="H17" i="7"/>
  <c r="S17" i="7" s="1"/>
  <c r="W167" i="6"/>
  <c r="H193" i="5"/>
  <c r="S193" i="5" s="1"/>
  <c r="E22" i="7"/>
  <c r="T22" i="7" s="1"/>
  <c r="W167" i="5"/>
  <c r="H167" i="6"/>
  <c r="S167" i="6" s="1"/>
  <c r="J62" i="15"/>
  <c r="T172" i="6"/>
  <c r="W172" i="6" s="1"/>
  <c r="H18" i="7"/>
  <c r="S18" i="7" s="1"/>
  <c r="W172" i="5"/>
  <c r="H83" i="5"/>
  <c r="S83" i="5" s="1"/>
  <c r="W41" i="5"/>
  <c r="H23" i="7"/>
  <c r="S23" i="7" s="1"/>
  <c r="H31" i="5"/>
  <c r="S31" i="5" s="1"/>
  <c r="J189" i="15"/>
  <c r="J201" i="15"/>
  <c r="K24" i="15"/>
  <c r="J174" i="15"/>
  <c r="H76" i="7"/>
  <c r="S76" i="7" s="1"/>
  <c r="H61" i="7"/>
  <c r="S61" i="7" s="1"/>
  <c r="W46" i="5"/>
  <c r="H46" i="5"/>
  <c r="S46" i="5" s="1"/>
  <c r="K28" i="15"/>
  <c r="J192" i="15"/>
  <c r="J198" i="15"/>
  <c r="T199" i="7"/>
  <c r="W199" i="7" s="1"/>
  <c r="H61" i="8"/>
  <c r="S61" i="8" s="1"/>
  <c r="J182" i="15"/>
  <c r="W76" i="7"/>
  <c r="W166" i="6"/>
  <c r="W43" i="5"/>
  <c r="H29" i="5"/>
  <c r="S29" i="5" s="1"/>
  <c r="V29" i="5"/>
  <c r="H195" i="7"/>
  <c r="S195" i="7" s="1"/>
  <c r="B5" i="15"/>
  <c r="T115" i="7"/>
  <c r="E115" i="8" s="1"/>
  <c r="H172" i="5"/>
  <c r="S172" i="5" s="1"/>
  <c r="H119" i="5"/>
  <c r="S119" i="5" s="1"/>
  <c r="J200" i="15"/>
  <c r="K203" i="15"/>
  <c r="J203" i="15"/>
  <c r="H167" i="5"/>
  <c r="S167" i="5" s="1"/>
  <c r="T171" i="5"/>
  <c r="H171" i="5"/>
  <c r="S171" i="5" s="1"/>
  <c r="W19" i="5"/>
  <c r="W11" i="5"/>
  <c r="W153" i="5"/>
  <c r="W182" i="7"/>
  <c r="W43" i="6"/>
  <c r="H182" i="7"/>
  <c r="S182" i="7" s="1"/>
  <c r="H45" i="7"/>
  <c r="S45" i="7" s="1"/>
  <c r="W27" i="7"/>
  <c r="T30" i="5"/>
  <c r="H30" i="5"/>
  <c r="S30" i="5" s="1"/>
  <c r="E24" i="8"/>
  <c r="W24" i="7"/>
  <c r="H20" i="8"/>
  <c r="S20" i="8" s="1"/>
  <c r="T20" i="8"/>
  <c r="T84" i="8"/>
  <c r="H84" i="8"/>
  <c r="S84" i="8" s="1"/>
  <c r="E97" i="9"/>
  <c r="W97" i="8"/>
  <c r="T40" i="7"/>
  <c r="H40" i="7"/>
  <c r="S40" i="7" s="1"/>
  <c r="T54" i="7"/>
  <c r="H54" i="7"/>
  <c r="S54" i="7" s="1"/>
  <c r="E149" i="6"/>
  <c r="W149" i="5"/>
  <c r="W42" i="7"/>
  <c r="E42" i="8"/>
  <c r="T112" i="6"/>
  <c r="H112" i="6"/>
  <c r="S112" i="6" s="1"/>
  <c r="E37" i="8"/>
  <c r="W37" i="7"/>
  <c r="E17" i="9"/>
  <c r="W17" i="8"/>
  <c r="T56" i="7"/>
  <c r="H56" i="7"/>
  <c r="S56" i="7" s="1"/>
  <c r="H19" i="6"/>
  <c r="S19" i="6" s="1"/>
  <c r="W177" i="5"/>
  <c r="E177" i="6"/>
  <c r="H187" i="8"/>
  <c r="S187" i="8" s="1"/>
  <c r="T187" i="8"/>
  <c r="H53" i="8"/>
  <c r="S53" i="8" s="1"/>
  <c r="T53" i="8"/>
  <c r="T143" i="6"/>
  <c r="H143" i="6"/>
  <c r="S143" i="6" s="1"/>
  <c r="H44" i="7"/>
  <c r="S44" i="7" s="1"/>
  <c r="T44" i="7"/>
  <c r="T119" i="6"/>
  <c r="H119" i="6"/>
  <c r="S119" i="6" s="1"/>
  <c r="H62" i="12"/>
  <c r="S62" i="12" s="1"/>
  <c r="T62" i="12"/>
  <c r="E103" i="8"/>
  <c r="W103" i="7"/>
  <c r="H58" i="7"/>
  <c r="S58" i="7" s="1"/>
  <c r="T58" i="7"/>
  <c r="H109" i="6"/>
  <c r="S109" i="6" s="1"/>
  <c r="T109" i="6"/>
  <c r="E61" i="9"/>
  <c r="W61" i="8"/>
  <c r="T125" i="7"/>
  <c r="H125" i="7"/>
  <c r="S125" i="7" s="1"/>
  <c r="H51" i="5"/>
  <c r="S51" i="5" s="1"/>
  <c r="T51" i="5"/>
  <c r="T133" i="7"/>
  <c r="H133" i="7"/>
  <c r="S133" i="7" s="1"/>
  <c r="W134" i="9"/>
  <c r="E35" i="8"/>
  <c r="W35" i="7"/>
  <c r="T182" i="8"/>
  <c r="H182" i="8"/>
  <c r="S182" i="8" s="1"/>
  <c r="T137" i="8"/>
  <c r="H137" i="8"/>
  <c r="S137" i="8" s="1"/>
  <c r="E48" i="8"/>
  <c r="W48" i="7"/>
  <c r="T134" i="10"/>
  <c r="H134" i="10"/>
  <c r="S134" i="10" s="1"/>
  <c r="T158" i="7"/>
  <c r="H158" i="7"/>
  <c r="S158" i="7" s="1"/>
  <c r="E29" i="8"/>
  <c r="T135" i="7"/>
  <c r="H135" i="7"/>
  <c r="S135" i="7" s="1"/>
  <c r="H113" i="5"/>
  <c r="S113" i="5" s="1"/>
  <c r="E69" i="8"/>
  <c r="W69" i="7"/>
  <c r="T167" i="7"/>
  <c r="H167" i="7"/>
  <c r="S167" i="7" s="1"/>
  <c r="T9" i="6"/>
  <c r="H9" i="6"/>
  <c r="S9" i="6" s="1"/>
  <c r="H149" i="5"/>
  <c r="S149" i="5" s="1"/>
  <c r="T19" i="7"/>
  <c r="H19" i="7"/>
  <c r="S19" i="7" s="1"/>
  <c r="E124" i="8"/>
  <c r="W124" i="7"/>
  <c r="H43" i="7"/>
  <c r="S43" i="7" s="1"/>
  <c r="T43" i="7"/>
  <c r="E166" i="8"/>
  <c r="W166" i="7"/>
  <c r="T193" i="6"/>
  <c r="H193" i="6"/>
  <c r="S193" i="6" s="1"/>
  <c r="T122" i="5"/>
  <c r="H122" i="5"/>
  <c r="S122" i="5" s="1"/>
  <c r="T152" i="5"/>
  <c r="H152" i="5"/>
  <c r="S152" i="5" s="1"/>
  <c r="W87" i="7"/>
  <c r="E87" i="8"/>
  <c r="T12" i="5"/>
  <c r="H12" i="5"/>
  <c r="S12" i="5" s="1"/>
  <c r="T117" i="8"/>
  <c r="H117" i="8"/>
  <c r="S117" i="8" s="1"/>
  <c r="E49" i="7"/>
  <c r="W49" i="6"/>
  <c r="E161" i="8"/>
  <c r="W161" i="7"/>
  <c r="T41" i="7"/>
  <c r="H141" i="7"/>
  <c r="S141" i="7" s="1"/>
  <c r="T141" i="7"/>
  <c r="E164" i="6"/>
  <c r="W164" i="5"/>
  <c r="E181" i="8"/>
  <c r="W181" i="7"/>
  <c r="H106" i="7"/>
  <c r="S106" i="7" s="1"/>
  <c r="T106" i="7"/>
  <c r="H11" i="5"/>
  <c r="S11" i="5" s="1"/>
  <c r="E175" i="8"/>
  <c r="W175" i="7"/>
  <c r="H64" i="7"/>
  <c r="S64" i="7" s="1"/>
  <c r="T64" i="7"/>
  <c r="T36" i="5"/>
  <c r="H36" i="5"/>
  <c r="S36" i="5" s="1"/>
  <c r="T14" i="5"/>
  <c r="H14" i="5"/>
  <c r="S14" i="5" s="1"/>
  <c r="H20" i="7"/>
  <c r="S20" i="7" s="1"/>
  <c r="T120" i="8"/>
  <c r="H120" i="8"/>
  <c r="S120" i="8" s="1"/>
  <c r="H176" i="7"/>
  <c r="S176" i="7" s="1"/>
  <c r="T176" i="7"/>
  <c r="T47" i="7"/>
  <c r="H47" i="7"/>
  <c r="S47" i="7" s="1"/>
  <c r="W16" i="5"/>
  <c r="E16" i="6"/>
  <c r="H21" i="6"/>
  <c r="S21" i="6" s="1"/>
  <c r="T21" i="6"/>
  <c r="T131" i="8"/>
  <c r="H131" i="8"/>
  <c r="S131" i="8" s="1"/>
  <c r="W19" i="6"/>
  <c r="W196" i="7"/>
  <c r="W83" i="5"/>
  <c r="F83" i="6"/>
  <c r="H52" i="6"/>
  <c r="S52" i="6" s="1"/>
  <c r="T52" i="6"/>
  <c r="T108" i="8"/>
  <c r="H163" i="6"/>
  <c r="S163" i="6" s="1"/>
  <c r="T163" i="6"/>
  <c r="H151" i="6"/>
  <c r="S151" i="6" s="1"/>
  <c r="T151" i="6"/>
  <c r="E34" i="9"/>
  <c r="W34" i="8"/>
  <c r="H99" i="7"/>
  <c r="S99" i="7" s="1"/>
  <c r="T99" i="7"/>
  <c r="T194" i="10"/>
  <c r="H194" i="10"/>
  <c r="S194" i="10" s="1"/>
  <c r="E190" i="6"/>
  <c r="W190" i="5"/>
  <c r="E66" i="8"/>
  <c r="W66" i="7"/>
  <c r="E180" i="8"/>
  <c r="W180" i="7"/>
  <c r="T78" i="5"/>
  <c r="H78" i="5"/>
  <c r="S78" i="5" s="1"/>
  <c r="H92" i="5"/>
  <c r="S92" i="5" s="1"/>
  <c r="T92" i="5"/>
  <c r="T173" i="8"/>
  <c r="H173" i="8"/>
  <c r="S173" i="8" s="1"/>
  <c r="T123" i="5"/>
  <c r="H123" i="5"/>
  <c r="S123" i="5" s="1"/>
  <c r="E13" i="6"/>
  <c r="W13" i="5"/>
  <c r="H88" i="7"/>
  <c r="S88" i="7" s="1"/>
  <c r="T88" i="7"/>
  <c r="H144" i="7"/>
  <c r="S144" i="7" s="1"/>
  <c r="T144" i="7"/>
  <c r="T75" i="8"/>
  <c r="T150" i="5"/>
  <c r="H150" i="5"/>
  <c r="S150" i="5" s="1"/>
  <c r="T68" i="7"/>
  <c r="H68" i="7"/>
  <c r="S68" i="7" s="1"/>
  <c r="W20" i="7"/>
  <c r="W127" i="7"/>
  <c r="E127" i="8"/>
  <c r="T63" i="7"/>
  <c r="H63" i="7"/>
  <c r="S63" i="7" s="1"/>
  <c r="H50" i="9"/>
  <c r="S50" i="9" s="1"/>
  <c r="T50" i="9"/>
  <c r="H34" i="8"/>
  <c r="S34" i="8" s="1"/>
  <c r="H132" i="8"/>
  <c r="S132" i="8" s="1"/>
  <c r="T132" i="8"/>
  <c r="H129" i="7"/>
  <c r="S129" i="7" s="1"/>
  <c r="T129" i="7"/>
  <c r="W25" i="5"/>
  <c r="E25" i="6"/>
  <c r="H156" i="7"/>
  <c r="S156" i="7" s="1"/>
  <c r="T46" i="6"/>
  <c r="H46" i="6"/>
  <c r="S46" i="6" s="1"/>
  <c r="E142" i="6"/>
  <c r="W142" i="5"/>
  <c r="H197" i="7"/>
  <c r="S197" i="7" s="1"/>
  <c r="T197" i="7"/>
  <c r="H43" i="6"/>
  <c r="S43" i="6" s="1"/>
  <c r="T110" i="5"/>
  <c r="H110" i="5"/>
  <c r="S110" i="5" s="1"/>
  <c r="W111" i="5"/>
  <c r="E111" i="6"/>
  <c r="W79" i="5"/>
  <c r="E79" i="6"/>
  <c r="V41" i="6"/>
  <c r="H41" i="6"/>
  <c r="S41" i="6" s="1"/>
  <c r="H11" i="6"/>
  <c r="S11" i="6" s="1"/>
  <c r="T11" i="6"/>
  <c r="T169" i="6"/>
  <c r="H169" i="6"/>
  <c r="S169" i="6" s="1"/>
  <c r="T81" i="6"/>
  <c r="H81" i="6"/>
  <c r="S81" i="6" s="1"/>
  <c r="W18" i="7"/>
  <c r="E18" i="8"/>
  <c r="W157" i="8"/>
  <c r="E157" i="9"/>
  <c r="T147" i="5"/>
  <c r="H147" i="5"/>
  <c r="S147" i="5" s="1"/>
  <c r="E168" i="6"/>
  <c r="W168" i="5"/>
  <c r="W94" i="7"/>
  <c r="E94" i="8"/>
  <c r="E138" i="8"/>
  <c r="W138" i="7"/>
  <c r="H186" i="7"/>
  <c r="S186" i="7" s="1"/>
  <c r="T198" i="5"/>
  <c r="H198" i="5"/>
  <c r="S198" i="5" s="1"/>
  <c r="H19" i="5"/>
  <c r="S19" i="5" s="1"/>
  <c r="E107" i="8"/>
  <c r="W107" i="7"/>
  <c r="H183" i="7"/>
  <c r="S183" i="7" s="1"/>
  <c r="T183" i="7"/>
  <c r="H80" i="5"/>
  <c r="S80" i="5" s="1"/>
  <c r="T80" i="5"/>
  <c r="E59" i="6"/>
  <c r="W59" i="5"/>
  <c r="H178" i="7"/>
  <c r="S178" i="7" s="1"/>
  <c r="T178" i="7"/>
  <c r="H5" i="5"/>
  <c r="S5" i="5" s="1"/>
  <c r="T162" i="6"/>
  <c r="H162" i="6"/>
  <c r="S162" i="6" s="1"/>
  <c r="H26" i="5"/>
  <c r="S26" i="5" s="1"/>
  <c r="T26" i="5"/>
  <c r="E23" i="8"/>
  <c r="W23" i="7"/>
  <c r="T28" i="8"/>
  <c r="H28" i="8"/>
  <c r="S28" i="8" s="1"/>
  <c r="E96" i="8"/>
  <c r="W96" i="7"/>
  <c r="H116" i="7"/>
  <c r="S116" i="7" s="1"/>
  <c r="T116" i="7"/>
  <c r="U108" i="7"/>
  <c r="H108" i="7"/>
  <c r="S108" i="7" s="1"/>
  <c r="E184" i="8"/>
  <c r="W184" i="7"/>
  <c r="W189" i="5"/>
  <c r="E189" i="6"/>
  <c r="E45" i="8"/>
  <c r="W45" i="7"/>
  <c r="W10" i="5"/>
  <c r="E10" i="6"/>
  <c r="W5" i="5"/>
  <c r="E5" i="6"/>
  <c r="T67" i="6"/>
  <c r="H67" i="6"/>
  <c r="S67" i="6" s="1"/>
  <c r="E90" i="9"/>
  <c r="W90" i="8"/>
  <c r="E195" i="8"/>
  <c r="W195" i="7"/>
  <c r="W113" i="5"/>
  <c r="H130" i="7"/>
  <c r="S130" i="7" s="1"/>
  <c r="T130" i="7"/>
  <c r="W31" i="5"/>
  <c r="E31" i="6"/>
  <c r="E101" i="8"/>
  <c r="W101" i="7"/>
  <c r="T73" i="7"/>
  <c r="H73" i="7"/>
  <c r="S73" i="7" s="1"/>
  <c r="H143" i="5"/>
  <c r="S143" i="5" s="1"/>
  <c r="T174" i="7"/>
  <c r="H174" i="7"/>
  <c r="S174" i="7" s="1"/>
  <c r="H59" i="5"/>
  <c r="S59" i="5" s="1"/>
  <c r="T154" i="6"/>
  <c r="H154" i="6"/>
  <c r="S154" i="6" s="1"/>
  <c r="T126" i="8"/>
  <c r="H126" i="8"/>
  <c r="S126" i="8" s="1"/>
  <c r="W7" i="6"/>
  <c r="E7" i="7"/>
  <c r="E104" i="9"/>
  <c r="W104" i="8"/>
  <c r="E185" i="8"/>
  <c r="W185" i="7"/>
  <c r="H76" i="8"/>
  <c r="S76" i="8" s="1"/>
  <c r="T76" i="8"/>
  <c r="U75" i="7"/>
  <c r="H75" i="7"/>
  <c r="S75" i="7" s="1"/>
  <c r="T113" i="6"/>
  <c r="H113" i="6"/>
  <c r="S113" i="6" s="1"/>
  <c r="H55" i="8"/>
  <c r="S55" i="8" s="1"/>
  <c r="T55" i="8"/>
  <c r="H38" i="7"/>
  <c r="S38" i="7" s="1"/>
  <c r="T38" i="7"/>
  <c r="T188" i="5"/>
  <c r="H188" i="5"/>
  <c r="S188" i="5" s="1"/>
  <c r="E71" i="8"/>
  <c r="W71" i="7"/>
  <c r="T6" i="5"/>
  <c r="H6" i="5"/>
  <c r="S6" i="5" s="1"/>
  <c r="T8" i="5"/>
  <c r="H8" i="5"/>
  <c r="S8" i="5" s="1"/>
  <c r="T121" i="7"/>
  <c r="H121" i="7"/>
  <c r="S121" i="7" s="1"/>
  <c r="T91" i="7"/>
  <c r="H91" i="7"/>
  <c r="S91" i="7" s="1"/>
  <c r="T114" i="5"/>
  <c r="H114" i="5"/>
  <c r="S114" i="5" s="1"/>
  <c r="H102" i="7"/>
  <c r="S102" i="7" s="1"/>
  <c r="T102" i="7"/>
  <c r="E179" i="6"/>
  <c r="W179" i="5"/>
  <c r="H170" i="5"/>
  <c r="S170" i="5" s="1"/>
  <c r="T170" i="5"/>
  <c r="T148" i="6"/>
  <c r="T118" i="7"/>
  <c r="H118" i="7"/>
  <c r="S118" i="7" s="1"/>
  <c r="E156" i="8"/>
  <c r="W156" i="7"/>
  <c r="T27" i="8"/>
  <c r="H27" i="8"/>
  <c r="S27" i="8" s="1"/>
  <c r="E159" i="8"/>
  <c r="W159" i="7"/>
  <c r="W74" i="7"/>
  <c r="E74" i="8"/>
  <c r="E85" i="8"/>
  <c r="W85" i="7"/>
  <c r="W186" i="7"/>
  <c r="E186" i="8"/>
  <c r="T93" i="5"/>
  <c r="H93" i="5"/>
  <c r="S93" i="5" s="1"/>
  <c r="W32" i="5"/>
  <c r="E32" i="6"/>
  <c r="H185" i="7"/>
  <c r="S185" i="7" s="1"/>
  <c r="E160" i="8"/>
  <c r="W160" i="7"/>
  <c r="T77" i="7"/>
  <c r="H77" i="7"/>
  <c r="S77" i="7" s="1"/>
  <c r="T146" i="7"/>
  <c r="H146" i="7"/>
  <c r="S146" i="7" s="1"/>
  <c r="H89" i="8"/>
  <c r="S89" i="8" s="1"/>
  <c r="T89" i="8"/>
  <c r="E145" i="6"/>
  <c r="W145" i="5"/>
  <c r="W72" i="7"/>
  <c r="E72" i="8"/>
  <c r="T83" i="7"/>
  <c r="E65" i="8"/>
  <c r="W65" i="7"/>
  <c r="T15" i="5"/>
  <c r="H15" i="5"/>
  <c r="S15" i="5" s="1"/>
  <c r="T86" i="7"/>
  <c r="H86" i="7"/>
  <c r="S86" i="7" s="1"/>
  <c r="W143" i="5"/>
  <c r="T95" i="7"/>
  <c r="H95" i="7"/>
  <c r="S95" i="7" s="1"/>
  <c r="H82" i="6"/>
  <c r="S82" i="6" s="1"/>
  <c r="T82" i="6"/>
  <c r="T70" i="7"/>
  <c r="H70" i="7"/>
  <c r="S70" i="7" s="1"/>
  <c r="E140" i="8"/>
  <c r="W140" i="7"/>
  <c r="W57" i="5"/>
  <c r="E57" i="6"/>
  <c r="T153" i="6"/>
  <c r="H153" i="6"/>
  <c r="S153" i="6" s="1"/>
  <c r="H179" i="5"/>
  <c r="S179" i="5" s="1"/>
  <c r="W33" i="5"/>
  <c r="E33" i="6"/>
  <c r="H13" i="5"/>
  <c r="S13" i="5" s="1"/>
  <c r="W119" i="5"/>
  <c r="W105" i="5"/>
  <c r="E105" i="6"/>
  <c r="T136" i="7"/>
  <c r="H136" i="7"/>
  <c r="S136" i="7" s="1"/>
  <c r="H98" i="5"/>
  <c r="S98" i="5" s="1"/>
  <c r="T98" i="5"/>
  <c r="W165" i="5"/>
  <c r="E165" i="6"/>
  <c r="AA9" i="20" l="1"/>
  <c r="AA73" i="13"/>
  <c r="X73" i="13"/>
  <c r="F16" i="13" a="1"/>
  <c r="F16" i="13" s="1"/>
  <c r="Z16" i="13" s="1"/>
  <c r="Y49" i="13"/>
  <c r="AA49" i="13" s="1"/>
  <c r="Z197" i="13"/>
  <c r="F197" i="13" a="1"/>
  <c r="F197" i="13" s="1"/>
  <c r="F23" i="13" a="1"/>
  <c r="F23" i="13" s="1"/>
  <c r="Z23" i="13" s="1"/>
  <c r="F71" i="13" a="1"/>
  <c r="F71" i="13" s="1"/>
  <c r="Z71" i="13" s="1"/>
  <c r="G3" i="13"/>
  <c r="F120" i="13" a="1"/>
  <c r="F120" i="13" s="1"/>
  <c r="Z120" i="13" s="1"/>
  <c r="F88" i="13" a="1"/>
  <c r="F88" i="13" s="1"/>
  <c r="Z88" i="13" s="1"/>
  <c r="F134" i="13" a="1"/>
  <c r="F134" i="13" s="1"/>
  <c r="Z134" i="13" s="1"/>
  <c r="F28" i="13" a="1"/>
  <c r="F28" i="13" s="1"/>
  <c r="Z28" i="13" s="1"/>
  <c r="F33" i="13" a="1"/>
  <c r="F33" i="13" s="1"/>
  <c r="Z33" i="13" s="1"/>
  <c r="F54" i="13" a="1"/>
  <c r="F54" i="13" s="1"/>
  <c r="Z54" i="13" s="1"/>
  <c r="F79" i="13" a="1"/>
  <c r="F79" i="13" s="1"/>
  <c r="Z79" i="13" s="1"/>
  <c r="F187" i="13" a="1"/>
  <c r="F187" i="13" s="1"/>
  <c r="Z187" i="13" s="1"/>
  <c r="F192" i="13" a="1"/>
  <c r="F192" i="13" s="1"/>
  <c r="Z192" i="13" s="1"/>
  <c r="F61" i="13" a="1"/>
  <c r="F61" i="13" s="1"/>
  <c r="Z61" i="13" s="1"/>
  <c r="F105" i="13" a="1"/>
  <c r="F105" i="13" s="1"/>
  <c r="Z105" i="13" s="1"/>
  <c r="F9" i="13" a="1"/>
  <c r="F9" i="13" s="1"/>
  <c r="Z9" i="13" s="1"/>
  <c r="AA9" i="13" s="1"/>
  <c r="W60" i="7"/>
  <c r="W192" i="5"/>
  <c r="T39" i="8"/>
  <c r="E4" i="8"/>
  <c r="T4" i="8" s="1"/>
  <c r="H139" i="8"/>
  <c r="S139" i="8" s="1"/>
  <c r="E36" i="20" a="1"/>
  <c r="E36" i="20" s="1"/>
  <c r="D43" i="15" s="1"/>
  <c r="H22" i="7"/>
  <c r="S22" i="7" s="1"/>
  <c r="X60" i="13"/>
  <c r="X3" i="13"/>
  <c r="X90" i="13"/>
  <c r="E199" i="8"/>
  <c r="H199" i="8" s="1"/>
  <c r="S199" i="8" s="1"/>
  <c r="E172" i="7"/>
  <c r="T172" i="7" s="1"/>
  <c r="F5" i="3"/>
  <c r="G5" i="3" s="1"/>
  <c r="L10" i="15"/>
  <c r="W115" i="7"/>
  <c r="G29" i="6"/>
  <c r="W29" i="5"/>
  <c r="E171" i="6"/>
  <c r="W171" i="5"/>
  <c r="H65" i="8"/>
  <c r="S65" i="8" s="1"/>
  <c r="T65" i="8"/>
  <c r="G41" i="7"/>
  <c r="W41" i="6"/>
  <c r="E78" i="6"/>
  <c r="W78" i="5"/>
  <c r="T196" i="8"/>
  <c r="H196" i="8"/>
  <c r="S196" i="8" s="1"/>
  <c r="E70" i="8"/>
  <c r="W70" i="7"/>
  <c r="T7" i="7"/>
  <c r="H7" i="7"/>
  <c r="S7" i="7" s="1"/>
  <c r="T60" i="8"/>
  <c r="H60" i="8"/>
  <c r="S60" i="8" s="1"/>
  <c r="T18" i="8"/>
  <c r="H18" i="8"/>
  <c r="S18" i="8" s="1"/>
  <c r="H35" i="8"/>
  <c r="S35" i="8" s="1"/>
  <c r="T35" i="8"/>
  <c r="W121" i="7"/>
  <c r="E121" i="8"/>
  <c r="T127" i="8"/>
  <c r="H127" i="8"/>
  <c r="S127" i="8" s="1"/>
  <c r="T180" i="8"/>
  <c r="H180" i="8"/>
  <c r="S180" i="8" s="1"/>
  <c r="H33" i="6"/>
  <c r="S33" i="6" s="1"/>
  <c r="T33" i="6"/>
  <c r="T159" i="8"/>
  <c r="H159" i="8"/>
  <c r="S159" i="8" s="1"/>
  <c r="E162" i="7"/>
  <c r="W162" i="6"/>
  <c r="W183" i="7"/>
  <c r="E183" i="8"/>
  <c r="T25" i="6"/>
  <c r="H25" i="6"/>
  <c r="S25" i="6" s="1"/>
  <c r="E163" i="7"/>
  <c r="W163" i="6"/>
  <c r="E131" i="9"/>
  <c r="W131" i="8"/>
  <c r="T181" i="8"/>
  <c r="H181" i="8"/>
  <c r="S181" i="8" s="1"/>
  <c r="E117" i="9"/>
  <c r="W117" i="8"/>
  <c r="H166" i="8"/>
  <c r="S166" i="8" s="1"/>
  <c r="T166" i="8"/>
  <c r="E158" i="8"/>
  <c r="W158" i="7"/>
  <c r="E187" i="9"/>
  <c r="W187" i="8"/>
  <c r="W112" i="6"/>
  <c r="E112" i="7"/>
  <c r="T97" i="9"/>
  <c r="H97" i="9"/>
  <c r="S97" i="9" s="1"/>
  <c r="H32" i="6"/>
  <c r="S32" i="6" s="1"/>
  <c r="T32" i="6"/>
  <c r="E8" i="6"/>
  <c r="W8" i="5"/>
  <c r="W113" i="6"/>
  <c r="E113" i="7"/>
  <c r="W126" i="8"/>
  <c r="E126" i="9"/>
  <c r="T10" i="6"/>
  <c r="H10" i="6"/>
  <c r="S10" i="6" s="1"/>
  <c r="T168" i="6"/>
  <c r="H168" i="6"/>
  <c r="S168" i="6" s="1"/>
  <c r="E81" i="7"/>
  <c r="W81" i="6"/>
  <c r="T13" i="6"/>
  <c r="H13" i="6"/>
  <c r="S13" i="6" s="1"/>
  <c r="T66" i="8"/>
  <c r="H66" i="8"/>
  <c r="S66" i="8" s="1"/>
  <c r="E21" i="7"/>
  <c r="W21" i="6"/>
  <c r="E14" i="6"/>
  <c r="W14" i="5"/>
  <c r="W43" i="7"/>
  <c r="E43" i="8"/>
  <c r="E167" i="8"/>
  <c r="W167" i="7"/>
  <c r="W133" i="7"/>
  <c r="E133" i="8"/>
  <c r="H103" i="8"/>
  <c r="S103" i="8" s="1"/>
  <c r="T103" i="8"/>
  <c r="T42" i="8"/>
  <c r="H42" i="8"/>
  <c r="S42" i="8" s="1"/>
  <c r="T74" i="8"/>
  <c r="H74" i="8"/>
  <c r="S74" i="8" s="1"/>
  <c r="E67" i="7"/>
  <c r="W67" i="6"/>
  <c r="E88" i="8"/>
  <c r="W88" i="7"/>
  <c r="T37" i="8"/>
  <c r="H37" i="8"/>
  <c r="S37" i="8" s="1"/>
  <c r="E82" i="7"/>
  <c r="W82" i="6"/>
  <c r="T160" i="8"/>
  <c r="H160" i="8"/>
  <c r="S160" i="8" s="1"/>
  <c r="T101" i="8"/>
  <c r="H101" i="8"/>
  <c r="S101" i="8" s="1"/>
  <c r="T72" i="8"/>
  <c r="H72" i="8"/>
  <c r="S72" i="8" s="1"/>
  <c r="T31" i="6"/>
  <c r="H31" i="6"/>
  <c r="S31" i="6" s="1"/>
  <c r="T111" i="6"/>
  <c r="H111" i="6"/>
  <c r="S111" i="6" s="1"/>
  <c r="T165" i="6"/>
  <c r="H165" i="6"/>
  <c r="S165" i="6" s="1"/>
  <c r="W95" i="7"/>
  <c r="E95" i="8"/>
  <c r="W27" i="8"/>
  <c r="E27" i="9"/>
  <c r="H179" i="6"/>
  <c r="S179" i="6" s="1"/>
  <c r="T179" i="6"/>
  <c r="E130" i="8"/>
  <c r="W130" i="7"/>
  <c r="T96" i="8"/>
  <c r="H96" i="8"/>
  <c r="S96" i="8" s="1"/>
  <c r="E178" i="8"/>
  <c r="W178" i="7"/>
  <c r="E129" i="8"/>
  <c r="W129" i="7"/>
  <c r="H164" i="6"/>
  <c r="S164" i="6" s="1"/>
  <c r="T164" i="6"/>
  <c r="W12" i="5"/>
  <c r="E12" i="6"/>
  <c r="E134" i="11"/>
  <c r="W134" i="10"/>
  <c r="E51" i="6"/>
  <c r="W51" i="5"/>
  <c r="W62" i="12"/>
  <c r="H177" i="6"/>
  <c r="S177" i="6" s="1"/>
  <c r="T177" i="6"/>
  <c r="W84" i="8"/>
  <c r="E84" i="9"/>
  <c r="E148" i="7"/>
  <c r="W148" i="6"/>
  <c r="W73" i="7"/>
  <c r="E73" i="8"/>
  <c r="T138" i="8"/>
  <c r="H138" i="8"/>
  <c r="S138" i="8" s="1"/>
  <c r="W80" i="5"/>
  <c r="E80" i="6"/>
  <c r="E63" i="8"/>
  <c r="W63" i="7"/>
  <c r="E53" i="9"/>
  <c r="W53" i="8"/>
  <c r="T192" i="6"/>
  <c r="H192" i="6"/>
  <c r="S192" i="6" s="1"/>
  <c r="W123" i="5"/>
  <c r="E123" i="6"/>
  <c r="W153" i="6"/>
  <c r="E153" i="7"/>
  <c r="W93" i="5"/>
  <c r="E93" i="6"/>
  <c r="W139" i="8"/>
  <c r="E139" i="9"/>
  <c r="E76" i="9"/>
  <c r="W76" i="8"/>
  <c r="E132" i="9"/>
  <c r="W132" i="8"/>
  <c r="E52" i="7"/>
  <c r="W52" i="6"/>
  <c r="T71" i="8"/>
  <c r="H71" i="8"/>
  <c r="S71" i="8" s="1"/>
  <c r="E22" i="8"/>
  <c r="W22" i="7"/>
  <c r="E147" i="6"/>
  <c r="W147" i="5"/>
  <c r="W197" i="7"/>
  <c r="E197" i="8"/>
  <c r="E150" i="6"/>
  <c r="W150" i="5"/>
  <c r="E173" i="9"/>
  <c r="W173" i="8"/>
  <c r="W194" i="10"/>
  <c r="E194" i="11"/>
  <c r="W125" i="7"/>
  <c r="E125" i="8"/>
  <c r="E119" i="7"/>
  <c r="W119" i="6"/>
  <c r="E91" i="8"/>
  <c r="W91" i="7"/>
  <c r="H59" i="6"/>
  <c r="S59" i="6" s="1"/>
  <c r="T59" i="6"/>
  <c r="E55" i="9"/>
  <c r="W55" i="8"/>
  <c r="T79" i="6"/>
  <c r="H79" i="6"/>
  <c r="S79" i="6" s="1"/>
  <c r="E58" i="8"/>
  <c r="W58" i="7"/>
  <c r="B13" i="2"/>
  <c r="E39" i="9"/>
  <c r="W39" i="8"/>
  <c r="T16" i="6"/>
  <c r="H16" i="6"/>
  <c r="S16" i="6" s="1"/>
  <c r="T45" i="8"/>
  <c r="H45" i="8"/>
  <c r="S45" i="8" s="1"/>
  <c r="E64" i="8"/>
  <c r="W64" i="7"/>
  <c r="T124" i="8"/>
  <c r="H124" i="8"/>
  <c r="S124" i="8" s="1"/>
  <c r="E169" i="7"/>
  <c r="W169" i="6"/>
  <c r="T156" i="8"/>
  <c r="H156" i="8"/>
  <c r="S156" i="8" s="1"/>
  <c r="E174" i="8"/>
  <c r="W174" i="7"/>
  <c r="T195" i="8"/>
  <c r="H195" i="8"/>
  <c r="S195" i="8" s="1"/>
  <c r="H23" i="8"/>
  <c r="S23" i="8" s="1"/>
  <c r="T23" i="8"/>
  <c r="E198" i="6"/>
  <c r="W198" i="5"/>
  <c r="T157" i="9"/>
  <c r="H157" i="9"/>
  <c r="S157" i="9" s="1"/>
  <c r="E11" i="7"/>
  <c r="W11" i="6"/>
  <c r="W92" i="5"/>
  <c r="E92" i="6"/>
  <c r="E99" i="8"/>
  <c r="W99" i="7"/>
  <c r="U83" i="6"/>
  <c r="H83" i="6"/>
  <c r="S83" i="6" s="1"/>
  <c r="E47" i="8"/>
  <c r="W47" i="7"/>
  <c r="E41" i="8"/>
  <c r="E152" i="6"/>
  <c r="W152" i="5"/>
  <c r="W19" i="7"/>
  <c r="E19" i="8"/>
  <c r="E135" i="8"/>
  <c r="W135" i="7"/>
  <c r="E137" i="9"/>
  <c r="W137" i="8"/>
  <c r="E44" i="8"/>
  <c r="W44" i="7"/>
  <c r="E56" i="8"/>
  <c r="W56" i="7"/>
  <c r="E54" i="8"/>
  <c r="W54" i="7"/>
  <c r="H24" i="8"/>
  <c r="S24" i="8" s="1"/>
  <c r="T24" i="8"/>
  <c r="E77" i="8"/>
  <c r="W77" i="7"/>
  <c r="H104" i="9"/>
  <c r="S104" i="9" s="1"/>
  <c r="T104" i="9"/>
  <c r="T34" i="9"/>
  <c r="H34" i="9"/>
  <c r="S34" i="9" s="1"/>
  <c r="E143" i="7"/>
  <c r="W143" i="6"/>
  <c r="F108" i="8"/>
  <c r="W108" i="7"/>
  <c r="T94" i="8"/>
  <c r="H94" i="8"/>
  <c r="S94" i="8" s="1"/>
  <c r="T145" i="6"/>
  <c r="H145" i="6"/>
  <c r="S145" i="6" s="1"/>
  <c r="E154" i="7"/>
  <c r="W154" i="6"/>
  <c r="T107" i="8"/>
  <c r="H107" i="8"/>
  <c r="S107" i="8" s="1"/>
  <c r="E102" i="8"/>
  <c r="W102" i="7"/>
  <c r="E28" i="9"/>
  <c r="W28" i="8"/>
  <c r="T57" i="6"/>
  <c r="H57" i="6"/>
  <c r="S57" i="6" s="1"/>
  <c r="E86" i="8"/>
  <c r="W86" i="7"/>
  <c r="E15" i="6"/>
  <c r="W15" i="5"/>
  <c r="E146" i="8"/>
  <c r="W146" i="7"/>
  <c r="W114" i="5"/>
  <c r="E114" i="6"/>
  <c r="W188" i="5"/>
  <c r="E188" i="6"/>
  <c r="T185" i="8"/>
  <c r="H185" i="8"/>
  <c r="S185" i="8" s="1"/>
  <c r="W26" i="5"/>
  <c r="E26" i="6"/>
  <c r="H4" i="8"/>
  <c r="S4" i="8" s="1"/>
  <c r="E75" i="9"/>
  <c r="E176" i="8"/>
  <c r="W176" i="7"/>
  <c r="E106" i="8"/>
  <c r="W106" i="7"/>
  <c r="E9" i="7"/>
  <c r="W9" i="6"/>
  <c r="E46" i="7"/>
  <c r="W46" i="6"/>
  <c r="E151" i="7"/>
  <c r="W151" i="6"/>
  <c r="E120" i="9"/>
  <c r="W120" i="8"/>
  <c r="H49" i="7"/>
  <c r="S49" i="7" s="1"/>
  <c r="T49" i="7"/>
  <c r="W193" i="6"/>
  <c r="E193" i="7"/>
  <c r="E40" i="8"/>
  <c r="W40" i="7"/>
  <c r="E83" i="8"/>
  <c r="E170" i="6"/>
  <c r="W170" i="5"/>
  <c r="H5" i="6"/>
  <c r="S5" i="6" s="1"/>
  <c r="T5" i="6"/>
  <c r="E116" i="8"/>
  <c r="W116" i="7"/>
  <c r="W6" i="5"/>
  <c r="E6" i="6"/>
  <c r="F75" i="8"/>
  <c r="W75" i="7"/>
  <c r="E110" i="6"/>
  <c r="W110" i="5"/>
  <c r="E68" i="8"/>
  <c r="W68" i="7"/>
  <c r="T190" i="6"/>
  <c r="H190" i="6"/>
  <c r="S190" i="6" s="1"/>
  <c r="E108" i="9"/>
  <c r="W36" i="5"/>
  <c r="E36" i="6"/>
  <c r="E141" i="8"/>
  <c r="W141" i="7"/>
  <c r="T87" i="8"/>
  <c r="H87" i="8"/>
  <c r="S87" i="8" s="1"/>
  <c r="T69" i="8"/>
  <c r="H69" i="8"/>
  <c r="S69" i="8" s="1"/>
  <c r="E20" i="9"/>
  <c r="W20" i="8"/>
  <c r="E98" i="6"/>
  <c r="W98" i="5"/>
  <c r="E89" i="9"/>
  <c r="W89" i="8"/>
  <c r="T48" i="8"/>
  <c r="H48" i="8"/>
  <c r="S48" i="8" s="1"/>
  <c r="T149" i="6"/>
  <c r="H149" i="6"/>
  <c r="S149" i="6" s="1"/>
  <c r="H186" i="8"/>
  <c r="S186" i="8" s="1"/>
  <c r="T186" i="8"/>
  <c r="T189" i="6"/>
  <c r="H189" i="6"/>
  <c r="S189" i="6" s="1"/>
  <c r="E136" i="8"/>
  <c r="W136" i="7"/>
  <c r="E50" i="10"/>
  <c r="W50" i="9"/>
  <c r="H175" i="8"/>
  <c r="S175" i="8" s="1"/>
  <c r="T175" i="8"/>
  <c r="H61" i="9"/>
  <c r="S61" i="9" s="1"/>
  <c r="T61" i="9"/>
  <c r="T105" i="6"/>
  <c r="H105" i="6"/>
  <c r="S105" i="6" s="1"/>
  <c r="T140" i="8"/>
  <c r="H140" i="8"/>
  <c r="S140" i="8" s="1"/>
  <c r="T85" i="8"/>
  <c r="H85" i="8"/>
  <c r="S85" i="8" s="1"/>
  <c r="E118" i="8"/>
  <c r="W118" i="7"/>
  <c r="E38" i="8"/>
  <c r="W38" i="7"/>
  <c r="T90" i="9"/>
  <c r="H90" i="9"/>
  <c r="S90" i="9" s="1"/>
  <c r="T184" i="8"/>
  <c r="H184" i="8"/>
  <c r="S184" i="8" s="1"/>
  <c r="H142" i="6"/>
  <c r="S142" i="6" s="1"/>
  <c r="T142" i="6"/>
  <c r="E144" i="8"/>
  <c r="W144" i="7"/>
  <c r="T161" i="8"/>
  <c r="H161" i="8"/>
  <c r="S161" i="8" s="1"/>
  <c r="E122" i="6"/>
  <c r="W122" i="5"/>
  <c r="T29" i="8"/>
  <c r="W182" i="8"/>
  <c r="E182" i="9"/>
  <c r="E109" i="7"/>
  <c r="W109" i="6"/>
  <c r="H17" i="9"/>
  <c r="S17" i="9" s="1"/>
  <c r="T17" i="9"/>
  <c r="H115" i="8"/>
  <c r="S115" i="8" s="1"/>
  <c r="T115" i="8"/>
  <c r="W30" i="5"/>
  <c r="E30" i="6"/>
  <c r="X49" i="13" l="1"/>
  <c r="T199" i="8"/>
  <c r="W199" i="8" s="1"/>
  <c r="AO36" i="20"/>
  <c r="AP36" i="20" s="1"/>
  <c r="Y36" i="20" s="1"/>
  <c r="E36" i="13" s="1" a="1"/>
  <c r="E36" i="13" s="1"/>
  <c r="G36" i="20"/>
  <c r="H172" i="7"/>
  <c r="S172" i="7" s="1"/>
  <c r="V29" i="6"/>
  <c r="H29" i="6"/>
  <c r="S29" i="6" s="1"/>
  <c r="H171" i="6"/>
  <c r="S171" i="6" s="1"/>
  <c r="T171" i="6"/>
  <c r="J196" i="15"/>
  <c r="K196" i="15" s="1"/>
  <c r="H198" i="6"/>
  <c r="S198" i="6" s="1"/>
  <c r="T198" i="6"/>
  <c r="W124" i="8"/>
  <c r="E124" i="9"/>
  <c r="H187" i="9"/>
  <c r="S187" i="9" s="1"/>
  <c r="T187" i="9"/>
  <c r="E29" i="9"/>
  <c r="E149" i="7"/>
  <c r="W149" i="6"/>
  <c r="T46" i="7"/>
  <c r="H46" i="7"/>
  <c r="S46" i="7" s="1"/>
  <c r="T86" i="8"/>
  <c r="H86" i="8"/>
  <c r="S86" i="8" s="1"/>
  <c r="E145" i="7"/>
  <c r="W145" i="6"/>
  <c r="T113" i="7"/>
  <c r="H113" i="7"/>
  <c r="S113" i="7" s="1"/>
  <c r="E175" i="9"/>
  <c r="W175" i="8"/>
  <c r="E138" i="9"/>
  <c r="W138" i="8"/>
  <c r="E111" i="7"/>
  <c r="W111" i="6"/>
  <c r="T82" i="7"/>
  <c r="H82" i="7"/>
  <c r="S82" i="7" s="1"/>
  <c r="E66" i="9"/>
  <c r="W66" i="8"/>
  <c r="T158" i="8"/>
  <c r="H158" i="8"/>
  <c r="S158" i="8" s="1"/>
  <c r="E127" i="9"/>
  <c r="W127" i="8"/>
  <c r="H70" i="8"/>
  <c r="S70" i="8" s="1"/>
  <c r="T70" i="8"/>
  <c r="T122" i="6"/>
  <c r="H122" i="6"/>
  <c r="S122" i="6" s="1"/>
  <c r="H38" i="8"/>
  <c r="S38" i="8" s="1"/>
  <c r="T38" i="8"/>
  <c r="E48" i="9"/>
  <c r="W48" i="8"/>
  <c r="T141" i="8"/>
  <c r="H141" i="8"/>
  <c r="S141" i="8" s="1"/>
  <c r="U75" i="8"/>
  <c r="H75" i="8"/>
  <c r="S75" i="8" s="1"/>
  <c r="H40" i="8"/>
  <c r="S40" i="8" s="1"/>
  <c r="T40" i="8"/>
  <c r="T9" i="7"/>
  <c r="H9" i="7"/>
  <c r="S9" i="7" s="1"/>
  <c r="E185" i="9"/>
  <c r="W185" i="8"/>
  <c r="E57" i="7"/>
  <c r="W57" i="6"/>
  <c r="E199" i="9"/>
  <c r="H77" i="8"/>
  <c r="S77" i="8" s="1"/>
  <c r="T77" i="8"/>
  <c r="H135" i="8"/>
  <c r="S135" i="8" s="1"/>
  <c r="T135" i="8"/>
  <c r="T99" i="8"/>
  <c r="H99" i="8"/>
  <c r="S99" i="8" s="1"/>
  <c r="E195" i="9"/>
  <c r="W195" i="8"/>
  <c r="E45" i="9"/>
  <c r="W45" i="8"/>
  <c r="T123" i="6"/>
  <c r="H123" i="6"/>
  <c r="S123" i="6" s="1"/>
  <c r="T73" i="8"/>
  <c r="H73" i="8"/>
  <c r="S73" i="8" s="1"/>
  <c r="H133" i="8"/>
  <c r="S133" i="8" s="1"/>
  <c r="T133" i="8"/>
  <c r="E166" i="9"/>
  <c r="W166" i="8"/>
  <c r="T183" i="8"/>
  <c r="H183" i="8"/>
  <c r="S183" i="8" s="1"/>
  <c r="T121" i="8"/>
  <c r="H121" i="8"/>
  <c r="S121" i="8" s="1"/>
  <c r="T68" i="8"/>
  <c r="H68" i="8"/>
  <c r="S68" i="8" s="1"/>
  <c r="H47" i="8"/>
  <c r="S47" i="8" s="1"/>
  <c r="T47" i="8"/>
  <c r="E104" i="10"/>
  <c r="W104" i="9"/>
  <c r="E23" i="9"/>
  <c r="W23" i="8"/>
  <c r="W180" i="8"/>
  <c r="E180" i="9"/>
  <c r="H110" i="6"/>
  <c r="S110" i="6" s="1"/>
  <c r="T110" i="6"/>
  <c r="F83" i="7"/>
  <c r="W83" i="6"/>
  <c r="H64" i="8"/>
  <c r="S64" i="8" s="1"/>
  <c r="T64" i="8"/>
  <c r="E103" i="9"/>
  <c r="W103" i="8"/>
  <c r="T30" i="6"/>
  <c r="H30" i="6"/>
  <c r="S30" i="6" s="1"/>
  <c r="T55" i="9"/>
  <c r="H55" i="9"/>
  <c r="S55" i="9" s="1"/>
  <c r="W71" i="8"/>
  <c r="E71" i="9"/>
  <c r="T51" i="6"/>
  <c r="H51" i="6"/>
  <c r="S51" i="6" s="1"/>
  <c r="W96" i="8"/>
  <c r="E96" i="9"/>
  <c r="E25" i="7"/>
  <c r="W25" i="6"/>
  <c r="E115" i="9"/>
  <c r="W115" i="8"/>
  <c r="T36" i="6"/>
  <c r="H36" i="6"/>
  <c r="S36" i="6" s="1"/>
  <c r="H6" i="6"/>
  <c r="S6" i="6" s="1"/>
  <c r="T6" i="6"/>
  <c r="H193" i="7"/>
  <c r="S193" i="7" s="1"/>
  <c r="T193" i="7"/>
  <c r="H188" i="6"/>
  <c r="S188" i="6" s="1"/>
  <c r="T188" i="6"/>
  <c r="E24" i="9"/>
  <c r="W24" i="8"/>
  <c r="H19" i="8"/>
  <c r="S19" i="8" s="1"/>
  <c r="T19" i="8"/>
  <c r="T92" i="6"/>
  <c r="H92" i="6"/>
  <c r="S92" i="6" s="1"/>
  <c r="T173" i="9"/>
  <c r="H173" i="9"/>
  <c r="S173" i="9" s="1"/>
  <c r="H52" i="7"/>
  <c r="S52" i="7" s="1"/>
  <c r="T52" i="7"/>
  <c r="T134" i="11"/>
  <c r="H134" i="11"/>
  <c r="S134" i="11" s="1"/>
  <c r="T130" i="8"/>
  <c r="H130" i="8"/>
  <c r="S130" i="8" s="1"/>
  <c r="E31" i="7"/>
  <c r="W31" i="6"/>
  <c r="E37" i="9"/>
  <c r="W37" i="8"/>
  <c r="E13" i="7"/>
  <c r="W13" i="6"/>
  <c r="T8" i="6"/>
  <c r="H8" i="6"/>
  <c r="S8" i="6" s="1"/>
  <c r="E196" i="9"/>
  <c r="W196" i="8"/>
  <c r="E69" i="9"/>
  <c r="W69" i="8"/>
  <c r="T170" i="6"/>
  <c r="H170" i="6"/>
  <c r="S170" i="6" s="1"/>
  <c r="T80" i="6"/>
  <c r="H80" i="6"/>
  <c r="S80" i="6" s="1"/>
  <c r="T126" i="9"/>
  <c r="H126" i="9"/>
  <c r="S126" i="9" s="1"/>
  <c r="W61" i="9"/>
  <c r="E61" i="10"/>
  <c r="W42" i="8"/>
  <c r="E42" i="9"/>
  <c r="H153" i="7"/>
  <c r="S153" i="7" s="1"/>
  <c r="T153" i="7"/>
  <c r="H118" i="8"/>
  <c r="S118" i="8" s="1"/>
  <c r="T118" i="8"/>
  <c r="T150" i="6"/>
  <c r="H150" i="6"/>
  <c r="S150" i="6" s="1"/>
  <c r="W72" i="8"/>
  <c r="E72" i="9"/>
  <c r="H117" i="9"/>
  <c r="S117" i="9" s="1"/>
  <c r="T117" i="9"/>
  <c r="H136" i="8"/>
  <c r="S136" i="8" s="1"/>
  <c r="T136" i="8"/>
  <c r="T108" i="9"/>
  <c r="H116" i="8"/>
  <c r="S116" i="8" s="1"/>
  <c r="T116" i="8"/>
  <c r="T176" i="8"/>
  <c r="H176" i="8"/>
  <c r="S176" i="8" s="1"/>
  <c r="T102" i="8"/>
  <c r="H102" i="8"/>
  <c r="S102" i="8" s="1"/>
  <c r="U108" i="8"/>
  <c r="H108" i="8"/>
  <c r="S108" i="8" s="1"/>
  <c r="T54" i="8"/>
  <c r="H54" i="8"/>
  <c r="S54" i="8" s="1"/>
  <c r="H152" i="6"/>
  <c r="S152" i="6" s="1"/>
  <c r="T152" i="6"/>
  <c r="H11" i="7"/>
  <c r="S11" i="7" s="1"/>
  <c r="T11" i="7"/>
  <c r="E156" i="9"/>
  <c r="W156" i="8"/>
  <c r="T39" i="9"/>
  <c r="H39" i="9"/>
  <c r="S39" i="9" s="1"/>
  <c r="T197" i="8"/>
  <c r="H197" i="8"/>
  <c r="S197" i="8" s="1"/>
  <c r="T84" i="9"/>
  <c r="H84" i="9"/>
  <c r="S84" i="9" s="1"/>
  <c r="W164" i="6"/>
  <c r="E164" i="7"/>
  <c r="T27" i="9"/>
  <c r="H27" i="9"/>
  <c r="S27" i="9" s="1"/>
  <c r="E172" i="8"/>
  <c r="W172" i="7"/>
  <c r="T43" i="8"/>
  <c r="H43" i="8"/>
  <c r="S43" i="8" s="1"/>
  <c r="E184" i="9"/>
  <c r="W184" i="8"/>
  <c r="H151" i="7"/>
  <c r="S151" i="7" s="1"/>
  <c r="T151" i="7"/>
  <c r="T15" i="6"/>
  <c r="H15" i="6"/>
  <c r="S15" i="6" s="1"/>
  <c r="E34" i="10"/>
  <c r="W34" i="9"/>
  <c r="T125" i="8"/>
  <c r="H125" i="8"/>
  <c r="S125" i="8" s="1"/>
  <c r="H26" i="6"/>
  <c r="S26" i="6" s="1"/>
  <c r="T26" i="6"/>
  <c r="E79" i="7"/>
  <c r="W79" i="6"/>
  <c r="T163" i="7"/>
  <c r="H163" i="7"/>
  <c r="S163" i="7" s="1"/>
  <c r="W87" i="8"/>
  <c r="E87" i="9"/>
  <c r="T194" i="11"/>
  <c r="H194" i="11"/>
  <c r="S194" i="11" s="1"/>
  <c r="H89" i="9"/>
  <c r="S89" i="9" s="1"/>
  <c r="T89" i="9"/>
  <c r="T28" i="9"/>
  <c r="H28" i="9"/>
  <c r="S28" i="9" s="1"/>
  <c r="H174" i="8"/>
  <c r="S174" i="8" s="1"/>
  <c r="T174" i="8"/>
  <c r="E59" i="7"/>
  <c r="W59" i="6"/>
  <c r="H12" i="6"/>
  <c r="S12" i="6" s="1"/>
  <c r="T12" i="6"/>
  <c r="E32" i="7"/>
  <c r="W32" i="6"/>
  <c r="T114" i="6"/>
  <c r="H114" i="6"/>
  <c r="S114" i="6" s="1"/>
  <c r="E192" i="7"/>
  <c r="W192" i="6"/>
  <c r="T167" i="8"/>
  <c r="H167" i="8"/>
  <c r="S167" i="8" s="1"/>
  <c r="E142" i="7"/>
  <c r="W142" i="6"/>
  <c r="E5" i="7"/>
  <c r="W5" i="6"/>
  <c r="H91" i="8"/>
  <c r="S91" i="8" s="1"/>
  <c r="T91" i="8"/>
  <c r="H76" i="9"/>
  <c r="S76" i="9" s="1"/>
  <c r="T76" i="9"/>
  <c r="T53" i="9"/>
  <c r="H53" i="9"/>
  <c r="S53" i="9" s="1"/>
  <c r="T67" i="7"/>
  <c r="H67" i="7"/>
  <c r="S67" i="7" s="1"/>
  <c r="E168" i="7"/>
  <c r="W168" i="6"/>
  <c r="E97" i="10"/>
  <c r="W97" i="9"/>
  <c r="W181" i="8"/>
  <c r="E181" i="9"/>
  <c r="W159" i="8"/>
  <c r="E159" i="9"/>
  <c r="E18" i="9"/>
  <c r="W18" i="8"/>
  <c r="V41" i="7"/>
  <c r="H41" i="7"/>
  <c r="S41" i="7" s="1"/>
  <c r="E105" i="7"/>
  <c r="W105" i="6"/>
  <c r="W4" i="8"/>
  <c r="E4" i="9"/>
  <c r="E161" i="9"/>
  <c r="W161" i="8"/>
  <c r="T106" i="8"/>
  <c r="H106" i="8"/>
  <c r="S106" i="8" s="1"/>
  <c r="E35" i="9"/>
  <c r="W35" i="8"/>
  <c r="E17" i="10"/>
  <c r="W17" i="9"/>
  <c r="H132" i="9"/>
  <c r="S132" i="9" s="1"/>
  <c r="T132" i="9"/>
  <c r="T148" i="7"/>
  <c r="H148" i="7"/>
  <c r="S148" i="7" s="1"/>
  <c r="T162" i="7"/>
  <c r="H162" i="7"/>
  <c r="S162" i="7" s="1"/>
  <c r="E85" i="9"/>
  <c r="W85" i="8"/>
  <c r="E140" i="9"/>
  <c r="W140" i="8"/>
  <c r="E189" i="7"/>
  <c r="W189" i="6"/>
  <c r="T20" i="9"/>
  <c r="H20" i="9"/>
  <c r="S20" i="9" s="1"/>
  <c r="W190" i="6"/>
  <c r="E190" i="7"/>
  <c r="H120" i="9"/>
  <c r="S120" i="9" s="1"/>
  <c r="T120" i="9"/>
  <c r="T75" i="9"/>
  <c r="T146" i="8"/>
  <c r="H146" i="8"/>
  <c r="S146" i="8" s="1"/>
  <c r="E107" i="9"/>
  <c r="W107" i="8"/>
  <c r="T143" i="7"/>
  <c r="H143" i="7"/>
  <c r="S143" i="7" s="1"/>
  <c r="T56" i="8"/>
  <c r="H56" i="8"/>
  <c r="S56" i="8" s="1"/>
  <c r="T41" i="8"/>
  <c r="E157" i="10"/>
  <c r="W157" i="9"/>
  <c r="T169" i="7"/>
  <c r="H169" i="7"/>
  <c r="S169" i="7" s="1"/>
  <c r="T139" i="9"/>
  <c r="H139" i="9"/>
  <c r="S139" i="9" s="1"/>
  <c r="E177" i="7"/>
  <c r="W177" i="6"/>
  <c r="T95" i="8"/>
  <c r="H95" i="8"/>
  <c r="S95" i="8" s="1"/>
  <c r="T112" i="7"/>
  <c r="H112" i="7"/>
  <c r="S112" i="7" s="1"/>
  <c r="E33" i="7"/>
  <c r="W33" i="6"/>
  <c r="E65" i="9"/>
  <c r="W65" i="8"/>
  <c r="T154" i="7"/>
  <c r="H154" i="7"/>
  <c r="S154" i="7" s="1"/>
  <c r="T44" i="8"/>
  <c r="H44" i="8"/>
  <c r="S44" i="8" s="1"/>
  <c r="T93" i="6"/>
  <c r="H93" i="6"/>
  <c r="S93" i="6" s="1"/>
  <c r="H22" i="8"/>
  <c r="S22" i="8" s="1"/>
  <c r="T22" i="8"/>
  <c r="T178" i="8"/>
  <c r="H178" i="8"/>
  <c r="S178" i="8" s="1"/>
  <c r="E165" i="7"/>
  <c r="W165" i="6"/>
  <c r="W160" i="8"/>
  <c r="E160" i="9"/>
  <c r="T21" i="7"/>
  <c r="H21" i="7"/>
  <c r="S21" i="7" s="1"/>
  <c r="E7" i="8"/>
  <c r="W7" i="7"/>
  <c r="E90" i="10"/>
  <c r="W90" i="9"/>
  <c r="T83" i="8"/>
  <c r="T137" i="9"/>
  <c r="H137" i="9"/>
  <c r="S137" i="9" s="1"/>
  <c r="T50" i="10"/>
  <c r="H50" i="10"/>
  <c r="S50" i="10" s="1"/>
  <c r="W94" i="8"/>
  <c r="E94" i="9"/>
  <c r="W16" i="6"/>
  <c r="E16" i="7"/>
  <c r="E179" i="7"/>
  <c r="W179" i="6"/>
  <c r="E49" i="8"/>
  <c r="W49" i="7"/>
  <c r="H88" i="8"/>
  <c r="S88" i="8" s="1"/>
  <c r="T88" i="8"/>
  <c r="T81" i="7"/>
  <c r="H81" i="7"/>
  <c r="S81" i="7" s="1"/>
  <c r="T78" i="6"/>
  <c r="H78" i="6"/>
  <c r="S78" i="6" s="1"/>
  <c r="T144" i="8"/>
  <c r="H144" i="8"/>
  <c r="S144" i="8" s="1"/>
  <c r="T98" i="6"/>
  <c r="H98" i="6"/>
  <c r="S98" i="6" s="1"/>
  <c r="H109" i="7"/>
  <c r="S109" i="7" s="1"/>
  <c r="T109" i="7"/>
  <c r="H182" i="9"/>
  <c r="S182" i="9" s="1"/>
  <c r="T182" i="9"/>
  <c r="E186" i="9"/>
  <c r="W186" i="8"/>
  <c r="T58" i="8"/>
  <c r="H58" i="8"/>
  <c r="S58" i="8" s="1"/>
  <c r="T119" i="7"/>
  <c r="H119" i="7"/>
  <c r="S119" i="7" s="1"/>
  <c r="T147" i="6"/>
  <c r="H147" i="6"/>
  <c r="S147" i="6" s="1"/>
  <c r="T63" i="8"/>
  <c r="H63" i="8"/>
  <c r="S63" i="8" s="1"/>
  <c r="T129" i="8"/>
  <c r="H129" i="8"/>
  <c r="S129" i="8" s="1"/>
  <c r="E101" i="9"/>
  <c r="W101" i="8"/>
  <c r="E74" i="9"/>
  <c r="W74" i="8"/>
  <c r="H14" i="6"/>
  <c r="S14" i="6" s="1"/>
  <c r="T14" i="6"/>
  <c r="E10" i="7"/>
  <c r="W10" i="6"/>
  <c r="H131" i="9"/>
  <c r="S131" i="9" s="1"/>
  <c r="T131" i="9"/>
  <c r="E60" i="9"/>
  <c r="W60" i="8"/>
  <c r="H43" i="15" l="1"/>
  <c r="AA36" i="20"/>
  <c r="X36" i="20"/>
  <c r="W171" i="6"/>
  <c r="E171" i="7"/>
  <c r="G29" i="7"/>
  <c r="W29" i="6"/>
  <c r="H164" i="7"/>
  <c r="S164" i="7" s="1"/>
  <c r="T164" i="7"/>
  <c r="T186" i="9"/>
  <c r="H186" i="9"/>
  <c r="S186" i="9" s="1"/>
  <c r="W143" i="7"/>
  <c r="E143" i="8"/>
  <c r="T69" i="9"/>
  <c r="H69" i="9"/>
  <c r="S69" i="9" s="1"/>
  <c r="T115" i="9"/>
  <c r="H115" i="9"/>
  <c r="S115" i="9" s="1"/>
  <c r="T166" i="9"/>
  <c r="H166" i="9"/>
  <c r="S166" i="9" s="1"/>
  <c r="E182" i="10"/>
  <c r="W182" i="9"/>
  <c r="T42" i="9"/>
  <c r="H42" i="9"/>
  <c r="S42" i="9" s="1"/>
  <c r="E40" i="9"/>
  <c r="W40" i="8"/>
  <c r="E129" i="9"/>
  <c r="W129" i="8"/>
  <c r="H165" i="7"/>
  <c r="S165" i="7" s="1"/>
  <c r="T165" i="7"/>
  <c r="W139" i="9"/>
  <c r="E139" i="10"/>
  <c r="H189" i="7"/>
  <c r="S189" i="7" s="1"/>
  <c r="T189" i="7"/>
  <c r="T17" i="10"/>
  <c r="H17" i="10"/>
  <c r="S17" i="10" s="1"/>
  <c r="T142" i="7"/>
  <c r="H142" i="7"/>
  <c r="S142" i="7" s="1"/>
  <c r="H59" i="7"/>
  <c r="S59" i="7" s="1"/>
  <c r="T59" i="7"/>
  <c r="E163" i="8"/>
  <c r="W163" i="7"/>
  <c r="W84" i="9"/>
  <c r="E84" i="10"/>
  <c r="W54" i="8"/>
  <c r="E54" i="9"/>
  <c r="T196" i="9"/>
  <c r="H196" i="9"/>
  <c r="S196" i="9" s="1"/>
  <c r="E134" i="12"/>
  <c r="W134" i="11"/>
  <c r="T24" i="9"/>
  <c r="H24" i="9"/>
  <c r="S24" i="9" s="1"/>
  <c r="H103" i="9"/>
  <c r="S103" i="9" s="1"/>
  <c r="T103" i="9"/>
  <c r="T104" i="10"/>
  <c r="H104" i="10"/>
  <c r="S104" i="10" s="1"/>
  <c r="T138" i="9"/>
  <c r="H138" i="9"/>
  <c r="S138" i="9" s="1"/>
  <c r="W109" i="7"/>
  <c r="E109" i="8"/>
  <c r="G41" i="8"/>
  <c r="W41" i="7"/>
  <c r="E67" i="8"/>
  <c r="W67" i="7"/>
  <c r="E174" i="9"/>
  <c r="W174" i="8"/>
  <c r="E117" i="10"/>
  <c r="W117" i="9"/>
  <c r="T61" i="10"/>
  <c r="H61" i="10"/>
  <c r="S61" i="10" s="1"/>
  <c r="E52" i="8"/>
  <c r="W52" i="7"/>
  <c r="E188" i="7"/>
  <c r="W188" i="6"/>
  <c r="T96" i="9"/>
  <c r="H96" i="9"/>
  <c r="S96" i="9" s="1"/>
  <c r="E64" i="9"/>
  <c r="W64" i="8"/>
  <c r="E47" i="9"/>
  <c r="W47" i="8"/>
  <c r="E77" i="9"/>
  <c r="W77" i="8"/>
  <c r="W81" i="7"/>
  <c r="E81" i="8"/>
  <c r="E122" i="7"/>
  <c r="W122" i="6"/>
  <c r="E151" i="8"/>
  <c r="W151" i="7"/>
  <c r="E133" i="9"/>
  <c r="W133" i="8"/>
  <c r="E135" i="9"/>
  <c r="W135" i="8"/>
  <c r="W70" i="8"/>
  <c r="E70" i="9"/>
  <c r="T60" i="9"/>
  <c r="H60" i="9"/>
  <c r="S60" i="9" s="1"/>
  <c r="W137" i="9"/>
  <c r="E137" i="10"/>
  <c r="E154" i="8"/>
  <c r="W154" i="7"/>
  <c r="T107" i="9"/>
  <c r="H107" i="9"/>
  <c r="S107" i="9" s="1"/>
  <c r="H25" i="7"/>
  <c r="S25" i="7" s="1"/>
  <c r="T25" i="7"/>
  <c r="T149" i="7"/>
  <c r="H149" i="7"/>
  <c r="S149" i="7" s="1"/>
  <c r="E131" i="10"/>
  <c r="W131" i="9"/>
  <c r="E63" i="9"/>
  <c r="W63" i="8"/>
  <c r="T49" i="8"/>
  <c r="H49" i="8"/>
  <c r="S49" i="8" s="1"/>
  <c r="E83" i="9"/>
  <c r="W178" i="8"/>
  <c r="E178" i="9"/>
  <c r="H65" i="9"/>
  <c r="S65" i="9" s="1"/>
  <c r="T65" i="9"/>
  <c r="E169" i="8"/>
  <c r="W169" i="7"/>
  <c r="E146" i="9"/>
  <c r="W146" i="8"/>
  <c r="T140" i="9"/>
  <c r="H140" i="9"/>
  <c r="S140" i="9" s="1"/>
  <c r="T35" i="9"/>
  <c r="H35" i="9"/>
  <c r="S35" i="9" s="1"/>
  <c r="E167" i="9"/>
  <c r="W167" i="8"/>
  <c r="T79" i="7"/>
  <c r="H79" i="7"/>
  <c r="S79" i="7" s="1"/>
  <c r="H184" i="9"/>
  <c r="S184" i="9" s="1"/>
  <c r="T184" i="9"/>
  <c r="E197" i="9"/>
  <c r="W197" i="8"/>
  <c r="F108" i="9"/>
  <c r="W108" i="8"/>
  <c r="W8" i="6"/>
  <c r="E8" i="7"/>
  <c r="E73" i="9"/>
  <c r="W73" i="8"/>
  <c r="F75" i="9"/>
  <c r="W75" i="8"/>
  <c r="T127" i="9"/>
  <c r="H127" i="9"/>
  <c r="S127" i="9" s="1"/>
  <c r="T175" i="9"/>
  <c r="H175" i="9"/>
  <c r="S175" i="9" s="1"/>
  <c r="T29" i="9"/>
  <c r="T160" i="9"/>
  <c r="H160" i="9"/>
  <c r="S160" i="9" s="1"/>
  <c r="E12" i="7"/>
  <c r="W12" i="6"/>
  <c r="T111" i="7"/>
  <c r="H111" i="7"/>
  <c r="S111" i="7" s="1"/>
  <c r="E88" i="9"/>
  <c r="W88" i="8"/>
  <c r="H168" i="7"/>
  <c r="S168" i="7" s="1"/>
  <c r="T168" i="7"/>
  <c r="E53" i="10"/>
  <c r="W53" i="9"/>
  <c r="E187" i="10"/>
  <c r="W187" i="9"/>
  <c r="W98" i="6"/>
  <c r="E98" i="7"/>
  <c r="T157" i="10"/>
  <c r="H157" i="10"/>
  <c r="S157" i="10" s="1"/>
  <c r="E106" i="9"/>
  <c r="W106" i="8"/>
  <c r="H159" i="9"/>
  <c r="S159" i="9" s="1"/>
  <c r="T159" i="9"/>
  <c r="T13" i="7"/>
  <c r="H13" i="7"/>
  <c r="S13" i="7" s="1"/>
  <c r="E173" i="10"/>
  <c r="W173" i="9"/>
  <c r="E51" i="7"/>
  <c r="W51" i="6"/>
  <c r="E68" i="9"/>
  <c r="W68" i="8"/>
  <c r="W158" i="8"/>
  <c r="E158" i="9"/>
  <c r="E14" i="7"/>
  <c r="W14" i="6"/>
  <c r="E120" i="10"/>
  <c r="W120" i="9"/>
  <c r="E89" i="10"/>
  <c r="W89" i="9"/>
  <c r="W6" i="6"/>
  <c r="E6" i="7"/>
  <c r="T71" i="9"/>
  <c r="H71" i="9"/>
  <c r="S71" i="9" s="1"/>
  <c r="E110" i="7"/>
  <c r="W110" i="6"/>
  <c r="T124" i="9"/>
  <c r="H124" i="9"/>
  <c r="S124" i="9" s="1"/>
  <c r="E132" i="10"/>
  <c r="W132" i="9"/>
  <c r="T97" i="10"/>
  <c r="H97" i="10"/>
  <c r="S97" i="10" s="1"/>
  <c r="E153" i="8"/>
  <c r="W153" i="7"/>
  <c r="T101" i="9"/>
  <c r="H101" i="9"/>
  <c r="S101" i="9" s="1"/>
  <c r="E44" i="9"/>
  <c r="W44" i="8"/>
  <c r="E15" i="7"/>
  <c r="W15" i="6"/>
  <c r="E108" i="10"/>
  <c r="E130" i="9"/>
  <c r="W130" i="8"/>
  <c r="E99" i="9"/>
  <c r="W99" i="8"/>
  <c r="T18" i="9"/>
  <c r="H18" i="9"/>
  <c r="S18" i="9" s="1"/>
  <c r="E26" i="7"/>
  <c r="W26" i="6"/>
  <c r="T10" i="7"/>
  <c r="H10" i="7"/>
  <c r="S10" i="7" s="1"/>
  <c r="T90" i="10"/>
  <c r="H90" i="10"/>
  <c r="S90" i="10" s="1"/>
  <c r="T33" i="7"/>
  <c r="H33" i="7"/>
  <c r="S33" i="7" s="1"/>
  <c r="E75" i="10"/>
  <c r="T85" i="9"/>
  <c r="H85" i="9"/>
  <c r="S85" i="9" s="1"/>
  <c r="W76" i="9"/>
  <c r="E76" i="10"/>
  <c r="H192" i="7"/>
  <c r="S192" i="7" s="1"/>
  <c r="T192" i="7"/>
  <c r="W28" i="9"/>
  <c r="E28" i="10"/>
  <c r="E102" i="9"/>
  <c r="W102" i="8"/>
  <c r="U83" i="7"/>
  <c r="H83" i="7"/>
  <c r="S83" i="7" s="1"/>
  <c r="H199" i="9"/>
  <c r="S199" i="9" s="1"/>
  <c r="T199" i="9"/>
  <c r="W141" i="8"/>
  <c r="E141" i="9"/>
  <c r="E119" i="8"/>
  <c r="W119" i="7"/>
  <c r="H7" i="8"/>
  <c r="S7" i="8" s="1"/>
  <c r="T7" i="8"/>
  <c r="W112" i="7"/>
  <c r="E112" i="8"/>
  <c r="E41" i="9"/>
  <c r="E162" i="8"/>
  <c r="W162" i="7"/>
  <c r="T161" i="9"/>
  <c r="H161" i="9"/>
  <c r="S161" i="9" s="1"/>
  <c r="T181" i="9"/>
  <c r="H181" i="9"/>
  <c r="S181" i="9" s="1"/>
  <c r="E91" i="9"/>
  <c r="W91" i="8"/>
  <c r="E114" i="7"/>
  <c r="W114" i="6"/>
  <c r="W125" i="8"/>
  <c r="E125" i="9"/>
  <c r="T172" i="8"/>
  <c r="H172" i="8"/>
  <c r="S172" i="8" s="1"/>
  <c r="T156" i="9"/>
  <c r="H156" i="9"/>
  <c r="S156" i="9" s="1"/>
  <c r="E176" i="9"/>
  <c r="W176" i="8"/>
  <c r="E150" i="7"/>
  <c r="W150" i="6"/>
  <c r="W80" i="6"/>
  <c r="E80" i="7"/>
  <c r="H37" i="9"/>
  <c r="S37" i="9" s="1"/>
  <c r="T37" i="9"/>
  <c r="W121" i="8"/>
  <c r="E121" i="9"/>
  <c r="T45" i="9"/>
  <c r="H45" i="9"/>
  <c r="S45" i="9" s="1"/>
  <c r="T57" i="7"/>
  <c r="H57" i="7"/>
  <c r="S57" i="7" s="1"/>
  <c r="T48" i="9"/>
  <c r="H48" i="9"/>
  <c r="S48" i="9" s="1"/>
  <c r="T66" i="9"/>
  <c r="H66" i="9"/>
  <c r="S66" i="9" s="1"/>
  <c r="H145" i="7"/>
  <c r="S145" i="7" s="1"/>
  <c r="T145" i="7"/>
  <c r="E19" i="9"/>
  <c r="W19" i="8"/>
  <c r="W9" i="7"/>
  <c r="E9" i="8"/>
  <c r="H105" i="7"/>
  <c r="S105" i="7" s="1"/>
  <c r="T105" i="7"/>
  <c r="H179" i="7"/>
  <c r="S179" i="7" s="1"/>
  <c r="T179" i="7"/>
  <c r="W43" i="8"/>
  <c r="E43" i="9"/>
  <c r="E126" i="10"/>
  <c r="W126" i="9"/>
  <c r="W123" i="6"/>
  <c r="E123" i="7"/>
  <c r="E113" i="8"/>
  <c r="W113" i="7"/>
  <c r="T16" i="7"/>
  <c r="H16" i="7"/>
  <c r="S16" i="7" s="1"/>
  <c r="T4" i="9"/>
  <c r="H4" i="9"/>
  <c r="S4" i="9" s="1"/>
  <c r="E11" i="8"/>
  <c r="W11" i="7"/>
  <c r="E116" i="9"/>
  <c r="W116" i="8"/>
  <c r="E118" i="9"/>
  <c r="W118" i="8"/>
  <c r="T180" i="9"/>
  <c r="H180" i="9"/>
  <c r="S180" i="9" s="1"/>
  <c r="E38" i="9"/>
  <c r="W38" i="8"/>
  <c r="W198" i="6"/>
  <c r="E198" i="7"/>
  <c r="T87" i="9"/>
  <c r="H87" i="9"/>
  <c r="S87" i="9" s="1"/>
  <c r="E152" i="7"/>
  <c r="W152" i="6"/>
  <c r="E50" i="11"/>
  <c r="W50" i="10"/>
  <c r="H177" i="7"/>
  <c r="S177" i="7" s="1"/>
  <c r="T177" i="7"/>
  <c r="E20" i="10"/>
  <c r="W20" i="9"/>
  <c r="T5" i="7"/>
  <c r="H5" i="7"/>
  <c r="S5" i="7" s="1"/>
  <c r="E30" i="7"/>
  <c r="W30" i="6"/>
  <c r="H23" i="9"/>
  <c r="S23" i="9" s="1"/>
  <c r="T23" i="9"/>
  <c r="E46" i="8"/>
  <c r="W46" i="7"/>
  <c r="W136" i="8"/>
  <c r="E136" i="9"/>
  <c r="T72" i="9"/>
  <c r="H72" i="9"/>
  <c r="S72" i="9" s="1"/>
  <c r="E193" i="8"/>
  <c r="W193" i="7"/>
  <c r="E147" i="7"/>
  <c r="W147" i="6"/>
  <c r="E39" i="10"/>
  <c r="W39" i="9"/>
  <c r="E22" i="9"/>
  <c r="W22" i="8"/>
  <c r="E144" i="9"/>
  <c r="W144" i="8"/>
  <c r="T94" i="9"/>
  <c r="H94" i="9"/>
  <c r="S94" i="9" s="1"/>
  <c r="T190" i="7"/>
  <c r="H190" i="7"/>
  <c r="S190" i="7" s="1"/>
  <c r="T74" i="9"/>
  <c r="H74" i="9"/>
  <c r="S74" i="9" s="1"/>
  <c r="E58" i="9"/>
  <c r="W58" i="8"/>
  <c r="E78" i="7"/>
  <c r="W78" i="6"/>
  <c r="W21" i="7"/>
  <c r="E21" i="8"/>
  <c r="E93" i="7"/>
  <c r="W93" i="6"/>
  <c r="W95" i="8"/>
  <c r="E95" i="9"/>
  <c r="W56" i="8"/>
  <c r="E56" i="9"/>
  <c r="E148" i="8"/>
  <c r="W148" i="7"/>
  <c r="B14" i="2"/>
  <c r="H32" i="7"/>
  <c r="S32" i="7" s="1"/>
  <c r="T32" i="7"/>
  <c r="E194" i="12"/>
  <c r="W194" i="11"/>
  <c r="T34" i="10"/>
  <c r="H34" i="10"/>
  <c r="S34" i="10" s="1"/>
  <c r="E27" i="10"/>
  <c r="W27" i="9"/>
  <c r="E170" i="7"/>
  <c r="W170" i="6"/>
  <c r="H31" i="7"/>
  <c r="S31" i="7" s="1"/>
  <c r="T31" i="7"/>
  <c r="E92" i="7"/>
  <c r="W92" i="6"/>
  <c r="E36" i="7"/>
  <c r="W36" i="6"/>
  <c r="E55" i="10"/>
  <c r="W55" i="9"/>
  <c r="W183" i="8"/>
  <c r="E183" i="9"/>
  <c r="T195" i="9"/>
  <c r="H195" i="9"/>
  <c r="S195" i="9" s="1"/>
  <c r="T185" i="9"/>
  <c r="H185" i="9"/>
  <c r="S185" i="9" s="1"/>
  <c r="E82" i="8"/>
  <c r="W82" i="7"/>
  <c r="E86" i="9"/>
  <c r="W86" i="8"/>
  <c r="G36" i="13" l="1"/>
  <c r="Y36" i="13"/>
  <c r="V29" i="7"/>
  <c r="H29" i="7"/>
  <c r="S29" i="7" s="1"/>
  <c r="H171" i="7"/>
  <c r="S171" i="7" s="1"/>
  <c r="T171" i="7"/>
  <c r="T167" i="9"/>
  <c r="H167" i="9"/>
  <c r="S167" i="9" s="1"/>
  <c r="H55" i="10"/>
  <c r="S55" i="10" s="1"/>
  <c r="T55" i="10"/>
  <c r="E105" i="8"/>
  <c r="W105" i="7"/>
  <c r="E192" i="8"/>
  <c r="W192" i="7"/>
  <c r="T8" i="7"/>
  <c r="H8" i="7"/>
  <c r="S8" i="7" s="1"/>
  <c r="E103" i="10"/>
  <c r="W103" i="9"/>
  <c r="E165" i="8"/>
  <c r="W165" i="7"/>
  <c r="T28" i="10"/>
  <c r="H28" i="10"/>
  <c r="S28" i="10" s="1"/>
  <c r="H132" i="10"/>
  <c r="S132" i="10" s="1"/>
  <c r="T132" i="10"/>
  <c r="W166" i="9"/>
  <c r="E166" i="10"/>
  <c r="E34" i="11"/>
  <c r="W34" i="10"/>
  <c r="H93" i="7"/>
  <c r="S93" i="7" s="1"/>
  <c r="T93" i="7"/>
  <c r="E94" i="10"/>
  <c r="W94" i="9"/>
  <c r="E72" i="10"/>
  <c r="W72" i="9"/>
  <c r="T20" i="10"/>
  <c r="H20" i="10"/>
  <c r="S20" i="10" s="1"/>
  <c r="T38" i="9"/>
  <c r="H38" i="9"/>
  <c r="S38" i="9" s="1"/>
  <c r="E16" i="8"/>
  <c r="W16" i="7"/>
  <c r="W57" i="7"/>
  <c r="E57" i="8"/>
  <c r="T176" i="9"/>
  <c r="H176" i="9"/>
  <c r="S176" i="9" s="1"/>
  <c r="E181" i="10"/>
  <c r="W181" i="9"/>
  <c r="T119" i="8"/>
  <c r="H119" i="8"/>
  <c r="S119" i="8" s="1"/>
  <c r="E10" i="8"/>
  <c r="W10" i="7"/>
  <c r="T15" i="7"/>
  <c r="H15" i="7"/>
  <c r="S15" i="7" s="1"/>
  <c r="E124" i="10"/>
  <c r="W124" i="9"/>
  <c r="T120" i="10"/>
  <c r="H120" i="10"/>
  <c r="S120" i="10" s="1"/>
  <c r="E13" i="8"/>
  <c r="W13" i="7"/>
  <c r="H187" i="10"/>
  <c r="S187" i="10" s="1"/>
  <c r="T187" i="10"/>
  <c r="E160" i="10"/>
  <c r="W160" i="9"/>
  <c r="E35" i="10"/>
  <c r="W35" i="9"/>
  <c r="T83" i="9"/>
  <c r="W107" i="9"/>
  <c r="E107" i="10"/>
  <c r="T133" i="9"/>
  <c r="H133" i="9"/>
  <c r="S133" i="9" s="1"/>
  <c r="H64" i="9"/>
  <c r="S64" i="9" s="1"/>
  <c r="T64" i="9"/>
  <c r="T174" i="9"/>
  <c r="H174" i="9"/>
  <c r="S174" i="9" s="1"/>
  <c r="H163" i="8"/>
  <c r="S163" i="8" s="1"/>
  <c r="T163" i="8"/>
  <c r="E115" i="10"/>
  <c r="W115" i="9"/>
  <c r="W179" i="7"/>
  <c r="E179" i="8"/>
  <c r="E5" i="8"/>
  <c r="W5" i="7"/>
  <c r="T89" i="10"/>
  <c r="H89" i="10"/>
  <c r="S89" i="10" s="1"/>
  <c r="T135" i="9"/>
  <c r="H135" i="9"/>
  <c r="S135" i="9" s="1"/>
  <c r="T86" i="9"/>
  <c r="H86" i="9"/>
  <c r="S86" i="9" s="1"/>
  <c r="T36" i="7"/>
  <c r="H36" i="7"/>
  <c r="S36" i="7" s="1"/>
  <c r="T194" i="12"/>
  <c r="H194" i="12"/>
  <c r="S194" i="12" s="1"/>
  <c r="H21" i="8"/>
  <c r="S21" i="8" s="1"/>
  <c r="T21" i="8"/>
  <c r="T136" i="9"/>
  <c r="H136" i="9"/>
  <c r="S136" i="9" s="1"/>
  <c r="E177" i="8"/>
  <c r="W177" i="7"/>
  <c r="T9" i="8"/>
  <c r="H9" i="8"/>
  <c r="S9" i="8" s="1"/>
  <c r="T141" i="9"/>
  <c r="H141" i="9"/>
  <c r="S141" i="9" s="1"/>
  <c r="H76" i="10"/>
  <c r="S76" i="10" s="1"/>
  <c r="T76" i="10"/>
  <c r="E159" i="10"/>
  <c r="W159" i="9"/>
  <c r="E59" i="8"/>
  <c r="W59" i="7"/>
  <c r="H26" i="7"/>
  <c r="S26" i="7" s="1"/>
  <c r="T26" i="7"/>
  <c r="T44" i="9"/>
  <c r="H44" i="9"/>
  <c r="S44" i="9" s="1"/>
  <c r="H110" i="7"/>
  <c r="S110" i="7" s="1"/>
  <c r="T110" i="7"/>
  <c r="H14" i="7"/>
  <c r="S14" i="7" s="1"/>
  <c r="T14" i="7"/>
  <c r="H53" i="10"/>
  <c r="S53" i="10" s="1"/>
  <c r="T53" i="10"/>
  <c r="E29" i="10"/>
  <c r="U108" i="9"/>
  <c r="H108" i="9"/>
  <c r="S108" i="9" s="1"/>
  <c r="E140" i="10"/>
  <c r="W140" i="9"/>
  <c r="E49" i="9"/>
  <c r="W49" i="8"/>
  <c r="T154" i="8"/>
  <c r="H154" i="8"/>
  <c r="S154" i="8" s="1"/>
  <c r="T151" i="8"/>
  <c r="H151" i="8"/>
  <c r="S151" i="8" s="1"/>
  <c r="E96" i="10"/>
  <c r="W96" i="9"/>
  <c r="H67" i="8"/>
  <c r="S67" i="8" s="1"/>
  <c r="T67" i="8"/>
  <c r="E24" i="10"/>
  <c r="W24" i="9"/>
  <c r="T129" i="9"/>
  <c r="H129" i="9"/>
  <c r="S129" i="9" s="1"/>
  <c r="E69" i="10"/>
  <c r="W69" i="9"/>
  <c r="T198" i="7"/>
  <c r="H198" i="7"/>
  <c r="S198" i="7" s="1"/>
  <c r="T84" i="10"/>
  <c r="H84" i="10"/>
  <c r="S84" i="10" s="1"/>
  <c r="T193" i="8"/>
  <c r="H193" i="8"/>
  <c r="S193" i="8" s="1"/>
  <c r="H91" i="9"/>
  <c r="S91" i="9" s="1"/>
  <c r="T91" i="9"/>
  <c r="H117" i="10"/>
  <c r="S117" i="10" s="1"/>
  <c r="T117" i="10"/>
  <c r="E180" i="10"/>
  <c r="W180" i="9"/>
  <c r="E161" i="10"/>
  <c r="W161" i="9"/>
  <c r="T121" i="9"/>
  <c r="H121" i="9"/>
  <c r="S121" i="9" s="1"/>
  <c r="H46" i="8"/>
  <c r="S46" i="8" s="1"/>
  <c r="T46" i="8"/>
  <c r="T19" i="9"/>
  <c r="H19" i="9"/>
  <c r="S19" i="9" s="1"/>
  <c r="H162" i="8"/>
  <c r="S162" i="8" s="1"/>
  <c r="T162" i="8"/>
  <c r="W18" i="9"/>
  <c r="E18" i="10"/>
  <c r="E71" i="10"/>
  <c r="W71" i="9"/>
  <c r="E175" i="10"/>
  <c r="W175" i="9"/>
  <c r="T63" i="9"/>
  <c r="H63" i="9"/>
  <c r="S63" i="9" s="1"/>
  <c r="T40" i="9"/>
  <c r="H40" i="9"/>
  <c r="S40" i="9" s="1"/>
  <c r="E23" i="10"/>
  <c r="W23" i="9"/>
  <c r="E145" i="8"/>
  <c r="W145" i="7"/>
  <c r="E37" i="10"/>
  <c r="W37" i="9"/>
  <c r="T125" i="9"/>
  <c r="H125" i="9"/>
  <c r="S125" i="9" s="1"/>
  <c r="T41" i="9"/>
  <c r="T6" i="7"/>
  <c r="H6" i="7"/>
  <c r="S6" i="7" s="1"/>
  <c r="E184" i="10"/>
  <c r="W184" i="9"/>
  <c r="T81" i="8"/>
  <c r="H81" i="8"/>
  <c r="S81" i="8" s="1"/>
  <c r="T109" i="8"/>
  <c r="H109" i="8"/>
  <c r="S109" i="8" s="1"/>
  <c r="T95" i="9"/>
  <c r="H95" i="9"/>
  <c r="S95" i="9" s="1"/>
  <c r="W7" i="8"/>
  <c r="E7" i="9"/>
  <c r="T98" i="7"/>
  <c r="H98" i="7"/>
  <c r="S98" i="7" s="1"/>
  <c r="T139" i="10"/>
  <c r="H139" i="10"/>
  <c r="S139" i="10" s="1"/>
  <c r="E190" i="8"/>
  <c r="W190" i="7"/>
  <c r="H150" i="7"/>
  <c r="S150" i="7" s="1"/>
  <c r="T150" i="7"/>
  <c r="T47" i="9"/>
  <c r="H47" i="9"/>
  <c r="S47" i="9" s="1"/>
  <c r="E156" i="10"/>
  <c r="W156" i="9"/>
  <c r="T92" i="7"/>
  <c r="H92" i="7"/>
  <c r="S92" i="7" s="1"/>
  <c r="H123" i="7"/>
  <c r="S123" i="7" s="1"/>
  <c r="T123" i="7"/>
  <c r="E199" i="10"/>
  <c r="W199" i="9"/>
  <c r="E168" i="8"/>
  <c r="W168" i="7"/>
  <c r="H78" i="7"/>
  <c r="S78" i="7" s="1"/>
  <c r="T78" i="7"/>
  <c r="H22" i="9"/>
  <c r="S22" i="9" s="1"/>
  <c r="T22" i="9"/>
  <c r="T50" i="11"/>
  <c r="H50" i="11"/>
  <c r="S50" i="11" s="1"/>
  <c r="T118" i="9"/>
  <c r="H118" i="9"/>
  <c r="S118" i="9" s="1"/>
  <c r="E85" i="10"/>
  <c r="W85" i="9"/>
  <c r="E101" i="10"/>
  <c r="W101" i="9"/>
  <c r="T106" i="9"/>
  <c r="H106" i="9"/>
  <c r="S106" i="9" s="1"/>
  <c r="H146" i="9"/>
  <c r="S146" i="9" s="1"/>
  <c r="T146" i="9"/>
  <c r="T122" i="7"/>
  <c r="H122" i="7"/>
  <c r="S122" i="7" s="1"/>
  <c r="E142" i="8"/>
  <c r="W142" i="7"/>
  <c r="H148" i="8"/>
  <c r="S148" i="8" s="1"/>
  <c r="T148" i="8"/>
  <c r="T58" i="9"/>
  <c r="H58" i="9"/>
  <c r="S58" i="9" s="1"/>
  <c r="T39" i="10"/>
  <c r="H39" i="10"/>
  <c r="S39" i="10" s="1"/>
  <c r="H152" i="7"/>
  <c r="S152" i="7" s="1"/>
  <c r="T152" i="7"/>
  <c r="H116" i="9"/>
  <c r="S116" i="9" s="1"/>
  <c r="T116" i="9"/>
  <c r="T126" i="10"/>
  <c r="H126" i="10"/>
  <c r="S126" i="10" s="1"/>
  <c r="F83" i="8"/>
  <c r="W83" i="7"/>
  <c r="T75" i="10"/>
  <c r="T99" i="9"/>
  <c r="H99" i="9"/>
  <c r="S99" i="9" s="1"/>
  <c r="T153" i="8"/>
  <c r="H153" i="8"/>
  <c r="S153" i="8" s="1"/>
  <c r="T68" i="9"/>
  <c r="H68" i="9"/>
  <c r="S68" i="9" s="1"/>
  <c r="W157" i="10"/>
  <c r="E157" i="11"/>
  <c r="H88" i="9"/>
  <c r="S88" i="9" s="1"/>
  <c r="T88" i="9"/>
  <c r="E127" i="10"/>
  <c r="W127" i="9"/>
  <c r="T169" i="8"/>
  <c r="H169" i="8"/>
  <c r="S169" i="8" s="1"/>
  <c r="H131" i="10"/>
  <c r="S131" i="10" s="1"/>
  <c r="T131" i="10"/>
  <c r="E60" i="10"/>
  <c r="W60" i="9"/>
  <c r="H52" i="8"/>
  <c r="S52" i="8" s="1"/>
  <c r="T52" i="8"/>
  <c r="E196" i="10"/>
  <c r="W196" i="9"/>
  <c r="E17" i="11"/>
  <c r="W17" i="10"/>
  <c r="W42" i="9"/>
  <c r="E42" i="10"/>
  <c r="E186" i="10"/>
  <c r="W186" i="9"/>
  <c r="T43" i="9"/>
  <c r="H43" i="9"/>
  <c r="S43" i="9" s="1"/>
  <c r="T80" i="7"/>
  <c r="H80" i="7"/>
  <c r="S80" i="7" s="1"/>
  <c r="T112" i="8"/>
  <c r="H112" i="8"/>
  <c r="S112" i="8" s="1"/>
  <c r="E65" i="10"/>
  <c r="W65" i="9"/>
  <c r="T70" i="9"/>
  <c r="H70" i="9"/>
  <c r="S70" i="9" s="1"/>
  <c r="T54" i="9"/>
  <c r="H54" i="9"/>
  <c r="S54" i="9" s="1"/>
  <c r="E189" i="8"/>
  <c r="W189" i="7"/>
  <c r="E164" i="8"/>
  <c r="W164" i="7"/>
  <c r="T27" i="10"/>
  <c r="H27" i="10"/>
  <c r="S27" i="10" s="1"/>
  <c r="T178" i="9"/>
  <c r="H178" i="9"/>
  <c r="S178" i="9" s="1"/>
  <c r="E25" i="8"/>
  <c r="W25" i="7"/>
  <c r="E4" i="10"/>
  <c r="W4" i="9"/>
  <c r="E48" i="10"/>
  <c r="W48" i="9"/>
  <c r="E90" i="11"/>
  <c r="W90" i="10"/>
  <c r="T108" i="10"/>
  <c r="T173" i="10"/>
  <c r="H173" i="10"/>
  <c r="S173" i="10" s="1"/>
  <c r="T12" i="7"/>
  <c r="H12" i="7"/>
  <c r="S12" i="7" s="1"/>
  <c r="T73" i="9"/>
  <c r="H73" i="9"/>
  <c r="S73" i="9" s="1"/>
  <c r="E104" i="11"/>
  <c r="W104" i="10"/>
  <c r="W32" i="7"/>
  <c r="E32" i="8"/>
  <c r="H144" i="9"/>
  <c r="S144" i="9" s="1"/>
  <c r="T144" i="9"/>
  <c r="T113" i="8"/>
  <c r="H113" i="8"/>
  <c r="S113" i="8" s="1"/>
  <c r="W45" i="9"/>
  <c r="E45" i="10"/>
  <c r="H82" i="8"/>
  <c r="S82" i="8" s="1"/>
  <c r="T82" i="8"/>
  <c r="H158" i="9"/>
  <c r="S158" i="9" s="1"/>
  <c r="T158" i="9"/>
  <c r="H137" i="10"/>
  <c r="S137" i="10" s="1"/>
  <c r="T137" i="10"/>
  <c r="T143" i="8"/>
  <c r="H143" i="8"/>
  <c r="S143" i="8" s="1"/>
  <c r="E31" i="8"/>
  <c r="W31" i="7"/>
  <c r="W172" i="8"/>
  <c r="E172" i="9"/>
  <c r="T197" i="9"/>
  <c r="H197" i="9"/>
  <c r="S197" i="9" s="1"/>
  <c r="H188" i="7"/>
  <c r="S188" i="7" s="1"/>
  <c r="T188" i="7"/>
  <c r="V41" i="8"/>
  <c r="H41" i="8"/>
  <c r="S41" i="8" s="1"/>
  <c r="T134" i="12"/>
  <c r="H134" i="12"/>
  <c r="S134" i="12" s="1"/>
  <c r="E185" i="10"/>
  <c r="W185" i="9"/>
  <c r="E195" i="10"/>
  <c r="W195" i="9"/>
  <c r="T170" i="7"/>
  <c r="H170" i="7"/>
  <c r="S170" i="7" s="1"/>
  <c r="T56" i="9"/>
  <c r="H56" i="9"/>
  <c r="S56" i="9" s="1"/>
  <c r="H183" i="9"/>
  <c r="S183" i="9" s="1"/>
  <c r="T183" i="9"/>
  <c r="E74" i="10"/>
  <c r="W74" i="9"/>
  <c r="T147" i="7"/>
  <c r="H147" i="7"/>
  <c r="S147" i="7" s="1"/>
  <c r="T30" i="7"/>
  <c r="H30" i="7"/>
  <c r="S30" i="7" s="1"/>
  <c r="E87" i="10"/>
  <c r="W87" i="9"/>
  <c r="T11" i="8"/>
  <c r="H11" i="8"/>
  <c r="S11" i="8" s="1"/>
  <c r="E66" i="10"/>
  <c r="W66" i="9"/>
  <c r="H114" i="7"/>
  <c r="S114" i="7" s="1"/>
  <c r="T114" i="7"/>
  <c r="T102" i="9"/>
  <c r="H102" i="9"/>
  <c r="S102" i="9" s="1"/>
  <c r="E33" i="8"/>
  <c r="W33" i="7"/>
  <c r="T130" i="9"/>
  <c r="H130" i="9"/>
  <c r="S130" i="9" s="1"/>
  <c r="E97" i="11"/>
  <c r="W97" i="10"/>
  <c r="T51" i="7"/>
  <c r="H51" i="7"/>
  <c r="S51" i="7" s="1"/>
  <c r="E111" i="8"/>
  <c r="W111" i="7"/>
  <c r="U75" i="9"/>
  <c r="H75" i="9"/>
  <c r="S75" i="9" s="1"/>
  <c r="E79" i="8"/>
  <c r="W79" i="7"/>
  <c r="W149" i="7"/>
  <c r="E149" i="8"/>
  <c r="H77" i="9"/>
  <c r="S77" i="9" s="1"/>
  <c r="T77" i="9"/>
  <c r="W61" i="10"/>
  <c r="E61" i="11"/>
  <c r="E138" i="10"/>
  <c r="W138" i="9"/>
  <c r="H182" i="10"/>
  <c r="S182" i="10" s="1"/>
  <c r="T182" i="10"/>
  <c r="X36" i="13" l="1"/>
  <c r="AA36" i="13"/>
  <c r="E92" i="20" a="1"/>
  <c r="E92" i="20" s="1"/>
  <c r="D99" i="15" s="1"/>
  <c r="E60" i="20" a="1"/>
  <c r="E60" i="20" s="1"/>
  <c r="D67" i="15" s="1"/>
  <c r="E171" i="8"/>
  <c r="W171" i="7"/>
  <c r="G29" i="8"/>
  <c r="W29" i="7"/>
  <c r="B15" i="2"/>
  <c r="E36" i="8"/>
  <c r="W36" i="7"/>
  <c r="H115" i="10"/>
  <c r="S115" i="10" s="1"/>
  <c r="T115" i="10"/>
  <c r="E83" i="10"/>
  <c r="E170" i="8"/>
  <c r="W170" i="7"/>
  <c r="E146" i="10"/>
  <c r="W146" i="9"/>
  <c r="E46" i="9"/>
  <c r="W46" i="8"/>
  <c r="E67" i="9"/>
  <c r="W67" i="8"/>
  <c r="E26" i="8"/>
  <c r="W26" i="7"/>
  <c r="W15" i="7"/>
  <c r="E15" i="8"/>
  <c r="H16" i="8"/>
  <c r="S16" i="8" s="1"/>
  <c r="T16" i="8"/>
  <c r="T34" i="11"/>
  <c r="H34" i="11"/>
  <c r="S34" i="11" s="1"/>
  <c r="T45" i="10"/>
  <c r="H45" i="10"/>
  <c r="S45" i="10" s="1"/>
  <c r="E54" i="10"/>
  <c r="W54" i="9"/>
  <c r="E63" i="10"/>
  <c r="W63" i="9"/>
  <c r="E193" i="9"/>
  <c r="W193" i="8"/>
  <c r="T177" i="8"/>
  <c r="H177" i="8"/>
  <c r="S177" i="8" s="1"/>
  <c r="E56" i="10"/>
  <c r="W56" i="9"/>
  <c r="H104" i="11"/>
  <c r="S104" i="11" s="1"/>
  <c r="T104" i="11"/>
  <c r="T124" i="10"/>
  <c r="H124" i="10"/>
  <c r="S124" i="10" s="1"/>
  <c r="E131" i="11"/>
  <c r="W131" i="10"/>
  <c r="W152" i="7"/>
  <c r="E152" i="8"/>
  <c r="H35" i="10"/>
  <c r="S35" i="10" s="1"/>
  <c r="T35" i="10"/>
  <c r="E8" i="8"/>
  <c r="W8" i="7"/>
  <c r="E182" i="11"/>
  <c r="W182" i="10"/>
  <c r="T172" i="9"/>
  <c r="H172" i="9"/>
  <c r="S172" i="9" s="1"/>
  <c r="T4" i="10"/>
  <c r="H4" i="10"/>
  <c r="S4" i="10" s="1"/>
  <c r="H186" i="10"/>
  <c r="S186" i="10" s="1"/>
  <c r="T186" i="10"/>
  <c r="E153" i="9"/>
  <c r="W153" i="8"/>
  <c r="T156" i="10"/>
  <c r="H156" i="10"/>
  <c r="S156" i="10" s="1"/>
  <c r="E41" i="10"/>
  <c r="F108" i="10"/>
  <c r="W108" i="9"/>
  <c r="E135" i="10"/>
  <c r="W135" i="9"/>
  <c r="T166" i="10"/>
  <c r="H166" i="10"/>
  <c r="S166" i="10" s="1"/>
  <c r="F75" i="10"/>
  <c r="W75" i="9"/>
  <c r="T33" i="8"/>
  <c r="H33" i="8"/>
  <c r="S33" i="8" s="1"/>
  <c r="E30" i="8"/>
  <c r="W30" i="7"/>
  <c r="H195" i="10"/>
  <c r="S195" i="10" s="1"/>
  <c r="T195" i="10"/>
  <c r="E12" i="8"/>
  <c r="W12" i="7"/>
  <c r="T42" i="10"/>
  <c r="H42" i="10"/>
  <c r="S42" i="10" s="1"/>
  <c r="E78" i="8"/>
  <c r="W78" i="7"/>
  <c r="E174" i="10"/>
  <c r="W174" i="9"/>
  <c r="T160" i="10"/>
  <c r="H160" i="10"/>
  <c r="S160" i="10" s="1"/>
  <c r="T10" i="8"/>
  <c r="H10" i="8"/>
  <c r="S10" i="8" s="1"/>
  <c r="E38" i="10"/>
  <c r="W38" i="9"/>
  <c r="T192" i="8"/>
  <c r="H192" i="8"/>
  <c r="S192" i="8" s="1"/>
  <c r="T164" i="8"/>
  <c r="H164" i="8"/>
  <c r="S164" i="8" s="1"/>
  <c r="E93" i="8"/>
  <c r="W93" i="7"/>
  <c r="E116" i="10"/>
  <c r="W116" i="9"/>
  <c r="W82" i="8"/>
  <c r="E82" i="9"/>
  <c r="T7" i="9"/>
  <c r="H7" i="9"/>
  <c r="S7" i="9" s="1"/>
  <c r="T25" i="8"/>
  <c r="H25" i="8"/>
  <c r="S25" i="8" s="1"/>
  <c r="E39" i="11"/>
  <c r="W39" i="10"/>
  <c r="E113" i="9"/>
  <c r="W113" i="8"/>
  <c r="E21" i="9"/>
  <c r="W21" i="8"/>
  <c r="E119" i="9"/>
  <c r="W119" i="8"/>
  <c r="E20" i="11"/>
  <c r="W20" i="10"/>
  <c r="T105" i="8"/>
  <c r="H105" i="8"/>
  <c r="S105" i="8" s="1"/>
  <c r="T61" i="11"/>
  <c r="H61" i="11"/>
  <c r="S61" i="11" s="1"/>
  <c r="W114" i="7"/>
  <c r="E114" i="8"/>
  <c r="E144" i="10"/>
  <c r="W144" i="9"/>
  <c r="E178" i="10"/>
  <c r="W178" i="9"/>
  <c r="T65" i="10"/>
  <c r="H65" i="10"/>
  <c r="S65" i="10" s="1"/>
  <c r="H17" i="11"/>
  <c r="S17" i="11" s="1"/>
  <c r="T17" i="11"/>
  <c r="T127" i="10"/>
  <c r="H127" i="10"/>
  <c r="S127" i="10" s="1"/>
  <c r="E58" i="10"/>
  <c r="W58" i="9"/>
  <c r="H101" i="10"/>
  <c r="S101" i="10" s="1"/>
  <c r="T101" i="10"/>
  <c r="H168" i="8"/>
  <c r="S168" i="8" s="1"/>
  <c r="T168" i="8"/>
  <c r="W109" i="8"/>
  <c r="E109" i="9"/>
  <c r="T37" i="10"/>
  <c r="H37" i="10"/>
  <c r="S37" i="10" s="1"/>
  <c r="H71" i="10"/>
  <c r="S71" i="10" s="1"/>
  <c r="T71" i="10"/>
  <c r="T161" i="10"/>
  <c r="H161" i="10"/>
  <c r="S161" i="10" s="1"/>
  <c r="E198" i="8"/>
  <c r="W198" i="7"/>
  <c r="E151" i="9"/>
  <c r="W151" i="8"/>
  <c r="H159" i="10"/>
  <c r="S159" i="10" s="1"/>
  <c r="T159" i="10"/>
  <c r="W55" i="10"/>
  <c r="E55" i="11"/>
  <c r="E188" i="8"/>
  <c r="W188" i="7"/>
  <c r="E80" i="8"/>
  <c r="W80" i="7"/>
  <c r="T57" i="8"/>
  <c r="H57" i="8"/>
  <c r="S57" i="8" s="1"/>
  <c r="T97" i="11"/>
  <c r="H97" i="11"/>
  <c r="S97" i="11" s="1"/>
  <c r="H189" i="8"/>
  <c r="S189" i="8" s="1"/>
  <c r="T189" i="8"/>
  <c r="E22" i="10"/>
  <c r="W22" i="9"/>
  <c r="E95" i="10"/>
  <c r="W95" i="9"/>
  <c r="E84" i="11"/>
  <c r="W84" i="10"/>
  <c r="E132" i="11"/>
  <c r="W132" i="10"/>
  <c r="T138" i="10"/>
  <c r="H138" i="10"/>
  <c r="S138" i="10" s="1"/>
  <c r="E147" i="8"/>
  <c r="W147" i="7"/>
  <c r="W143" i="8"/>
  <c r="E143" i="9"/>
  <c r="E88" i="10"/>
  <c r="W88" i="9"/>
  <c r="E28" i="11"/>
  <c r="W28" i="10"/>
  <c r="E77" i="10"/>
  <c r="W77" i="9"/>
  <c r="E183" i="10"/>
  <c r="W183" i="9"/>
  <c r="W137" i="10"/>
  <c r="E137" i="11"/>
  <c r="H32" i="8"/>
  <c r="S32" i="8" s="1"/>
  <c r="T32" i="8"/>
  <c r="E27" i="11"/>
  <c r="W27" i="10"/>
  <c r="E112" i="9"/>
  <c r="W112" i="8"/>
  <c r="T196" i="10"/>
  <c r="H196" i="10"/>
  <c r="S196" i="10" s="1"/>
  <c r="U83" i="8"/>
  <c r="H83" i="8"/>
  <c r="S83" i="8" s="1"/>
  <c r="T85" i="10"/>
  <c r="H85" i="10"/>
  <c r="S85" i="10" s="1"/>
  <c r="H199" i="10"/>
  <c r="S199" i="10" s="1"/>
  <c r="T199" i="10"/>
  <c r="H190" i="8"/>
  <c r="S190" i="8" s="1"/>
  <c r="T190" i="8"/>
  <c r="W81" i="8"/>
  <c r="E81" i="9"/>
  <c r="T145" i="8"/>
  <c r="H145" i="8"/>
  <c r="S145" i="8" s="1"/>
  <c r="T180" i="10"/>
  <c r="H180" i="10"/>
  <c r="S180" i="10" s="1"/>
  <c r="T69" i="10"/>
  <c r="H69" i="10"/>
  <c r="S69" i="10" s="1"/>
  <c r="E154" i="9"/>
  <c r="W154" i="8"/>
  <c r="W194" i="12"/>
  <c r="T179" i="8"/>
  <c r="H179" i="8"/>
  <c r="S179" i="8" s="1"/>
  <c r="T107" i="10"/>
  <c r="H107" i="10"/>
  <c r="S107" i="10" s="1"/>
  <c r="T149" i="8"/>
  <c r="H149" i="8"/>
  <c r="S149" i="8" s="1"/>
  <c r="E158" i="10"/>
  <c r="W158" i="9"/>
  <c r="E126" i="11"/>
  <c r="W126" i="10"/>
  <c r="T142" i="8"/>
  <c r="H142" i="8"/>
  <c r="S142" i="8" s="1"/>
  <c r="E118" i="10"/>
  <c r="W118" i="9"/>
  <c r="E139" i="11"/>
  <c r="W139" i="10"/>
  <c r="T184" i="10"/>
  <c r="H184" i="10"/>
  <c r="S184" i="10" s="1"/>
  <c r="H23" i="10"/>
  <c r="S23" i="10" s="1"/>
  <c r="T23" i="10"/>
  <c r="E129" i="10"/>
  <c r="W129" i="9"/>
  <c r="H49" i="9"/>
  <c r="S49" i="9" s="1"/>
  <c r="T49" i="9"/>
  <c r="E141" i="10"/>
  <c r="W141" i="9"/>
  <c r="E11" i="9"/>
  <c r="W11" i="8"/>
  <c r="H48" i="10"/>
  <c r="S48" i="10" s="1"/>
  <c r="T48" i="10"/>
  <c r="E91" i="10"/>
  <c r="W91" i="9"/>
  <c r="H103" i="10"/>
  <c r="S103" i="10" s="1"/>
  <c r="T103" i="10"/>
  <c r="E43" i="10"/>
  <c r="W43" i="9"/>
  <c r="H60" i="10"/>
  <c r="S60" i="10" s="1"/>
  <c r="T60" i="10"/>
  <c r="E68" i="10"/>
  <c r="W68" i="9"/>
  <c r="W122" i="7"/>
  <c r="E122" i="8"/>
  <c r="E50" i="12"/>
  <c r="W50" i="11"/>
  <c r="E92" i="8"/>
  <c r="W92" i="7"/>
  <c r="E98" i="8"/>
  <c r="W98" i="7"/>
  <c r="E6" i="8"/>
  <c r="W6" i="7"/>
  <c r="E40" i="10"/>
  <c r="W40" i="9"/>
  <c r="E19" i="10"/>
  <c r="W19" i="9"/>
  <c r="H24" i="10"/>
  <c r="S24" i="10" s="1"/>
  <c r="T24" i="10"/>
  <c r="T140" i="10"/>
  <c r="H140" i="10"/>
  <c r="S140" i="10" s="1"/>
  <c r="W44" i="9"/>
  <c r="E44" i="10"/>
  <c r="E9" i="9"/>
  <c r="W9" i="8"/>
  <c r="E86" i="10"/>
  <c r="W86" i="9"/>
  <c r="E163" i="9"/>
  <c r="W163" i="8"/>
  <c r="T79" i="8"/>
  <c r="H79" i="8"/>
  <c r="S79" i="8" s="1"/>
  <c r="E130" i="10"/>
  <c r="W130" i="9"/>
  <c r="H87" i="10"/>
  <c r="S87" i="10" s="1"/>
  <c r="T87" i="10"/>
  <c r="E197" i="10"/>
  <c r="W197" i="9"/>
  <c r="E73" i="10"/>
  <c r="W73" i="9"/>
  <c r="E70" i="10"/>
  <c r="W70" i="9"/>
  <c r="E169" i="9"/>
  <c r="W169" i="8"/>
  <c r="E99" i="10"/>
  <c r="W99" i="9"/>
  <c r="E106" i="10"/>
  <c r="W106" i="9"/>
  <c r="E47" i="10"/>
  <c r="W47" i="9"/>
  <c r="E125" i="10"/>
  <c r="W125" i="9"/>
  <c r="T175" i="10"/>
  <c r="H175" i="10"/>
  <c r="S175" i="10" s="1"/>
  <c r="W121" i="9"/>
  <c r="E121" i="10"/>
  <c r="T96" i="10"/>
  <c r="H96" i="10"/>
  <c r="S96" i="10" s="1"/>
  <c r="T29" i="10"/>
  <c r="T59" i="8"/>
  <c r="H59" i="8"/>
  <c r="S59" i="8" s="1"/>
  <c r="W136" i="9"/>
  <c r="E136" i="10"/>
  <c r="E89" i="11"/>
  <c r="W89" i="10"/>
  <c r="E64" i="10"/>
  <c r="W64" i="9"/>
  <c r="E187" i="11"/>
  <c r="W187" i="10"/>
  <c r="T111" i="8"/>
  <c r="H111" i="8"/>
  <c r="S111" i="8" s="1"/>
  <c r="E102" i="10"/>
  <c r="W102" i="9"/>
  <c r="T185" i="10"/>
  <c r="H185" i="10"/>
  <c r="S185" i="10" s="1"/>
  <c r="H31" i="8"/>
  <c r="S31" i="8" s="1"/>
  <c r="T31" i="8"/>
  <c r="E173" i="11"/>
  <c r="W173" i="10"/>
  <c r="E75" i="11"/>
  <c r="E150" i="8"/>
  <c r="W150" i="7"/>
  <c r="W53" i="10"/>
  <c r="E53" i="11"/>
  <c r="E51" i="8"/>
  <c r="W51" i="7"/>
  <c r="H74" i="10"/>
  <c r="S74" i="10" s="1"/>
  <c r="T74" i="10"/>
  <c r="W134" i="12"/>
  <c r="E108" i="11"/>
  <c r="E148" i="9"/>
  <c r="W148" i="8"/>
  <c r="T18" i="10"/>
  <c r="H18" i="10"/>
  <c r="S18" i="10" s="1"/>
  <c r="W14" i="7"/>
  <c r="E14" i="8"/>
  <c r="E76" i="11"/>
  <c r="W76" i="10"/>
  <c r="T5" i="8"/>
  <c r="H5" i="8"/>
  <c r="S5" i="8" s="1"/>
  <c r="E133" i="10"/>
  <c r="W133" i="9"/>
  <c r="H13" i="8"/>
  <c r="S13" i="8" s="1"/>
  <c r="T13" i="8"/>
  <c r="T181" i="10"/>
  <c r="H181" i="10"/>
  <c r="S181" i="10" s="1"/>
  <c r="T72" i="10"/>
  <c r="H72" i="10"/>
  <c r="S72" i="10" s="1"/>
  <c r="T66" i="10"/>
  <c r="H66" i="10"/>
  <c r="S66" i="10" s="1"/>
  <c r="G41" i="9"/>
  <c r="W41" i="8"/>
  <c r="T90" i="11"/>
  <c r="H90" i="11"/>
  <c r="S90" i="11" s="1"/>
  <c r="E52" i="9"/>
  <c r="W52" i="8"/>
  <c r="T157" i="11"/>
  <c r="H157" i="11"/>
  <c r="S157" i="11" s="1"/>
  <c r="E123" i="8"/>
  <c r="W123" i="7"/>
  <c r="E162" i="9"/>
  <c r="W162" i="8"/>
  <c r="E117" i="11"/>
  <c r="W117" i="10"/>
  <c r="W110" i="7"/>
  <c r="E110" i="8"/>
  <c r="E120" i="11"/>
  <c r="W120" i="10"/>
  <c r="E176" i="10"/>
  <c r="W176" i="9"/>
  <c r="T94" i="10"/>
  <c r="H94" i="10"/>
  <c r="S94" i="10" s="1"/>
  <c r="H165" i="8"/>
  <c r="S165" i="8" s="1"/>
  <c r="T165" i="8"/>
  <c r="W167" i="9"/>
  <c r="E167" i="10"/>
  <c r="AO60" i="20" l="1"/>
  <c r="AP60" i="20" s="1"/>
  <c r="Y60" i="20" s="1"/>
  <c r="E61" i="13" s="1" a="1"/>
  <c r="E61" i="13" s="1"/>
  <c r="G60" i="20"/>
  <c r="AO92" i="20"/>
  <c r="AP92" i="20" s="1"/>
  <c r="Y92" i="20" s="1"/>
  <c r="E93" i="13" s="1" a="1"/>
  <c r="E93" i="13" s="1"/>
  <c r="G92" i="20"/>
  <c r="V29" i="8"/>
  <c r="H29" i="8"/>
  <c r="S29" i="8" s="1"/>
  <c r="T171" i="8"/>
  <c r="H171" i="8"/>
  <c r="S171" i="8" s="1"/>
  <c r="T136" i="10"/>
  <c r="H136" i="10"/>
  <c r="S136" i="10" s="1"/>
  <c r="T41" i="10"/>
  <c r="T125" i="10"/>
  <c r="H125" i="10"/>
  <c r="S125" i="10" s="1"/>
  <c r="T40" i="10"/>
  <c r="H40" i="10"/>
  <c r="S40" i="10" s="1"/>
  <c r="E196" i="11"/>
  <c r="W196" i="10"/>
  <c r="W57" i="8"/>
  <c r="E57" i="9"/>
  <c r="T30" i="8"/>
  <c r="H30" i="8"/>
  <c r="S30" i="8" s="1"/>
  <c r="H53" i="11"/>
  <c r="S53" i="11" s="1"/>
  <c r="T53" i="11"/>
  <c r="T114" i="8"/>
  <c r="H114" i="8"/>
  <c r="S114" i="8" s="1"/>
  <c r="T52" i="9"/>
  <c r="H52" i="9"/>
  <c r="S52" i="9" s="1"/>
  <c r="E18" i="11"/>
  <c r="W18" i="10"/>
  <c r="E59" i="9"/>
  <c r="W59" i="8"/>
  <c r="T6" i="8"/>
  <c r="H6" i="8"/>
  <c r="S6" i="8" s="1"/>
  <c r="T141" i="10"/>
  <c r="H141" i="10"/>
  <c r="S141" i="10" s="1"/>
  <c r="T28" i="11"/>
  <c r="H28" i="11"/>
  <c r="S28" i="11" s="1"/>
  <c r="T80" i="8"/>
  <c r="H80" i="8"/>
  <c r="S80" i="8" s="1"/>
  <c r="T93" i="8"/>
  <c r="H93" i="8"/>
  <c r="S93" i="8" s="1"/>
  <c r="H174" i="10"/>
  <c r="S174" i="10" s="1"/>
  <c r="T174" i="10"/>
  <c r="E34" i="12"/>
  <c r="W34" i="11"/>
  <c r="E29" i="11"/>
  <c r="E87" i="11"/>
  <c r="W87" i="10"/>
  <c r="T44" i="10"/>
  <c r="H44" i="10"/>
  <c r="S44" i="10" s="1"/>
  <c r="E49" i="10"/>
  <c r="W49" i="9"/>
  <c r="E190" i="9"/>
  <c r="W190" i="8"/>
  <c r="E71" i="11"/>
  <c r="W71" i="10"/>
  <c r="E35" i="11"/>
  <c r="W35" i="10"/>
  <c r="E16" i="9"/>
  <c r="W16" i="8"/>
  <c r="E157" i="12"/>
  <c r="W157" i="11"/>
  <c r="E107" i="11"/>
  <c r="W107" i="10"/>
  <c r="T81" i="9"/>
  <c r="H81" i="9"/>
  <c r="S81" i="9" s="1"/>
  <c r="H120" i="11"/>
  <c r="S120" i="11" s="1"/>
  <c r="T120" i="11"/>
  <c r="E181" i="11"/>
  <c r="W181" i="10"/>
  <c r="H102" i="10"/>
  <c r="S102" i="10" s="1"/>
  <c r="T102" i="10"/>
  <c r="H47" i="10"/>
  <c r="S47" i="10" s="1"/>
  <c r="T47" i="10"/>
  <c r="T197" i="10"/>
  <c r="H197" i="10"/>
  <c r="S197" i="10" s="1"/>
  <c r="T9" i="9"/>
  <c r="H9" i="9"/>
  <c r="S9" i="9" s="1"/>
  <c r="T118" i="10"/>
  <c r="H118" i="10"/>
  <c r="S118" i="10" s="1"/>
  <c r="E179" i="9"/>
  <c r="W179" i="8"/>
  <c r="H112" i="9"/>
  <c r="S112" i="9" s="1"/>
  <c r="T112" i="9"/>
  <c r="H84" i="11"/>
  <c r="S84" i="11" s="1"/>
  <c r="T84" i="11"/>
  <c r="E161" i="11"/>
  <c r="W161" i="10"/>
  <c r="T58" i="10"/>
  <c r="H58" i="10"/>
  <c r="S58" i="10" s="1"/>
  <c r="H113" i="9"/>
  <c r="S113" i="9" s="1"/>
  <c r="T113" i="9"/>
  <c r="E33" i="9"/>
  <c r="W33" i="8"/>
  <c r="E156" i="11"/>
  <c r="W156" i="10"/>
  <c r="H8" i="8"/>
  <c r="S8" i="8" s="1"/>
  <c r="T8" i="8"/>
  <c r="H56" i="10"/>
  <c r="S56" i="10" s="1"/>
  <c r="T56" i="10"/>
  <c r="H146" i="10"/>
  <c r="S146" i="10" s="1"/>
  <c r="T146" i="10"/>
  <c r="T110" i="8"/>
  <c r="H110" i="8"/>
  <c r="S110" i="8" s="1"/>
  <c r="E13" i="9"/>
  <c r="W13" i="8"/>
  <c r="E90" i="12"/>
  <c r="W90" i="11"/>
  <c r="H148" i="9"/>
  <c r="S148" i="9" s="1"/>
  <c r="T148" i="9"/>
  <c r="T150" i="8"/>
  <c r="H150" i="8"/>
  <c r="S150" i="8" s="1"/>
  <c r="E111" i="9"/>
  <c r="W111" i="8"/>
  <c r="T106" i="10"/>
  <c r="H106" i="10"/>
  <c r="S106" i="10" s="1"/>
  <c r="T98" i="8"/>
  <c r="H98" i="8"/>
  <c r="S98" i="8" s="1"/>
  <c r="T43" i="10"/>
  <c r="H43" i="10"/>
  <c r="S43" i="10" s="1"/>
  <c r="W142" i="8"/>
  <c r="E142" i="9"/>
  <c r="T27" i="11"/>
  <c r="H27" i="11"/>
  <c r="S27" i="11" s="1"/>
  <c r="H88" i="10"/>
  <c r="S88" i="10" s="1"/>
  <c r="T88" i="10"/>
  <c r="H95" i="10"/>
  <c r="S95" i="10" s="1"/>
  <c r="T95" i="10"/>
  <c r="T188" i="8"/>
  <c r="H188" i="8"/>
  <c r="S188" i="8" s="1"/>
  <c r="E127" i="11"/>
  <c r="W127" i="10"/>
  <c r="E61" i="12"/>
  <c r="W61" i="11"/>
  <c r="T39" i="11"/>
  <c r="H39" i="11"/>
  <c r="S39" i="11" s="1"/>
  <c r="E164" i="9"/>
  <c r="W164" i="8"/>
  <c r="T78" i="8"/>
  <c r="H78" i="8"/>
  <c r="S78" i="8" s="1"/>
  <c r="U75" i="10"/>
  <c r="H75" i="10"/>
  <c r="S75" i="10" s="1"/>
  <c r="T153" i="9"/>
  <c r="H153" i="9"/>
  <c r="S153" i="9" s="1"/>
  <c r="W177" i="8"/>
  <c r="E177" i="9"/>
  <c r="H170" i="8"/>
  <c r="S170" i="8" s="1"/>
  <c r="T170" i="8"/>
  <c r="E101" i="11"/>
  <c r="W101" i="10"/>
  <c r="H68" i="10"/>
  <c r="S68" i="10" s="1"/>
  <c r="T68" i="10"/>
  <c r="T132" i="11"/>
  <c r="H132" i="11"/>
  <c r="S132" i="11" s="1"/>
  <c r="T167" i="10"/>
  <c r="H167" i="10"/>
  <c r="S167" i="10" s="1"/>
  <c r="E32" i="9"/>
  <c r="W32" i="8"/>
  <c r="T55" i="11"/>
  <c r="H55" i="11"/>
  <c r="S55" i="11" s="1"/>
  <c r="E186" i="11"/>
  <c r="W186" i="10"/>
  <c r="H15" i="8"/>
  <c r="S15" i="8" s="1"/>
  <c r="T15" i="8"/>
  <c r="V41" i="9"/>
  <c r="H41" i="9"/>
  <c r="S41" i="9" s="1"/>
  <c r="T187" i="11"/>
  <c r="H187" i="11"/>
  <c r="S187" i="11" s="1"/>
  <c r="E96" i="11"/>
  <c r="W96" i="10"/>
  <c r="T130" i="10"/>
  <c r="H130" i="10"/>
  <c r="S130" i="10" s="1"/>
  <c r="E140" i="11"/>
  <c r="W140" i="10"/>
  <c r="T129" i="10"/>
  <c r="H129" i="10"/>
  <c r="S129" i="10" s="1"/>
  <c r="W37" i="10"/>
  <c r="E37" i="11"/>
  <c r="E25" i="9"/>
  <c r="W25" i="8"/>
  <c r="E165" i="9"/>
  <c r="W165" i="8"/>
  <c r="T121" i="10"/>
  <c r="H121" i="10"/>
  <c r="S121" i="10" s="1"/>
  <c r="W24" i="10"/>
  <c r="E24" i="11"/>
  <c r="E23" i="11"/>
  <c r="W23" i="10"/>
  <c r="T137" i="11"/>
  <c r="H137" i="11"/>
  <c r="S137" i="11" s="1"/>
  <c r="E189" i="9"/>
  <c r="W189" i="8"/>
  <c r="E159" i="11"/>
  <c r="W159" i="10"/>
  <c r="T109" i="9"/>
  <c r="H109" i="9"/>
  <c r="S109" i="9" s="1"/>
  <c r="W115" i="10"/>
  <c r="E115" i="11"/>
  <c r="E104" i="12"/>
  <c r="W104" i="11"/>
  <c r="H11" i="9"/>
  <c r="S11" i="9" s="1"/>
  <c r="T11" i="9"/>
  <c r="T77" i="10"/>
  <c r="H77" i="10"/>
  <c r="S77" i="10" s="1"/>
  <c r="E45" i="11"/>
  <c r="W45" i="10"/>
  <c r="W60" i="10"/>
  <c r="E60" i="11"/>
  <c r="T108" i="11"/>
  <c r="H99" i="10"/>
  <c r="S99" i="10" s="1"/>
  <c r="T99" i="10"/>
  <c r="T92" i="8"/>
  <c r="H92" i="8"/>
  <c r="S92" i="8" s="1"/>
  <c r="H126" i="11"/>
  <c r="S126" i="11" s="1"/>
  <c r="T126" i="11"/>
  <c r="E105" i="9"/>
  <c r="W105" i="8"/>
  <c r="H162" i="9"/>
  <c r="S162" i="9" s="1"/>
  <c r="T162" i="9"/>
  <c r="E66" i="11"/>
  <c r="W66" i="10"/>
  <c r="W5" i="8"/>
  <c r="E5" i="9"/>
  <c r="H173" i="11"/>
  <c r="S173" i="11" s="1"/>
  <c r="T173" i="11"/>
  <c r="H64" i="10"/>
  <c r="S64" i="10" s="1"/>
  <c r="T64" i="10"/>
  <c r="T169" i="9"/>
  <c r="H169" i="9"/>
  <c r="S169" i="9" s="1"/>
  <c r="E79" i="9"/>
  <c r="W79" i="8"/>
  <c r="H50" i="12"/>
  <c r="S50" i="12" s="1"/>
  <c r="T50" i="12"/>
  <c r="H91" i="10"/>
  <c r="S91" i="10" s="1"/>
  <c r="T91" i="10"/>
  <c r="H158" i="10"/>
  <c r="S158" i="10" s="1"/>
  <c r="T158" i="10"/>
  <c r="W69" i="10"/>
  <c r="E69" i="11"/>
  <c r="E85" i="11"/>
  <c r="W85" i="10"/>
  <c r="H147" i="8"/>
  <c r="S147" i="8" s="1"/>
  <c r="T147" i="8"/>
  <c r="E65" i="11"/>
  <c r="W65" i="10"/>
  <c r="T20" i="11"/>
  <c r="H20" i="11"/>
  <c r="S20" i="11" s="1"/>
  <c r="E7" i="10"/>
  <c r="W7" i="9"/>
  <c r="T38" i="10"/>
  <c r="H38" i="10"/>
  <c r="S38" i="10" s="1"/>
  <c r="T12" i="8"/>
  <c r="H12" i="8"/>
  <c r="S12" i="8" s="1"/>
  <c r="T135" i="10"/>
  <c r="H135" i="10"/>
  <c r="S135" i="10" s="1"/>
  <c r="E4" i="11"/>
  <c r="W4" i="10"/>
  <c r="H131" i="11"/>
  <c r="S131" i="11" s="1"/>
  <c r="T131" i="11"/>
  <c r="H63" i="10"/>
  <c r="S63" i="10" s="1"/>
  <c r="T63" i="10"/>
  <c r="H26" i="8"/>
  <c r="S26" i="8" s="1"/>
  <c r="T26" i="8"/>
  <c r="H14" i="8"/>
  <c r="S14" i="8" s="1"/>
  <c r="T14" i="8"/>
  <c r="T51" i="8"/>
  <c r="H51" i="8"/>
  <c r="S51" i="8" s="1"/>
  <c r="H86" i="10"/>
  <c r="S86" i="10" s="1"/>
  <c r="T86" i="10"/>
  <c r="E145" i="9"/>
  <c r="W145" i="8"/>
  <c r="T198" i="8"/>
  <c r="H198" i="8"/>
  <c r="S198" i="8" s="1"/>
  <c r="T182" i="11"/>
  <c r="H182" i="11"/>
  <c r="S182" i="11" s="1"/>
  <c r="T133" i="10"/>
  <c r="H133" i="10"/>
  <c r="S133" i="10" s="1"/>
  <c r="T193" i="9"/>
  <c r="H193" i="9"/>
  <c r="S193" i="9" s="1"/>
  <c r="E31" i="9"/>
  <c r="W31" i="8"/>
  <c r="E168" i="9"/>
  <c r="W168" i="8"/>
  <c r="T82" i="9"/>
  <c r="H82" i="9"/>
  <c r="S82" i="9" s="1"/>
  <c r="E195" i="11"/>
  <c r="W195" i="10"/>
  <c r="T176" i="10"/>
  <c r="H176" i="10"/>
  <c r="S176" i="10" s="1"/>
  <c r="E72" i="11"/>
  <c r="W72" i="10"/>
  <c r="E185" i="11"/>
  <c r="W185" i="10"/>
  <c r="T73" i="10"/>
  <c r="H73" i="10"/>
  <c r="S73" i="10" s="1"/>
  <c r="H139" i="11"/>
  <c r="S139" i="11" s="1"/>
  <c r="T139" i="11"/>
  <c r="H144" i="10"/>
  <c r="S144" i="10" s="1"/>
  <c r="T144" i="10"/>
  <c r="T21" i="9"/>
  <c r="H21" i="9"/>
  <c r="S21" i="9" s="1"/>
  <c r="H116" i="10"/>
  <c r="S116" i="10" s="1"/>
  <c r="T116" i="10"/>
  <c r="E160" i="11"/>
  <c r="W160" i="10"/>
  <c r="T46" i="9"/>
  <c r="H46" i="9"/>
  <c r="S46" i="9" s="1"/>
  <c r="E103" i="11"/>
  <c r="W103" i="10"/>
  <c r="E199" i="11"/>
  <c r="W199" i="10"/>
  <c r="H143" i="9"/>
  <c r="S143" i="9" s="1"/>
  <c r="T143" i="9"/>
  <c r="E17" i="12"/>
  <c r="W17" i="11"/>
  <c r="T152" i="8"/>
  <c r="H152" i="8"/>
  <c r="S152" i="8" s="1"/>
  <c r="T117" i="11"/>
  <c r="H117" i="11"/>
  <c r="S117" i="11" s="1"/>
  <c r="T75" i="11"/>
  <c r="T154" i="9"/>
  <c r="H154" i="9"/>
  <c r="S154" i="9" s="1"/>
  <c r="T22" i="10"/>
  <c r="H22" i="10"/>
  <c r="S22" i="10" s="1"/>
  <c r="E192" i="9"/>
  <c r="W192" i="8"/>
  <c r="E42" i="11"/>
  <c r="W42" i="10"/>
  <c r="E166" i="11"/>
  <c r="W166" i="10"/>
  <c r="T83" i="10"/>
  <c r="E74" i="11"/>
  <c r="W74" i="10"/>
  <c r="T122" i="8"/>
  <c r="H122" i="8"/>
  <c r="S122" i="8" s="1"/>
  <c r="E48" i="11"/>
  <c r="W48" i="10"/>
  <c r="E94" i="11"/>
  <c r="W94" i="10"/>
  <c r="T123" i="8"/>
  <c r="H123" i="8"/>
  <c r="S123" i="8" s="1"/>
  <c r="T76" i="11"/>
  <c r="H76" i="11"/>
  <c r="S76" i="11" s="1"/>
  <c r="H89" i="11"/>
  <c r="S89" i="11" s="1"/>
  <c r="T89" i="11"/>
  <c r="E175" i="11"/>
  <c r="W175" i="10"/>
  <c r="T70" i="10"/>
  <c r="H70" i="10"/>
  <c r="S70" i="10" s="1"/>
  <c r="T163" i="9"/>
  <c r="H163" i="9"/>
  <c r="S163" i="9" s="1"/>
  <c r="T19" i="10"/>
  <c r="H19" i="10"/>
  <c r="S19" i="10" s="1"/>
  <c r="W184" i="10"/>
  <c r="E184" i="11"/>
  <c r="E149" i="9"/>
  <c r="W149" i="8"/>
  <c r="E180" i="11"/>
  <c r="W180" i="10"/>
  <c r="F83" i="9"/>
  <c r="W83" i="8"/>
  <c r="H183" i="10"/>
  <c r="S183" i="10" s="1"/>
  <c r="T183" i="10"/>
  <c r="E138" i="11"/>
  <c r="W138" i="10"/>
  <c r="E97" i="12"/>
  <c r="W97" i="11"/>
  <c r="T151" i="9"/>
  <c r="H151" i="9"/>
  <c r="S151" i="9" s="1"/>
  <c r="T178" i="10"/>
  <c r="H178" i="10"/>
  <c r="S178" i="10" s="1"/>
  <c r="H119" i="9"/>
  <c r="S119" i="9" s="1"/>
  <c r="T119" i="9"/>
  <c r="E10" i="9"/>
  <c r="W10" i="8"/>
  <c r="U108" i="10"/>
  <c r="H108" i="10"/>
  <c r="S108" i="10" s="1"/>
  <c r="E172" i="10"/>
  <c r="W172" i="9"/>
  <c r="E124" i="11"/>
  <c r="W124" i="10"/>
  <c r="H54" i="10"/>
  <c r="S54" i="10" s="1"/>
  <c r="T54" i="10"/>
  <c r="H67" i="9"/>
  <c r="S67" i="9" s="1"/>
  <c r="T67" i="9"/>
  <c r="T36" i="8"/>
  <c r="H36" i="8"/>
  <c r="S36" i="8" s="1"/>
  <c r="H67" i="15" l="1"/>
  <c r="H99" i="15"/>
  <c r="E31" i="20" a="1"/>
  <c r="E31" i="20" s="1"/>
  <c r="D38" i="15" s="1"/>
  <c r="AA92" i="20"/>
  <c r="X92" i="20"/>
  <c r="X60" i="20"/>
  <c r="AA60" i="20"/>
  <c r="E171" i="9"/>
  <c r="W171" i="8"/>
  <c r="G29" i="9"/>
  <c r="W29" i="8"/>
  <c r="T184" i="11"/>
  <c r="H184" i="11"/>
  <c r="S184" i="11" s="1"/>
  <c r="W144" i="10"/>
  <c r="E144" i="11"/>
  <c r="E12" i="9"/>
  <c r="W12" i="8"/>
  <c r="T60" i="11"/>
  <c r="H60" i="11"/>
  <c r="S60" i="11" s="1"/>
  <c r="H97" i="12"/>
  <c r="S97" i="12" s="1"/>
  <c r="T97" i="12"/>
  <c r="E121" i="11"/>
  <c r="W121" i="10"/>
  <c r="H111" i="9"/>
  <c r="S111" i="9" s="1"/>
  <c r="T111" i="9"/>
  <c r="E58" i="11"/>
  <c r="W58" i="10"/>
  <c r="W19" i="10"/>
  <c r="E19" i="11"/>
  <c r="W82" i="9"/>
  <c r="E82" i="10"/>
  <c r="E173" i="12"/>
  <c r="W173" i="11"/>
  <c r="T45" i="11"/>
  <c r="H45" i="11"/>
  <c r="S45" i="11" s="1"/>
  <c r="T159" i="11"/>
  <c r="H159" i="11"/>
  <c r="S159" i="11" s="1"/>
  <c r="T96" i="11"/>
  <c r="H96" i="11"/>
  <c r="S96" i="11" s="1"/>
  <c r="T32" i="9"/>
  <c r="H32" i="9"/>
  <c r="S32" i="9" s="1"/>
  <c r="H61" i="12"/>
  <c r="S61" i="12" s="1"/>
  <c r="T61" i="12"/>
  <c r="T161" i="11"/>
  <c r="H161" i="11"/>
  <c r="S161" i="11" s="1"/>
  <c r="W197" i="10"/>
  <c r="E197" i="11"/>
  <c r="T107" i="11"/>
  <c r="H107" i="11"/>
  <c r="S107" i="11" s="1"/>
  <c r="E93" i="9"/>
  <c r="W93" i="8"/>
  <c r="H18" i="11"/>
  <c r="S18" i="11" s="1"/>
  <c r="T18" i="11"/>
  <c r="E183" i="11"/>
  <c r="W183" i="10"/>
  <c r="E131" i="12"/>
  <c r="W131" i="11"/>
  <c r="H7" i="10"/>
  <c r="S7" i="10" s="1"/>
  <c r="T7" i="10"/>
  <c r="E126" i="12"/>
  <c r="W126" i="11"/>
  <c r="T142" i="9"/>
  <c r="H142" i="9"/>
  <c r="S142" i="9" s="1"/>
  <c r="E148" i="10"/>
  <c r="W148" i="9"/>
  <c r="W8" i="8"/>
  <c r="E8" i="9"/>
  <c r="W84" i="11"/>
  <c r="E84" i="12"/>
  <c r="E47" i="11"/>
  <c r="W47" i="10"/>
  <c r="E169" i="10"/>
  <c r="W169" i="9"/>
  <c r="E174" i="11"/>
  <c r="W174" i="10"/>
  <c r="E76" i="12"/>
  <c r="W76" i="11"/>
  <c r="T195" i="11"/>
  <c r="H195" i="11"/>
  <c r="S195" i="11" s="1"/>
  <c r="E55" i="12"/>
  <c r="W55" i="11"/>
  <c r="T59" i="9"/>
  <c r="H59" i="9"/>
  <c r="S59" i="9" s="1"/>
  <c r="F108" i="11"/>
  <c r="W108" i="10"/>
  <c r="T138" i="11"/>
  <c r="H138" i="11"/>
  <c r="S138" i="11" s="1"/>
  <c r="E83" i="11"/>
  <c r="E75" i="12"/>
  <c r="H103" i="11"/>
  <c r="S103" i="11" s="1"/>
  <c r="T103" i="11"/>
  <c r="E198" i="9"/>
  <c r="W198" i="8"/>
  <c r="E158" i="11"/>
  <c r="W158" i="10"/>
  <c r="H105" i="9"/>
  <c r="S105" i="9" s="1"/>
  <c r="T105" i="9"/>
  <c r="T165" i="9"/>
  <c r="H165" i="9"/>
  <c r="S165" i="9" s="1"/>
  <c r="E150" i="9"/>
  <c r="W150" i="8"/>
  <c r="T49" i="10"/>
  <c r="H49" i="10"/>
  <c r="S49" i="10" s="1"/>
  <c r="T196" i="11"/>
  <c r="H196" i="11"/>
  <c r="S196" i="11" s="1"/>
  <c r="W36" i="8"/>
  <c r="E36" i="9"/>
  <c r="H10" i="9"/>
  <c r="S10" i="9" s="1"/>
  <c r="T10" i="9"/>
  <c r="E163" i="10"/>
  <c r="W163" i="9"/>
  <c r="W123" i="8"/>
  <c r="E123" i="9"/>
  <c r="H166" i="11"/>
  <c r="S166" i="11" s="1"/>
  <c r="T166" i="11"/>
  <c r="E117" i="12"/>
  <c r="W117" i="11"/>
  <c r="E46" i="10"/>
  <c r="W46" i="9"/>
  <c r="E73" i="11"/>
  <c r="W73" i="10"/>
  <c r="T168" i="9"/>
  <c r="H168" i="9"/>
  <c r="S168" i="9" s="1"/>
  <c r="H145" i="9"/>
  <c r="S145" i="9" s="1"/>
  <c r="T145" i="9"/>
  <c r="E91" i="11"/>
  <c r="W91" i="10"/>
  <c r="E77" i="11"/>
  <c r="W77" i="10"/>
  <c r="H189" i="9"/>
  <c r="S189" i="9" s="1"/>
  <c r="T189" i="9"/>
  <c r="T25" i="9"/>
  <c r="H25" i="9"/>
  <c r="S25" i="9" s="1"/>
  <c r="E187" i="12"/>
  <c r="W187" i="11"/>
  <c r="E167" i="11"/>
  <c r="W167" i="10"/>
  <c r="E153" i="10"/>
  <c r="W153" i="9"/>
  <c r="H127" i="11"/>
  <c r="S127" i="11" s="1"/>
  <c r="T127" i="11"/>
  <c r="H157" i="12"/>
  <c r="S157" i="12" s="1"/>
  <c r="T157" i="12"/>
  <c r="E44" i="11"/>
  <c r="W44" i="10"/>
  <c r="E80" i="9"/>
  <c r="W80" i="8"/>
  <c r="W52" i="9"/>
  <c r="E52" i="10"/>
  <c r="E40" i="11"/>
  <c r="W40" i="10"/>
  <c r="E26" i="9"/>
  <c r="W26" i="8"/>
  <c r="E162" i="10"/>
  <c r="W162" i="9"/>
  <c r="E64" i="11"/>
  <c r="W64" i="10"/>
  <c r="E130" i="11"/>
  <c r="W130" i="10"/>
  <c r="W27" i="11"/>
  <c r="E27" i="12"/>
  <c r="T190" i="9"/>
  <c r="H190" i="9"/>
  <c r="S190" i="9" s="1"/>
  <c r="T177" i="9"/>
  <c r="H177" i="9"/>
  <c r="S177" i="9" s="1"/>
  <c r="W112" i="9"/>
  <c r="E112" i="10"/>
  <c r="E102" i="11"/>
  <c r="W102" i="10"/>
  <c r="U83" i="9"/>
  <c r="H83" i="9"/>
  <c r="S83" i="9" s="1"/>
  <c r="T31" i="9"/>
  <c r="H31" i="9"/>
  <c r="S31" i="9" s="1"/>
  <c r="E92" i="9"/>
  <c r="W92" i="8"/>
  <c r="G41" i="10"/>
  <c r="W41" i="9"/>
  <c r="E188" i="9"/>
  <c r="W188" i="8"/>
  <c r="E28" i="12"/>
  <c r="W28" i="11"/>
  <c r="W54" i="10"/>
  <c r="E54" i="11"/>
  <c r="T4" i="11"/>
  <c r="H4" i="11"/>
  <c r="S4" i="11" s="1"/>
  <c r="H65" i="11"/>
  <c r="S65" i="11" s="1"/>
  <c r="T65" i="11"/>
  <c r="T5" i="9"/>
  <c r="H5" i="9"/>
  <c r="S5" i="9" s="1"/>
  <c r="E99" i="11"/>
  <c r="W99" i="10"/>
  <c r="E15" i="9"/>
  <c r="W15" i="8"/>
  <c r="E68" i="11"/>
  <c r="W68" i="10"/>
  <c r="E95" i="11"/>
  <c r="W95" i="10"/>
  <c r="E53" i="12"/>
  <c r="W53" i="11"/>
  <c r="T85" i="11"/>
  <c r="H85" i="11"/>
  <c r="S85" i="11" s="1"/>
  <c r="H74" i="11"/>
  <c r="S74" i="11" s="1"/>
  <c r="T74" i="11"/>
  <c r="H69" i="11"/>
  <c r="S69" i="11" s="1"/>
  <c r="T69" i="11"/>
  <c r="E81" i="10"/>
  <c r="W81" i="9"/>
  <c r="E139" i="12"/>
  <c r="W139" i="11"/>
  <c r="E67" i="10"/>
  <c r="W67" i="9"/>
  <c r="E11" i="10"/>
  <c r="W11" i="9"/>
  <c r="T37" i="11"/>
  <c r="H37" i="11"/>
  <c r="S37" i="11" s="1"/>
  <c r="W70" i="10"/>
  <c r="E70" i="11"/>
  <c r="H94" i="11"/>
  <c r="S94" i="11" s="1"/>
  <c r="T94" i="11"/>
  <c r="H42" i="11"/>
  <c r="S42" i="11" s="1"/>
  <c r="T42" i="11"/>
  <c r="T160" i="11"/>
  <c r="H160" i="11"/>
  <c r="S160" i="11" s="1"/>
  <c r="E137" i="12"/>
  <c r="W137" i="11"/>
  <c r="H104" i="12"/>
  <c r="S104" i="12" s="1"/>
  <c r="T104" i="12"/>
  <c r="T23" i="11"/>
  <c r="H23" i="11"/>
  <c r="S23" i="11" s="1"/>
  <c r="E129" i="11"/>
  <c r="W129" i="10"/>
  <c r="E78" i="9"/>
  <c r="W78" i="8"/>
  <c r="E98" i="9"/>
  <c r="W98" i="8"/>
  <c r="H13" i="9"/>
  <c r="S13" i="9" s="1"/>
  <c r="T13" i="9"/>
  <c r="T33" i="9"/>
  <c r="H33" i="9"/>
  <c r="S33" i="9" s="1"/>
  <c r="T179" i="9"/>
  <c r="H179" i="9"/>
  <c r="S179" i="9" s="1"/>
  <c r="T181" i="11"/>
  <c r="H181" i="11"/>
  <c r="S181" i="11" s="1"/>
  <c r="T35" i="11"/>
  <c r="H35" i="11"/>
  <c r="S35" i="11" s="1"/>
  <c r="T29" i="11"/>
  <c r="E141" i="11"/>
  <c r="W141" i="10"/>
  <c r="E41" i="11"/>
  <c r="E182" i="12"/>
  <c r="W182" i="11"/>
  <c r="E109" i="10"/>
  <c r="W109" i="9"/>
  <c r="E39" i="12"/>
  <c r="W39" i="11"/>
  <c r="B16" i="2"/>
  <c r="T90" i="12"/>
  <c r="H90" i="12"/>
  <c r="S90" i="12" s="1"/>
  <c r="W114" i="8"/>
  <c r="E114" i="9"/>
  <c r="W116" i="10"/>
  <c r="E116" i="11"/>
  <c r="T175" i="11"/>
  <c r="H175" i="11"/>
  <c r="S175" i="11" s="1"/>
  <c r="T192" i="9"/>
  <c r="H192" i="9"/>
  <c r="S192" i="9" s="1"/>
  <c r="T17" i="12"/>
  <c r="H17" i="12"/>
  <c r="S17" i="12" s="1"/>
  <c r="T72" i="11"/>
  <c r="H72" i="11"/>
  <c r="S72" i="11" s="1"/>
  <c r="E193" i="10"/>
  <c r="W193" i="9"/>
  <c r="W135" i="10"/>
  <c r="E135" i="11"/>
  <c r="T79" i="9"/>
  <c r="H79" i="9"/>
  <c r="S79" i="9" s="1"/>
  <c r="E108" i="12"/>
  <c r="T115" i="11"/>
  <c r="H115" i="11"/>
  <c r="S115" i="11" s="1"/>
  <c r="T24" i="11"/>
  <c r="H24" i="11"/>
  <c r="S24" i="11" s="1"/>
  <c r="E88" i="11"/>
  <c r="W88" i="10"/>
  <c r="E113" i="10"/>
  <c r="W113" i="9"/>
  <c r="E120" i="12"/>
  <c r="W120" i="11"/>
  <c r="E170" i="9"/>
  <c r="W170" i="8"/>
  <c r="E146" i="11"/>
  <c r="W146" i="10"/>
  <c r="T57" i="9"/>
  <c r="H57" i="9"/>
  <c r="S57" i="9" s="1"/>
  <c r="T172" i="10"/>
  <c r="H172" i="10"/>
  <c r="S172" i="10" s="1"/>
  <c r="E154" i="10"/>
  <c r="W154" i="9"/>
  <c r="T199" i="11"/>
  <c r="H199" i="11"/>
  <c r="S199" i="11" s="1"/>
  <c r="E9" i="10"/>
  <c r="W9" i="9"/>
  <c r="E63" i="11"/>
  <c r="W63" i="10"/>
  <c r="E38" i="11"/>
  <c r="W38" i="10"/>
  <c r="E56" i="11"/>
  <c r="W56" i="10"/>
  <c r="E119" i="10"/>
  <c r="W119" i="9"/>
  <c r="E86" i="11"/>
  <c r="W86" i="10"/>
  <c r="W20" i="11"/>
  <c r="E20" i="12"/>
  <c r="E152" i="9"/>
  <c r="W152" i="8"/>
  <c r="T185" i="11"/>
  <c r="H185" i="11"/>
  <c r="S185" i="11" s="1"/>
  <c r="W50" i="12"/>
  <c r="E132" i="12"/>
  <c r="W132" i="11"/>
  <c r="F75" i="11"/>
  <c r="W75" i="10"/>
  <c r="W43" i="10"/>
  <c r="E43" i="11"/>
  <c r="T156" i="11"/>
  <c r="H156" i="11"/>
  <c r="S156" i="11" s="1"/>
  <c r="T16" i="9"/>
  <c r="H16" i="9"/>
  <c r="S16" i="9" s="1"/>
  <c r="T87" i="11"/>
  <c r="H87" i="11"/>
  <c r="S87" i="11" s="1"/>
  <c r="E125" i="11"/>
  <c r="W125" i="10"/>
  <c r="E178" i="11"/>
  <c r="W178" i="10"/>
  <c r="T180" i="11"/>
  <c r="H180" i="11"/>
  <c r="S180" i="11" s="1"/>
  <c r="T48" i="11"/>
  <c r="H48" i="11"/>
  <c r="S48" i="11" s="1"/>
  <c r="E51" i="9"/>
  <c r="W51" i="8"/>
  <c r="E147" i="9"/>
  <c r="W147" i="8"/>
  <c r="E89" i="12"/>
  <c r="W89" i="11"/>
  <c r="E143" i="10"/>
  <c r="W143" i="9"/>
  <c r="E14" i="9"/>
  <c r="W14" i="8"/>
  <c r="T124" i="11"/>
  <c r="H124" i="11"/>
  <c r="S124" i="11" s="1"/>
  <c r="E151" i="10"/>
  <c r="W151" i="9"/>
  <c r="H149" i="9"/>
  <c r="S149" i="9" s="1"/>
  <c r="T149" i="9"/>
  <c r="W122" i="8"/>
  <c r="E122" i="9"/>
  <c r="W22" i="10"/>
  <c r="E22" i="11"/>
  <c r="E21" i="10"/>
  <c r="W21" i="9"/>
  <c r="E176" i="11"/>
  <c r="W176" i="10"/>
  <c r="E133" i="11"/>
  <c r="W133" i="10"/>
  <c r="T66" i="11"/>
  <c r="H66" i="11"/>
  <c r="S66" i="11" s="1"/>
  <c r="T140" i="11"/>
  <c r="H140" i="11"/>
  <c r="S140" i="11" s="1"/>
  <c r="H186" i="11"/>
  <c r="S186" i="11" s="1"/>
  <c r="T186" i="11"/>
  <c r="T101" i="11"/>
  <c r="H101" i="11"/>
  <c r="S101" i="11" s="1"/>
  <c r="T164" i="9"/>
  <c r="H164" i="9"/>
  <c r="S164" i="9" s="1"/>
  <c r="E106" i="11"/>
  <c r="W106" i="10"/>
  <c r="E110" i="9"/>
  <c r="W110" i="8"/>
  <c r="E118" i="11"/>
  <c r="W118" i="10"/>
  <c r="H71" i="11"/>
  <c r="S71" i="11" s="1"/>
  <c r="T71" i="11"/>
  <c r="H34" i="12"/>
  <c r="S34" i="12" s="1"/>
  <c r="T34" i="12"/>
  <c r="E6" i="9"/>
  <c r="W6" i="8"/>
  <c r="E30" i="9"/>
  <c r="W30" i="8"/>
  <c r="E136" i="11"/>
  <c r="W136" i="10"/>
  <c r="Y93" i="13" l="1"/>
  <c r="G93" i="13"/>
  <c r="G61" i="13"/>
  <c r="Y61" i="13"/>
  <c r="AA61" i="13" s="1"/>
  <c r="E161" i="20" a="1"/>
  <c r="E161" i="20" s="1"/>
  <c r="D168" i="15" s="1"/>
  <c r="E157" i="20" a="1"/>
  <c r="E157" i="20" s="1"/>
  <c r="D164" i="15" s="1"/>
  <c r="E144" i="20" a="1"/>
  <c r="E144" i="20" s="1"/>
  <c r="D151" i="15" s="1"/>
  <c r="E129" i="20" a="1"/>
  <c r="E129" i="20" s="1"/>
  <c r="D136" i="15" s="1"/>
  <c r="E133" i="20" a="1"/>
  <c r="E133" i="20" s="1"/>
  <c r="D140" i="15" s="1"/>
  <c r="E164" i="20" a="1"/>
  <c r="E164" i="20" s="1"/>
  <c r="D171" i="15" s="1"/>
  <c r="E120" i="20" a="1"/>
  <c r="E120" i="20" s="1"/>
  <c r="D127" i="15" s="1"/>
  <c r="AO31" i="20"/>
  <c r="G31" i="20"/>
  <c r="V29" i="9"/>
  <c r="H29" i="9"/>
  <c r="S29" i="9" s="1"/>
  <c r="T171" i="9"/>
  <c r="H171" i="9"/>
  <c r="S171" i="9" s="1"/>
  <c r="T92" i="9"/>
  <c r="H92" i="9"/>
  <c r="S92" i="9" s="1"/>
  <c r="T47" i="11"/>
  <c r="H47" i="11"/>
  <c r="S47" i="11" s="1"/>
  <c r="H120" i="12"/>
  <c r="S120" i="12" s="1"/>
  <c r="T120" i="12"/>
  <c r="E94" i="12"/>
  <c r="W94" i="11"/>
  <c r="E145" i="10"/>
  <c r="W145" i="9"/>
  <c r="T123" i="9"/>
  <c r="H123" i="9"/>
  <c r="S123" i="9" s="1"/>
  <c r="T109" i="10"/>
  <c r="H109" i="10"/>
  <c r="S109" i="10" s="1"/>
  <c r="T129" i="11"/>
  <c r="H129" i="11"/>
  <c r="S129" i="11" s="1"/>
  <c r="T139" i="12"/>
  <c r="H139" i="12"/>
  <c r="S139" i="12" s="1"/>
  <c r="E4" i="12"/>
  <c r="W4" i="11"/>
  <c r="E31" i="10"/>
  <c r="W31" i="9"/>
  <c r="H167" i="11"/>
  <c r="S167" i="11" s="1"/>
  <c r="T167" i="11"/>
  <c r="H150" i="9"/>
  <c r="S150" i="9" s="1"/>
  <c r="T150" i="9"/>
  <c r="T55" i="12"/>
  <c r="H55" i="12"/>
  <c r="S55" i="12" s="1"/>
  <c r="E161" i="12"/>
  <c r="W161" i="11"/>
  <c r="H173" i="12"/>
  <c r="S173" i="12" s="1"/>
  <c r="T173" i="12"/>
  <c r="T118" i="11"/>
  <c r="H118" i="11"/>
  <c r="S118" i="11" s="1"/>
  <c r="E140" i="12"/>
  <c r="W140" i="11"/>
  <c r="T89" i="12"/>
  <c r="H89" i="12"/>
  <c r="S89" i="12" s="1"/>
  <c r="T125" i="11"/>
  <c r="H125" i="11"/>
  <c r="S125" i="11" s="1"/>
  <c r="H132" i="12"/>
  <c r="S132" i="12" s="1"/>
  <c r="T132" i="12"/>
  <c r="T119" i="10"/>
  <c r="H119" i="10"/>
  <c r="S119" i="10" s="1"/>
  <c r="T154" i="10"/>
  <c r="H154" i="10"/>
  <c r="S154" i="10" s="1"/>
  <c r="T113" i="10"/>
  <c r="H113" i="10"/>
  <c r="S113" i="10" s="1"/>
  <c r="H70" i="11"/>
  <c r="S70" i="11" s="1"/>
  <c r="T70" i="11"/>
  <c r="H54" i="11"/>
  <c r="S54" i="11" s="1"/>
  <c r="T54" i="11"/>
  <c r="T8" i="9"/>
  <c r="H8" i="9"/>
  <c r="S8" i="9" s="1"/>
  <c r="W61" i="12"/>
  <c r="T82" i="10"/>
  <c r="H82" i="10"/>
  <c r="S82" i="10" s="1"/>
  <c r="H14" i="9"/>
  <c r="S14" i="9" s="1"/>
  <c r="T14" i="9"/>
  <c r="E35" i="12"/>
  <c r="W35" i="11"/>
  <c r="W59" i="9"/>
  <c r="E59" i="10"/>
  <c r="E79" i="10"/>
  <c r="W79" i="9"/>
  <c r="T27" i="12"/>
  <c r="H27" i="12"/>
  <c r="S27" i="12" s="1"/>
  <c r="E103" i="12"/>
  <c r="W103" i="11"/>
  <c r="T84" i="12"/>
  <c r="H84" i="12"/>
  <c r="S84" i="12" s="1"/>
  <c r="W97" i="12"/>
  <c r="T122" i="9"/>
  <c r="H122" i="9"/>
  <c r="S122" i="9" s="1"/>
  <c r="H135" i="11"/>
  <c r="S135" i="11" s="1"/>
  <c r="T135" i="11"/>
  <c r="T116" i="11"/>
  <c r="H116" i="11"/>
  <c r="S116" i="11" s="1"/>
  <c r="E181" i="12"/>
  <c r="W181" i="11"/>
  <c r="T95" i="11"/>
  <c r="H95" i="11"/>
  <c r="S95" i="11" s="1"/>
  <c r="T131" i="12"/>
  <c r="H131" i="12"/>
  <c r="S131" i="12" s="1"/>
  <c r="E149" i="10"/>
  <c r="W149" i="9"/>
  <c r="T114" i="9"/>
  <c r="H114" i="9"/>
  <c r="S114" i="9" s="1"/>
  <c r="H182" i="12"/>
  <c r="S182" i="12" s="1"/>
  <c r="T182" i="12"/>
  <c r="E192" i="20" s="1" a="1"/>
  <c r="E192" i="20" s="1"/>
  <c r="D199" i="15" s="1"/>
  <c r="W179" i="9"/>
  <c r="E179" i="10"/>
  <c r="W23" i="11"/>
  <c r="E23" i="12"/>
  <c r="T81" i="10"/>
  <c r="H81" i="10"/>
  <c r="S81" i="10" s="1"/>
  <c r="H68" i="11"/>
  <c r="S68" i="11" s="1"/>
  <c r="T68" i="11"/>
  <c r="F83" i="10"/>
  <c r="W83" i="9"/>
  <c r="H130" i="11"/>
  <c r="S130" i="11" s="1"/>
  <c r="T130" i="11"/>
  <c r="T80" i="9"/>
  <c r="H80" i="9"/>
  <c r="S80" i="9" s="1"/>
  <c r="T187" i="12"/>
  <c r="H187" i="12"/>
  <c r="S187" i="12" s="1"/>
  <c r="E168" i="10"/>
  <c r="W168" i="9"/>
  <c r="T163" i="10"/>
  <c r="H163" i="10"/>
  <c r="S163" i="10" s="1"/>
  <c r="T75" i="12"/>
  <c r="E195" i="12"/>
  <c r="W195" i="11"/>
  <c r="T183" i="11"/>
  <c r="H183" i="11"/>
  <c r="S183" i="11" s="1"/>
  <c r="W60" i="11"/>
  <c r="E60" i="12"/>
  <c r="W7" i="10"/>
  <c r="E7" i="11"/>
  <c r="H39" i="12"/>
  <c r="S39" i="12" s="1"/>
  <c r="T39" i="12"/>
  <c r="H78" i="9"/>
  <c r="S78" i="9" s="1"/>
  <c r="T78" i="9"/>
  <c r="T53" i="12"/>
  <c r="H53" i="12"/>
  <c r="S53" i="12" s="1"/>
  <c r="U75" i="11"/>
  <c r="H75" i="11"/>
  <c r="S75" i="11" s="1"/>
  <c r="T52" i="10"/>
  <c r="H52" i="10"/>
  <c r="S52" i="10" s="1"/>
  <c r="H110" i="9"/>
  <c r="S110" i="9" s="1"/>
  <c r="T110" i="9"/>
  <c r="E87" i="12"/>
  <c r="W87" i="11"/>
  <c r="T44" i="11"/>
  <c r="H44" i="11"/>
  <c r="S44" i="11" s="1"/>
  <c r="E25" i="10"/>
  <c r="W25" i="9"/>
  <c r="T73" i="11"/>
  <c r="H73" i="11"/>
  <c r="S73" i="11" s="1"/>
  <c r="T83" i="11"/>
  <c r="T148" i="10"/>
  <c r="H148" i="10"/>
  <c r="S148" i="10" s="1"/>
  <c r="E32" i="10"/>
  <c r="W32" i="9"/>
  <c r="H12" i="9"/>
  <c r="S12" i="9" s="1"/>
  <c r="T12" i="9"/>
  <c r="T30" i="9"/>
  <c r="H30" i="9"/>
  <c r="S30" i="9" s="1"/>
  <c r="T106" i="11"/>
  <c r="H106" i="11"/>
  <c r="S106" i="11" s="1"/>
  <c r="T133" i="11"/>
  <c r="H133" i="11"/>
  <c r="S133" i="11" s="1"/>
  <c r="T151" i="10"/>
  <c r="H151" i="10"/>
  <c r="S151" i="10" s="1"/>
  <c r="T51" i="9"/>
  <c r="H51" i="9"/>
  <c r="S51" i="9" s="1"/>
  <c r="W16" i="9"/>
  <c r="E16" i="10"/>
  <c r="E185" i="12"/>
  <c r="W185" i="11"/>
  <c r="T38" i="11"/>
  <c r="H38" i="11"/>
  <c r="S38" i="11" s="1"/>
  <c r="W57" i="9"/>
  <c r="E57" i="10"/>
  <c r="E24" i="12"/>
  <c r="W24" i="11"/>
  <c r="E72" i="12"/>
  <c r="W72" i="11"/>
  <c r="W90" i="12"/>
  <c r="E13" i="10"/>
  <c r="W13" i="9"/>
  <c r="E74" i="12"/>
  <c r="W74" i="11"/>
  <c r="T112" i="10"/>
  <c r="H112" i="10"/>
  <c r="S112" i="10" s="1"/>
  <c r="W157" i="12"/>
  <c r="E189" i="10"/>
  <c r="W189" i="9"/>
  <c r="H36" i="9"/>
  <c r="S36" i="9" s="1"/>
  <c r="T36" i="9"/>
  <c r="E105" i="10"/>
  <c r="W105" i="9"/>
  <c r="T144" i="11"/>
  <c r="H144" i="11"/>
  <c r="S144" i="11" s="1"/>
  <c r="E101" i="12"/>
  <c r="W101" i="11"/>
  <c r="E65" i="12"/>
  <c r="W65" i="11"/>
  <c r="T197" i="11"/>
  <c r="H197" i="11"/>
  <c r="S197" i="11" s="1"/>
  <c r="T22" i="11"/>
  <c r="H22" i="11"/>
  <c r="S22" i="11" s="1"/>
  <c r="H67" i="10"/>
  <c r="S67" i="10" s="1"/>
  <c r="T67" i="10"/>
  <c r="T153" i="10"/>
  <c r="H153" i="10"/>
  <c r="S153" i="10" s="1"/>
  <c r="W45" i="11"/>
  <c r="E45" i="12"/>
  <c r="H178" i="11"/>
  <c r="S178" i="11" s="1"/>
  <c r="T178" i="11"/>
  <c r="H136" i="11"/>
  <c r="S136" i="11" s="1"/>
  <c r="T136" i="11"/>
  <c r="T56" i="11"/>
  <c r="H56" i="11"/>
  <c r="S56" i="11" s="1"/>
  <c r="T88" i="11"/>
  <c r="H88" i="11"/>
  <c r="S88" i="11" s="1"/>
  <c r="T193" i="10"/>
  <c r="H193" i="10"/>
  <c r="S193" i="10" s="1"/>
  <c r="E10" i="10"/>
  <c r="W10" i="9"/>
  <c r="T19" i="11"/>
  <c r="H19" i="11"/>
  <c r="S19" i="11" s="1"/>
  <c r="T41" i="11"/>
  <c r="E37" i="12"/>
  <c r="W37" i="11"/>
  <c r="E165" i="10"/>
  <c r="W165" i="9"/>
  <c r="T141" i="11"/>
  <c r="H141" i="11"/>
  <c r="S141" i="11" s="1"/>
  <c r="T137" i="12"/>
  <c r="H137" i="12"/>
  <c r="S137" i="12" s="1"/>
  <c r="H11" i="10"/>
  <c r="S11" i="10" s="1"/>
  <c r="T11" i="10"/>
  <c r="H99" i="11"/>
  <c r="S99" i="11" s="1"/>
  <c r="T99" i="11"/>
  <c r="T188" i="9"/>
  <c r="H188" i="9"/>
  <c r="S188" i="9" s="1"/>
  <c r="T162" i="10"/>
  <c r="H162" i="10"/>
  <c r="S162" i="10" s="1"/>
  <c r="T46" i="10"/>
  <c r="H46" i="10"/>
  <c r="S46" i="10" s="1"/>
  <c r="E138" i="12"/>
  <c r="W138" i="11"/>
  <c r="H174" i="11"/>
  <c r="S174" i="11" s="1"/>
  <c r="T174" i="11"/>
  <c r="E142" i="10"/>
  <c r="W142" i="9"/>
  <c r="T93" i="9"/>
  <c r="H93" i="9"/>
  <c r="S93" i="9" s="1"/>
  <c r="E96" i="12"/>
  <c r="W96" i="11"/>
  <c r="H58" i="11"/>
  <c r="S58" i="11" s="1"/>
  <c r="T58" i="11"/>
  <c r="H170" i="9"/>
  <c r="S170" i="9" s="1"/>
  <c r="T170" i="9"/>
  <c r="E66" i="12"/>
  <c r="W66" i="11"/>
  <c r="H147" i="9"/>
  <c r="S147" i="9" s="1"/>
  <c r="T147" i="9"/>
  <c r="E172" i="11"/>
  <c r="W172" i="10"/>
  <c r="E18" i="12"/>
  <c r="W18" i="11"/>
  <c r="E33" i="10"/>
  <c r="W33" i="9"/>
  <c r="T28" i="12"/>
  <c r="E132" i="20" s="1" a="1"/>
  <c r="E132" i="20" s="1"/>
  <c r="D139" i="15" s="1"/>
  <c r="H28" i="12"/>
  <c r="S28" i="12" s="1"/>
  <c r="H102" i="11"/>
  <c r="S102" i="11" s="1"/>
  <c r="T102" i="11"/>
  <c r="T76" i="12"/>
  <c r="E153" i="20" s="1" a="1"/>
  <c r="E153" i="20" s="1"/>
  <c r="D160" i="15" s="1"/>
  <c r="H76" i="12"/>
  <c r="S76" i="12" s="1"/>
  <c r="T6" i="9"/>
  <c r="H6" i="9"/>
  <c r="S6" i="9" s="1"/>
  <c r="W164" i="9"/>
  <c r="E164" i="10"/>
  <c r="T176" i="11"/>
  <c r="H176" i="11"/>
  <c r="S176" i="11" s="1"/>
  <c r="E124" i="12"/>
  <c r="W124" i="11"/>
  <c r="E48" i="12"/>
  <c r="W48" i="11"/>
  <c r="W156" i="11"/>
  <c r="E156" i="12"/>
  <c r="T152" i="9"/>
  <c r="H152" i="9"/>
  <c r="S152" i="9" s="1"/>
  <c r="H63" i="11"/>
  <c r="S63" i="11" s="1"/>
  <c r="T63" i="11"/>
  <c r="T146" i="11"/>
  <c r="H146" i="11"/>
  <c r="S146" i="11" s="1"/>
  <c r="E115" i="12"/>
  <c r="W115" i="11"/>
  <c r="W17" i="12"/>
  <c r="E29" i="12"/>
  <c r="E127" i="12"/>
  <c r="W127" i="11"/>
  <c r="W111" i="9"/>
  <c r="E111" i="10"/>
  <c r="T21" i="10"/>
  <c r="H21" i="10"/>
  <c r="S21" i="10" s="1"/>
  <c r="E180" i="12"/>
  <c r="W180" i="11"/>
  <c r="T9" i="10"/>
  <c r="H9" i="10"/>
  <c r="S9" i="10" s="1"/>
  <c r="E192" i="10"/>
  <c r="W192" i="9"/>
  <c r="E42" i="12"/>
  <c r="W42" i="11"/>
  <c r="E166" i="12"/>
  <c r="W166" i="11"/>
  <c r="E71" i="12"/>
  <c r="W71" i="11"/>
  <c r="E186" i="12"/>
  <c r="W186" i="11"/>
  <c r="E190" i="10"/>
  <c r="W190" i="9"/>
  <c r="T40" i="11"/>
  <c r="H40" i="11"/>
  <c r="S40" i="11" s="1"/>
  <c r="T91" i="11"/>
  <c r="H91" i="11"/>
  <c r="S91" i="11" s="1"/>
  <c r="E49" i="11"/>
  <c r="W49" i="10"/>
  <c r="T198" i="9"/>
  <c r="H198" i="9"/>
  <c r="S198" i="9" s="1"/>
  <c r="H121" i="11"/>
  <c r="S121" i="11" s="1"/>
  <c r="T121" i="11"/>
  <c r="H143" i="10"/>
  <c r="S143" i="10" s="1"/>
  <c r="T143" i="10"/>
  <c r="T86" i="11"/>
  <c r="H86" i="11"/>
  <c r="S86" i="11" s="1"/>
  <c r="W199" i="11"/>
  <c r="E199" i="12"/>
  <c r="E175" i="12"/>
  <c r="W175" i="11"/>
  <c r="W104" i="12"/>
  <c r="E69" i="12"/>
  <c r="W69" i="11"/>
  <c r="H15" i="9"/>
  <c r="S15" i="9" s="1"/>
  <c r="T15" i="9"/>
  <c r="H64" i="11"/>
  <c r="S64" i="11" s="1"/>
  <c r="T64" i="11"/>
  <c r="W34" i="12"/>
  <c r="T43" i="11"/>
  <c r="H43" i="11"/>
  <c r="S43" i="11" s="1"/>
  <c r="T20" i="12"/>
  <c r="H20" i="12"/>
  <c r="S20" i="12" s="1"/>
  <c r="T108" i="12"/>
  <c r="T98" i="9"/>
  <c r="H98" i="9"/>
  <c r="S98" i="9" s="1"/>
  <c r="E160" i="12"/>
  <c r="W160" i="11"/>
  <c r="E85" i="12"/>
  <c r="W85" i="11"/>
  <c r="E5" i="10"/>
  <c r="W5" i="9"/>
  <c r="V41" i="10"/>
  <c r="H41" i="10"/>
  <c r="S41" i="10" s="1"/>
  <c r="W177" i="9"/>
  <c r="E177" i="10"/>
  <c r="H26" i="9"/>
  <c r="S26" i="9" s="1"/>
  <c r="T26" i="9"/>
  <c r="H77" i="11"/>
  <c r="S77" i="11" s="1"/>
  <c r="T77" i="11"/>
  <c r="T117" i="12"/>
  <c r="H117" i="12"/>
  <c r="S117" i="12" s="1"/>
  <c r="W196" i="11"/>
  <c r="E196" i="12"/>
  <c r="T158" i="11"/>
  <c r="H158" i="11"/>
  <c r="S158" i="11" s="1"/>
  <c r="U108" i="11"/>
  <c r="H108" i="11"/>
  <c r="S108" i="11" s="1"/>
  <c r="T169" i="10"/>
  <c r="H169" i="10"/>
  <c r="S169" i="10" s="1"/>
  <c r="T126" i="12"/>
  <c r="H126" i="12"/>
  <c r="S126" i="12" s="1"/>
  <c r="E107" i="12"/>
  <c r="W107" i="11"/>
  <c r="E159" i="12"/>
  <c r="W159" i="11"/>
  <c r="E184" i="12"/>
  <c r="W184" i="11"/>
  <c r="X93" i="13" l="1"/>
  <c r="AA93" i="13"/>
  <c r="X61" i="13"/>
  <c r="G133" i="20"/>
  <c r="AO133" i="20"/>
  <c r="E114" i="20" a="1"/>
  <c r="E114" i="20" s="1"/>
  <c r="D121" i="15" s="1"/>
  <c r="E195" i="20" a="1"/>
  <c r="E195" i="20" s="1"/>
  <c r="D202" i="15" s="1"/>
  <c r="E122" i="20" a="1"/>
  <c r="E122" i="20" s="1"/>
  <c r="D129" i="15" s="1"/>
  <c r="AO129" i="20"/>
  <c r="Y129" i="20" s="1"/>
  <c r="E130" i="13" s="1" a="1"/>
  <c r="E130" i="13" s="1"/>
  <c r="G129" i="20"/>
  <c r="E105" i="20" a="1"/>
  <c r="E105" i="20" s="1"/>
  <c r="D112" i="15" s="1"/>
  <c r="AO192" i="20"/>
  <c r="G192" i="20"/>
  <c r="E131" i="20" a="1"/>
  <c r="E131" i="20" s="1"/>
  <c r="D138" i="15" s="1"/>
  <c r="E178" i="20" a="1"/>
  <c r="E178" i="20" s="1"/>
  <c r="D185" i="15" s="1"/>
  <c r="E171" i="20" a="1"/>
  <c r="E171" i="20" s="1"/>
  <c r="D178" i="15" s="1"/>
  <c r="G144" i="20"/>
  <c r="AO144" i="20"/>
  <c r="E182" i="20" a="1"/>
  <c r="E182" i="20" s="1"/>
  <c r="D189" i="15" s="1"/>
  <c r="G153" i="20"/>
  <c r="AO153" i="20"/>
  <c r="E169" i="20" a="1"/>
  <c r="E169" i="20" s="1"/>
  <c r="D176" i="15" s="1"/>
  <c r="AO132" i="20"/>
  <c r="G132" i="20"/>
  <c r="E181" i="20" a="1"/>
  <c r="E181" i="20" s="1"/>
  <c r="D188" i="15" s="1"/>
  <c r="E139" i="20" a="1"/>
  <c r="E139" i="20" s="1"/>
  <c r="D146" i="15" s="1"/>
  <c r="E175" i="20" a="1"/>
  <c r="E175" i="20" s="1"/>
  <c r="D182" i="15" s="1"/>
  <c r="E38" i="20" a="1"/>
  <c r="E38" i="20" s="1"/>
  <c r="D45" i="15" s="1"/>
  <c r="E101" i="20" a="1"/>
  <c r="E101" i="20" s="1"/>
  <c r="D108" i="15" s="1"/>
  <c r="AP31" i="20"/>
  <c r="Y31" i="20" s="1"/>
  <c r="E31" i="13" s="1" a="1"/>
  <c r="E31" i="13" s="1"/>
  <c r="AO157" i="20"/>
  <c r="AP157" i="20" s="1"/>
  <c r="Y157" i="20" s="1"/>
  <c r="E158" i="13" s="1" a="1"/>
  <c r="E158" i="13" s="1"/>
  <c r="G157" i="20"/>
  <c r="AO120" i="20"/>
  <c r="G120" i="20"/>
  <c r="E135" i="20" a="1"/>
  <c r="E135" i="20" s="1"/>
  <c r="D142" i="15" s="1"/>
  <c r="E108" i="20" a="1"/>
  <c r="E108" i="20" s="1"/>
  <c r="D115" i="15" s="1"/>
  <c r="AO161" i="20"/>
  <c r="Y161" i="20" s="1"/>
  <c r="E162" i="13" s="1" a="1"/>
  <c r="E162" i="13" s="1"/>
  <c r="G161" i="20"/>
  <c r="E112" i="20" a="1"/>
  <c r="E112" i="20" s="1"/>
  <c r="D119" i="15" s="1"/>
  <c r="AO164" i="20"/>
  <c r="Y164" i="20" s="1"/>
  <c r="E165" i="13" s="1" a="1"/>
  <c r="E165" i="13" s="1"/>
  <c r="G164" i="20"/>
  <c r="E171" i="10"/>
  <c r="W171" i="9"/>
  <c r="G29" i="10"/>
  <c r="W29" i="9"/>
  <c r="W20" i="12"/>
  <c r="E146" i="12"/>
  <c r="W146" i="11"/>
  <c r="E112" i="11"/>
  <c r="W112" i="10"/>
  <c r="E77" i="12"/>
  <c r="W77" i="11"/>
  <c r="T175" i="12"/>
  <c r="E189" i="20" s="1" a="1"/>
  <c r="E189" i="20" s="1"/>
  <c r="D196" i="15" s="1"/>
  <c r="H175" i="12"/>
  <c r="S175" i="12" s="1"/>
  <c r="T49" i="11"/>
  <c r="H49" i="11"/>
  <c r="S49" i="11" s="1"/>
  <c r="T166" i="12"/>
  <c r="H166" i="12"/>
  <c r="S166" i="12" s="1"/>
  <c r="T18" i="12"/>
  <c r="H18" i="12"/>
  <c r="S18" i="12" s="1"/>
  <c r="W162" i="10"/>
  <c r="E162" i="11"/>
  <c r="E153" i="11"/>
  <c r="W153" i="10"/>
  <c r="E144" i="12"/>
  <c r="W144" i="11"/>
  <c r="E38" i="12"/>
  <c r="W38" i="11"/>
  <c r="E106" i="12"/>
  <c r="W106" i="11"/>
  <c r="E73" i="12"/>
  <c r="W73" i="11"/>
  <c r="F75" i="12"/>
  <c r="W75" i="11"/>
  <c r="E183" i="12"/>
  <c r="W183" i="11"/>
  <c r="W80" i="9"/>
  <c r="E80" i="10"/>
  <c r="H181" i="12"/>
  <c r="S181" i="12" s="1"/>
  <c r="T181" i="12"/>
  <c r="T103" i="12"/>
  <c r="H103" i="12"/>
  <c r="S103" i="12" s="1"/>
  <c r="W82" i="10"/>
  <c r="E82" i="11"/>
  <c r="E118" i="12"/>
  <c r="W118" i="11"/>
  <c r="H31" i="10"/>
  <c r="S31" i="10" s="1"/>
  <c r="T31" i="10"/>
  <c r="E130" i="12"/>
  <c r="W130" i="11"/>
  <c r="W182" i="12"/>
  <c r="E26" i="10"/>
  <c r="W26" i="9"/>
  <c r="H160" i="12"/>
  <c r="S160" i="12" s="1"/>
  <c r="T160" i="12"/>
  <c r="E91" i="12"/>
  <c r="W91" i="11"/>
  <c r="T42" i="12"/>
  <c r="E99" i="20" s="1" a="1"/>
  <c r="E99" i="20" s="1"/>
  <c r="D106" i="15" s="1"/>
  <c r="H42" i="12"/>
  <c r="S42" i="12" s="1"/>
  <c r="T127" i="12"/>
  <c r="H127" i="12"/>
  <c r="S127" i="12" s="1"/>
  <c r="E152" i="10"/>
  <c r="W152" i="9"/>
  <c r="E6" i="10"/>
  <c r="W6" i="9"/>
  <c r="T172" i="11"/>
  <c r="H172" i="11"/>
  <c r="S172" i="11" s="1"/>
  <c r="E93" i="10"/>
  <c r="W93" i="9"/>
  <c r="E188" i="10"/>
  <c r="W188" i="9"/>
  <c r="T37" i="12"/>
  <c r="H37" i="12"/>
  <c r="S37" i="12" s="1"/>
  <c r="E56" i="12"/>
  <c r="W56" i="11"/>
  <c r="T105" i="10"/>
  <c r="H105" i="10"/>
  <c r="S105" i="10" s="1"/>
  <c r="T13" i="10"/>
  <c r="H13" i="10"/>
  <c r="S13" i="10" s="1"/>
  <c r="H185" i="12"/>
  <c r="S185" i="12" s="1"/>
  <c r="T185" i="12"/>
  <c r="E126" i="20" s="1" a="1"/>
  <c r="E126" i="20" s="1"/>
  <c r="D133" i="15" s="1"/>
  <c r="E30" i="10"/>
  <c r="W30" i="9"/>
  <c r="T25" i="10"/>
  <c r="H25" i="10"/>
  <c r="S25" i="10" s="1"/>
  <c r="W53" i="12"/>
  <c r="T195" i="12"/>
  <c r="H195" i="12"/>
  <c r="S195" i="12" s="1"/>
  <c r="E116" i="12"/>
  <c r="W116" i="11"/>
  <c r="W27" i="12"/>
  <c r="E119" i="11"/>
  <c r="W119" i="10"/>
  <c r="W46" i="10"/>
  <c r="E46" i="11"/>
  <c r="E113" i="11"/>
  <c r="W113" i="10"/>
  <c r="W117" i="12"/>
  <c r="T111" i="10"/>
  <c r="H111" i="10"/>
  <c r="S111" i="10" s="1"/>
  <c r="T96" i="12"/>
  <c r="H96" i="12"/>
  <c r="S96" i="12" s="1"/>
  <c r="T165" i="10"/>
  <c r="H165" i="10"/>
  <c r="S165" i="10" s="1"/>
  <c r="E88" i="12"/>
  <c r="W88" i="11"/>
  <c r="H74" i="12"/>
  <c r="S74" i="12" s="1"/>
  <c r="T74" i="12"/>
  <c r="E154" i="11"/>
  <c r="W154" i="10"/>
  <c r="W126" i="12"/>
  <c r="T199" i="12"/>
  <c r="H199" i="12"/>
  <c r="S199" i="12" s="1"/>
  <c r="E67" i="11"/>
  <c r="W67" i="10"/>
  <c r="W173" i="12"/>
  <c r="T145" i="10"/>
  <c r="H145" i="10"/>
  <c r="S145" i="10" s="1"/>
  <c r="E169" i="11"/>
  <c r="W169" i="10"/>
  <c r="E64" i="12"/>
  <c r="W64" i="11"/>
  <c r="T156" i="12"/>
  <c r="H156" i="12"/>
  <c r="S156" i="12" s="1"/>
  <c r="E147" i="10"/>
  <c r="W147" i="9"/>
  <c r="E99" i="12"/>
  <c r="W99" i="11"/>
  <c r="E41" i="12"/>
  <c r="E36" i="10"/>
  <c r="W36" i="9"/>
  <c r="T16" i="10"/>
  <c r="H16" i="10"/>
  <c r="S16" i="10" s="1"/>
  <c r="E12" i="10"/>
  <c r="W12" i="9"/>
  <c r="E78" i="10"/>
  <c r="W78" i="9"/>
  <c r="E135" i="12"/>
  <c r="W135" i="11"/>
  <c r="W132" i="12"/>
  <c r="H4" i="12"/>
  <c r="S4" i="12" s="1"/>
  <c r="T4" i="12"/>
  <c r="T94" i="12"/>
  <c r="H94" i="12"/>
  <c r="S94" i="12" s="1"/>
  <c r="E141" i="12"/>
  <c r="W141" i="11"/>
  <c r="T79" i="10"/>
  <c r="H79" i="10"/>
  <c r="S79" i="10" s="1"/>
  <c r="W120" i="12"/>
  <c r="E143" i="11"/>
  <c r="W143" i="10"/>
  <c r="E102" i="12"/>
  <c r="W102" i="11"/>
  <c r="E174" i="12"/>
  <c r="W174" i="11"/>
  <c r="E136" i="12"/>
  <c r="W136" i="11"/>
  <c r="H59" i="10"/>
  <c r="S59" i="10" s="1"/>
  <c r="T59" i="10"/>
  <c r="W139" i="12"/>
  <c r="H190" i="10"/>
  <c r="S190" i="10" s="1"/>
  <c r="T190" i="10"/>
  <c r="T66" i="12"/>
  <c r="E102" i="20" s="1" a="1"/>
  <c r="E102" i="20" s="1"/>
  <c r="D109" i="15" s="1"/>
  <c r="H66" i="12"/>
  <c r="S66" i="12" s="1"/>
  <c r="E19" i="12"/>
  <c r="W19" i="11"/>
  <c r="E197" i="12"/>
  <c r="W197" i="11"/>
  <c r="H189" i="10"/>
  <c r="S189" i="10" s="1"/>
  <c r="T189" i="10"/>
  <c r="T72" i="12"/>
  <c r="H72" i="12"/>
  <c r="S72" i="12" s="1"/>
  <c r="E51" i="10"/>
  <c r="W51" i="9"/>
  <c r="H32" i="10"/>
  <c r="S32" i="10" s="1"/>
  <c r="T32" i="10"/>
  <c r="T87" i="12"/>
  <c r="E155" i="20" s="1" a="1"/>
  <c r="E155" i="20" s="1"/>
  <c r="D162" i="15" s="1"/>
  <c r="H87" i="12"/>
  <c r="S87" i="12" s="1"/>
  <c r="E163" i="11"/>
  <c r="W163" i="10"/>
  <c r="T149" i="10"/>
  <c r="H149" i="10"/>
  <c r="S149" i="10" s="1"/>
  <c r="W122" i="9"/>
  <c r="E122" i="10"/>
  <c r="E125" i="12"/>
  <c r="W125" i="11"/>
  <c r="W55" i="12"/>
  <c r="H5" i="10"/>
  <c r="S5" i="10" s="1"/>
  <c r="T5" i="10"/>
  <c r="E198" i="10"/>
  <c r="W198" i="9"/>
  <c r="W176" i="11"/>
  <c r="E176" i="12"/>
  <c r="E133" i="12"/>
  <c r="W133" i="11"/>
  <c r="W84" i="12"/>
  <c r="H85" i="12"/>
  <c r="S85" i="12" s="1"/>
  <c r="T85" i="12"/>
  <c r="E98" i="10"/>
  <c r="W98" i="9"/>
  <c r="E86" i="12"/>
  <c r="W86" i="11"/>
  <c r="H192" i="10"/>
  <c r="S192" i="10" s="1"/>
  <c r="T192" i="10"/>
  <c r="T29" i="12"/>
  <c r="W76" i="12"/>
  <c r="E22" i="12"/>
  <c r="W22" i="11"/>
  <c r="H161" i="12"/>
  <c r="S161" i="12" s="1"/>
  <c r="T161" i="12"/>
  <c r="E11" i="11"/>
  <c r="W11" i="10"/>
  <c r="W39" i="12"/>
  <c r="E68" i="12"/>
  <c r="W68" i="11"/>
  <c r="W54" i="11"/>
  <c r="E54" i="12"/>
  <c r="E9" i="11"/>
  <c r="W9" i="10"/>
  <c r="T48" i="12"/>
  <c r="H48" i="12"/>
  <c r="S48" i="12" s="1"/>
  <c r="H184" i="12"/>
  <c r="S184" i="12" s="1"/>
  <c r="T184" i="12"/>
  <c r="E158" i="12"/>
  <c r="W158" i="11"/>
  <c r="G41" i="11"/>
  <c r="W41" i="10"/>
  <c r="E121" i="12"/>
  <c r="W121" i="11"/>
  <c r="E170" i="10"/>
  <c r="W170" i="9"/>
  <c r="E178" i="12"/>
  <c r="W178" i="11"/>
  <c r="E110" i="10"/>
  <c r="W110" i="9"/>
  <c r="T7" i="11"/>
  <c r="H7" i="11"/>
  <c r="S7" i="11" s="1"/>
  <c r="E70" i="12"/>
  <c r="W70" i="11"/>
  <c r="W150" i="9"/>
  <c r="E150" i="10"/>
  <c r="E129" i="12"/>
  <c r="W129" i="11"/>
  <c r="E47" i="12"/>
  <c r="W47" i="11"/>
  <c r="H101" i="12"/>
  <c r="S101" i="12" s="1"/>
  <c r="T101" i="12"/>
  <c r="E52" i="11"/>
  <c r="W52" i="10"/>
  <c r="T164" i="10"/>
  <c r="H164" i="10"/>
  <c r="S164" i="10" s="1"/>
  <c r="T179" i="10"/>
  <c r="H179" i="10"/>
  <c r="S179" i="10" s="1"/>
  <c r="E43" i="12"/>
  <c r="W43" i="11"/>
  <c r="E40" i="12"/>
  <c r="W40" i="11"/>
  <c r="T142" i="10"/>
  <c r="H142" i="10"/>
  <c r="S142" i="10" s="1"/>
  <c r="E44" i="12"/>
  <c r="W44" i="11"/>
  <c r="U83" i="10"/>
  <c r="H83" i="10"/>
  <c r="S83" i="10" s="1"/>
  <c r="E114" i="10"/>
  <c r="W114" i="9"/>
  <c r="E8" i="10"/>
  <c r="W8" i="9"/>
  <c r="F108" i="12"/>
  <c r="W108" i="11"/>
  <c r="E15" i="10"/>
  <c r="W15" i="9"/>
  <c r="T196" i="12"/>
  <c r="H196" i="12"/>
  <c r="S196" i="12" s="1"/>
  <c r="B17" i="2"/>
  <c r="T69" i="12"/>
  <c r="H69" i="12"/>
  <c r="S69" i="12" s="1"/>
  <c r="T186" i="12"/>
  <c r="H186" i="12"/>
  <c r="S186" i="12" s="1"/>
  <c r="T180" i="12"/>
  <c r="H180" i="12"/>
  <c r="S180" i="12" s="1"/>
  <c r="T115" i="12"/>
  <c r="H115" i="12"/>
  <c r="S115" i="12" s="1"/>
  <c r="H124" i="12"/>
  <c r="S124" i="12" s="1"/>
  <c r="T124" i="12"/>
  <c r="W28" i="12"/>
  <c r="T138" i="12"/>
  <c r="H138" i="12"/>
  <c r="S138" i="12" s="1"/>
  <c r="W137" i="12"/>
  <c r="T10" i="10"/>
  <c r="H10" i="10"/>
  <c r="S10" i="10" s="1"/>
  <c r="H65" i="12"/>
  <c r="S65" i="12" s="1"/>
  <c r="T65" i="12"/>
  <c r="T24" i="12"/>
  <c r="E96" i="20" s="1" a="1"/>
  <c r="E96" i="20" s="1"/>
  <c r="D103" i="15" s="1"/>
  <c r="H24" i="12"/>
  <c r="S24" i="12" s="1"/>
  <c r="W151" i="10"/>
  <c r="E151" i="11"/>
  <c r="E148" i="11"/>
  <c r="W148" i="10"/>
  <c r="T168" i="10"/>
  <c r="H168" i="10"/>
  <c r="S168" i="10" s="1"/>
  <c r="E81" i="11"/>
  <c r="W81" i="10"/>
  <c r="W131" i="12"/>
  <c r="T35" i="12"/>
  <c r="H35" i="12"/>
  <c r="S35" i="12" s="1"/>
  <c r="W89" i="12"/>
  <c r="T71" i="12"/>
  <c r="H71" i="12"/>
  <c r="S71" i="12" s="1"/>
  <c r="E21" i="11"/>
  <c r="W21" i="10"/>
  <c r="T33" i="10"/>
  <c r="H33" i="10"/>
  <c r="S33" i="10" s="1"/>
  <c r="E193" i="11"/>
  <c r="W193" i="10"/>
  <c r="W187" i="12"/>
  <c r="E95" i="12"/>
  <c r="W95" i="11"/>
  <c r="T140" i="12"/>
  <c r="H140" i="12"/>
  <c r="S140" i="12" s="1"/>
  <c r="H107" i="12"/>
  <c r="S107" i="12" s="1"/>
  <c r="T107" i="12"/>
  <c r="E63" i="12"/>
  <c r="W63" i="11"/>
  <c r="W123" i="9"/>
  <c r="E123" i="10"/>
  <c r="T177" i="10"/>
  <c r="H177" i="10"/>
  <c r="S177" i="10" s="1"/>
  <c r="T159" i="12"/>
  <c r="H159" i="12"/>
  <c r="S159" i="12" s="1"/>
  <c r="E58" i="12"/>
  <c r="W58" i="11"/>
  <c r="H45" i="12"/>
  <c r="S45" i="12" s="1"/>
  <c r="T45" i="12"/>
  <c r="T57" i="10"/>
  <c r="H57" i="10"/>
  <c r="S57" i="10" s="1"/>
  <c r="E83" i="12"/>
  <c r="T60" i="12"/>
  <c r="H60" i="12"/>
  <c r="S60" i="12" s="1"/>
  <c r="T23" i="12"/>
  <c r="H23" i="12"/>
  <c r="S23" i="12" s="1"/>
  <c r="E14" i="10"/>
  <c r="W14" i="9"/>
  <c r="E167" i="12"/>
  <c r="W167" i="11"/>
  <c r="W109" i="10"/>
  <c r="E109" i="11"/>
  <c r="E92" i="10"/>
  <c r="W92" i="9"/>
  <c r="H164" i="15" l="1"/>
  <c r="H168" i="15"/>
  <c r="H136" i="15"/>
  <c r="H171" i="15"/>
  <c r="H38" i="15"/>
  <c r="G155" i="20"/>
  <c r="AO155" i="20"/>
  <c r="AP155" i="20" s="1"/>
  <c r="Y155" i="20" s="1"/>
  <c r="E156" i="13" s="1" a="1"/>
  <c r="E156" i="13" s="1"/>
  <c r="AO126" i="20"/>
  <c r="G126" i="20"/>
  <c r="AP120" i="20"/>
  <c r="Y120" i="20" s="1"/>
  <c r="E121" i="13" s="1" a="1"/>
  <c r="E121" i="13" s="1"/>
  <c r="AA129" i="20"/>
  <c r="X129" i="20"/>
  <c r="E173" i="20" a="1"/>
  <c r="E173" i="20" s="1"/>
  <c r="D180" i="15" s="1"/>
  <c r="E197" i="20" a="1"/>
  <c r="E197" i="20" s="1"/>
  <c r="D204" i="15" s="1"/>
  <c r="AO181" i="20"/>
  <c r="Y181" i="20" s="1"/>
  <c r="E182" i="13" s="1" a="1"/>
  <c r="E182" i="13" s="1"/>
  <c r="G181" i="20"/>
  <c r="G171" i="20"/>
  <c r="AO171" i="20"/>
  <c r="Y171" i="20" s="1"/>
  <c r="E172" i="13" s="1" a="1"/>
  <c r="E172" i="13" s="1"/>
  <c r="G102" i="20"/>
  <c r="AO102" i="20"/>
  <c r="AP102" i="20" s="1"/>
  <c r="Y102" i="20" s="1"/>
  <c r="E103" i="13" s="1" a="1"/>
  <c r="E103" i="13" s="1"/>
  <c r="E121" i="20" a="1"/>
  <c r="E121" i="20" s="1"/>
  <c r="D128" i="15" s="1"/>
  <c r="AA157" i="20"/>
  <c r="X157" i="20"/>
  <c r="G122" i="20"/>
  <c r="AO122" i="20"/>
  <c r="AP122" i="20" s="1"/>
  <c r="Y122" i="20" s="1"/>
  <c r="E123" i="13" s="1" a="1"/>
  <c r="E123" i="13" s="1"/>
  <c r="E166" i="20" a="1"/>
  <c r="E166" i="20" s="1"/>
  <c r="D173" i="15" s="1"/>
  <c r="E150" i="20" a="1"/>
  <c r="E150" i="20" s="1"/>
  <c r="D157" i="15" s="1"/>
  <c r="E162" i="20" a="1"/>
  <c r="E162" i="20" s="1"/>
  <c r="D169" i="15" s="1"/>
  <c r="E193" i="20" a="1"/>
  <c r="E193" i="20" s="1"/>
  <c r="D200" i="15" s="1"/>
  <c r="E130" i="20" a="1"/>
  <c r="E130" i="20" s="1"/>
  <c r="D137" i="15" s="1"/>
  <c r="X164" i="20"/>
  <c r="AA164" i="20"/>
  <c r="E117" i="20" a="1"/>
  <c r="E117" i="20" s="1"/>
  <c r="D124" i="15" s="1"/>
  <c r="E187" i="20" a="1"/>
  <c r="E187" i="20" s="1"/>
  <c r="D194" i="15" s="1"/>
  <c r="E106" i="20" a="1"/>
  <c r="E106" i="20" s="1"/>
  <c r="D113" i="15" s="1"/>
  <c r="AO112" i="20"/>
  <c r="AA31" i="20"/>
  <c r="X31" i="20"/>
  <c r="G178" i="20"/>
  <c r="AO178" i="20"/>
  <c r="Y178" i="20" s="1"/>
  <c r="E179" i="13" s="1" a="1"/>
  <c r="E179" i="13" s="1"/>
  <c r="E160" i="20" a="1"/>
  <c r="E160" i="20" s="1"/>
  <c r="D167" i="15" s="1"/>
  <c r="AP132" i="20"/>
  <c r="Y132" i="20" s="1"/>
  <c r="E133" i="13" s="1" a="1"/>
  <c r="E133" i="13" s="1"/>
  <c r="G96" i="20"/>
  <c r="AO96" i="20"/>
  <c r="AP96" i="20" s="1"/>
  <c r="Y96" i="20" s="1"/>
  <c r="E97" i="13" s="1" a="1"/>
  <c r="E97" i="13" s="1"/>
  <c r="E167" i="20" a="1"/>
  <c r="E167" i="20" s="1"/>
  <c r="D174" i="15" s="1"/>
  <c r="E111" i="20" a="1"/>
  <c r="E111" i="20" s="1"/>
  <c r="D118" i="15" s="1"/>
  <c r="E77" i="20" a="1"/>
  <c r="E77" i="20" s="1"/>
  <c r="D84" i="15" s="1"/>
  <c r="E186" i="20" a="1"/>
  <c r="E186" i="20" s="1"/>
  <c r="D193" i="15" s="1"/>
  <c r="E97" i="20" a="1"/>
  <c r="E97" i="20" s="1"/>
  <c r="D104" i="15" s="1"/>
  <c r="E147" i="20" a="1"/>
  <c r="E147" i="20" s="1"/>
  <c r="D154" i="15" s="1"/>
  <c r="E100" i="20" a="1"/>
  <c r="E100" i="20" s="1"/>
  <c r="D107" i="15" s="1"/>
  <c r="E128" i="20" a="1"/>
  <c r="E128" i="20" s="1"/>
  <c r="D135" i="15" s="1"/>
  <c r="E191" i="20" a="1"/>
  <c r="E191" i="20" s="1"/>
  <c r="D198" i="15" s="1"/>
  <c r="AO101" i="20"/>
  <c r="Y101" i="20" s="1"/>
  <c r="E102" i="13" s="1" a="1"/>
  <c r="E102" i="13" s="1"/>
  <c r="G101" i="20"/>
  <c r="G169" i="20"/>
  <c r="AO169" i="20"/>
  <c r="Y169" i="20" s="1"/>
  <c r="E170" i="13" s="1" a="1"/>
  <c r="E170" i="13" s="1"/>
  <c r="AO131" i="20"/>
  <c r="G131" i="20"/>
  <c r="AO195" i="20"/>
  <c r="Y195" i="20" s="1"/>
  <c r="E196" i="13" s="1" a="1"/>
  <c r="E196" i="13" s="1"/>
  <c r="G195" i="20"/>
  <c r="E143" i="20" a="1"/>
  <c r="E143" i="20" s="1"/>
  <c r="D150" i="15" s="1"/>
  <c r="E194" i="20" a="1"/>
  <c r="E194" i="20" s="1"/>
  <c r="D201" i="15" s="1"/>
  <c r="E152" i="20" a="1"/>
  <c r="E152" i="20" s="1"/>
  <c r="D159" i="15" s="1"/>
  <c r="E138" i="20" a="1"/>
  <c r="E138" i="20" s="1"/>
  <c r="D145" i="15" s="1"/>
  <c r="E95" i="20" a="1"/>
  <c r="E95" i="20" s="1"/>
  <c r="D102" i="15" s="1"/>
  <c r="E124" i="20" a="1"/>
  <c r="E124" i="20" s="1"/>
  <c r="D131" i="15" s="1"/>
  <c r="E104" i="20" a="1"/>
  <c r="E104" i="20" s="1"/>
  <c r="D111" i="15" s="1"/>
  <c r="E119" i="20" a="1"/>
  <c r="E119" i="20" s="1"/>
  <c r="D126" i="15" s="1"/>
  <c r="E196" i="20" a="1"/>
  <c r="E196" i="20" s="1"/>
  <c r="D203" i="15" s="1"/>
  <c r="X161" i="20"/>
  <c r="AA161" i="20"/>
  <c r="AO108" i="20"/>
  <c r="G108" i="20"/>
  <c r="AO38" i="20"/>
  <c r="AP38" i="20" s="1"/>
  <c r="Y38" i="20" s="1"/>
  <c r="E39" i="13" s="1" a="1"/>
  <c r="E39" i="13" s="1"/>
  <c r="AP153" i="20"/>
  <c r="Y153" i="20" s="1"/>
  <c r="E154" i="13" s="1" a="1"/>
  <c r="E154" i="13" s="1"/>
  <c r="G114" i="20"/>
  <c r="AO114" i="20"/>
  <c r="AP114" i="20" s="1"/>
  <c r="Y114" i="20" s="1"/>
  <c r="E115" i="13" s="1" a="1"/>
  <c r="E115" i="13" s="1"/>
  <c r="E21" i="20" a="1"/>
  <c r="E21" i="20" s="1"/>
  <c r="D28" i="15" s="1"/>
  <c r="AO189" i="20"/>
  <c r="Y189" i="20" s="1"/>
  <c r="E190" i="13" s="1" a="1"/>
  <c r="E190" i="13" s="1"/>
  <c r="G189" i="20"/>
  <c r="AP192" i="20"/>
  <c r="Y192" i="20" s="1"/>
  <c r="E193" i="13" s="1" a="1"/>
  <c r="E193" i="13" s="1"/>
  <c r="AO175" i="20"/>
  <c r="Y175" i="20" s="1"/>
  <c r="E176" i="13" s="1" a="1"/>
  <c r="E176" i="13" s="1"/>
  <c r="G175" i="20"/>
  <c r="AO182" i="20"/>
  <c r="Y182" i="20" s="1"/>
  <c r="E183" i="13" s="1" a="1"/>
  <c r="E183" i="13" s="1"/>
  <c r="G182" i="20"/>
  <c r="G105" i="20"/>
  <c r="AO105" i="20"/>
  <c r="AP105" i="20" s="1"/>
  <c r="Y105" i="20" s="1"/>
  <c r="E106" i="13" s="1" a="1"/>
  <c r="E106" i="13" s="1"/>
  <c r="AP133" i="20"/>
  <c r="Y133" i="20" s="1"/>
  <c r="E134" i="13" s="1" a="1"/>
  <c r="E134" i="13" s="1"/>
  <c r="E134" i="20" a="1"/>
  <c r="E134" i="20" s="1"/>
  <c r="D141" i="15" s="1"/>
  <c r="E113" i="20" a="1"/>
  <c r="E113" i="20" s="1"/>
  <c r="D120" i="15" s="1"/>
  <c r="G135" i="20"/>
  <c r="AO135" i="20"/>
  <c r="AP135" i="20" s="1"/>
  <c r="Y135" i="20" s="1"/>
  <c r="E136" i="13" s="1" a="1"/>
  <c r="E136" i="13" s="1"/>
  <c r="E103" i="20" a="1"/>
  <c r="E103" i="20" s="1"/>
  <c r="D110" i="15" s="1"/>
  <c r="E109" i="20" a="1"/>
  <c r="E109" i="20" s="1"/>
  <c r="D116" i="15" s="1"/>
  <c r="E116" i="20" a="1"/>
  <c r="E116" i="20" s="1"/>
  <c r="D123" i="15" s="1"/>
  <c r="E94" i="20" a="1"/>
  <c r="E94" i="20" s="1"/>
  <c r="D101" i="15" s="1"/>
  <c r="G99" i="20"/>
  <c r="AO99" i="20"/>
  <c r="AO139" i="20"/>
  <c r="G139" i="20"/>
  <c r="AP144" i="20"/>
  <c r="Y144" i="20" s="1"/>
  <c r="E145" i="13" s="1" a="1"/>
  <c r="E145" i="13" s="1"/>
  <c r="V29" i="10"/>
  <c r="H29" i="10"/>
  <c r="S29" i="10" s="1"/>
  <c r="H171" i="10"/>
  <c r="S171" i="10" s="1"/>
  <c r="T171" i="10"/>
  <c r="W101" i="12"/>
  <c r="E189" i="11"/>
  <c r="W189" i="10"/>
  <c r="W45" i="12"/>
  <c r="W65" i="12"/>
  <c r="T15" i="10"/>
  <c r="H15" i="10"/>
  <c r="S15" i="10" s="1"/>
  <c r="E165" i="11"/>
  <c r="W165" i="10"/>
  <c r="W37" i="12"/>
  <c r="T80" i="10"/>
  <c r="H80" i="10"/>
  <c r="S80" i="10" s="1"/>
  <c r="T163" i="11"/>
  <c r="H163" i="11"/>
  <c r="S163" i="11" s="1"/>
  <c r="T197" i="12"/>
  <c r="H197" i="12"/>
  <c r="S197" i="12" s="1"/>
  <c r="E16" i="11"/>
  <c r="W16" i="10"/>
  <c r="W199" i="12"/>
  <c r="W96" i="12"/>
  <c r="H30" i="10"/>
  <c r="S30" i="10" s="1"/>
  <c r="T30" i="10"/>
  <c r="H188" i="10"/>
  <c r="S188" i="10" s="1"/>
  <c r="T188" i="10"/>
  <c r="T130" i="12"/>
  <c r="H130" i="12"/>
  <c r="S130" i="12" s="1"/>
  <c r="H144" i="12"/>
  <c r="S144" i="12" s="1"/>
  <c r="T144" i="12"/>
  <c r="E118" i="20" s="1" a="1"/>
  <c r="E118" i="20" s="1"/>
  <c r="D125" i="15" s="1"/>
  <c r="W175" i="12"/>
  <c r="T14" i="10"/>
  <c r="H14" i="10"/>
  <c r="S14" i="10" s="1"/>
  <c r="T58" i="12"/>
  <c r="H58" i="12"/>
  <c r="S58" i="12" s="1"/>
  <c r="W140" i="12"/>
  <c r="W71" i="12"/>
  <c r="E168" i="11"/>
  <c r="W168" i="10"/>
  <c r="E10" i="11"/>
  <c r="W10" i="10"/>
  <c r="W180" i="12"/>
  <c r="W161" i="12"/>
  <c r="W5" i="10"/>
  <c r="E5" i="11"/>
  <c r="W4" i="12"/>
  <c r="W185" i="12"/>
  <c r="W31" i="10"/>
  <c r="E31" i="11"/>
  <c r="T63" i="12"/>
  <c r="H63" i="12"/>
  <c r="S63" i="12" s="1"/>
  <c r="T110" i="10"/>
  <c r="H110" i="10"/>
  <c r="S110" i="10" s="1"/>
  <c r="T147" i="10"/>
  <c r="H147" i="10"/>
  <c r="S147" i="10" s="1"/>
  <c r="T81" i="11"/>
  <c r="H81" i="11"/>
  <c r="S81" i="11" s="1"/>
  <c r="E59" i="11"/>
  <c r="W59" i="10"/>
  <c r="U108" i="12"/>
  <c r="H108" i="12"/>
  <c r="S108" i="12" s="1"/>
  <c r="T40" i="12"/>
  <c r="H40" i="12"/>
  <c r="S40" i="12" s="1"/>
  <c r="H47" i="12"/>
  <c r="S47" i="12" s="1"/>
  <c r="T47" i="12"/>
  <c r="T178" i="12"/>
  <c r="H178" i="12"/>
  <c r="S178" i="12" s="1"/>
  <c r="H11" i="11"/>
  <c r="S11" i="11" s="1"/>
  <c r="T11" i="11"/>
  <c r="H86" i="12"/>
  <c r="S86" i="12" s="1"/>
  <c r="T86" i="12"/>
  <c r="T198" i="10"/>
  <c r="H198" i="10"/>
  <c r="S198" i="10" s="1"/>
  <c r="W94" i="12"/>
  <c r="W156" i="12"/>
  <c r="W42" i="12"/>
  <c r="H8" i="10"/>
  <c r="S8" i="10" s="1"/>
  <c r="T8" i="10"/>
  <c r="T43" i="12"/>
  <c r="E28" i="20" s="1" a="1"/>
  <c r="E28" i="20" s="1"/>
  <c r="D35" i="15" s="1"/>
  <c r="H43" i="12"/>
  <c r="S43" i="12" s="1"/>
  <c r="H129" i="12"/>
  <c r="S129" i="12" s="1"/>
  <c r="T129" i="12"/>
  <c r="H170" i="10"/>
  <c r="S170" i="10" s="1"/>
  <c r="T170" i="10"/>
  <c r="W48" i="12"/>
  <c r="H98" i="10"/>
  <c r="S98" i="10" s="1"/>
  <c r="T98" i="10"/>
  <c r="W87" i="12"/>
  <c r="H19" i="12"/>
  <c r="S19" i="12" s="1"/>
  <c r="T19" i="12"/>
  <c r="H136" i="12"/>
  <c r="S136" i="12" s="1"/>
  <c r="T136" i="12"/>
  <c r="E115" i="20" s="1" a="1"/>
  <c r="E115" i="20" s="1"/>
  <c r="D122" i="15" s="1"/>
  <c r="W79" i="10"/>
  <c r="E79" i="11"/>
  <c r="H36" i="10"/>
  <c r="S36" i="10" s="1"/>
  <c r="T36" i="10"/>
  <c r="T64" i="12"/>
  <c r="H64" i="12"/>
  <c r="S64" i="12" s="1"/>
  <c r="E111" i="11"/>
  <c r="W111" i="10"/>
  <c r="H93" i="10"/>
  <c r="S93" i="10" s="1"/>
  <c r="T93" i="10"/>
  <c r="T91" i="12"/>
  <c r="H91" i="12"/>
  <c r="S91" i="12" s="1"/>
  <c r="T183" i="12"/>
  <c r="H183" i="12"/>
  <c r="S183" i="12" s="1"/>
  <c r="T153" i="11"/>
  <c r="H153" i="11"/>
  <c r="S153" i="11" s="1"/>
  <c r="T77" i="12"/>
  <c r="H77" i="12"/>
  <c r="S77" i="12" s="1"/>
  <c r="T119" i="11"/>
  <c r="H119" i="11"/>
  <c r="S119" i="11" s="1"/>
  <c r="W127" i="12"/>
  <c r="W159" i="12"/>
  <c r="W186" i="12"/>
  <c r="E179" i="11"/>
  <c r="W179" i="10"/>
  <c r="T9" i="11"/>
  <c r="H9" i="11"/>
  <c r="S9" i="11" s="1"/>
  <c r="W66" i="12"/>
  <c r="T169" i="11"/>
  <c r="H169" i="11"/>
  <c r="S169" i="11" s="1"/>
  <c r="H154" i="11"/>
  <c r="S154" i="11" s="1"/>
  <c r="T154" i="11"/>
  <c r="T116" i="12"/>
  <c r="H116" i="12"/>
  <c r="S116" i="12" s="1"/>
  <c r="W60" i="12"/>
  <c r="E177" i="11"/>
  <c r="W177" i="10"/>
  <c r="W35" i="12"/>
  <c r="W138" i="12"/>
  <c r="W69" i="12"/>
  <c r="T54" i="12"/>
  <c r="H54" i="12"/>
  <c r="S54" i="12" s="1"/>
  <c r="W74" i="12"/>
  <c r="W160" i="12"/>
  <c r="T82" i="11"/>
  <c r="H82" i="11"/>
  <c r="S82" i="11" s="1"/>
  <c r="H158" i="12"/>
  <c r="S158" i="12" s="1"/>
  <c r="T158" i="12"/>
  <c r="E185" i="20" s="1" a="1"/>
  <c r="E185" i="20" s="1"/>
  <c r="D192" i="15" s="1"/>
  <c r="H12" i="10"/>
  <c r="S12" i="10" s="1"/>
  <c r="T12" i="10"/>
  <c r="T21" i="11"/>
  <c r="H21" i="11"/>
  <c r="S21" i="11" s="1"/>
  <c r="W115" i="12"/>
  <c r="W184" i="12"/>
  <c r="T121" i="12"/>
  <c r="H121" i="12"/>
  <c r="S121" i="12" s="1"/>
  <c r="H22" i="12"/>
  <c r="S22" i="12" s="1"/>
  <c r="T22" i="12"/>
  <c r="T174" i="12"/>
  <c r="H174" i="12"/>
  <c r="S174" i="12" s="1"/>
  <c r="W13" i="10"/>
  <c r="E13" i="11"/>
  <c r="E172" i="12"/>
  <c r="W172" i="11"/>
  <c r="T118" i="12"/>
  <c r="H118" i="12"/>
  <c r="S118" i="12" s="1"/>
  <c r="U75" i="12"/>
  <c r="H75" i="12"/>
  <c r="S75" i="12" s="1"/>
  <c r="F83" i="11"/>
  <c r="W83" i="10"/>
  <c r="W164" i="10"/>
  <c r="E164" i="11"/>
  <c r="T70" i="12"/>
  <c r="H70" i="12"/>
  <c r="S70" i="12" s="1"/>
  <c r="H125" i="12"/>
  <c r="S125" i="12" s="1"/>
  <c r="T125" i="12"/>
  <c r="T51" i="10"/>
  <c r="H51" i="10"/>
  <c r="S51" i="10" s="1"/>
  <c r="T102" i="12"/>
  <c r="H102" i="12"/>
  <c r="S102" i="12" s="1"/>
  <c r="T135" i="12"/>
  <c r="E180" i="20" s="1" a="1"/>
  <c r="E180" i="20" s="1"/>
  <c r="D187" i="15" s="1"/>
  <c r="H135" i="12"/>
  <c r="S135" i="12" s="1"/>
  <c r="T41" i="12"/>
  <c r="E27" i="20" s="1" a="1"/>
  <c r="E27" i="20" s="1"/>
  <c r="D34" i="15" s="1"/>
  <c r="E145" i="11"/>
  <c r="W145" i="10"/>
  <c r="T113" i="11"/>
  <c r="H113" i="11"/>
  <c r="S113" i="11" s="1"/>
  <c r="W195" i="12"/>
  <c r="E105" i="11"/>
  <c r="W105" i="10"/>
  <c r="H6" i="10"/>
  <c r="S6" i="10" s="1"/>
  <c r="T6" i="10"/>
  <c r="H73" i="12"/>
  <c r="S73" i="12" s="1"/>
  <c r="T73" i="12"/>
  <c r="W18" i="12"/>
  <c r="T146" i="12"/>
  <c r="H146" i="12"/>
  <c r="S146" i="12" s="1"/>
  <c r="E33" i="11"/>
  <c r="W33" i="10"/>
  <c r="E192" i="11"/>
  <c r="W192" i="10"/>
  <c r="W181" i="12"/>
  <c r="W107" i="12"/>
  <c r="E142" i="11"/>
  <c r="W142" i="10"/>
  <c r="E149" i="11"/>
  <c r="W149" i="10"/>
  <c r="T67" i="11"/>
  <c r="H67" i="11"/>
  <c r="S67" i="11" s="1"/>
  <c r="H38" i="12"/>
  <c r="S38" i="12" s="1"/>
  <c r="T38" i="12"/>
  <c r="T148" i="11"/>
  <c r="H148" i="11"/>
  <c r="S148" i="11" s="1"/>
  <c r="E32" i="11"/>
  <c r="W32" i="10"/>
  <c r="H162" i="11"/>
  <c r="S162" i="11" s="1"/>
  <c r="T162" i="11"/>
  <c r="T151" i="11"/>
  <c r="H151" i="11"/>
  <c r="S151" i="11" s="1"/>
  <c r="T114" i="10"/>
  <c r="H114" i="10"/>
  <c r="S114" i="10" s="1"/>
  <c r="T112" i="11"/>
  <c r="H112" i="11"/>
  <c r="S112" i="11" s="1"/>
  <c r="T123" i="10"/>
  <c r="H123" i="10"/>
  <c r="S123" i="10" s="1"/>
  <c r="H92" i="10"/>
  <c r="S92" i="10" s="1"/>
  <c r="T92" i="10"/>
  <c r="T83" i="12"/>
  <c r="T193" i="11"/>
  <c r="H193" i="11"/>
  <c r="S193" i="11" s="1"/>
  <c r="T122" i="10"/>
  <c r="H122" i="10"/>
  <c r="S122" i="10" s="1"/>
  <c r="E190" i="11"/>
  <c r="W190" i="10"/>
  <c r="T46" i="11"/>
  <c r="H46" i="11"/>
  <c r="S46" i="11" s="1"/>
  <c r="E57" i="11"/>
  <c r="W57" i="10"/>
  <c r="T176" i="12"/>
  <c r="H176" i="12"/>
  <c r="S176" i="12" s="1"/>
  <c r="E25" i="11"/>
  <c r="W25" i="10"/>
  <c r="E49" i="12"/>
  <c r="W49" i="11"/>
  <c r="T167" i="12"/>
  <c r="H167" i="12"/>
  <c r="S167" i="12" s="1"/>
  <c r="W23" i="12"/>
  <c r="T95" i="12"/>
  <c r="H95" i="12"/>
  <c r="S95" i="12" s="1"/>
  <c r="T150" i="10"/>
  <c r="H150" i="10"/>
  <c r="S150" i="10" s="1"/>
  <c r="W85" i="12"/>
  <c r="W24" i="12"/>
  <c r="H109" i="11"/>
  <c r="S109" i="11" s="1"/>
  <c r="T109" i="11"/>
  <c r="W124" i="12"/>
  <c r="W196" i="12"/>
  <c r="T44" i="12"/>
  <c r="E137" i="20" s="1" a="1"/>
  <c r="E137" i="20" s="1"/>
  <c r="D144" i="15" s="1"/>
  <c r="H44" i="12"/>
  <c r="S44" i="12" s="1"/>
  <c r="T52" i="11"/>
  <c r="H52" i="11"/>
  <c r="S52" i="11" s="1"/>
  <c r="E7" i="12"/>
  <c r="W7" i="11"/>
  <c r="V41" i="11"/>
  <c r="H41" i="11"/>
  <c r="S41" i="11" s="1"/>
  <c r="H68" i="12"/>
  <c r="S68" i="12" s="1"/>
  <c r="T68" i="12"/>
  <c r="T133" i="12"/>
  <c r="H133" i="12"/>
  <c r="S133" i="12" s="1"/>
  <c r="W72" i="12"/>
  <c r="T143" i="11"/>
  <c r="H143" i="11"/>
  <c r="S143" i="11" s="1"/>
  <c r="T141" i="12"/>
  <c r="H141" i="12"/>
  <c r="S141" i="12" s="1"/>
  <c r="T78" i="10"/>
  <c r="H78" i="10"/>
  <c r="S78" i="10" s="1"/>
  <c r="T99" i="12"/>
  <c r="H99" i="12"/>
  <c r="S99" i="12" s="1"/>
  <c r="H88" i="12"/>
  <c r="S88" i="12" s="1"/>
  <c r="T88" i="12"/>
  <c r="T56" i="12"/>
  <c r="H56" i="12"/>
  <c r="S56" i="12" s="1"/>
  <c r="T152" i="10"/>
  <c r="H152" i="10"/>
  <c r="S152" i="10" s="1"/>
  <c r="T26" i="10"/>
  <c r="H26" i="10"/>
  <c r="S26" i="10" s="1"/>
  <c r="W103" i="12"/>
  <c r="T106" i="12"/>
  <c r="H106" i="12"/>
  <c r="S106" i="12" s="1"/>
  <c r="W166" i="12"/>
  <c r="H129" i="15" l="1"/>
  <c r="H162" i="15"/>
  <c r="Y156" i="13"/>
  <c r="AA156" i="13" s="1"/>
  <c r="H199" i="15"/>
  <c r="H185" i="15"/>
  <c r="H178" i="15"/>
  <c r="H112" i="15"/>
  <c r="H176" i="15"/>
  <c r="H196" i="15"/>
  <c r="Y190" i="13"/>
  <c r="AA190" i="13" s="1"/>
  <c r="G31" i="13"/>
  <c r="Y31" i="13"/>
  <c r="AA31" i="13" s="1"/>
  <c r="H202" i="15"/>
  <c r="H188" i="15"/>
  <c r="Y165" i="13"/>
  <c r="AA165" i="13" s="1"/>
  <c r="G165" i="13"/>
  <c r="H140" i="15"/>
  <c r="H121" i="15"/>
  <c r="H45" i="15"/>
  <c r="Y39" i="13"/>
  <c r="H103" i="15"/>
  <c r="Y97" i="13"/>
  <c r="AA97" i="13" s="1"/>
  <c r="H160" i="15"/>
  <c r="G162" i="13"/>
  <c r="Y162" i="13"/>
  <c r="AA162" i="13" s="1"/>
  <c r="H189" i="15"/>
  <c r="H108" i="15"/>
  <c r="H127" i="15"/>
  <c r="G130" i="13"/>
  <c r="Y130" i="13"/>
  <c r="Y158" i="13"/>
  <c r="AA158" i="13" s="1"/>
  <c r="G158" i="13"/>
  <c r="H151" i="15"/>
  <c r="H142" i="15"/>
  <c r="H139" i="15"/>
  <c r="H182" i="15"/>
  <c r="H109" i="15"/>
  <c r="Y103" i="13"/>
  <c r="AA103" i="13" s="1"/>
  <c r="AA144" i="20"/>
  <c r="X144" i="20"/>
  <c r="X153" i="20"/>
  <c r="AA153" i="20"/>
  <c r="AO162" i="20"/>
  <c r="Y162" i="20" s="1"/>
  <c r="E163" i="13" s="1" a="1"/>
  <c r="E163" i="13" s="1"/>
  <c r="G162" i="20"/>
  <c r="AO185" i="20"/>
  <c r="Y185" i="20" s="1"/>
  <c r="E186" i="13" s="1" a="1"/>
  <c r="E186" i="13" s="1"/>
  <c r="G185" i="20"/>
  <c r="AO191" i="20"/>
  <c r="Y191" i="20" s="1"/>
  <c r="E192" i="13" s="1" a="1"/>
  <c r="E192" i="13" s="1"/>
  <c r="G191" i="20"/>
  <c r="AO197" i="20"/>
  <c r="Y197" i="20" s="1"/>
  <c r="E198" i="13" s="1" a="1"/>
  <c r="E198" i="13" s="1"/>
  <c r="G197" i="20"/>
  <c r="AA192" i="20"/>
  <c r="X192" i="20"/>
  <c r="AA102" i="20"/>
  <c r="X102" i="20"/>
  <c r="X120" i="20"/>
  <c r="AA120" i="20"/>
  <c r="E141" i="20" a="1"/>
  <c r="E141" i="20" s="1"/>
  <c r="D148" i="15" s="1"/>
  <c r="E78" i="20" a="1"/>
  <c r="E78" i="20" s="1"/>
  <c r="D85" i="15" s="1"/>
  <c r="E149" i="20" a="1"/>
  <c r="E149" i="20" s="1"/>
  <c r="D156" i="15" s="1"/>
  <c r="E125" i="20" a="1"/>
  <c r="E125" i="20" s="1"/>
  <c r="D132" i="15" s="1"/>
  <c r="E148" i="20" a="1"/>
  <c r="E148" i="20" s="1"/>
  <c r="D155" i="15" s="1"/>
  <c r="E158" i="20" a="1"/>
  <c r="E158" i="20" s="1"/>
  <c r="D165" i="15" s="1"/>
  <c r="E16" i="20"/>
  <c r="D23" i="15" s="1"/>
  <c r="E190" i="20" a="1"/>
  <c r="E190" i="20" s="1"/>
  <c r="D197" i="15" s="1"/>
  <c r="E110" i="20" a="1"/>
  <c r="E110" i="20" s="1"/>
  <c r="D117" i="15" s="1"/>
  <c r="AO119" i="20"/>
  <c r="G119" i="20"/>
  <c r="G103" i="20"/>
  <c r="AO103" i="20"/>
  <c r="AP103" i="20" s="1"/>
  <c r="Y103" i="20" s="1"/>
  <c r="E104" i="13" s="1" a="1"/>
  <c r="E104" i="13" s="1"/>
  <c r="AO27" i="20"/>
  <c r="Y27" i="20" s="1"/>
  <c r="E27" i="13" s="1" a="1"/>
  <c r="E27" i="13" s="1"/>
  <c r="G27" i="20"/>
  <c r="E188" i="20" a="1"/>
  <c r="E188" i="20" s="1"/>
  <c r="D195" i="15" s="1"/>
  <c r="E151" i="20" a="1"/>
  <c r="E151" i="20" s="1"/>
  <c r="D158" i="15" s="1"/>
  <c r="E18" i="20" a="1"/>
  <c r="E18" i="20" s="1"/>
  <c r="D25" i="15" s="1"/>
  <c r="E168" i="20" a="1"/>
  <c r="E168" i="20" s="1"/>
  <c r="D175" i="15" s="1"/>
  <c r="E165" i="20" a="1"/>
  <c r="E165" i="20" s="1"/>
  <c r="D172" i="15" s="1"/>
  <c r="AO77" i="20"/>
  <c r="G77" i="20"/>
  <c r="AA178" i="20"/>
  <c r="X178" i="20"/>
  <c r="E163" i="20" a="1"/>
  <c r="E163" i="20" s="1"/>
  <c r="D170" i="15" s="1"/>
  <c r="E172" i="20" a="1"/>
  <c r="E172" i="20" s="1"/>
  <c r="D179" i="15" s="1"/>
  <c r="AO104" i="20"/>
  <c r="AP104" i="20" s="1"/>
  <c r="Y104" i="20" s="1"/>
  <c r="E105" i="13" s="1" a="1"/>
  <c r="E105" i="13" s="1"/>
  <c r="G104" i="20"/>
  <c r="AO143" i="20"/>
  <c r="G143" i="20"/>
  <c r="G128" i="20"/>
  <c r="AO128" i="20"/>
  <c r="AP128" i="20" s="1"/>
  <c r="Y128" i="20" s="1"/>
  <c r="E129" i="13" s="1" a="1"/>
  <c r="E129" i="13" s="1"/>
  <c r="AO111" i="20"/>
  <c r="G111" i="20"/>
  <c r="G130" i="20"/>
  <c r="AO130" i="20"/>
  <c r="AO173" i="20"/>
  <c r="Y173" i="20" s="1"/>
  <c r="E174" i="13" s="1" a="1"/>
  <c r="E174" i="13" s="1"/>
  <c r="G173" i="20"/>
  <c r="AO94" i="20"/>
  <c r="AP94" i="20" s="1"/>
  <c r="Y94" i="20" s="1"/>
  <c r="E95" i="13" s="1" a="1"/>
  <c r="E95" i="13" s="1"/>
  <c r="G94" i="20"/>
  <c r="AO180" i="20"/>
  <c r="Y180" i="20" s="1"/>
  <c r="E181" i="13" s="1" a="1"/>
  <c r="E181" i="13" s="1"/>
  <c r="G180" i="20"/>
  <c r="E127" i="20" a="1"/>
  <c r="E127" i="20" s="1"/>
  <c r="D134" i="15" s="1"/>
  <c r="AO194" i="20"/>
  <c r="Y194" i="20" s="1"/>
  <c r="E195" i="13" s="1" a="1"/>
  <c r="E195" i="13" s="1"/>
  <c r="G194" i="20"/>
  <c r="X122" i="20"/>
  <c r="AA122" i="20"/>
  <c r="E123" i="20" a="1"/>
  <c r="E123" i="20" s="1"/>
  <c r="D130" i="15" s="1"/>
  <c r="F38" i="20" a="1"/>
  <c r="F38" i="20" s="1"/>
  <c r="E177" i="20" a="1"/>
  <c r="E177" i="20" s="1"/>
  <c r="D184" i="15" s="1"/>
  <c r="E136" i="20" a="1"/>
  <c r="E136" i="20" s="1"/>
  <c r="D143" i="15" s="1"/>
  <c r="E145" i="20" a="1"/>
  <c r="E145" i="20" s="1"/>
  <c r="D152" i="15" s="1"/>
  <c r="E183" i="20" a="1"/>
  <c r="E183" i="20" s="1"/>
  <c r="D190" i="15" s="1"/>
  <c r="E170" i="20" a="1"/>
  <c r="E170" i="20" s="1"/>
  <c r="D177" i="15" s="1"/>
  <c r="E140" i="20" a="1"/>
  <c r="E140" i="20" s="1"/>
  <c r="D147" i="15" s="1"/>
  <c r="E154" i="20" a="1"/>
  <c r="E154" i="20" s="1"/>
  <c r="D161" i="15" s="1"/>
  <c r="E146" i="20" a="1"/>
  <c r="E146" i="20" s="1"/>
  <c r="D153" i="15" s="1"/>
  <c r="AA135" i="20"/>
  <c r="X135" i="20"/>
  <c r="AA182" i="20"/>
  <c r="X182" i="20"/>
  <c r="G137" i="20"/>
  <c r="AO137" i="20"/>
  <c r="AP137" i="20" s="1"/>
  <c r="Y137" i="20" s="1"/>
  <c r="E138" i="13" s="1" a="1"/>
  <c r="E138" i="13" s="1"/>
  <c r="E176" i="20" a="1"/>
  <c r="E176" i="20" s="1"/>
  <c r="D183" i="15" s="1"/>
  <c r="E142" i="20" a="1"/>
  <c r="E142" i="20" s="1"/>
  <c r="D149" i="15" s="1"/>
  <c r="AA96" i="20"/>
  <c r="X96" i="20"/>
  <c r="E156" i="20" a="1"/>
  <c r="E156" i="20" s="1"/>
  <c r="D163" i="15" s="1"/>
  <c r="X105" i="20"/>
  <c r="AA105" i="20"/>
  <c r="X114" i="20"/>
  <c r="AA114" i="20"/>
  <c r="E159" i="20" a="1"/>
  <c r="E159" i="20" s="1"/>
  <c r="D166" i="15" s="1"/>
  <c r="E174" i="20" a="1"/>
  <c r="E174" i="20" s="1"/>
  <c r="D181" i="15" s="1"/>
  <c r="F112" i="20" a="1"/>
  <c r="F112" i="20" s="1"/>
  <c r="AP139" i="20"/>
  <c r="Y139" i="20" s="1"/>
  <c r="E140" i="13" s="1" a="1"/>
  <c r="E140" i="13" s="1"/>
  <c r="AO124" i="20"/>
  <c r="G124" i="20"/>
  <c r="AO100" i="20"/>
  <c r="AP100" i="20" s="1"/>
  <c r="Y100" i="20" s="1"/>
  <c r="E101" i="13" s="1" a="1"/>
  <c r="E101" i="13" s="1"/>
  <c r="G100" i="20"/>
  <c r="AO167" i="20"/>
  <c r="Y167" i="20" s="1"/>
  <c r="E168" i="13" s="1" a="1"/>
  <c r="E168" i="13" s="1"/>
  <c r="G167" i="20"/>
  <c r="AO193" i="20"/>
  <c r="Y193" i="20" s="1"/>
  <c r="E194" i="13" s="1" a="1"/>
  <c r="E194" i="13" s="1"/>
  <c r="G193" i="20"/>
  <c r="AO121" i="20"/>
  <c r="AP121" i="20" s="1"/>
  <c r="Y121" i="20" s="1"/>
  <c r="E122" i="13" s="1" a="1"/>
  <c r="E122" i="13" s="1"/>
  <c r="G121" i="20"/>
  <c r="AO95" i="20"/>
  <c r="AP95" i="20" s="1"/>
  <c r="Y95" i="20" s="1"/>
  <c r="E96" i="13" s="1" a="1"/>
  <c r="E96" i="13" s="1"/>
  <c r="G95" i="20"/>
  <c r="AP131" i="20"/>
  <c r="Y131" i="20" s="1"/>
  <c r="E132" i="13" s="1" a="1"/>
  <c r="E132" i="13" s="1"/>
  <c r="E98" i="20" a="1"/>
  <c r="E98" i="20" s="1"/>
  <c r="D105" i="15" s="1"/>
  <c r="E107" i="20" a="1"/>
  <c r="E107" i="20" s="1"/>
  <c r="D114" i="15" s="1"/>
  <c r="AP99" i="20"/>
  <c r="Y99" i="20" s="1"/>
  <c r="E100" i="13" s="1" a="1"/>
  <c r="E100" i="13" s="1"/>
  <c r="AO113" i="20"/>
  <c r="G113" i="20"/>
  <c r="AA175" i="20"/>
  <c r="X175" i="20"/>
  <c r="AA195" i="20"/>
  <c r="X195" i="20"/>
  <c r="AP112" i="20"/>
  <c r="Y112" i="20" s="1"/>
  <c r="E113" i="13" s="1" a="1"/>
  <c r="E113" i="13" s="1"/>
  <c r="AO106" i="20"/>
  <c r="G106" i="20"/>
  <c r="AO138" i="20"/>
  <c r="G138" i="20"/>
  <c r="AA169" i="20"/>
  <c r="X169" i="20"/>
  <c r="AO97" i="20"/>
  <c r="G97" i="20"/>
  <c r="X132" i="20"/>
  <c r="AA132" i="20"/>
  <c r="G187" i="20"/>
  <c r="AO187" i="20"/>
  <c r="Y187" i="20" s="1"/>
  <c r="E188" i="13" s="1" a="1"/>
  <c r="E188" i="13" s="1"/>
  <c r="AO150" i="20"/>
  <c r="Y150" i="20" s="1"/>
  <c r="E151" i="13" s="1" a="1"/>
  <c r="E151" i="13" s="1"/>
  <c r="G150" i="20"/>
  <c r="AA171" i="20"/>
  <c r="X171" i="20"/>
  <c r="E179" i="20" a="1"/>
  <c r="E179" i="20" s="1"/>
  <c r="D186" i="15" s="1"/>
  <c r="E184" i="20" a="1"/>
  <c r="E184" i="20" s="1"/>
  <c r="D191" i="15" s="1"/>
  <c r="G28" i="20"/>
  <c r="AO28" i="20"/>
  <c r="AP28" i="20" s="1"/>
  <c r="Y28" i="20" s="1"/>
  <c r="E28" i="13" s="1" a="1"/>
  <c r="E28" i="13" s="1"/>
  <c r="AO116" i="20"/>
  <c r="AP116" i="20" s="1"/>
  <c r="Y116" i="20" s="1"/>
  <c r="E117" i="13" s="1" a="1"/>
  <c r="E117" i="13" s="1"/>
  <c r="G116" i="20"/>
  <c r="X189" i="20"/>
  <c r="AA189" i="20"/>
  <c r="AP126" i="20"/>
  <c r="Y126" i="20" s="1"/>
  <c r="E127" i="13" s="1" a="1"/>
  <c r="E127" i="13" s="1"/>
  <c r="AO134" i="20"/>
  <c r="AP134" i="20" s="1"/>
  <c r="Y134" i="20" s="1"/>
  <c r="E135" i="13" s="1" a="1"/>
  <c r="E135" i="13" s="1"/>
  <c r="G134" i="20"/>
  <c r="AP108" i="20"/>
  <c r="Y108" i="20" s="1"/>
  <c r="E109" i="13" s="1" a="1"/>
  <c r="E109" i="13" s="1"/>
  <c r="G118" i="20"/>
  <c r="AO118" i="20"/>
  <c r="AP118" i="20" s="1"/>
  <c r="Y118" i="20" s="1"/>
  <c r="E119" i="13" s="1" a="1"/>
  <c r="E119" i="13" s="1"/>
  <c r="G21" i="20"/>
  <c r="AO21" i="20"/>
  <c r="Y21" i="20" s="1"/>
  <c r="E21" i="13" s="1" a="1"/>
  <c r="E21" i="13" s="1"/>
  <c r="AO196" i="20"/>
  <c r="Y196" i="20" s="1"/>
  <c r="E197" i="13" s="1" a="1"/>
  <c r="E197" i="13" s="1"/>
  <c r="G196" i="20"/>
  <c r="AO152" i="20"/>
  <c r="Y152" i="20" s="1"/>
  <c r="E153" i="13" s="1" a="1"/>
  <c r="E153" i="13" s="1"/>
  <c r="G152" i="20"/>
  <c r="AO186" i="20"/>
  <c r="Y186" i="20" s="1"/>
  <c r="E187" i="13" s="1" a="1"/>
  <c r="E187" i="13" s="1"/>
  <c r="G186" i="20"/>
  <c r="AO160" i="20"/>
  <c r="Y160" i="20" s="1"/>
  <c r="E161" i="13" s="1" a="1"/>
  <c r="E161" i="13" s="1"/>
  <c r="G160" i="20"/>
  <c r="AO117" i="20"/>
  <c r="G117" i="20"/>
  <c r="AO166" i="20"/>
  <c r="Y166" i="20" s="1"/>
  <c r="E167" i="13" s="1" a="1"/>
  <c r="E167" i="13" s="1"/>
  <c r="G166" i="20"/>
  <c r="AA155" i="20"/>
  <c r="X155" i="20"/>
  <c r="G147" i="20"/>
  <c r="AO147" i="20"/>
  <c r="AP147" i="20" s="1"/>
  <c r="Y147" i="20" s="1"/>
  <c r="E148" i="13" s="1" a="1"/>
  <c r="E148" i="13" s="1"/>
  <c r="AO115" i="20"/>
  <c r="G115" i="20"/>
  <c r="AO109" i="20"/>
  <c r="G109" i="20"/>
  <c r="AA133" i="20"/>
  <c r="X133" i="20"/>
  <c r="AA101" i="20"/>
  <c r="X101" i="20"/>
  <c r="AA181" i="20"/>
  <c r="X181" i="20"/>
  <c r="F193" i="3"/>
  <c r="G193" i="3" s="1"/>
  <c r="G29" i="11"/>
  <c r="W29" i="10"/>
  <c r="E171" i="11"/>
  <c r="W171" i="10"/>
  <c r="J97" i="15"/>
  <c r="K97" i="15" s="1"/>
  <c r="W158" i="12"/>
  <c r="E188" i="11"/>
  <c r="W188" i="10"/>
  <c r="E46" i="12"/>
  <c r="W46" i="11"/>
  <c r="W146" i="12"/>
  <c r="W106" i="12"/>
  <c r="W52" i="11"/>
  <c r="E52" i="12"/>
  <c r="E123" i="11"/>
  <c r="W123" i="10"/>
  <c r="W116" i="12"/>
  <c r="W75" i="12"/>
  <c r="W174" i="12"/>
  <c r="E198" i="11"/>
  <c r="W198" i="10"/>
  <c r="W108" i="12"/>
  <c r="E14" i="11"/>
  <c r="W14" i="10"/>
  <c r="E163" i="12"/>
  <c r="W163" i="11"/>
  <c r="T164" i="11"/>
  <c r="H164" i="11"/>
  <c r="S164" i="11" s="1"/>
  <c r="W36" i="10"/>
  <c r="E36" i="11"/>
  <c r="W47" i="12"/>
  <c r="H5" i="11"/>
  <c r="S5" i="11" s="1"/>
  <c r="T5" i="11"/>
  <c r="H7" i="12"/>
  <c r="S7" i="12" s="1"/>
  <c r="T7" i="12"/>
  <c r="T149" i="11"/>
  <c r="H149" i="11"/>
  <c r="S149" i="11" s="1"/>
  <c r="E113" i="12"/>
  <c r="W113" i="11"/>
  <c r="W91" i="12"/>
  <c r="W110" i="10"/>
  <c r="E110" i="11"/>
  <c r="E93" i="11"/>
  <c r="W93" i="10"/>
  <c r="E170" i="11"/>
  <c r="W170" i="10"/>
  <c r="W30" i="10"/>
  <c r="E30" i="11"/>
  <c r="W167" i="12"/>
  <c r="T145" i="11"/>
  <c r="H145" i="11"/>
  <c r="S145" i="11" s="1"/>
  <c r="T179" i="11"/>
  <c r="H179" i="11"/>
  <c r="S179" i="11" s="1"/>
  <c r="W40" i="12"/>
  <c r="W58" i="12"/>
  <c r="E15" i="11"/>
  <c r="W15" i="10"/>
  <c r="W73" i="12"/>
  <c r="W125" i="12"/>
  <c r="E154" i="12"/>
  <c r="W154" i="11"/>
  <c r="W136" i="12"/>
  <c r="W129" i="12"/>
  <c r="T31" i="11"/>
  <c r="H31" i="11"/>
  <c r="S31" i="11" s="1"/>
  <c r="W133" i="12"/>
  <c r="T49" i="12"/>
  <c r="H49" i="12"/>
  <c r="S49" i="12" s="1"/>
  <c r="E112" i="12"/>
  <c r="W112" i="11"/>
  <c r="W6" i="10"/>
  <c r="E6" i="11"/>
  <c r="W19" i="12"/>
  <c r="W99" i="12"/>
  <c r="T25" i="11"/>
  <c r="H25" i="11"/>
  <c r="S25" i="11" s="1"/>
  <c r="E169" i="12"/>
  <c r="W169" i="11"/>
  <c r="W77" i="12"/>
  <c r="T59" i="11"/>
  <c r="H59" i="11"/>
  <c r="S59" i="11" s="1"/>
  <c r="T10" i="11"/>
  <c r="H10" i="11"/>
  <c r="S10" i="11" s="1"/>
  <c r="W22" i="12"/>
  <c r="E8" i="11"/>
  <c r="W8" i="10"/>
  <c r="E11" i="12"/>
  <c r="W11" i="11"/>
  <c r="W144" i="12"/>
  <c r="E152" i="11"/>
  <c r="W152" i="10"/>
  <c r="W78" i="10"/>
  <c r="E78" i="11"/>
  <c r="E150" i="11"/>
  <c r="W150" i="10"/>
  <c r="W176" i="12"/>
  <c r="E193" i="12"/>
  <c r="W193" i="11"/>
  <c r="E151" i="12"/>
  <c r="W151" i="11"/>
  <c r="E67" i="12"/>
  <c r="W67" i="11"/>
  <c r="H192" i="11"/>
  <c r="S192" i="11" s="1"/>
  <c r="T192" i="11"/>
  <c r="H105" i="11"/>
  <c r="S105" i="11" s="1"/>
  <c r="T105" i="11"/>
  <c r="H172" i="12"/>
  <c r="S172" i="12" s="1"/>
  <c r="T172" i="12"/>
  <c r="W54" i="12"/>
  <c r="H177" i="11"/>
  <c r="S177" i="11" s="1"/>
  <c r="T177" i="11"/>
  <c r="E153" i="12"/>
  <c r="W153" i="11"/>
  <c r="E81" i="12"/>
  <c r="W81" i="11"/>
  <c r="T168" i="11"/>
  <c r="H168" i="11"/>
  <c r="S168" i="11" s="1"/>
  <c r="H189" i="11"/>
  <c r="S189" i="11" s="1"/>
  <c r="T189" i="11"/>
  <c r="E109" i="12"/>
  <c r="W109" i="11"/>
  <c r="E92" i="11"/>
  <c r="W92" i="10"/>
  <c r="E143" i="12"/>
  <c r="W143" i="11"/>
  <c r="H32" i="11"/>
  <c r="S32" i="11" s="1"/>
  <c r="T32" i="11"/>
  <c r="E9" i="12"/>
  <c r="W9" i="11"/>
  <c r="W88" i="12"/>
  <c r="T79" i="11"/>
  <c r="H79" i="11"/>
  <c r="S79" i="11" s="1"/>
  <c r="H190" i="11"/>
  <c r="S190" i="11" s="1"/>
  <c r="T190" i="11"/>
  <c r="E148" i="12"/>
  <c r="W148" i="11"/>
  <c r="T142" i="11"/>
  <c r="H142" i="11"/>
  <c r="S142" i="11" s="1"/>
  <c r="W51" i="10"/>
  <c r="E51" i="11"/>
  <c r="U83" i="11"/>
  <c r="H83" i="11"/>
  <c r="S83" i="11" s="1"/>
  <c r="E82" i="12"/>
  <c r="W82" i="11"/>
  <c r="W63" i="12"/>
  <c r="W197" i="12"/>
  <c r="W44" i="12"/>
  <c r="E114" i="11"/>
  <c r="W114" i="10"/>
  <c r="W118" i="12"/>
  <c r="E21" i="12"/>
  <c r="W21" i="11"/>
  <c r="W43" i="12"/>
  <c r="E80" i="11"/>
  <c r="W80" i="10"/>
  <c r="W68" i="12"/>
  <c r="E162" i="12"/>
  <c r="W162" i="11"/>
  <c r="T13" i="11"/>
  <c r="H13" i="11"/>
  <c r="S13" i="11" s="1"/>
  <c r="W12" i="10"/>
  <c r="E12" i="11"/>
  <c r="E98" i="11"/>
  <c r="W98" i="10"/>
  <c r="E122" i="11"/>
  <c r="W122" i="10"/>
  <c r="W38" i="12"/>
  <c r="W86" i="12"/>
  <c r="E26" i="11"/>
  <c r="W26" i="10"/>
  <c r="W135" i="12"/>
  <c r="T111" i="11"/>
  <c r="H111" i="11"/>
  <c r="S111" i="11" s="1"/>
  <c r="W56" i="12"/>
  <c r="W141" i="12"/>
  <c r="G41" i="12"/>
  <c r="W41" i="11"/>
  <c r="W95" i="12"/>
  <c r="T57" i="11"/>
  <c r="H57" i="11"/>
  <c r="S57" i="11" s="1"/>
  <c r="T33" i="11"/>
  <c r="H33" i="11"/>
  <c r="S33" i="11" s="1"/>
  <c r="W102" i="12"/>
  <c r="W70" i="12"/>
  <c r="W121" i="12"/>
  <c r="E119" i="12"/>
  <c r="W119" i="11"/>
  <c r="W183" i="12"/>
  <c r="W64" i="12"/>
  <c r="W178" i="12"/>
  <c r="E147" i="11"/>
  <c r="W147" i="10"/>
  <c r="B18" i="2"/>
  <c r="W130" i="12"/>
  <c r="T16" i="11"/>
  <c r="H16" i="11"/>
  <c r="S16" i="11" s="1"/>
  <c r="H165" i="11"/>
  <c r="S165" i="11" s="1"/>
  <c r="T165" i="11"/>
  <c r="F133" i="3" l="1"/>
  <c r="G133" i="3" s="1"/>
  <c r="AA130" i="13"/>
  <c r="G156" i="13"/>
  <c r="G190" i="13"/>
  <c r="G103" i="13"/>
  <c r="G97" i="13"/>
  <c r="G121" i="13"/>
  <c r="Y121" i="13"/>
  <c r="AA121" i="13" s="1"/>
  <c r="X31" i="13"/>
  <c r="X165" i="13"/>
  <c r="Y176" i="13"/>
  <c r="AA176" i="13" s="1"/>
  <c r="G176" i="13"/>
  <c r="H128" i="15"/>
  <c r="G106" i="13"/>
  <c r="Y106" i="13"/>
  <c r="AA106" i="13" s="1"/>
  <c r="H34" i="15"/>
  <c r="Y27" i="13"/>
  <c r="AA27" i="13" s="1"/>
  <c r="Y154" i="13"/>
  <c r="AA154" i="13" s="1"/>
  <c r="G154" i="13"/>
  <c r="Y182" i="13"/>
  <c r="AA182" i="13" s="1"/>
  <c r="G182" i="13"/>
  <c r="Y172" i="13"/>
  <c r="AA172" i="13" s="1"/>
  <c r="G172" i="13"/>
  <c r="H180" i="15"/>
  <c r="L180" i="15" s="1"/>
  <c r="H141" i="15"/>
  <c r="H106" i="15"/>
  <c r="H144" i="15"/>
  <c r="Y138" i="13"/>
  <c r="AA138" i="13" s="1"/>
  <c r="X158" i="13"/>
  <c r="Y145" i="13"/>
  <c r="AA145" i="13" s="1"/>
  <c r="G145" i="13"/>
  <c r="X162" i="13"/>
  <c r="H115" i="15"/>
  <c r="H167" i="15"/>
  <c r="H174" i="15"/>
  <c r="H204" i="15"/>
  <c r="G196" i="13"/>
  <c r="Y196" i="13"/>
  <c r="AA196" i="13" s="1"/>
  <c r="Y179" i="13"/>
  <c r="G179" i="13"/>
  <c r="H159" i="15"/>
  <c r="H107" i="15"/>
  <c r="H201" i="15"/>
  <c r="H198" i="15"/>
  <c r="H101" i="15"/>
  <c r="H111" i="15"/>
  <c r="H200" i="15"/>
  <c r="H193" i="15"/>
  <c r="H133" i="15"/>
  <c r="X130" i="13"/>
  <c r="H154" i="15"/>
  <c r="Y193" i="13"/>
  <c r="G193" i="13"/>
  <c r="H157" i="15"/>
  <c r="H194" i="15"/>
  <c r="H119" i="15"/>
  <c r="H138" i="15"/>
  <c r="G115" i="13"/>
  <c r="Y115" i="13"/>
  <c r="AA115" i="13" s="1"/>
  <c r="Y133" i="13"/>
  <c r="G133" i="13"/>
  <c r="G102" i="13"/>
  <c r="Y102" i="13"/>
  <c r="AA102" i="13" s="1"/>
  <c r="H28" i="15"/>
  <c r="H123" i="15"/>
  <c r="H146" i="15"/>
  <c r="H192" i="15"/>
  <c r="Y186" i="13"/>
  <c r="AA186" i="13" s="1"/>
  <c r="H135" i="15"/>
  <c r="H203" i="15"/>
  <c r="H173" i="15"/>
  <c r="H102" i="15"/>
  <c r="Y136" i="13"/>
  <c r="G136" i="13"/>
  <c r="G183" i="13"/>
  <c r="Y183" i="13"/>
  <c r="AA183" i="13" s="1"/>
  <c r="G134" i="13"/>
  <c r="Y134" i="13"/>
  <c r="AA134" i="13" s="1"/>
  <c r="Y170" i="13"/>
  <c r="AA170" i="13" s="1"/>
  <c r="G170" i="13"/>
  <c r="Y123" i="13"/>
  <c r="AA123" i="13" s="1"/>
  <c r="G123" i="13"/>
  <c r="H110" i="15"/>
  <c r="H187" i="15"/>
  <c r="Y181" i="13"/>
  <c r="H125" i="15"/>
  <c r="Y119" i="13"/>
  <c r="AA119" i="13" s="1"/>
  <c r="H35" i="15"/>
  <c r="Y28" i="13"/>
  <c r="AA28" i="13" s="1"/>
  <c r="H169" i="15"/>
  <c r="AA131" i="20"/>
  <c r="X131" i="20"/>
  <c r="X99" i="20"/>
  <c r="AA99" i="20"/>
  <c r="AP77" i="20"/>
  <c r="Y77" i="20" s="1"/>
  <c r="E78" i="13" s="1" a="1"/>
  <c r="E78" i="13" s="1"/>
  <c r="AO98" i="20"/>
  <c r="AP98" i="20" s="1"/>
  <c r="Y98" i="20" s="1"/>
  <c r="E99" i="13" s="1" a="1"/>
  <c r="E99" i="13" s="1"/>
  <c r="G98" i="20"/>
  <c r="X137" i="20"/>
  <c r="AA137" i="20"/>
  <c r="AO154" i="20"/>
  <c r="AP154" i="20" s="1"/>
  <c r="Y154" i="20" s="1"/>
  <c r="E155" i="13" s="1" a="1"/>
  <c r="E155" i="13" s="1"/>
  <c r="G154" i="20"/>
  <c r="AO177" i="20"/>
  <c r="Y177" i="20" s="1"/>
  <c r="E178" i="13" s="1" a="1"/>
  <c r="E178" i="13" s="1"/>
  <c r="G177" i="20"/>
  <c r="G165" i="20"/>
  <c r="AO165" i="20"/>
  <c r="Y165" i="20" s="1"/>
  <c r="E166" i="13" s="1" a="1"/>
  <c r="E166" i="13" s="1"/>
  <c r="AA27" i="20"/>
  <c r="X27" i="20"/>
  <c r="G78" i="20"/>
  <c r="AO78" i="20"/>
  <c r="G190" i="20"/>
  <c r="AO190" i="20"/>
  <c r="Y190" i="20" s="1"/>
  <c r="E191" i="13" s="1" a="1"/>
  <c r="E191" i="13" s="1"/>
  <c r="E6" i="20" a="1"/>
  <c r="E6" i="20" s="1"/>
  <c r="D13" i="15" s="1"/>
  <c r="AP117" i="20"/>
  <c r="Y117" i="20" s="1"/>
  <c r="E118" i="13" s="1" a="1"/>
  <c r="E118" i="13" s="1"/>
  <c r="AA28" i="20"/>
  <c r="X28" i="20"/>
  <c r="X108" i="20"/>
  <c r="AA108" i="20"/>
  <c r="AA100" i="20"/>
  <c r="X100" i="20"/>
  <c r="AA180" i="20"/>
  <c r="X180" i="20"/>
  <c r="AP143" i="20"/>
  <c r="Y143" i="20" s="1"/>
  <c r="E144" i="13" s="1" a="1"/>
  <c r="E144" i="13" s="1"/>
  <c r="G16" i="20"/>
  <c r="AO16" i="20"/>
  <c r="AP16" i="20" s="1"/>
  <c r="Y16" i="20" s="1"/>
  <c r="E16" i="13" s="1" a="1"/>
  <c r="E16" i="13" s="1"/>
  <c r="AA191" i="20"/>
  <c r="X191" i="20"/>
  <c r="AP109" i="20"/>
  <c r="Y109" i="20" s="1"/>
  <c r="E110" i="13" s="1" a="1"/>
  <c r="E110" i="13" s="1"/>
  <c r="AA160" i="20"/>
  <c r="X160" i="20"/>
  <c r="G184" i="20"/>
  <c r="AO184" i="20"/>
  <c r="Y184" i="20" s="1"/>
  <c r="E185" i="13" s="1" a="1"/>
  <c r="E185" i="13" s="1"/>
  <c r="G140" i="20"/>
  <c r="AO140" i="20"/>
  <c r="AP140" i="20" s="1"/>
  <c r="Y140" i="20" s="1"/>
  <c r="E141" i="13" s="1" a="1"/>
  <c r="E141" i="13" s="1"/>
  <c r="Z38" i="20"/>
  <c r="G38" i="20"/>
  <c r="AO141" i="20"/>
  <c r="Y141" i="20" s="1"/>
  <c r="E142" i="13" s="1" a="1"/>
  <c r="E142" i="13" s="1"/>
  <c r="G141" i="20"/>
  <c r="AA116" i="20"/>
  <c r="X116" i="20"/>
  <c r="AA167" i="20"/>
  <c r="X167" i="20"/>
  <c r="AP97" i="20"/>
  <c r="Y97" i="20" s="1"/>
  <c r="E98" i="13" s="1" a="1"/>
  <c r="E98" i="13" s="1"/>
  <c r="AP124" i="20"/>
  <c r="Y124" i="20" s="1"/>
  <c r="E125" i="13" s="1" a="1"/>
  <c r="E125" i="13" s="1"/>
  <c r="AA94" i="20"/>
  <c r="X94" i="20"/>
  <c r="AA104" i="20"/>
  <c r="X104" i="20"/>
  <c r="G168" i="20"/>
  <c r="AO168" i="20"/>
  <c r="Y168" i="20" s="1"/>
  <c r="E169" i="13" s="1" a="1"/>
  <c r="E169" i="13" s="1"/>
  <c r="AO158" i="20"/>
  <c r="AP158" i="20" s="1"/>
  <c r="Y158" i="20" s="1"/>
  <c r="E159" i="13" s="1" a="1"/>
  <c r="E159" i="13" s="1"/>
  <c r="G158" i="20"/>
  <c r="AA197" i="20"/>
  <c r="X197" i="20"/>
  <c r="AO156" i="20"/>
  <c r="G156" i="20"/>
  <c r="AO170" i="20"/>
  <c r="G170" i="20"/>
  <c r="AO123" i="20"/>
  <c r="G123" i="20"/>
  <c r="AO172" i="20"/>
  <c r="Y172" i="20" s="1"/>
  <c r="E173" i="13" s="1" a="1"/>
  <c r="E173" i="13" s="1"/>
  <c r="G172" i="20"/>
  <c r="AA103" i="20"/>
  <c r="X103" i="20"/>
  <c r="AA185" i="20"/>
  <c r="X185" i="20"/>
  <c r="AO107" i="20"/>
  <c r="G107" i="20"/>
  <c r="E83" i="20" a="1"/>
  <c r="E83" i="20" s="1"/>
  <c r="D90" i="15" s="1"/>
  <c r="AA118" i="20"/>
  <c r="X118" i="20"/>
  <c r="AP115" i="20"/>
  <c r="Y115" i="20" s="1"/>
  <c r="E116" i="13" s="1" a="1"/>
  <c r="E116" i="13" s="1"/>
  <c r="AA186" i="20"/>
  <c r="X186" i="20"/>
  <c r="AA134" i="20"/>
  <c r="X134" i="20"/>
  <c r="AA173" i="20"/>
  <c r="X173" i="20"/>
  <c r="G18" i="20"/>
  <c r="AO18" i="20"/>
  <c r="AO148" i="20"/>
  <c r="AP148" i="20" s="1"/>
  <c r="Y148" i="20" s="1"/>
  <c r="E149" i="13" s="1" a="1"/>
  <c r="E149" i="13" s="1"/>
  <c r="G148" i="20"/>
  <c r="AA95" i="20"/>
  <c r="X95" i="20"/>
  <c r="Z112" i="20"/>
  <c r="G112" i="20"/>
  <c r="AO183" i="20"/>
  <c r="Y183" i="20" s="1"/>
  <c r="E184" i="13" s="1" a="1"/>
  <c r="E184" i="13" s="1"/>
  <c r="G183" i="20"/>
  <c r="AP130" i="20"/>
  <c r="Y130" i="20" s="1"/>
  <c r="E131" i="13" s="1" a="1"/>
  <c r="E131" i="13" s="1"/>
  <c r="AO163" i="20"/>
  <c r="Y163" i="20" s="1"/>
  <c r="E164" i="13" s="1" a="1"/>
  <c r="E164" i="13" s="1"/>
  <c r="G163" i="20"/>
  <c r="AA162" i="20"/>
  <c r="X162" i="20"/>
  <c r="E30" i="20" a="1"/>
  <c r="E30" i="20" s="1"/>
  <c r="D37" i="15" s="1"/>
  <c r="AO179" i="20"/>
  <c r="Y179" i="20" s="1"/>
  <c r="E180" i="13" s="1" a="1"/>
  <c r="E180" i="13" s="1"/>
  <c r="G179" i="20"/>
  <c r="AA139" i="20"/>
  <c r="X139" i="20"/>
  <c r="AA147" i="20"/>
  <c r="X147" i="20"/>
  <c r="AA126" i="20"/>
  <c r="X126" i="20"/>
  <c r="AA152" i="20"/>
  <c r="X152" i="20"/>
  <c r="AP138" i="20"/>
  <c r="Y138" i="20" s="1"/>
  <c r="E139" i="13" s="1" a="1"/>
  <c r="E139" i="13" s="1"/>
  <c r="AP113" i="20"/>
  <c r="Y113" i="20" s="1"/>
  <c r="E114" i="13" s="1" a="1"/>
  <c r="E114" i="13" s="1"/>
  <c r="AA121" i="20"/>
  <c r="X121" i="20"/>
  <c r="AO151" i="20"/>
  <c r="G151" i="20"/>
  <c r="AA196" i="20"/>
  <c r="X196" i="20"/>
  <c r="G174" i="20"/>
  <c r="AO174" i="20"/>
  <c r="AO142" i="20"/>
  <c r="G142" i="20"/>
  <c r="AO145" i="20"/>
  <c r="G145" i="20"/>
  <c r="AP119" i="20"/>
  <c r="Y119" i="20" s="1"/>
  <c r="E120" i="13" s="1" a="1"/>
  <c r="E120" i="13" s="1"/>
  <c r="AO125" i="20"/>
  <c r="G125" i="20"/>
  <c r="AA166" i="20"/>
  <c r="X166" i="20"/>
  <c r="AA187" i="20"/>
  <c r="X187" i="20"/>
  <c r="AA21" i="20"/>
  <c r="X21" i="20"/>
  <c r="AA150" i="20"/>
  <c r="X150" i="20"/>
  <c r="AP106" i="20"/>
  <c r="Y106" i="20" s="1"/>
  <c r="E107" i="13" s="1" a="1"/>
  <c r="E107" i="13" s="1"/>
  <c r="AA193" i="20"/>
  <c r="X193" i="20"/>
  <c r="AA194" i="20"/>
  <c r="X194" i="20"/>
  <c r="AP111" i="20"/>
  <c r="Y111" i="20" s="1"/>
  <c r="E112" i="13" s="1" a="1"/>
  <c r="E112" i="13" s="1"/>
  <c r="G188" i="20"/>
  <c r="AO188" i="20"/>
  <c r="AO110" i="20"/>
  <c r="Y110" i="20" s="1"/>
  <c r="E111" i="13" s="1" a="1"/>
  <c r="E111" i="13" s="1"/>
  <c r="G110" i="20"/>
  <c r="AO159" i="20"/>
  <c r="AP159" i="20" s="1"/>
  <c r="Y159" i="20" s="1"/>
  <c r="E160" i="13" s="1" a="1"/>
  <c r="E160" i="13" s="1"/>
  <c r="G159" i="20"/>
  <c r="AO176" i="20"/>
  <c r="G176" i="20"/>
  <c r="AO146" i="20"/>
  <c r="Y146" i="20" s="1"/>
  <c r="E147" i="13" s="1" a="1"/>
  <c r="E147" i="13" s="1"/>
  <c r="G146" i="20"/>
  <c r="G136" i="20"/>
  <c r="AO136" i="20"/>
  <c r="AP136" i="20" s="1"/>
  <c r="Y136" i="20" s="1"/>
  <c r="E137" i="13" s="1" a="1"/>
  <c r="E137" i="13" s="1"/>
  <c r="AO127" i="20"/>
  <c r="G127" i="20"/>
  <c r="AA128" i="20"/>
  <c r="X128" i="20"/>
  <c r="AO149" i="20"/>
  <c r="AP149" i="20" s="1"/>
  <c r="Y149" i="20" s="1"/>
  <c r="E150" i="13" s="1" a="1"/>
  <c r="E150" i="13" s="1"/>
  <c r="G149" i="20"/>
  <c r="X190" i="13"/>
  <c r="X154" i="13"/>
  <c r="L196" i="15"/>
  <c r="X123" i="13"/>
  <c r="L142" i="15"/>
  <c r="F91" i="3"/>
  <c r="G91" i="3" s="1"/>
  <c r="J199" i="15"/>
  <c r="K199" i="15" s="1"/>
  <c r="L199" i="15"/>
  <c r="F99" i="3"/>
  <c r="G99" i="3" s="1"/>
  <c r="J96" i="15"/>
  <c r="K96" i="15" s="1"/>
  <c r="H171" i="11"/>
  <c r="S171" i="11" s="1"/>
  <c r="T171" i="11"/>
  <c r="V29" i="11"/>
  <c r="H29" i="11"/>
  <c r="S29" i="11" s="1"/>
  <c r="J34" i="15"/>
  <c r="K34" i="15" s="1"/>
  <c r="J136" i="15"/>
  <c r="K136" i="15" s="1"/>
  <c r="L136" i="15"/>
  <c r="J178" i="15"/>
  <c r="K178" i="15" s="1"/>
  <c r="L178" i="15"/>
  <c r="L201" i="15"/>
  <c r="L189" i="15"/>
  <c r="L200" i="15"/>
  <c r="J91" i="15"/>
  <c r="K91" i="15" s="1"/>
  <c r="T26" i="11"/>
  <c r="H26" i="11"/>
  <c r="S26" i="11" s="1"/>
  <c r="E142" i="12"/>
  <c r="W142" i="11"/>
  <c r="T98" i="11"/>
  <c r="H98" i="11"/>
  <c r="S98" i="11" s="1"/>
  <c r="T12" i="11"/>
  <c r="H12" i="11"/>
  <c r="S12" i="11" s="1"/>
  <c r="E190" i="12"/>
  <c r="W190" i="11"/>
  <c r="E189" i="12"/>
  <c r="W189" i="11"/>
  <c r="W172" i="12"/>
  <c r="T36" i="11"/>
  <c r="H36" i="11"/>
  <c r="S36" i="11" s="1"/>
  <c r="T52" i="12"/>
  <c r="H52" i="12"/>
  <c r="S52" i="12" s="1"/>
  <c r="T193" i="12"/>
  <c r="E91" i="20" s="1" a="1"/>
  <c r="E91" i="20" s="1"/>
  <c r="D98" i="15" s="1"/>
  <c r="H193" i="12"/>
  <c r="S193" i="12" s="1"/>
  <c r="H169" i="12"/>
  <c r="S169" i="12" s="1"/>
  <c r="T169" i="12"/>
  <c r="F109" i="3"/>
  <c r="G109" i="3" s="1"/>
  <c r="E31" i="12"/>
  <c r="W31" i="11"/>
  <c r="T15" i="11"/>
  <c r="H15" i="11"/>
  <c r="S15" i="11" s="1"/>
  <c r="E145" i="12"/>
  <c r="W145" i="11"/>
  <c r="H93" i="11"/>
  <c r="S93" i="11" s="1"/>
  <c r="T93" i="11"/>
  <c r="H113" i="12"/>
  <c r="S113" i="12" s="1"/>
  <c r="T113" i="12"/>
  <c r="E54" i="20" s="1" a="1"/>
  <c r="E54" i="20" s="1"/>
  <c r="D61" i="15" s="1"/>
  <c r="T198" i="11"/>
  <c r="H198" i="11"/>
  <c r="S198" i="11" s="1"/>
  <c r="H46" i="12"/>
  <c r="S46" i="12" s="1"/>
  <c r="T46" i="12"/>
  <c r="H30" i="11"/>
  <c r="S30" i="11" s="1"/>
  <c r="T30" i="11"/>
  <c r="E5" i="12"/>
  <c r="W5" i="11"/>
  <c r="E25" i="12"/>
  <c r="W25" i="11"/>
  <c r="T80" i="11"/>
  <c r="H80" i="11"/>
  <c r="S80" i="11" s="1"/>
  <c r="E57" i="12"/>
  <c r="W57" i="11"/>
  <c r="E13" i="12"/>
  <c r="W13" i="11"/>
  <c r="T114" i="11"/>
  <c r="H114" i="11"/>
  <c r="S114" i="11" s="1"/>
  <c r="T67" i="12"/>
  <c r="E37" i="20" s="1" a="1"/>
  <c r="E37" i="20" s="1"/>
  <c r="D44" i="15" s="1"/>
  <c r="H67" i="12"/>
  <c r="S67" i="12" s="1"/>
  <c r="E59" i="12"/>
  <c r="W59" i="11"/>
  <c r="E165" i="12"/>
  <c r="W165" i="11"/>
  <c r="F62" i="3"/>
  <c r="G62" i="3" s="1"/>
  <c r="H9" i="12"/>
  <c r="S9" i="12" s="1"/>
  <c r="T9" i="12"/>
  <c r="T109" i="12"/>
  <c r="E50" i="20" s="1" a="1"/>
  <c r="E50" i="20" s="1"/>
  <c r="D57" i="15" s="1"/>
  <c r="H109" i="12"/>
  <c r="S109" i="12" s="1"/>
  <c r="T81" i="12"/>
  <c r="E42" i="20" s="1" a="1"/>
  <c r="E42" i="20" s="1"/>
  <c r="D49" i="15" s="1"/>
  <c r="H81" i="12"/>
  <c r="S81" i="12" s="1"/>
  <c r="T151" i="12"/>
  <c r="E68" i="20" s="1" a="1"/>
  <c r="E68" i="20" s="1"/>
  <c r="D75" i="15" s="1"/>
  <c r="H151" i="12"/>
  <c r="S151" i="12" s="1"/>
  <c r="T170" i="11"/>
  <c r="H170" i="11"/>
  <c r="S170" i="11" s="1"/>
  <c r="T82" i="12"/>
  <c r="E43" i="20" s="1" a="1"/>
  <c r="E43" i="20" s="1"/>
  <c r="D50" i="15" s="1"/>
  <c r="H82" i="12"/>
  <c r="S82" i="12" s="1"/>
  <c r="T11" i="12"/>
  <c r="H11" i="12"/>
  <c r="S11" i="12" s="1"/>
  <c r="E105" i="12"/>
  <c r="W105" i="11"/>
  <c r="W7" i="12"/>
  <c r="E111" i="12"/>
  <c r="W111" i="11"/>
  <c r="T122" i="11"/>
  <c r="H122" i="11"/>
  <c r="S122" i="11" s="1"/>
  <c r="T21" i="12"/>
  <c r="E17" i="20" s="1" a="1"/>
  <c r="E17" i="20" s="1"/>
  <c r="D24" i="15" s="1"/>
  <c r="H21" i="12"/>
  <c r="S21" i="12" s="1"/>
  <c r="F83" i="12"/>
  <c r="W83" i="11"/>
  <c r="W79" i="11"/>
  <c r="E79" i="12"/>
  <c r="H150" i="11"/>
  <c r="S150" i="11" s="1"/>
  <c r="T150" i="11"/>
  <c r="T8" i="11"/>
  <c r="H8" i="11"/>
  <c r="S8" i="11" s="1"/>
  <c r="E10" i="12"/>
  <c r="W10" i="11"/>
  <c r="W49" i="12"/>
  <c r="T163" i="12"/>
  <c r="E74" i="20" s="1" a="1"/>
  <c r="E74" i="20" s="1"/>
  <c r="D81" i="15" s="1"/>
  <c r="H163" i="12"/>
  <c r="S163" i="12" s="1"/>
  <c r="T188" i="11"/>
  <c r="H188" i="11"/>
  <c r="S188" i="11" s="1"/>
  <c r="T78" i="11"/>
  <c r="H78" i="11"/>
  <c r="S78" i="11" s="1"/>
  <c r="H147" i="11"/>
  <c r="S147" i="11" s="1"/>
  <c r="T147" i="11"/>
  <c r="T92" i="11"/>
  <c r="H92" i="11"/>
  <c r="S92" i="11" s="1"/>
  <c r="T123" i="11"/>
  <c r="H123" i="11"/>
  <c r="S123" i="11" s="1"/>
  <c r="E16" i="12"/>
  <c r="W16" i="11"/>
  <c r="E32" i="12"/>
  <c r="W32" i="11"/>
  <c r="F161" i="3"/>
  <c r="G161" i="3" s="1"/>
  <c r="H112" i="12"/>
  <c r="S112" i="12" s="1"/>
  <c r="T112" i="12"/>
  <c r="E53" i="20" s="1" a="1"/>
  <c r="E53" i="20" s="1"/>
  <c r="D60" i="15" s="1"/>
  <c r="E149" i="12"/>
  <c r="W149" i="11"/>
  <c r="T51" i="11"/>
  <c r="H51" i="11"/>
  <c r="S51" i="11" s="1"/>
  <c r="W177" i="11"/>
  <c r="E177" i="12"/>
  <c r="E192" i="12"/>
  <c r="W192" i="11"/>
  <c r="H6" i="11"/>
  <c r="S6" i="11" s="1"/>
  <c r="T6" i="11"/>
  <c r="F74" i="3"/>
  <c r="G74" i="3" s="1"/>
  <c r="T110" i="11"/>
  <c r="H110" i="11"/>
  <c r="S110" i="11" s="1"/>
  <c r="E33" i="12"/>
  <c r="W33" i="11"/>
  <c r="E179" i="12"/>
  <c r="W179" i="11"/>
  <c r="H148" i="12"/>
  <c r="S148" i="12" s="1"/>
  <c r="T148" i="12"/>
  <c r="E65" i="20" s="1" a="1"/>
  <c r="E65" i="20" s="1"/>
  <c r="D72" i="15" s="1"/>
  <c r="T152" i="11"/>
  <c r="H152" i="11"/>
  <c r="S152" i="11" s="1"/>
  <c r="T153" i="12"/>
  <c r="E70" i="20" s="1" a="1"/>
  <c r="E70" i="20" s="1"/>
  <c r="D77" i="15" s="1"/>
  <c r="H153" i="12"/>
  <c r="S153" i="12" s="1"/>
  <c r="E164" i="12"/>
  <c r="W164" i="11"/>
  <c r="H119" i="12"/>
  <c r="S119" i="12" s="1"/>
  <c r="T119" i="12"/>
  <c r="E56" i="20" s="1" a="1"/>
  <c r="E56" i="20" s="1"/>
  <c r="D63" i="15" s="1"/>
  <c r="V41" i="12"/>
  <c r="H41" i="12"/>
  <c r="S41" i="12" s="1"/>
  <c r="T162" i="12"/>
  <c r="E73" i="20" s="1" a="1"/>
  <c r="E73" i="20" s="1"/>
  <c r="D80" i="15" s="1"/>
  <c r="H162" i="12"/>
  <c r="S162" i="12" s="1"/>
  <c r="H143" i="12"/>
  <c r="S143" i="12" s="1"/>
  <c r="T143" i="12"/>
  <c r="E62" i="20" s="1" a="1"/>
  <c r="E62" i="20" s="1"/>
  <c r="D69" i="15" s="1"/>
  <c r="E168" i="12"/>
  <c r="W168" i="11"/>
  <c r="F126" i="3"/>
  <c r="G126" i="3" s="1"/>
  <c r="H154" i="12"/>
  <c r="S154" i="12" s="1"/>
  <c r="T154" i="12"/>
  <c r="E71" i="20" s="1" a="1"/>
  <c r="E71" i="20" s="1"/>
  <c r="D78" i="15" s="1"/>
  <c r="F168" i="3"/>
  <c r="G168" i="3" s="1"/>
  <c r="T14" i="11"/>
  <c r="H14" i="11"/>
  <c r="S14" i="11" s="1"/>
  <c r="F50" i="3"/>
  <c r="G50" i="3" s="1"/>
  <c r="F39" i="13" l="1" a="1"/>
  <c r="F39" i="13" s="1"/>
  <c r="Z39" i="13" s="1"/>
  <c r="AA112" i="20"/>
  <c r="F113" i="13" a="1"/>
  <c r="F113" i="13" s="1"/>
  <c r="Z113" i="13" s="1"/>
  <c r="F157" i="3"/>
  <c r="G157" i="3" s="1"/>
  <c r="X133" i="13"/>
  <c r="AA133" i="13"/>
  <c r="F182" i="3"/>
  <c r="G182" i="3" s="1"/>
  <c r="AA179" i="13"/>
  <c r="F196" i="3"/>
  <c r="G196" i="3" s="1"/>
  <c r="AA193" i="13"/>
  <c r="F184" i="3"/>
  <c r="G184" i="3" s="1"/>
  <c r="AA181" i="13"/>
  <c r="X136" i="13"/>
  <c r="AA136" i="13"/>
  <c r="F139" i="3"/>
  <c r="G139" i="3" s="1"/>
  <c r="G138" i="13"/>
  <c r="G181" i="13"/>
  <c r="F136" i="3"/>
  <c r="G136" i="3" s="1"/>
  <c r="X193" i="13"/>
  <c r="G119" i="13"/>
  <c r="G186" i="13"/>
  <c r="G197" i="13"/>
  <c r="Y197" i="13"/>
  <c r="AA197" i="13" s="1"/>
  <c r="X102" i="13"/>
  <c r="G194" i="13"/>
  <c r="Y194" i="13"/>
  <c r="AA194" i="13" s="1"/>
  <c r="H147" i="15"/>
  <c r="H197" i="15"/>
  <c r="X170" i="13"/>
  <c r="H155" i="15"/>
  <c r="H161" i="15"/>
  <c r="G129" i="13"/>
  <c r="Y129" i="13"/>
  <c r="G105" i="13"/>
  <c r="Y105" i="13"/>
  <c r="AA105" i="13" s="1"/>
  <c r="G174" i="13"/>
  <c r="Y174" i="13"/>
  <c r="AA174" i="13" s="1"/>
  <c r="G122" i="13"/>
  <c r="Y122" i="13"/>
  <c r="AA122" i="13" s="1"/>
  <c r="H113" i="15"/>
  <c r="L113" i="15" s="1"/>
  <c r="H126" i="15"/>
  <c r="H170" i="15"/>
  <c r="H131" i="15"/>
  <c r="L131" i="15" s="1"/>
  <c r="H191" i="15"/>
  <c r="L191" i="15" s="1"/>
  <c r="X179" i="13"/>
  <c r="X134" i="13"/>
  <c r="G28" i="13"/>
  <c r="H166" i="15"/>
  <c r="J166" i="15" s="1"/>
  <c r="K166" i="15" s="1"/>
  <c r="H120" i="15"/>
  <c r="L120" i="15" s="1"/>
  <c r="H137" i="15"/>
  <c r="J137" i="15" s="1"/>
  <c r="K137" i="15" s="1"/>
  <c r="H104" i="15"/>
  <c r="H105" i="15"/>
  <c r="X115" i="13"/>
  <c r="G95" i="13"/>
  <c r="Y95" i="13"/>
  <c r="X196" i="13"/>
  <c r="H150" i="15"/>
  <c r="H156" i="15"/>
  <c r="X183" i="13"/>
  <c r="G148" i="13"/>
  <c r="Y148" i="13"/>
  <c r="AA148" i="13" s="1"/>
  <c r="F186" i="3"/>
  <c r="G186" i="3" s="1"/>
  <c r="G27" i="13"/>
  <c r="H145" i="15"/>
  <c r="L145" i="15" s="1"/>
  <c r="H84" i="15"/>
  <c r="X145" i="13"/>
  <c r="X172" i="13"/>
  <c r="F175" i="3"/>
  <c r="G175" i="3" s="1"/>
  <c r="X176" i="13"/>
  <c r="G140" i="13"/>
  <c r="Y140" i="13"/>
  <c r="AA140" i="13" s="1"/>
  <c r="G192" i="13"/>
  <c r="Y192" i="13"/>
  <c r="AA192" i="13" s="1"/>
  <c r="G198" i="13"/>
  <c r="Y198" i="13"/>
  <c r="AA198" i="13" s="1"/>
  <c r="H153" i="15"/>
  <c r="H117" i="15"/>
  <c r="H190" i="15"/>
  <c r="L190" i="15" s="1"/>
  <c r="G132" i="13"/>
  <c r="Y132" i="13"/>
  <c r="AA132" i="13" s="1"/>
  <c r="H116" i="15"/>
  <c r="H172" i="15"/>
  <c r="X182" i="13"/>
  <c r="G104" i="13"/>
  <c r="Y104" i="13"/>
  <c r="AA104" i="13" s="1"/>
  <c r="Y117" i="13"/>
  <c r="G117" i="13"/>
  <c r="Y127" i="13"/>
  <c r="AA127" i="13" s="1"/>
  <c r="G127" i="13"/>
  <c r="G168" i="13"/>
  <c r="Y168" i="13"/>
  <c r="AA168" i="13" s="1"/>
  <c r="H165" i="15"/>
  <c r="J165" i="15" s="1"/>
  <c r="K165" i="15" s="1"/>
  <c r="G96" i="13"/>
  <c r="Y96" i="13"/>
  <c r="AA96" i="13" s="1"/>
  <c r="Y113" i="13"/>
  <c r="G195" i="13"/>
  <c r="Y195" i="13"/>
  <c r="AA195" i="13" s="1"/>
  <c r="F105" i="3"/>
  <c r="G105" i="3" s="1"/>
  <c r="H143" i="15"/>
  <c r="L143" i="15" s="1"/>
  <c r="H118" i="15"/>
  <c r="H186" i="15"/>
  <c r="H122" i="15"/>
  <c r="H175" i="15"/>
  <c r="H124" i="15"/>
  <c r="X112" i="20"/>
  <c r="H179" i="15"/>
  <c r="Y167" i="13"/>
  <c r="AA167" i="13" s="1"/>
  <c r="G167" i="13"/>
  <c r="G188" i="13"/>
  <c r="Y188" i="13"/>
  <c r="AA188" i="13" s="1"/>
  <c r="G187" i="13"/>
  <c r="Y187" i="13"/>
  <c r="AA187" i="13" s="1"/>
  <c r="G161" i="13"/>
  <c r="Y161" i="13"/>
  <c r="AA161" i="13" s="1"/>
  <c r="Y100" i="13"/>
  <c r="AA100" i="13" s="1"/>
  <c r="G100" i="13"/>
  <c r="H148" i="15"/>
  <c r="H23" i="15"/>
  <c r="H184" i="15"/>
  <c r="G21" i="13"/>
  <c r="Y21" i="13"/>
  <c r="AA21" i="13" s="1"/>
  <c r="G101" i="13"/>
  <c r="Y101" i="13"/>
  <c r="AA101" i="13" s="1"/>
  <c r="X121" i="13"/>
  <c r="G163" i="13"/>
  <c r="Y163" i="13"/>
  <c r="AA163" i="13" s="1"/>
  <c r="Y151" i="13"/>
  <c r="AA151" i="13" s="1"/>
  <c r="G151" i="13"/>
  <c r="G153" i="13"/>
  <c r="Y153" i="13"/>
  <c r="AA153" i="13" s="1"/>
  <c r="G109" i="13"/>
  <c r="Y109" i="13"/>
  <c r="AA109" i="13" s="1"/>
  <c r="G135" i="13"/>
  <c r="Y135" i="13"/>
  <c r="X106" i="13"/>
  <c r="AA124" i="20"/>
  <c r="X124" i="20"/>
  <c r="X97" i="20"/>
  <c r="AA97" i="20"/>
  <c r="AA143" i="20"/>
  <c r="X143" i="20"/>
  <c r="X111" i="20"/>
  <c r="AA111" i="20"/>
  <c r="AA119" i="20"/>
  <c r="X119" i="20"/>
  <c r="AA106" i="20"/>
  <c r="X106" i="20"/>
  <c r="AA113" i="20"/>
  <c r="X113" i="20"/>
  <c r="X117" i="20"/>
  <c r="AA117" i="20"/>
  <c r="AO71" i="20"/>
  <c r="G71" i="20"/>
  <c r="E10" i="20" a="1"/>
  <c r="E10" i="20" s="1"/>
  <c r="D17" i="15" s="1"/>
  <c r="AA110" i="20"/>
  <c r="X110" i="20"/>
  <c r="AP125" i="20"/>
  <c r="Y125" i="20" s="1"/>
  <c r="E126" i="13" s="1" a="1"/>
  <c r="E126" i="13" s="1"/>
  <c r="AP151" i="20"/>
  <c r="Y151" i="20" s="1"/>
  <c r="E152" i="13" s="1" a="1"/>
  <c r="E152" i="13" s="1"/>
  <c r="AA190" i="20"/>
  <c r="X190" i="20"/>
  <c r="X159" i="20"/>
  <c r="AA159" i="20"/>
  <c r="AO56" i="20"/>
  <c r="G56" i="20"/>
  <c r="E8" i="20" a="1"/>
  <c r="E8" i="20" s="1"/>
  <c r="D15" i="15" s="1"/>
  <c r="E29" i="20"/>
  <c r="D36" i="15" s="1"/>
  <c r="AA154" i="20"/>
  <c r="X154" i="20"/>
  <c r="AO74" i="20"/>
  <c r="AP74" i="20" s="1"/>
  <c r="Y74" i="20" s="1"/>
  <c r="E75" i="13" s="1" a="1"/>
  <c r="E75" i="13" s="1"/>
  <c r="G74" i="20"/>
  <c r="AP188" i="20"/>
  <c r="Y188" i="20" s="1"/>
  <c r="E189" i="13" s="1" a="1"/>
  <c r="E189" i="13" s="1"/>
  <c r="AA172" i="20"/>
  <c r="X172" i="20"/>
  <c r="AA158" i="20"/>
  <c r="X158" i="20"/>
  <c r="G6" i="20"/>
  <c r="AO6" i="20"/>
  <c r="AO30" i="20"/>
  <c r="Y30" i="20" s="1"/>
  <c r="E30" i="13" s="1" a="1"/>
  <c r="E30" i="13" s="1"/>
  <c r="G30" i="20"/>
  <c r="AA115" i="20"/>
  <c r="X115" i="20"/>
  <c r="AA184" i="20"/>
  <c r="X184" i="20"/>
  <c r="G43" i="20"/>
  <c r="AO43" i="20"/>
  <c r="E80" i="20" a="1"/>
  <c r="E80" i="20" s="1"/>
  <c r="D87" i="15" s="1"/>
  <c r="AP127" i="20"/>
  <c r="Y127" i="20" s="1"/>
  <c r="E128" i="13" s="1" a="1"/>
  <c r="E128" i="13" s="1"/>
  <c r="AA148" i="20"/>
  <c r="X148" i="20"/>
  <c r="X168" i="20"/>
  <c r="AA168" i="20"/>
  <c r="AP78" i="20"/>
  <c r="Y78" i="20" s="1"/>
  <c r="E79" i="13" s="1" a="1"/>
  <c r="E79" i="13" s="1"/>
  <c r="AA149" i="20"/>
  <c r="X149" i="20"/>
  <c r="AA179" i="20"/>
  <c r="X179" i="20"/>
  <c r="AO17" i="20"/>
  <c r="Y17" i="20" s="1"/>
  <c r="E17" i="13" s="1" a="1"/>
  <c r="E17" i="13" s="1"/>
  <c r="G17" i="20"/>
  <c r="G54" i="20"/>
  <c r="AO54" i="20"/>
  <c r="Y54" i="20" s="1"/>
  <c r="E55" i="13" s="1" a="1"/>
  <c r="E55" i="13" s="1"/>
  <c r="AA136" i="20"/>
  <c r="X136" i="20"/>
  <c r="AP18" i="20"/>
  <c r="Y18" i="20" s="1"/>
  <c r="E18" i="13" s="1" a="1"/>
  <c r="E18" i="13" s="1"/>
  <c r="AP123" i="20"/>
  <c r="Y123" i="20" s="1"/>
  <c r="E124" i="13" s="1" a="1"/>
  <c r="E124" i="13" s="1"/>
  <c r="AA98" i="20"/>
  <c r="X98" i="20"/>
  <c r="G62" i="20"/>
  <c r="AO62" i="20"/>
  <c r="Y62" i="20" s="1"/>
  <c r="E63" i="13" s="1" a="1"/>
  <c r="E63" i="13" s="1"/>
  <c r="AA138" i="20"/>
  <c r="X138" i="20"/>
  <c r="AA130" i="20"/>
  <c r="X130" i="20"/>
  <c r="AP170" i="20"/>
  <c r="Y170" i="20" s="1"/>
  <c r="E171" i="13" s="1" a="1"/>
  <c r="E171" i="13" s="1"/>
  <c r="AP145" i="20"/>
  <c r="Y145" i="20" s="1"/>
  <c r="E146" i="13" s="1" a="1"/>
  <c r="E146" i="13" s="1"/>
  <c r="AA163" i="20"/>
  <c r="X163" i="20"/>
  <c r="AO53" i="20"/>
  <c r="AP53" i="20" s="1"/>
  <c r="Y53" i="20" s="1"/>
  <c r="E54" i="13" s="1" a="1"/>
  <c r="E54" i="13" s="1"/>
  <c r="G53" i="20"/>
  <c r="G91" i="20"/>
  <c r="AO91" i="20"/>
  <c r="Y91" i="20" s="1"/>
  <c r="E92" i="13" s="1" a="1"/>
  <c r="E92" i="13" s="1"/>
  <c r="L186" i="15"/>
  <c r="AA146" i="20"/>
  <c r="X146" i="20"/>
  <c r="AP142" i="20"/>
  <c r="Y142" i="20" s="1"/>
  <c r="E143" i="13" s="1" a="1"/>
  <c r="E143" i="13" s="1"/>
  <c r="AA141" i="20"/>
  <c r="X141" i="20"/>
  <c r="AA165" i="20"/>
  <c r="X165" i="20"/>
  <c r="G68" i="20"/>
  <c r="AO68" i="20"/>
  <c r="G37" i="20"/>
  <c r="AO37" i="20"/>
  <c r="AP174" i="20"/>
  <c r="Y174" i="20" s="1"/>
  <c r="E175" i="13" s="1" a="1"/>
  <c r="E175" i="13" s="1"/>
  <c r="AP107" i="20"/>
  <c r="Y107" i="20" s="1"/>
  <c r="E108" i="13" s="1" a="1"/>
  <c r="E108" i="13" s="1"/>
  <c r="AP156" i="20"/>
  <c r="Y156" i="20" s="1"/>
  <c r="E157" i="13" s="1" a="1"/>
  <c r="E157" i="13" s="1"/>
  <c r="X16" i="20"/>
  <c r="AA16" i="20"/>
  <c r="AO83" i="20"/>
  <c r="G83" i="20"/>
  <c r="AA109" i="20"/>
  <c r="X109" i="20"/>
  <c r="X77" i="20"/>
  <c r="AA77" i="20"/>
  <c r="G73" i="20"/>
  <c r="AO73" i="20"/>
  <c r="AO42" i="20"/>
  <c r="AP42" i="20" s="1"/>
  <c r="Y42" i="20" s="1"/>
  <c r="E43" i="13" s="1" a="1"/>
  <c r="E43" i="13" s="1"/>
  <c r="G42" i="20"/>
  <c r="E33" i="20" a="1"/>
  <c r="E33" i="20" s="1"/>
  <c r="D40" i="15" s="1"/>
  <c r="AP176" i="20"/>
  <c r="Y176" i="20" s="1"/>
  <c r="E177" i="13" s="1" a="1"/>
  <c r="E177" i="13" s="1"/>
  <c r="AA183" i="20"/>
  <c r="X183" i="20"/>
  <c r="X38" i="20"/>
  <c r="AA38" i="20"/>
  <c r="AO50" i="20"/>
  <c r="G50" i="20"/>
  <c r="G70" i="20"/>
  <c r="AO70" i="20"/>
  <c r="AP70" i="20" s="1"/>
  <c r="Y70" i="20" s="1"/>
  <c r="E71" i="13" s="1" a="1"/>
  <c r="E71" i="13" s="1"/>
  <c r="G65" i="20"/>
  <c r="AO65" i="20"/>
  <c r="Y65" i="20" s="1"/>
  <c r="E66" i="13" s="1" a="1"/>
  <c r="E66" i="13" s="1"/>
  <c r="AA140" i="20"/>
  <c r="X140" i="20"/>
  <c r="X177" i="20"/>
  <c r="AA177" i="20"/>
  <c r="F106" i="3"/>
  <c r="G106" i="3" s="1"/>
  <c r="X97" i="13"/>
  <c r="L137" i="15"/>
  <c r="L192" i="15"/>
  <c r="X186" i="13"/>
  <c r="X156" i="13"/>
  <c r="L34" i="15"/>
  <c r="X27" i="13"/>
  <c r="J142" i="15"/>
  <c r="K142" i="15" s="1"/>
  <c r="X103" i="13"/>
  <c r="L187" i="15"/>
  <c r="X181" i="13"/>
  <c r="X138" i="13"/>
  <c r="F189" i="3"/>
  <c r="G189" i="3" s="1"/>
  <c r="L129" i="15"/>
  <c r="J129" i="15"/>
  <c r="K129" i="15" s="1"/>
  <c r="F122" i="3"/>
  <c r="G122" i="3" s="1"/>
  <c r="L103" i="15"/>
  <c r="J103" i="15"/>
  <c r="K103" i="15" s="1"/>
  <c r="J120" i="15"/>
  <c r="K120" i="15" s="1"/>
  <c r="L106" i="15"/>
  <c r="J106" i="15"/>
  <c r="K106" i="15" s="1"/>
  <c r="L102" i="15"/>
  <c r="J102" i="15"/>
  <c r="K102" i="15" s="1"/>
  <c r="F159" i="3"/>
  <c r="G159" i="3" s="1"/>
  <c r="J139" i="15"/>
  <c r="K139" i="15" s="1"/>
  <c r="L139" i="15"/>
  <c r="L160" i="15"/>
  <c r="J160" i="15"/>
  <c r="K160" i="15" s="1"/>
  <c r="L109" i="15"/>
  <c r="J109" i="15"/>
  <c r="K109" i="15" s="1"/>
  <c r="L164" i="15"/>
  <c r="J164" i="15"/>
  <c r="K164" i="15" s="1"/>
  <c r="L112" i="15"/>
  <c r="J112" i="15"/>
  <c r="K112" i="15" s="1"/>
  <c r="F141" i="3"/>
  <c r="G141" i="3" s="1"/>
  <c r="L96" i="15"/>
  <c r="L101" i="15"/>
  <c r="E171" i="12"/>
  <c r="W171" i="11"/>
  <c r="G29" i="12"/>
  <c r="W29" i="11"/>
  <c r="B19" i="2"/>
  <c r="J190" i="15"/>
  <c r="K190" i="15" s="1"/>
  <c r="L55" i="15"/>
  <c r="J55" i="15"/>
  <c r="K55" i="15" s="1"/>
  <c r="J73" i="15"/>
  <c r="K73" i="15" s="1"/>
  <c r="L108" i="15"/>
  <c r="J108" i="15"/>
  <c r="K108" i="15" s="1"/>
  <c r="J79" i="15"/>
  <c r="K79" i="15" s="1"/>
  <c r="L79" i="15"/>
  <c r="L67" i="15"/>
  <c r="J67" i="15"/>
  <c r="K67" i="15" s="1"/>
  <c r="J72" i="15"/>
  <c r="K72" i="15" s="1"/>
  <c r="J185" i="15"/>
  <c r="K185" i="15" s="1"/>
  <c r="L185" i="15"/>
  <c r="L171" i="15"/>
  <c r="J171" i="15"/>
  <c r="K171" i="15" s="1"/>
  <c r="J204" i="15"/>
  <c r="K204" i="15" s="1"/>
  <c r="L204" i="15"/>
  <c r="E198" i="12"/>
  <c r="W198" i="11"/>
  <c r="T164" i="12"/>
  <c r="E75" i="20" s="1" a="1"/>
  <c r="E75" i="20" s="1"/>
  <c r="D82" i="15" s="1"/>
  <c r="H164" i="12"/>
  <c r="S164" i="12" s="1"/>
  <c r="T59" i="12"/>
  <c r="E35" i="20" s="1" a="1"/>
  <c r="E35" i="20" s="1"/>
  <c r="D42" i="15" s="1"/>
  <c r="H59" i="12"/>
  <c r="S59" i="12" s="1"/>
  <c r="W6" i="11"/>
  <c r="E6" i="12"/>
  <c r="T79" i="12"/>
  <c r="E40" i="20" s="1" a="1"/>
  <c r="E40" i="20" s="1"/>
  <c r="D47" i="15" s="1"/>
  <c r="H79" i="12"/>
  <c r="S79" i="12" s="1"/>
  <c r="E93" i="12"/>
  <c r="W93" i="11"/>
  <c r="T179" i="12"/>
  <c r="E85" i="20" s="1" a="1"/>
  <c r="E85" i="20" s="1"/>
  <c r="D92" i="15" s="1"/>
  <c r="H179" i="12"/>
  <c r="S179" i="12" s="1"/>
  <c r="F148" i="3"/>
  <c r="G148" i="3" s="1"/>
  <c r="W81" i="12"/>
  <c r="T165" i="12"/>
  <c r="E76" i="20" s="1" a="1"/>
  <c r="E76" i="20" s="1"/>
  <c r="D83" i="15" s="1"/>
  <c r="H165" i="12"/>
  <c r="S165" i="12" s="1"/>
  <c r="W67" i="12"/>
  <c r="T5" i="12"/>
  <c r="E4" i="20" s="1" a="1"/>
  <c r="E4" i="20" s="1"/>
  <c r="D11" i="15" s="1"/>
  <c r="H5" i="12"/>
  <c r="S5" i="12" s="1"/>
  <c r="W52" i="12"/>
  <c r="H189" i="12"/>
  <c r="S189" i="12" s="1"/>
  <c r="T189" i="12"/>
  <c r="E87" i="20" s="1" a="1"/>
  <c r="E87" i="20" s="1"/>
  <c r="D94" i="15" s="1"/>
  <c r="W78" i="11"/>
  <c r="E78" i="12"/>
  <c r="T105" i="12"/>
  <c r="E49" i="20" s="1" a="1"/>
  <c r="E49" i="20" s="1"/>
  <c r="D56" i="15" s="1"/>
  <c r="H105" i="12"/>
  <c r="S105" i="12" s="1"/>
  <c r="W113" i="12"/>
  <c r="F97" i="3"/>
  <c r="G97" i="3" s="1"/>
  <c r="W163" i="12"/>
  <c r="W11" i="12"/>
  <c r="T190" i="12"/>
  <c r="E88" i="20" s="1" a="1"/>
  <c r="E88" i="20" s="1"/>
  <c r="D95" i="15" s="1"/>
  <c r="H190" i="12"/>
  <c r="S190" i="12" s="1"/>
  <c r="W154" i="12"/>
  <c r="W9" i="12"/>
  <c r="T13" i="12"/>
  <c r="H13" i="12"/>
  <c r="S13" i="12" s="1"/>
  <c r="W162" i="12"/>
  <c r="F135" i="3"/>
  <c r="G135" i="3" s="1"/>
  <c r="E14" i="12"/>
  <c r="W14" i="11"/>
  <c r="T168" i="12"/>
  <c r="H168" i="12"/>
  <c r="S168" i="12" s="1"/>
  <c r="F104" i="3"/>
  <c r="G104" i="3" s="1"/>
  <c r="W30" i="11"/>
  <c r="E30" i="12"/>
  <c r="U83" i="12"/>
  <c r="H83" i="12"/>
  <c r="S83" i="12" s="1"/>
  <c r="H142" i="12"/>
  <c r="S142" i="12" s="1"/>
  <c r="T142" i="12"/>
  <c r="E61" i="20" s="1" a="1"/>
  <c r="E61" i="20" s="1"/>
  <c r="D68" i="15" s="1"/>
  <c r="W153" i="12"/>
  <c r="H192" i="12"/>
  <c r="S192" i="12" s="1"/>
  <c r="T192" i="12"/>
  <c r="E90" i="20" s="1" a="1"/>
  <c r="E90" i="20" s="1"/>
  <c r="D97" i="15" s="1"/>
  <c r="T149" i="12"/>
  <c r="H149" i="12"/>
  <c r="S149" i="12" s="1"/>
  <c r="H16" i="12"/>
  <c r="S16" i="12" s="1"/>
  <c r="T16" i="12"/>
  <c r="E92" i="12"/>
  <c r="W92" i="11"/>
  <c r="E8" i="12"/>
  <c r="W8" i="11"/>
  <c r="W21" i="12"/>
  <c r="W82" i="12"/>
  <c r="E170" i="12"/>
  <c r="W170" i="11"/>
  <c r="E15" i="12"/>
  <c r="W15" i="11"/>
  <c r="W193" i="12"/>
  <c r="E36" i="12"/>
  <c r="W36" i="11"/>
  <c r="E12" i="12"/>
  <c r="W12" i="11"/>
  <c r="E26" i="12"/>
  <c r="W26" i="11"/>
  <c r="T25" i="12"/>
  <c r="E19" i="20" s="1" a="1"/>
  <c r="E19" i="20" s="1"/>
  <c r="D26" i="15" s="1"/>
  <c r="H25" i="12"/>
  <c r="S25" i="12" s="1"/>
  <c r="T57" i="12"/>
  <c r="E34" i="20" s="1" a="1"/>
  <c r="E34" i="20" s="1"/>
  <c r="D41" i="15" s="1"/>
  <c r="H57" i="12"/>
  <c r="S57" i="12" s="1"/>
  <c r="W169" i="12"/>
  <c r="E152" i="12"/>
  <c r="W152" i="11"/>
  <c r="E188" i="12"/>
  <c r="W188" i="11"/>
  <c r="W143" i="12"/>
  <c r="W148" i="12"/>
  <c r="W119" i="12"/>
  <c r="F185" i="3"/>
  <c r="G185" i="3" s="1"/>
  <c r="H33" i="12"/>
  <c r="S33" i="12" s="1"/>
  <c r="T33" i="12"/>
  <c r="W109" i="12"/>
  <c r="T145" i="12"/>
  <c r="E63" i="20" s="1" a="1"/>
  <c r="E63" i="20" s="1"/>
  <c r="D70" i="15" s="1"/>
  <c r="H145" i="12"/>
  <c r="S145" i="12" s="1"/>
  <c r="T177" i="12"/>
  <c r="E84" i="20" s="1" a="1"/>
  <c r="E84" i="20" s="1"/>
  <c r="D91" i="15" s="1"/>
  <c r="H177" i="12"/>
  <c r="S177" i="12" s="1"/>
  <c r="E147" i="12"/>
  <c r="W147" i="11"/>
  <c r="E150" i="12"/>
  <c r="W150" i="11"/>
  <c r="W114" i="11"/>
  <c r="E114" i="12"/>
  <c r="E80" i="12"/>
  <c r="W80" i="11"/>
  <c r="W46" i="12"/>
  <c r="W112" i="12"/>
  <c r="E51" i="12"/>
  <c r="W51" i="11"/>
  <c r="T111" i="12"/>
  <c r="H111" i="12"/>
  <c r="S111" i="12" s="1"/>
  <c r="W41" i="12"/>
  <c r="F137" i="3"/>
  <c r="G137" i="3" s="1"/>
  <c r="W151" i="12"/>
  <c r="T32" i="12"/>
  <c r="E24" i="20" s="1" a="1"/>
  <c r="E24" i="20" s="1"/>
  <c r="D31" i="15" s="1"/>
  <c r="H32" i="12"/>
  <c r="S32" i="12" s="1"/>
  <c r="H10" i="12"/>
  <c r="S10" i="12" s="1"/>
  <c r="T10" i="12"/>
  <c r="G9" i="13" s="1"/>
  <c r="F118" i="3"/>
  <c r="G118" i="3" s="1"/>
  <c r="E110" i="12"/>
  <c r="W110" i="11"/>
  <c r="E123" i="12"/>
  <c r="W123" i="11"/>
  <c r="E122" i="12"/>
  <c r="W122" i="11"/>
  <c r="H31" i="12"/>
  <c r="S31" i="12" s="1"/>
  <c r="T31" i="12"/>
  <c r="E23" i="20" s="1" a="1"/>
  <c r="E23" i="20" s="1"/>
  <c r="D30" i="15" s="1"/>
  <c r="E98" i="12"/>
  <c r="W98" i="11"/>
  <c r="X39" i="13" l="1"/>
  <c r="F40" i="3"/>
  <c r="G40" i="3" s="1"/>
  <c r="AA39" i="13"/>
  <c r="G39" i="13"/>
  <c r="J113" i="15"/>
  <c r="K113" i="15" s="1"/>
  <c r="F143" i="3"/>
  <c r="G143" i="3" s="1"/>
  <c r="F120" i="3"/>
  <c r="G120" i="3" s="1"/>
  <c r="AA117" i="13"/>
  <c r="F132" i="3"/>
  <c r="G132" i="3" s="1"/>
  <c r="AA129" i="13"/>
  <c r="AA113" i="13"/>
  <c r="X95" i="13"/>
  <c r="AA95" i="13"/>
  <c r="F138" i="3"/>
  <c r="G138" i="3" s="1"/>
  <c r="AA135" i="13"/>
  <c r="J131" i="15"/>
  <c r="K131" i="15" s="1"/>
  <c r="F108" i="3"/>
  <c r="G108" i="3" s="1"/>
  <c r="X122" i="13"/>
  <c r="X109" i="13"/>
  <c r="X21" i="13"/>
  <c r="X187" i="13"/>
  <c r="H60" i="15"/>
  <c r="Y54" i="13"/>
  <c r="AA54" i="13" s="1"/>
  <c r="X151" i="13"/>
  <c r="X167" i="13"/>
  <c r="G159" i="13"/>
  <c r="Y159" i="13"/>
  <c r="AA159" i="13" s="1"/>
  <c r="G142" i="13"/>
  <c r="Y142" i="13"/>
  <c r="AA142" i="13" s="1"/>
  <c r="G112" i="13"/>
  <c r="Y112" i="13"/>
  <c r="AA112" i="13" s="1"/>
  <c r="G166" i="13"/>
  <c r="Y166" i="13"/>
  <c r="AA166" i="13" s="1"/>
  <c r="X198" i="13"/>
  <c r="F201" i="3"/>
  <c r="G201" i="3" s="1"/>
  <c r="G150" i="13"/>
  <c r="Y150" i="13"/>
  <c r="AA150" i="13" s="1"/>
  <c r="G98" i="13"/>
  <c r="Y98" i="13"/>
  <c r="AA98" i="13" s="1"/>
  <c r="H183" i="15"/>
  <c r="H195" i="15"/>
  <c r="X163" i="13"/>
  <c r="G173" i="13"/>
  <c r="Y173" i="13"/>
  <c r="AA173" i="13" s="1"/>
  <c r="H72" i="15"/>
  <c r="Y66" i="13"/>
  <c r="H158" i="15"/>
  <c r="G185" i="13"/>
  <c r="Y185" i="13"/>
  <c r="AA185" i="13" s="1"/>
  <c r="X174" i="13"/>
  <c r="F177" i="3"/>
  <c r="G177" i="3" s="1"/>
  <c r="G191" i="13"/>
  <c r="Y191" i="13"/>
  <c r="AA191" i="13" s="1"/>
  <c r="H85" i="15"/>
  <c r="H81" i="15"/>
  <c r="Y75" i="13"/>
  <c r="AA75" i="13" s="1"/>
  <c r="H132" i="15"/>
  <c r="J132" i="15" s="1"/>
  <c r="K132" i="15" s="1"/>
  <c r="G137" i="13"/>
  <c r="Y137" i="13"/>
  <c r="AA137" i="13" s="1"/>
  <c r="X168" i="13"/>
  <c r="G110" i="13"/>
  <c r="Y110" i="13"/>
  <c r="AA110" i="13" s="1"/>
  <c r="X192" i="13"/>
  <c r="G78" i="13"/>
  <c r="Y78" i="13"/>
  <c r="AA78" i="13" s="1"/>
  <c r="G144" i="13"/>
  <c r="Y144" i="13"/>
  <c r="AA144" i="13" s="1"/>
  <c r="G131" i="13"/>
  <c r="Y131" i="13"/>
  <c r="AA131" i="13" s="1"/>
  <c r="F130" i="3"/>
  <c r="G130" i="3" s="1"/>
  <c r="H25" i="15"/>
  <c r="L25" i="15" s="1"/>
  <c r="F102" i="3"/>
  <c r="G102" i="3" s="1"/>
  <c r="X100" i="13"/>
  <c r="G125" i="13"/>
  <c r="Y125" i="13"/>
  <c r="AA125" i="13" s="1"/>
  <c r="X105" i="13"/>
  <c r="G141" i="13"/>
  <c r="Y141" i="13"/>
  <c r="AA141" i="13" s="1"/>
  <c r="F96" i="3"/>
  <c r="G96" i="3" s="1"/>
  <c r="H77" i="15"/>
  <c r="Y71" i="13"/>
  <c r="AA71" i="13" s="1"/>
  <c r="H163" i="15"/>
  <c r="H149" i="15"/>
  <c r="J149" i="15" s="1"/>
  <c r="K149" i="15" s="1"/>
  <c r="H177" i="15"/>
  <c r="X135" i="13"/>
  <c r="X101" i="13"/>
  <c r="X161" i="13"/>
  <c r="G118" i="13"/>
  <c r="Y118" i="13"/>
  <c r="AA118" i="13" s="1"/>
  <c r="X132" i="13"/>
  <c r="X140" i="13"/>
  <c r="Y139" i="13"/>
  <c r="AA139" i="13" s="1"/>
  <c r="G139" i="13"/>
  <c r="G114" i="13"/>
  <c r="Y114" i="13"/>
  <c r="AA114" i="13" s="1"/>
  <c r="H49" i="15"/>
  <c r="Y43" i="13"/>
  <c r="AA43" i="13" s="1"/>
  <c r="H134" i="15"/>
  <c r="G113" i="13"/>
  <c r="X117" i="13"/>
  <c r="G120" i="13"/>
  <c r="Y120" i="13"/>
  <c r="AA120" i="13" s="1"/>
  <c r="G155" i="13"/>
  <c r="Y155" i="13"/>
  <c r="AA155" i="13" s="1"/>
  <c r="Y164" i="13"/>
  <c r="AA164" i="13" s="1"/>
  <c r="G164" i="13"/>
  <c r="X129" i="13"/>
  <c r="G169" i="13"/>
  <c r="Y169" i="13"/>
  <c r="AA169" i="13" s="1"/>
  <c r="X153" i="13"/>
  <c r="G178" i="13"/>
  <c r="Y178" i="13"/>
  <c r="AA178" i="13" s="1"/>
  <c r="X188" i="13"/>
  <c r="Y116" i="13"/>
  <c r="G116" i="13"/>
  <c r="X113" i="13"/>
  <c r="X104" i="13"/>
  <c r="G111" i="13"/>
  <c r="Y111" i="13"/>
  <c r="AA111" i="13" s="1"/>
  <c r="X148" i="13"/>
  <c r="H152" i="15"/>
  <c r="H114" i="15"/>
  <c r="H37" i="15"/>
  <c r="H181" i="15"/>
  <c r="J181" i="15" s="1"/>
  <c r="K181" i="15" s="1"/>
  <c r="H61" i="15"/>
  <c r="Y55" i="13"/>
  <c r="Y160" i="13"/>
  <c r="AA160" i="13" s="1"/>
  <c r="G160" i="13"/>
  <c r="H98" i="15"/>
  <c r="Y92" i="13"/>
  <c r="AA92" i="13" s="1"/>
  <c r="X127" i="13"/>
  <c r="H24" i="15"/>
  <c r="Y17" i="13"/>
  <c r="X96" i="13"/>
  <c r="F98" i="3"/>
  <c r="G98" i="3" s="1"/>
  <c r="Y107" i="13"/>
  <c r="AA107" i="13" s="1"/>
  <c r="G107" i="13"/>
  <c r="G149" i="13"/>
  <c r="Y149" i="13"/>
  <c r="AA149" i="13" s="1"/>
  <c r="X197" i="13"/>
  <c r="H130" i="15"/>
  <c r="X195" i="13"/>
  <c r="F198" i="3"/>
  <c r="G198" i="3" s="1"/>
  <c r="X194" i="13"/>
  <c r="F197" i="3"/>
  <c r="G197" i="3" s="1"/>
  <c r="Y184" i="13"/>
  <c r="AA184" i="13" s="1"/>
  <c r="G184" i="13"/>
  <c r="H69" i="15"/>
  <c r="Y63" i="13"/>
  <c r="G16" i="13"/>
  <c r="Y16" i="13"/>
  <c r="AA16" i="13" s="1"/>
  <c r="G180" i="13"/>
  <c r="Y180" i="13"/>
  <c r="AA180" i="13" s="1"/>
  <c r="G147" i="13"/>
  <c r="Y147" i="13"/>
  <c r="AA147" i="13" s="1"/>
  <c r="G99" i="13"/>
  <c r="Y99" i="13"/>
  <c r="AA99" i="13" s="1"/>
  <c r="J145" i="15"/>
  <c r="K145" i="15" s="1"/>
  <c r="AA127" i="20"/>
  <c r="X127" i="20"/>
  <c r="AA188" i="20"/>
  <c r="X188" i="20"/>
  <c r="AA125" i="20"/>
  <c r="X125" i="20"/>
  <c r="AA18" i="20"/>
  <c r="X18" i="20"/>
  <c r="AA170" i="20"/>
  <c r="X170" i="20"/>
  <c r="AA151" i="20"/>
  <c r="X151" i="20"/>
  <c r="AA42" i="20"/>
  <c r="X42" i="20"/>
  <c r="AO80" i="20"/>
  <c r="Y80" i="20" s="1"/>
  <c r="E81" i="13" s="1" a="1"/>
  <c r="E81" i="13" s="1"/>
  <c r="G80" i="20"/>
  <c r="G8" i="20"/>
  <c r="AO8" i="20"/>
  <c r="AP8" i="20" s="1"/>
  <c r="Y8" i="20" s="1"/>
  <c r="E8" i="13" s="1" a="1"/>
  <c r="E8" i="13" s="1"/>
  <c r="AO34" i="20"/>
  <c r="AP34" i="20" s="1"/>
  <c r="Y34" i="20" s="1"/>
  <c r="E34" i="13" s="1" a="1"/>
  <c r="E34" i="13" s="1"/>
  <c r="G34" i="20"/>
  <c r="AP50" i="20"/>
  <c r="Y50" i="20" s="1"/>
  <c r="E51" i="13" s="1" a="1"/>
  <c r="E51" i="13" s="1"/>
  <c r="AP73" i="20"/>
  <c r="Y73" i="20" s="1"/>
  <c r="E74" i="13" s="1" a="1"/>
  <c r="E74" i="13" s="1"/>
  <c r="AA107" i="20"/>
  <c r="X107" i="20"/>
  <c r="AA145" i="20"/>
  <c r="X145" i="20"/>
  <c r="AO88" i="20"/>
  <c r="G88" i="20"/>
  <c r="G90" i="20"/>
  <c r="AO90" i="20"/>
  <c r="Y90" i="20" s="1"/>
  <c r="E91" i="13" s="1" a="1"/>
  <c r="E91" i="13" s="1"/>
  <c r="E79" i="20" a="1"/>
  <c r="E79" i="20" s="1"/>
  <c r="D86" i="15" s="1"/>
  <c r="AP43" i="20"/>
  <c r="Y43" i="20" s="1"/>
  <c r="E44" i="13" s="1" a="1"/>
  <c r="E44" i="13" s="1"/>
  <c r="AO75" i="20"/>
  <c r="G75" i="20"/>
  <c r="E52" i="20" a="1"/>
  <c r="E52" i="20" s="1"/>
  <c r="D59" i="15" s="1"/>
  <c r="E66" i="20" a="1"/>
  <c r="E66" i="20" s="1"/>
  <c r="D73" i="15" s="1"/>
  <c r="AA142" i="20"/>
  <c r="X142" i="20"/>
  <c r="AA123" i="20"/>
  <c r="X123" i="20"/>
  <c r="AP56" i="20"/>
  <c r="Y56" i="20" s="1"/>
  <c r="E57" i="13" s="1" a="1"/>
  <c r="E57" i="13" s="1"/>
  <c r="AO10" i="20"/>
  <c r="AP10" i="20" s="1"/>
  <c r="Y10" i="20" s="1"/>
  <c r="G10" i="20"/>
  <c r="AO19" i="20"/>
  <c r="G19" i="20"/>
  <c r="AA174" i="20"/>
  <c r="X174" i="20"/>
  <c r="AA78" i="20"/>
  <c r="X78" i="20"/>
  <c r="G84" i="20"/>
  <c r="AO84" i="20"/>
  <c r="Y84" i="20" s="1"/>
  <c r="E85" i="13" s="1" a="1"/>
  <c r="E85" i="13" s="1"/>
  <c r="AO85" i="20"/>
  <c r="AP85" i="20" s="1"/>
  <c r="Y85" i="20" s="1"/>
  <c r="E86" i="13" s="1" a="1"/>
  <c r="E86" i="13" s="1"/>
  <c r="G85" i="20"/>
  <c r="AO23" i="20"/>
  <c r="AP23" i="20" s="1"/>
  <c r="Y23" i="20" s="1"/>
  <c r="E23" i="13" s="1" a="1"/>
  <c r="E23" i="13" s="1"/>
  <c r="G23" i="20"/>
  <c r="AA176" i="20"/>
  <c r="X176" i="20"/>
  <c r="AP37" i="20"/>
  <c r="Y37" i="20" s="1"/>
  <c r="E38" i="13" s="1" a="1"/>
  <c r="E38" i="13" s="1"/>
  <c r="AP71" i="20"/>
  <c r="Y71" i="20" s="1"/>
  <c r="E72" i="13" s="1" a="1"/>
  <c r="E72" i="13" s="1"/>
  <c r="AO87" i="20"/>
  <c r="G87" i="20"/>
  <c r="G61" i="20"/>
  <c r="AO61" i="20"/>
  <c r="AO76" i="20"/>
  <c r="AP76" i="20" s="1"/>
  <c r="Y76" i="20" s="1"/>
  <c r="E77" i="13" s="1" a="1"/>
  <c r="E77" i="13" s="1"/>
  <c r="G76" i="20"/>
  <c r="AA65" i="20"/>
  <c r="X65" i="20"/>
  <c r="AA91" i="20"/>
  <c r="X91" i="20"/>
  <c r="X74" i="20"/>
  <c r="AA74" i="20"/>
  <c r="AA156" i="20"/>
  <c r="X156" i="20"/>
  <c r="AA17" i="20"/>
  <c r="X17" i="20"/>
  <c r="G4" i="20"/>
  <c r="AO4" i="20"/>
  <c r="AP4" i="20" s="1"/>
  <c r="Y4" i="20" s="1"/>
  <c r="AO63" i="20"/>
  <c r="Y63" i="20" s="1"/>
  <c r="E64" i="13" s="1" a="1"/>
  <c r="E64" i="13" s="1"/>
  <c r="G63" i="20"/>
  <c r="F44" i="20" a="1"/>
  <c r="F44" i="20" s="1"/>
  <c r="G49" i="20"/>
  <c r="AO49" i="20"/>
  <c r="AP49" i="20" s="1"/>
  <c r="Y49" i="20" s="1"/>
  <c r="E50" i="13" s="1" a="1"/>
  <c r="E50" i="13" s="1"/>
  <c r="AP83" i="20"/>
  <c r="Y83" i="20" s="1"/>
  <c r="E84" i="13" s="1" a="1"/>
  <c r="E84" i="13" s="1"/>
  <c r="AP68" i="20"/>
  <c r="Y68" i="20" s="1"/>
  <c r="E69" i="13" s="1" a="1"/>
  <c r="E69" i="13" s="1"/>
  <c r="AA54" i="20"/>
  <c r="X54" i="20"/>
  <c r="G40" i="20"/>
  <c r="AO40" i="20"/>
  <c r="AO35" i="20"/>
  <c r="G35" i="20"/>
  <c r="AO33" i="20"/>
  <c r="AP33" i="20" s="1"/>
  <c r="Y33" i="20" s="1"/>
  <c r="E33" i="13" s="1" a="1"/>
  <c r="E33" i="13" s="1"/>
  <c r="G33" i="20"/>
  <c r="X30" i="20"/>
  <c r="AA30" i="20"/>
  <c r="G24" i="20"/>
  <c r="AO24" i="20"/>
  <c r="AP24" i="20" s="1"/>
  <c r="Y24" i="20" s="1"/>
  <c r="E24" i="13" s="1" a="1"/>
  <c r="E24" i="13" s="1"/>
  <c r="E12" i="20" a="1"/>
  <c r="E12" i="20" s="1"/>
  <c r="D19" i="15" s="1"/>
  <c r="E25" i="20" a="1"/>
  <c r="E25" i="20" s="1"/>
  <c r="D32" i="15" s="1"/>
  <c r="E15" i="20" a="1"/>
  <c r="E15" i="20" s="1"/>
  <c r="D22" i="15" s="1"/>
  <c r="AA70" i="20"/>
  <c r="X70" i="20"/>
  <c r="X53" i="20"/>
  <c r="AA53" i="20"/>
  <c r="AA62" i="20"/>
  <c r="X62" i="20"/>
  <c r="AP6" i="20"/>
  <c r="Y6" i="20" s="1"/>
  <c r="E6" i="13" s="1" a="1"/>
  <c r="E6" i="13" s="1"/>
  <c r="G29" i="20"/>
  <c r="AO29" i="20"/>
  <c r="AP29" i="20" s="1"/>
  <c r="Y29" i="20" s="1"/>
  <c r="E29" i="13" s="1" a="1"/>
  <c r="E29" i="13" s="1"/>
  <c r="L132" i="15"/>
  <c r="L165" i="15"/>
  <c r="F30" i="3"/>
  <c r="G30" i="3" s="1"/>
  <c r="X28" i="13"/>
  <c r="F199" i="3"/>
  <c r="G199" i="3" s="1"/>
  <c r="X119" i="13"/>
  <c r="G66" i="13"/>
  <c r="L98" i="15"/>
  <c r="J35" i="15"/>
  <c r="K35" i="15" s="1"/>
  <c r="L166" i="15"/>
  <c r="J101" i="15"/>
  <c r="K101" i="15" s="1"/>
  <c r="J143" i="15"/>
  <c r="K143" i="15" s="1"/>
  <c r="J134" i="15"/>
  <c r="K134" i="15" s="1"/>
  <c r="L121" i="15"/>
  <c r="J121" i="15"/>
  <c r="K121" i="15" s="1"/>
  <c r="L126" i="15"/>
  <c r="J126" i="15"/>
  <c r="K126" i="15" s="1"/>
  <c r="L144" i="15"/>
  <c r="J144" i="15"/>
  <c r="K144" i="15" s="1"/>
  <c r="L146" i="15"/>
  <c r="J146" i="15"/>
  <c r="K146" i="15" s="1"/>
  <c r="L141" i="15"/>
  <c r="L125" i="15"/>
  <c r="J125" i="15"/>
  <c r="K125" i="15" s="1"/>
  <c r="L105" i="15"/>
  <c r="J105" i="15"/>
  <c r="K105" i="15" s="1"/>
  <c r="L140" i="15"/>
  <c r="J140" i="15"/>
  <c r="K140" i="15" s="1"/>
  <c r="J162" i="15"/>
  <c r="K162" i="15" s="1"/>
  <c r="L162" i="15"/>
  <c r="L183" i="15"/>
  <c r="J183" i="15"/>
  <c r="K183" i="15" s="1"/>
  <c r="L138" i="15"/>
  <c r="J138" i="15"/>
  <c r="K138" i="15" s="1"/>
  <c r="L163" i="15"/>
  <c r="J163" i="15"/>
  <c r="K163" i="15" s="1"/>
  <c r="L107" i="15"/>
  <c r="J107" i="15"/>
  <c r="K107" i="15" s="1"/>
  <c r="L111" i="15"/>
  <c r="J111" i="15"/>
  <c r="K111" i="15" s="1"/>
  <c r="L135" i="15"/>
  <c r="J135" i="15"/>
  <c r="K135" i="15" s="1"/>
  <c r="L151" i="15"/>
  <c r="J151" i="15"/>
  <c r="K151" i="15" s="1"/>
  <c r="L133" i="15"/>
  <c r="J133" i="15"/>
  <c r="K133" i="15" s="1"/>
  <c r="F29" i="3"/>
  <c r="G29" i="3" s="1"/>
  <c r="L72" i="15"/>
  <c r="L202" i="15"/>
  <c r="T171" i="12"/>
  <c r="E82" i="20" s="1" a="1"/>
  <c r="E82" i="20" s="1"/>
  <c r="D89" i="15" s="1"/>
  <c r="H171" i="12"/>
  <c r="S171" i="12" s="1"/>
  <c r="V29" i="12"/>
  <c r="H29" i="12"/>
  <c r="S29" i="12" s="1"/>
  <c r="J202" i="15"/>
  <c r="K202" i="15" s="1"/>
  <c r="L51" i="15"/>
  <c r="J51" i="15"/>
  <c r="K51" i="15" s="1"/>
  <c r="L149" i="15"/>
  <c r="L45" i="15"/>
  <c r="J45" i="15"/>
  <c r="K45" i="15" s="1"/>
  <c r="L123" i="15"/>
  <c r="J123" i="15"/>
  <c r="K123" i="15" s="1"/>
  <c r="J84" i="15"/>
  <c r="K84" i="15" s="1"/>
  <c r="L84" i="15"/>
  <c r="J179" i="15"/>
  <c r="K179" i="15" s="1"/>
  <c r="L179" i="15"/>
  <c r="L172" i="15"/>
  <c r="J172" i="15"/>
  <c r="K172" i="15" s="1"/>
  <c r="J188" i="15"/>
  <c r="K188" i="15" s="1"/>
  <c r="L188" i="15"/>
  <c r="J98" i="15"/>
  <c r="K98" i="15" s="1"/>
  <c r="J61" i="15"/>
  <c r="K61" i="15" s="1"/>
  <c r="J65" i="15"/>
  <c r="K65" i="15" s="1"/>
  <c r="L130" i="15"/>
  <c r="J130" i="15"/>
  <c r="K130" i="15" s="1"/>
  <c r="J70" i="15"/>
  <c r="K70" i="15" s="1"/>
  <c r="T122" i="12"/>
  <c r="H122" i="12"/>
  <c r="S122" i="12" s="1"/>
  <c r="W57" i="12"/>
  <c r="T93" i="12"/>
  <c r="E46" i="20" s="1" a="1"/>
  <c r="E46" i="20" s="1"/>
  <c r="D53" i="15" s="1"/>
  <c r="H93" i="12"/>
  <c r="S93" i="12" s="1"/>
  <c r="T123" i="12"/>
  <c r="E58" i="20" s="1" a="1"/>
  <c r="E58" i="20" s="1"/>
  <c r="D65" i="15" s="1"/>
  <c r="H123" i="12"/>
  <c r="S123" i="12" s="1"/>
  <c r="W10" i="12"/>
  <c r="W33" i="12"/>
  <c r="W142" i="12"/>
  <c r="W190" i="12"/>
  <c r="W164" i="12"/>
  <c r="T147" i="12"/>
  <c r="E64" i="20" s="1" a="1"/>
  <c r="E64" i="20" s="1"/>
  <c r="D71" i="15" s="1"/>
  <c r="H147" i="12"/>
  <c r="S147" i="12" s="1"/>
  <c r="T110" i="12"/>
  <c r="H110" i="12"/>
  <c r="S110" i="12" s="1"/>
  <c r="W25" i="12"/>
  <c r="W16" i="12"/>
  <c r="W79" i="12"/>
  <c r="H98" i="12"/>
  <c r="S98" i="12" s="1"/>
  <c r="T98" i="12"/>
  <c r="E47" i="20" s="1" a="1"/>
  <c r="E47" i="20" s="1"/>
  <c r="D54" i="15" s="1"/>
  <c r="W32" i="12"/>
  <c r="T80" i="12"/>
  <c r="E41" i="20" s="1" a="1"/>
  <c r="E41" i="20" s="1"/>
  <c r="D48" i="15" s="1"/>
  <c r="H80" i="12"/>
  <c r="S80" i="12" s="1"/>
  <c r="W177" i="12"/>
  <c r="H188" i="12"/>
  <c r="S188" i="12" s="1"/>
  <c r="T188" i="12"/>
  <c r="E86" i="20" s="1" a="1"/>
  <c r="E86" i="20" s="1"/>
  <c r="D93" i="15" s="1"/>
  <c r="T26" i="12"/>
  <c r="E20" i="20" s="1" a="1"/>
  <c r="E20" i="20" s="1"/>
  <c r="D27" i="15" s="1"/>
  <c r="H26" i="12"/>
  <c r="S26" i="12" s="1"/>
  <c r="H170" i="12"/>
  <c r="S170" i="12" s="1"/>
  <c r="T170" i="12"/>
  <c r="E81" i="20" s="1" a="1"/>
  <c r="E81" i="20" s="1"/>
  <c r="D88" i="15" s="1"/>
  <c r="W83" i="12"/>
  <c r="T6" i="12"/>
  <c r="H6" i="12"/>
  <c r="S6" i="12" s="1"/>
  <c r="H51" i="12"/>
  <c r="S51" i="12" s="1"/>
  <c r="T51" i="12"/>
  <c r="T36" i="12"/>
  <c r="H36" i="12"/>
  <c r="S36" i="12" s="1"/>
  <c r="W59" i="12"/>
  <c r="T150" i="12"/>
  <c r="E67" i="20" s="1" a="1"/>
  <c r="E67" i="20" s="1"/>
  <c r="D74" i="15" s="1"/>
  <c r="H150" i="12"/>
  <c r="S150" i="12" s="1"/>
  <c r="W145" i="12"/>
  <c r="T8" i="12"/>
  <c r="E7" i="20" s="1" a="1"/>
  <c r="E7" i="20" s="1"/>
  <c r="D14" i="15" s="1"/>
  <c r="H8" i="12"/>
  <c r="S8" i="12" s="1"/>
  <c r="W13" i="12"/>
  <c r="T198" i="12"/>
  <c r="H198" i="12"/>
  <c r="S198" i="12" s="1"/>
  <c r="W168" i="12"/>
  <c r="W105" i="12"/>
  <c r="W189" i="12"/>
  <c r="H15" i="12"/>
  <c r="S15" i="12" s="1"/>
  <c r="T15" i="12"/>
  <c r="T92" i="12"/>
  <c r="E45" i="20" s="1" a="1"/>
  <c r="E45" i="20" s="1"/>
  <c r="D52" i="15" s="1"/>
  <c r="H92" i="12"/>
  <c r="S92" i="12" s="1"/>
  <c r="W111" i="12"/>
  <c r="T152" i="12"/>
  <c r="E69" i="20" s="1" a="1"/>
  <c r="E69" i="20" s="1"/>
  <c r="D76" i="15" s="1"/>
  <c r="H152" i="12"/>
  <c r="S152" i="12" s="1"/>
  <c r="T12" i="12"/>
  <c r="E11" i="20" s="1" a="1"/>
  <c r="E11" i="20" s="1"/>
  <c r="D18" i="15" s="1"/>
  <c r="H12" i="12"/>
  <c r="S12" i="12" s="1"/>
  <c r="W149" i="12"/>
  <c r="T78" i="12"/>
  <c r="E39" i="20" s="1" a="1"/>
  <c r="E39" i="20" s="1"/>
  <c r="D46" i="15" s="1"/>
  <c r="H78" i="12"/>
  <c r="S78" i="12" s="1"/>
  <c r="W5" i="12"/>
  <c r="W31" i="12"/>
  <c r="T114" i="12"/>
  <c r="E55" i="20" s="1" a="1"/>
  <c r="E55" i="20" s="1"/>
  <c r="D62" i="15" s="1"/>
  <c r="H114" i="12"/>
  <c r="S114" i="12" s="1"/>
  <c r="W192" i="12"/>
  <c r="T30" i="12"/>
  <c r="E22" i="20" s="1" a="1"/>
  <c r="E22" i="20" s="1"/>
  <c r="D29" i="15" s="1"/>
  <c r="H30" i="12"/>
  <c r="S30" i="12" s="1"/>
  <c r="H14" i="12"/>
  <c r="S14" i="12" s="1"/>
  <c r="T14" i="12"/>
  <c r="W165" i="12"/>
  <c r="W179" i="12"/>
  <c r="E4" i="13" l="1" a="1"/>
  <c r="E4" i="13" s="1"/>
  <c r="Y4" i="13" s="1"/>
  <c r="AA4" i="13" s="1"/>
  <c r="F119" i="3"/>
  <c r="G119" i="3" s="1"/>
  <c r="AA116" i="13"/>
  <c r="F19" i="3"/>
  <c r="G19" i="3" s="1"/>
  <c r="AA17" i="13"/>
  <c r="X155" i="13"/>
  <c r="L181" i="15"/>
  <c r="X66" i="13"/>
  <c r="AA66" i="13"/>
  <c r="F64" i="3"/>
  <c r="G64" i="3" s="1"/>
  <c r="AA63" i="13"/>
  <c r="F56" i="3"/>
  <c r="G56" i="3" s="1"/>
  <c r="AA55" i="13"/>
  <c r="J25" i="15"/>
  <c r="K25" i="15" s="1"/>
  <c r="G54" i="13"/>
  <c r="G55" i="13"/>
  <c r="G75" i="13"/>
  <c r="X116" i="13"/>
  <c r="F158" i="3"/>
  <c r="G158" i="3" s="1"/>
  <c r="G71" i="13"/>
  <c r="F67" i="3"/>
  <c r="G67" i="3" s="1"/>
  <c r="G43" i="13"/>
  <c r="G92" i="13"/>
  <c r="X118" i="13"/>
  <c r="Y157" i="13"/>
  <c r="AA157" i="13" s="1"/>
  <c r="G157" i="13"/>
  <c r="X173" i="13"/>
  <c r="F176" i="3"/>
  <c r="G176" i="3" s="1"/>
  <c r="G128" i="13"/>
  <c r="Y128" i="13"/>
  <c r="AA128" i="13" s="1"/>
  <c r="H97" i="15"/>
  <c r="Y91" i="13"/>
  <c r="AA91" i="13" s="1"/>
  <c r="H41" i="15"/>
  <c r="Y34" i="13"/>
  <c r="AA34" i="13" s="1"/>
  <c r="F183" i="3"/>
  <c r="G183" i="3" s="1"/>
  <c r="X180" i="13"/>
  <c r="Y30" i="13"/>
  <c r="AA30" i="13" s="1"/>
  <c r="G30" i="13"/>
  <c r="X110" i="13"/>
  <c r="X191" i="13"/>
  <c r="X63" i="13"/>
  <c r="G63" i="13"/>
  <c r="H17" i="15"/>
  <c r="X147" i="13"/>
  <c r="H92" i="15"/>
  <c r="Y86" i="13"/>
  <c r="AA86" i="13" s="1"/>
  <c r="H15" i="15"/>
  <c r="G18" i="13"/>
  <c r="Y18" i="13"/>
  <c r="AA18" i="13" s="1"/>
  <c r="H78" i="15"/>
  <c r="Y79" i="13"/>
  <c r="AA79" i="13" s="1"/>
  <c r="G79" i="13"/>
  <c r="H36" i="15"/>
  <c r="H83" i="15"/>
  <c r="Y77" i="13"/>
  <c r="AA77" i="13" s="1"/>
  <c r="H63" i="15"/>
  <c r="H13" i="15"/>
  <c r="H31" i="15"/>
  <c r="Y24" i="13"/>
  <c r="AA24" i="13" s="1"/>
  <c r="H91" i="15"/>
  <c r="Y85" i="13"/>
  <c r="H90" i="15"/>
  <c r="X16" i="13"/>
  <c r="G124" i="13"/>
  <c r="Y124" i="13"/>
  <c r="AA124" i="13" s="1"/>
  <c r="G108" i="13"/>
  <c r="Y108" i="13"/>
  <c r="AA108" i="13" s="1"/>
  <c r="X164" i="13"/>
  <c r="X166" i="13"/>
  <c r="F169" i="3"/>
  <c r="G169" i="3" s="1"/>
  <c r="Y146" i="13"/>
  <c r="AA146" i="13" s="1"/>
  <c r="G146" i="13"/>
  <c r="X141" i="13"/>
  <c r="X131" i="13"/>
  <c r="F134" i="3"/>
  <c r="G134" i="3" s="1"/>
  <c r="X137" i="13"/>
  <c r="F140" i="3"/>
  <c r="G140" i="3" s="1"/>
  <c r="X112" i="13"/>
  <c r="G175" i="13"/>
  <c r="Y175" i="13"/>
  <c r="AA175" i="13" s="1"/>
  <c r="H75" i="15"/>
  <c r="H56" i="15"/>
  <c r="Y50" i="13"/>
  <c r="AA50" i="13" s="1"/>
  <c r="X114" i="13"/>
  <c r="F117" i="3"/>
  <c r="G117" i="3" s="1"/>
  <c r="Y189" i="13"/>
  <c r="AA189" i="13" s="1"/>
  <c r="G189" i="13"/>
  <c r="H44" i="15"/>
  <c r="X178" i="13"/>
  <c r="X120" i="13"/>
  <c r="F123" i="3"/>
  <c r="G123" i="3" s="1"/>
  <c r="X185" i="13"/>
  <c r="F188" i="3"/>
  <c r="G188" i="3" s="1"/>
  <c r="Y177" i="13"/>
  <c r="AA177" i="13" s="1"/>
  <c r="G177" i="13"/>
  <c r="H40" i="15"/>
  <c r="X149" i="13"/>
  <c r="X139" i="13"/>
  <c r="F142" i="3"/>
  <c r="G142" i="3" s="1"/>
  <c r="X144" i="13"/>
  <c r="G126" i="13"/>
  <c r="Y126" i="13"/>
  <c r="AA126" i="13" s="1"/>
  <c r="X142" i="13"/>
  <c r="F187" i="3"/>
  <c r="G187" i="3" s="1"/>
  <c r="X184" i="13"/>
  <c r="F163" i="3"/>
  <c r="G163" i="3" s="1"/>
  <c r="X160" i="13"/>
  <c r="G171" i="13"/>
  <c r="Y171" i="13"/>
  <c r="Y152" i="13"/>
  <c r="G152" i="13"/>
  <c r="X98" i="13"/>
  <c r="H87" i="15"/>
  <c r="G17" i="13"/>
  <c r="H70" i="15"/>
  <c r="Y64" i="13"/>
  <c r="H80" i="15"/>
  <c r="F101" i="3"/>
  <c r="G101" i="3" s="1"/>
  <c r="X99" i="13"/>
  <c r="X111" i="13"/>
  <c r="F128" i="3"/>
  <c r="G128" i="3" s="1"/>
  <c r="X125" i="13"/>
  <c r="X78" i="13"/>
  <c r="F79" i="3"/>
  <c r="G79" i="3" s="1"/>
  <c r="F162" i="3"/>
  <c r="G162" i="3" s="1"/>
  <c r="X159" i="13"/>
  <c r="H30" i="15"/>
  <c r="Y23" i="13"/>
  <c r="AA23" i="13" s="1"/>
  <c r="H50" i="15"/>
  <c r="H57" i="15"/>
  <c r="X107" i="13"/>
  <c r="F110" i="3"/>
  <c r="G110" i="3" s="1"/>
  <c r="X169" i="13"/>
  <c r="Y143" i="13"/>
  <c r="AA143" i="13" s="1"/>
  <c r="G143" i="13"/>
  <c r="X150" i="13"/>
  <c r="H11" i="15"/>
  <c r="X83" i="20"/>
  <c r="AA83" i="20"/>
  <c r="AA71" i="20"/>
  <c r="X71" i="20"/>
  <c r="X68" i="20"/>
  <c r="AA68" i="20"/>
  <c r="AA56" i="20"/>
  <c r="X56" i="20"/>
  <c r="AA43" i="20"/>
  <c r="X43" i="20"/>
  <c r="G41" i="20"/>
  <c r="AO41" i="20"/>
  <c r="X33" i="20"/>
  <c r="AA33" i="20"/>
  <c r="AO79" i="20"/>
  <c r="AP79" i="20" s="1"/>
  <c r="Y79" i="20" s="1"/>
  <c r="E80" i="13" s="1" a="1"/>
  <c r="E80" i="13" s="1"/>
  <c r="G79" i="20"/>
  <c r="X50" i="20"/>
  <c r="AA50" i="20"/>
  <c r="AP87" i="20"/>
  <c r="Y87" i="20" s="1"/>
  <c r="E88" i="13" s="1" a="1"/>
  <c r="E88" i="13" s="1"/>
  <c r="AA84" i="20"/>
  <c r="X84" i="20"/>
  <c r="AA73" i="20"/>
  <c r="X73" i="20"/>
  <c r="G11" i="20"/>
  <c r="AO11" i="20"/>
  <c r="E93" i="20" a="1"/>
  <c r="E93" i="20" s="1"/>
  <c r="D100" i="15" s="1"/>
  <c r="E5" i="20" a="1"/>
  <c r="E5" i="20" s="1"/>
  <c r="D12" i="15" s="1"/>
  <c r="AO15" i="20"/>
  <c r="AP15" i="20" s="1"/>
  <c r="Y15" i="20" s="1"/>
  <c r="E15" i="13" s="1" a="1"/>
  <c r="E15" i="13" s="1"/>
  <c r="G15" i="20"/>
  <c r="Z44" i="20"/>
  <c r="F45" i="13" s="1" a="1"/>
  <c r="F45" i="13" s="1"/>
  <c r="G44" i="20"/>
  <c r="X49" i="20"/>
  <c r="AA49" i="20"/>
  <c r="AP35" i="20"/>
  <c r="Y35" i="20" s="1"/>
  <c r="E35" i="13" s="1" a="1"/>
  <c r="E35" i="13" s="1"/>
  <c r="AA90" i="20"/>
  <c r="X90" i="20"/>
  <c r="G7" i="20"/>
  <c r="AO7" i="20"/>
  <c r="X29" i="20"/>
  <c r="AA29" i="20"/>
  <c r="AO25" i="20"/>
  <c r="G25" i="20"/>
  <c r="AP40" i="20"/>
  <c r="Y40" i="20" s="1"/>
  <c r="E41" i="13" s="1" a="1"/>
  <c r="E41" i="13" s="1"/>
  <c r="X37" i="20"/>
  <c r="AA37" i="20"/>
  <c r="AO66" i="20"/>
  <c r="Y66" i="20" s="1"/>
  <c r="E67" i="13" s="1" a="1"/>
  <c r="E67" i="13" s="1"/>
  <c r="G66" i="20"/>
  <c r="AO81" i="20"/>
  <c r="G81" i="20"/>
  <c r="X63" i="20"/>
  <c r="AA63" i="20"/>
  <c r="AA34" i="20"/>
  <c r="X34" i="20"/>
  <c r="G47" i="20"/>
  <c r="AO47" i="20"/>
  <c r="AP47" i="20" s="1"/>
  <c r="Y47" i="20" s="1"/>
  <c r="E48" i="13" s="1" a="1"/>
  <c r="E48" i="13" s="1"/>
  <c r="G58" i="20"/>
  <c r="AO58" i="20"/>
  <c r="Y58" i="20" s="1"/>
  <c r="E59" i="13" s="1" a="1"/>
  <c r="E59" i="13" s="1"/>
  <c r="X6" i="20"/>
  <c r="AA6" i="20"/>
  <c r="G12" i="20"/>
  <c r="AO12" i="20"/>
  <c r="AP12" i="20" s="1"/>
  <c r="Y12" i="20" s="1"/>
  <c r="E12" i="13" s="1" a="1"/>
  <c r="E12" i="13" s="1"/>
  <c r="AA4" i="20"/>
  <c r="X4" i="20"/>
  <c r="AO52" i="20"/>
  <c r="AP52" i="20" s="1"/>
  <c r="Y52" i="20" s="1"/>
  <c r="E53" i="13" s="1" a="1"/>
  <c r="E53" i="13" s="1"/>
  <c r="G52" i="20"/>
  <c r="AP88" i="20"/>
  <c r="Y88" i="20" s="1"/>
  <c r="E89" i="13" s="1" a="1"/>
  <c r="E89" i="13" s="1"/>
  <c r="AA8" i="20"/>
  <c r="X8" i="20"/>
  <c r="AP19" i="20"/>
  <c r="Y19" i="20" s="1"/>
  <c r="E19" i="13" s="1" a="1"/>
  <c r="E19" i="13" s="1"/>
  <c r="E13" i="20" a="1"/>
  <c r="E13" i="20" s="1"/>
  <c r="D20" i="15" s="1"/>
  <c r="G22" i="20"/>
  <c r="AO22" i="20"/>
  <c r="AP22" i="20" s="1"/>
  <c r="Y22" i="20" s="1"/>
  <c r="E22" i="13" s="1" a="1"/>
  <c r="E22" i="13" s="1"/>
  <c r="G67" i="20"/>
  <c r="AO67" i="20"/>
  <c r="Y67" i="20" s="1"/>
  <c r="E68" i="13" s="1" a="1"/>
  <c r="E68" i="13" s="1"/>
  <c r="G82" i="20"/>
  <c r="AO82" i="20"/>
  <c r="AA24" i="20"/>
  <c r="X24" i="20"/>
  <c r="AA76" i="20"/>
  <c r="X76" i="20"/>
  <c r="AA23" i="20"/>
  <c r="X23" i="20"/>
  <c r="AO20" i="20"/>
  <c r="AP20" i="20" s="1"/>
  <c r="Y20" i="20" s="1"/>
  <c r="E20" i="13" s="1" a="1"/>
  <c r="E20" i="13" s="1"/>
  <c r="G20" i="20"/>
  <c r="AO86" i="20"/>
  <c r="AP86" i="20" s="1"/>
  <c r="Y86" i="20" s="1"/>
  <c r="E87" i="13" s="1" a="1"/>
  <c r="E87" i="13" s="1"/>
  <c r="G86" i="20"/>
  <c r="E51" i="20" a="1"/>
  <c r="E51" i="20" s="1"/>
  <c r="D58" i="15" s="1"/>
  <c r="AP61" i="20"/>
  <c r="Y61" i="20" s="1"/>
  <c r="E62" i="13" s="1" a="1"/>
  <c r="E62" i="13" s="1"/>
  <c r="AA10" i="20"/>
  <c r="X10" i="20"/>
  <c r="AP75" i="20"/>
  <c r="Y75" i="20" s="1"/>
  <c r="E76" i="13" s="1" a="1"/>
  <c r="E76" i="13" s="1"/>
  <c r="AA80" i="20"/>
  <c r="X80" i="20"/>
  <c r="G45" i="20"/>
  <c r="AO45" i="20"/>
  <c r="E14" i="20" a="1"/>
  <c r="E14" i="20" s="1"/>
  <c r="D21" i="15" s="1"/>
  <c r="G46" i="20"/>
  <c r="AO46" i="20"/>
  <c r="AP46" i="20" s="1"/>
  <c r="Y46" i="20" s="1"/>
  <c r="E47" i="13" s="1" a="1"/>
  <c r="E47" i="13" s="1"/>
  <c r="G39" i="20"/>
  <c r="AO39" i="20"/>
  <c r="AP39" i="20" s="1"/>
  <c r="Y39" i="20" s="1"/>
  <c r="E40" i="13" s="1" a="1"/>
  <c r="E40" i="13" s="1"/>
  <c r="E26" i="20" a="1"/>
  <c r="E26" i="20" s="1"/>
  <c r="D33" i="15" s="1"/>
  <c r="AA85" i="20"/>
  <c r="X85" i="20"/>
  <c r="AO69" i="20"/>
  <c r="G69" i="20"/>
  <c r="G55" i="20"/>
  <c r="AO55" i="20"/>
  <c r="Y55" i="20" s="1"/>
  <c r="E56" i="13" s="1" a="1"/>
  <c r="E56" i="13" s="1"/>
  <c r="E32" i="20" a="1"/>
  <c r="E32" i="20" s="1"/>
  <c r="D39" i="15" s="1"/>
  <c r="G64" i="20"/>
  <c r="AO64" i="20"/>
  <c r="AP64" i="20" s="1"/>
  <c r="Y64" i="20" s="1"/>
  <c r="E65" i="13" s="1" a="1"/>
  <c r="E65" i="13" s="1"/>
  <c r="E57" i="20" a="1"/>
  <c r="E57" i="20" s="1"/>
  <c r="D64" i="15" s="1"/>
  <c r="L35" i="15"/>
  <c r="F44" i="3"/>
  <c r="G44" i="3" s="1"/>
  <c r="X75" i="13"/>
  <c r="L61" i="15"/>
  <c r="X55" i="13"/>
  <c r="X43" i="13"/>
  <c r="G86" i="13"/>
  <c r="L24" i="15"/>
  <c r="X17" i="13"/>
  <c r="G4" i="13"/>
  <c r="F93" i="3"/>
  <c r="G93" i="3" s="1"/>
  <c r="X92" i="13"/>
  <c r="L134" i="15"/>
  <c r="J141" i="15"/>
  <c r="K141" i="15" s="1"/>
  <c r="L97" i="15"/>
  <c r="L122" i="15"/>
  <c r="J122" i="15"/>
  <c r="K122" i="15" s="1"/>
  <c r="L70" i="15"/>
  <c r="L161" i="15"/>
  <c r="J161" i="15"/>
  <c r="K161" i="15" s="1"/>
  <c r="J69" i="15"/>
  <c r="K69" i="15" s="1"/>
  <c r="L69" i="15"/>
  <c r="L177" i="15"/>
  <c r="W29" i="12"/>
  <c r="W171" i="12"/>
  <c r="L153" i="15"/>
  <c r="L198" i="15"/>
  <c r="L148" i="15"/>
  <c r="L28" i="15"/>
  <c r="L174" i="15"/>
  <c r="W188" i="12"/>
  <c r="W93" i="12"/>
  <c r="W15" i="12"/>
  <c r="W51" i="12"/>
  <c r="W152" i="12"/>
  <c r="F121" i="3"/>
  <c r="G121" i="3" s="1"/>
  <c r="W80" i="12"/>
  <c r="F171" i="3"/>
  <c r="G171" i="3" s="1"/>
  <c r="W150" i="12"/>
  <c r="W110" i="12"/>
  <c r="W170" i="12"/>
  <c r="F165" i="3"/>
  <c r="G165" i="3" s="1"/>
  <c r="F145" i="3"/>
  <c r="G145" i="3" s="1"/>
  <c r="W147" i="12"/>
  <c r="F153" i="3"/>
  <c r="G153" i="3" s="1"/>
  <c r="W36" i="12"/>
  <c r="F164" i="3"/>
  <c r="G164" i="3" s="1"/>
  <c r="F115" i="3"/>
  <c r="G115" i="3" s="1"/>
  <c r="W198" i="12"/>
  <c r="W6" i="12"/>
  <c r="W78" i="12"/>
  <c r="W114" i="12"/>
  <c r="F156" i="3"/>
  <c r="G156" i="3" s="1"/>
  <c r="W98" i="12"/>
  <c r="W12" i="12"/>
  <c r="W8" i="12"/>
  <c r="F150" i="3"/>
  <c r="G150" i="3" s="1"/>
  <c r="W30" i="12"/>
  <c r="F195" i="3"/>
  <c r="G195" i="3" s="1"/>
  <c r="W14" i="12"/>
  <c r="B20" i="2"/>
  <c r="W92" i="12"/>
  <c r="W26" i="12"/>
  <c r="W123" i="12"/>
  <c r="W122" i="12"/>
  <c r="F155" i="3" l="1"/>
  <c r="G155" i="3" s="1"/>
  <c r="AA152" i="13"/>
  <c r="F174" i="3"/>
  <c r="G174" i="3" s="1"/>
  <c r="AA171" i="13"/>
  <c r="F111" i="3"/>
  <c r="G111" i="3" s="1"/>
  <c r="X64" i="13"/>
  <c r="AA64" i="13"/>
  <c r="F86" i="3"/>
  <c r="G86" i="3" s="1"/>
  <c r="AA85" i="13"/>
  <c r="G77" i="13"/>
  <c r="G34" i="13"/>
  <c r="F65" i="3"/>
  <c r="G65" i="3" s="1"/>
  <c r="G23" i="13"/>
  <c r="G85" i="13"/>
  <c r="G50" i="13"/>
  <c r="H93" i="15"/>
  <c r="Y87" i="13"/>
  <c r="AA87" i="13" s="1"/>
  <c r="H74" i="15"/>
  <c r="Y68" i="13"/>
  <c r="AA68" i="13" s="1"/>
  <c r="X108" i="13"/>
  <c r="G6" i="13"/>
  <c r="Y6" i="13"/>
  <c r="AA6" i="13" s="1"/>
  <c r="F20" i="3"/>
  <c r="G20" i="3" s="1"/>
  <c r="X18" i="13"/>
  <c r="H86" i="15"/>
  <c r="X128" i="13"/>
  <c r="F131" i="3"/>
  <c r="G131" i="3" s="1"/>
  <c r="Y74" i="13"/>
  <c r="AA74" i="13" s="1"/>
  <c r="G74" i="13"/>
  <c r="H19" i="15"/>
  <c r="G91" i="13"/>
  <c r="H27" i="15"/>
  <c r="Y20" i="13"/>
  <c r="AA20" i="13" s="1"/>
  <c r="H29" i="15"/>
  <c r="Y22" i="13"/>
  <c r="AA22" i="13" s="1"/>
  <c r="F127" i="3"/>
  <c r="G127" i="3" s="1"/>
  <c r="X124" i="13"/>
  <c r="Y57" i="13"/>
  <c r="AA57" i="13" s="1"/>
  <c r="G57" i="13"/>
  <c r="G8" i="13"/>
  <c r="Y8" i="13"/>
  <c r="AA8" i="13" s="1"/>
  <c r="G64" i="13"/>
  <c r="Y51" i="13"/>
  <c r="AA51" i="13" s="1"/>
  <c r="G51" i="13"/>
  <c r="Y69" i="13"/>
  <c r="AA69" i="13" s="1"/>
  <c r="G69" i="13"/>
  <c r="H73" i="15"/>
  <c r="L73" i="15" s="1"/>
  <c r="H42" i="15"/>
  <c r="G81" i="13"/>
  <c r="Y81" i="13"/>
  <c r="AA81" i="13" s="1"/>
  <c r="G33" i="13"/>
  <c r="Y33" i="13"/>
  <c r="AA33" i="13" s="1"/>
  <c r="F178" i="3"/>
  <c r="G178" i="3" s="1"/>
  <c r="X175" i="13"/>
  <c r="Y84" i="13"/>
  <c r="AA84" i="13" s="1"/>
  <c r="G84" i="13"/>
  <c r="Y38" i="13"/>
  <c r="AA38" i="13" s="1"/>
  <c r="G38" i="13"/>
  <c r="X146" i="13"/>
  <c r="Y29" i="13"/>
  <c r="G29" i="13"/>
  <c r="G24" i="13"/>
  <c r="H46" i="15"/>
  <c r="Y40" i="13"/>
  <c r="AA40" i="13" s="1"/>
  <c r="H54" i="15"/>
  <c r="Y48" i="13"/>
  <c r="AA48" i="13" s="1"/>
  <c r="H47" i="15"/>
  <c r="F160" i="3"/>
  <c r="G160" i="3" s="1"/>
  <c r="X157" i="13"/>
  <c r="Y44" i="13"/>
  <c r="AA44" i="13" s="1"/>
  <c r="G44" i="13"/>
  <c r="X30" i="13"/>
  <c r="H68" i="15"/>
  <c r="H95" i="15"/>
  <c r="AA44" i="20"/>
  <c r="X126" i="13"/>
  <c r="F129" i="3"/>
  <c r="G129" i="3" s="1"/>
  <c r="G10" i="13"/>
  <c r="Y10" i="13"/>
  <c r="F12" i="3" s="1"/>
  <c r="G12" i="3" s="1"/>
  <c r="H26" i="15"/>
  <c r="H65" i="15"/>
  <c r="Y59" i="13"/>
  <c r="AA59" i="13" s="1"/>
  <c r="H71" i="15"/>
  <c r="Y65" i="13"/>
  <c r="AA65" i="13" s="1"/>
  <c r="H53" i="15"/>
  <c r="Y47" i="13"/>
  <c r="AA47" i="13" s="1"/>
  <c r="H94" i="15"/>
  <c r="X143" i="13"/>
  <c r="F146" i="3"/>
  <c r="G146" i="3" s="1"/>
  <c r="X152" i="13"/>
  <c r="X177" i="13"/>
  <c r="F180" i="3"/>
  <c r="G180" i="3" s="1"/>
  <c r="X189" i="13"/>
  <c r="X79" i="13"/>
  <c r="H82" i="15"/>
  <c r="H62" i="15"/>
  <c r="Y56" i="13"/>
  <c r="H59" i="15"/>
  <c r="H22" i="15"/>
  <c r="X171" i="13"/>
  <c r="Y72" i="13"/>
  <c r="AA72" i="13" s="1"/>
  <c r="G72" i="13"/>
  <c r="AA61" i="20"/>
  <c r="X61" i="20"/>
  <c r="AA35" i="20"/>
  <c r="X35" i="20"/>
  <c r="AA40" i="20"/>
  <c r="X40" i="20"/>
  <c r="AA87" i="20"/>
  <c r="X87" i="20"/>
  <c r="AA75" i="20"/>
  <c r="X75" i="20"/>
  <c r="AP69" i="20"/>
  <c r="Y69" i="20" s="1"/>
  <c r="E70" i="13" s="1" a="1"/>
  <c r="E70" i="13" s="1"/>
  <c r="AP45" i="20"/>
  <c r="Y45" i="20" s="1"/>
  <c r="E46" i="13" s="1" a="1"/>
  <c r="E46" i="13" s="1"/>
  <c r="AA64" i="20"/>
  <c r="X64" i="20"/>
  <c r="G32" i="20"/>
  <c r="AO32" i="20"/>
  <c r="Y32" i="20" s="1"/>
  <c r="E32" i="13" s="1" a="1"/>
  <c r="E32" i="13" s="1"/>
  <c r="AA19" i="20"/>
  <c r="X19" i="20"/>
  <c r="AP82" i="20"/>
  <c r="Y82" i="20" s="1"/>
  <c r="E83" i="13" s="1" a="1"/>
  <c r="E83" i="13" s="1"/>
  <c r="AA88" i="20"/>
  <c r="X88" i="20"/>
  <c r="X47" i="20"/>
  <c r="AA47" i="20"/>
  <c r="AP41" i="20"/>
  <c r="Y41" i="20" s="1"/>
  <c r="E42" i="13" s="1" a="1"/>
  <c r="E42" i="13" s="1"/>
  <c r="X86" i="20"/>
  <c r="AA86" i="20"/>
  <c r="AA67" i="20"/>
  <c r="X67" i="20"/>
  <c r="G5" i="20"/>
  <c r="AO5" i="20"/>
  <c r="AP5" i="20" s="1"/>
  <c r="Y5" i="20" s="1"/>
  <c r="AA52" i="20"/>
  <c r="X52" i="20"/>
  <c r="AP25" i="20"/>
  <c r="Y25" i="20" s="1"/>
  <c r="E25" i="13" s="1" a="1"/>
  <c r="E25" i="13" s="1"/>
  <c r="AO13" i="20"/>
  <c r="Y13" i="20" s="1"/>
  <c r="E13" i="13" s="1" a="1"/>
  <c r="E13" i="13" s="1"/>
  <c r="G13" i="20"/>
  <c r="G57" i="20"/>
  <c r="AO57" i="20"/>
  <c r="AA20" i="20"/>
  <c r="X20" i="20"/>
  <c r="X22" i="20"/>
  <c r="AA22" i="20"/>
  <c r="G26" i="20"/>
  <c r="AO26" i="20"/>
  <c r="X15" i="20"/>
  <c r="AA15" i="20"/>
  <c r="G93" i="20"/>
  <c r="AO93" i="20"/>
  <c r="Y93" i="20" s="1"/>
  <c r="E94" i="13" s="1" a="1"/>
  <c r="E94" i="13" s="1"/>
  <c r="X12" i="20"/>
  <c r="AA12" i="20"/>
  <c r="AP7" i="20"/>
  <c r="Y7" i="20" s="1"/>
  <c r="E7" i="13" s="1" a="1"/>
  <c r="E7" i="13" s="1"/>
  <c r="AA39" i="20"/>
  <c r="X39" i="20"/>
  <c r="AA79" i="20"/>
  <c r="X79" i="20"/>
  <c r="AP81" i="20"/>
  <c r="Y81" i="20" s="1"/>
  <c r="E82" i="13" s="1" a="1"/>
  <c r="E82" i="13" s="1"/>
  <c r="X46" i="20"/>
  <c r="AA46" i="20"/>
  <c r="X66" i="20"/>
  <c r="AA66" i="20"/>
  <c r="X55" i="20"/>
  <c r="AA55" i="20"/>
  <c r="AA58" i="20"/>
  <c r="X58" i="20"/>
  <c r="AP11" i="20"/>
  <c r="Y11" i="20" s="1"/>
  <c r="E11" i="13" s="1" a="1"/>
  <c r="E11" i="13" s="1"/>
  <c r="AO14" i="20"/>
  <c r="G14" i="20"/>
  <c r="AO51" i="20"/>
  <c r="AP51" i="20" s="1"/>
  <c r="Y51" i="20" s="1"/>
  <c r="E52" i="13" s="1" a="1"/>
  <c r="E52" i="13" s="1"/>
  <c r="G51" i="20"/>
  <c r="X57" i="13"/>
  <c r="L91" i="15"/>
  <c r="F92" i="3"/>
  <c r="G92" i="3" s="1"/>
  <c r="J78" i="15"/>
  <c r="K78" i="15" s="1"/>
  <c r="J81" i="15"/>
  <c r="K81" i="15" s="1"/>
  <c r="F76" i="3"/>
  <c r="G76" i="3" s="1"/>
  <c r="X23" i="13"/>
  <c r="X91" i="13"/>
  <c r="X4" i="13"/>
  <c r="X50" i="13"/>
  <c r="X85" i="13"/>
  <c r="X34" i="13"/>
  <c r="L65" i="15"/>
  <c r="X24" i="13"/>
  <c r="X54" i="13"/>
  <c r="X33" i="13"/>
  <c r="X71" i="13"/>
  <c r="J177" i="15"/>
  <c r="K177" i="15" s="1"/>
  <c r="F72" i="3"/>
  <c r="G72" i="3" s="1"/>
  <c r="F36" i="3"/>
  <c r="G36" i="3" s="1"/>
  <c r="L50" i="15"/>
  <c r="J50" i="15"/>
  <c r="K50" i="15" s="1"/>
  <c r="L44" i="15"/>
  <c r="J44" i="15"/>
  <c r="K44" i="15" s="1"/>
  <c r="L118" i="15"/>
  <c r="J118" i="15"/>
  <c r="K118" i="15" s="1"/>
  <c r="J30" i="15"/>
  <c r="K30" i="15" s="1"/>
  <c r="F25" i="3"/>
  <c r="G25" i="3" s="1"/>
  <c r="F26" i="3"/>
  <c r="G26" i="3" s="1"/>
  <c r="L75" i="15"/>
  <c r="J75" i="15"/>
  <c r="K75" i="15" s="1"/>
  <c r="F51" i="3"/>
  <c r="G51" i="3" s="1"/>
  <c r="L117" i="15"/>
  <c r="F55" i="3"/>
  <c r="G55" i="3" s="1"/>
  <c r="J80" i="15"/>
  <c r="K80" i="15" s="1"/>
  <c r="L80" i="15"/>
  <c r="L63" i="15"/>
  <c r="J63" i="15"/>
  <c r="K63" i="15" s="1"/>
  <c r="L57" i="15"/>
  <c r="J57" i="15"/>
  <c r="K57" i="15" s="1"/>
  <c r="F6" i="3"/>
  <c r="G6" i="3" s="1"/>
  <c r="L49" i="15"/>
  <c r="J49" i="15"/>
  <c r="K49" i="15" s="1"/>
  <c r="L90" i="15"/>
  <c r="J90" i="15"/>
  <c r="K90" i="15" s="1"/>
  <c r="J158" i="15"/>
  <c r="K158" i="15" s="1"/>
  <c r="F114" i="3"/>
  <c r="G114" i="3" s="1"/>
  <c r="F23" i="3"/>
  <c r="G23" i="3" s="1"/>
  <c r="J159" i="15"/>
  <c r="K159" i="15" s="1"/>
  <c r="L159" i="15"/>
  <c r="J114" i="15"/>
  <c r="K114" i="15" s="1"/>
  <c r="L114" i="15"/>
  <c r="J156" i="15"/>
  <c r="K156" i="15" s="1"/>
  <c r="L156" i="15"/>
  <c r="L197" i="15"/>
  <c r="L182" i="15"/>
  <c r="L168" i="15"/>
  <c r="J168" i="15"/>
  <c r="K168" i="15" s="1"/>
  <c r="J167" i="15"/>
  <c r="K167" i="15" s="1"/>
  <c r="L167" i="15"/>
  <c r="J74" i="15"/>
  <c r="K74" i="15" s="1"/>
  <c r="J117" i="15"/>
  <c r="K117" i="15" s="1"/>
  <c r="J124" i="15"/>
  <c r="K124" i="15" s="1"/>
  <c r="L124" i="15"/>
  <c r="F166" i="3"/>
  <c r="G166" i="3" s="1"/>
  <c r="F181" i="3"/>
  <c r="G181" i="3" s="1"/>
  <c r="F192" i="3"/>
  <c r="G192" i="3" s="1"/>
  <c r="F33" i="3"/>
  <c r="G33" i="3" s="1"/>
  <c r="F170" i="3"/>
  <c r="G170" i="3" s="1"/>
  <c r="F151" i="3"/>
  <c r="G151" i="3" s="1"/>
  <c r="F194" i="3"/>
  <c r="G194" i="3" s="1"/>
  <c r="F107" i="3"/>
  <c r="G107" i="3" s="1"/>
  <c r="F191" i="3"/>
  <c r="G191" i="3" s="1"/>
  <c r="F61" i="3"/>
  <c r="G61" i="3" s="1"/>
  <c r="F35" i="3"/>
  <c r="G35" i="3" s="1"/>
  <c r="F18" i="3"/>
  <c r="G18" i="3" s="1"/>
  <c r="F113" i="3"/>
  <c r="G113" i="3" s="1"/>
  <c r="F167" i="3"/>
  <c r="G167" i="3" s="1"/>
  <c r="F147" i="3"/>
  <c r="G147" i="3" s="1"/>
  <c r="F179" i="3"/>
  <c r="G179" i="3" s="1"/>
  <c r="E5" i="13" l="1" a="1"/>
  <c r="E5" i="13" s="1"/>
  <c r="G5" i="13" s="1"/>
  <c r="F58" i="3"/>
  <c r="G58" i="3" s="1"/>
  <c r="F57" i="3"/>
  <c r="G57" i="3" s="1"/>
  <c r="AA56" i="13"/>
  <c r="X29" i="13"/>
  <c r="AA29" i="13"/>
  <c r="G68" i="13"/>
  <c r="G20" i="13"/>
  <c r="G87" i="13"/>
  <c r="X72" i="13"/>
  <c r="F73" i="3"/>
  <c r="G73" i="3" s="1"/>
  <c r="G22" i="13"/>
  <c r="G40" i="13"/>
  <c r="H100" i="15"/>
  <c r="X69" i="13"/>
  <c r="F70" i="3"/>
  <c r="G70" i="3" s="1"/>
  <c r="Y19" i="13"/>
  <c r="AA19" i="13" s="1"/>
  <c r="G19" i="13"/>
  <c r="G65" i="13"/>
  <c r="H20" i="15"/>
  <c r="F52" i="3"/>
  <c r="G52" i="3" s="1"/>
  <c r="X51" i="13"/>
  <c r="Y53" i="13"/>
  <c r="G53" i="13"/>
  <c r="H58" i="15"/>
  <c r="H48" i="15"/>
  <c r="H52" i="15"/>
  <c r="Y76" i="13"/>
  <c r="AA76" i="13" s="1"/>
  <c r="G76" i="13"/>
  <c r="X10" i="13"/>
  <c r="X84" i="13"/>
  <c r="H32" i="15"/>
  <c r="J32" i="15" s="1"/>
  <c r="K32" i="15" s="1"/>
  <c r="F85" i="3"/>
  <c r="G85" i="3" s="1"/>
  <c r="H88" i="15"/>
  <c r="H76" i="15"/>
  <c r="X8" i="13"/>
  <c r="Y12" i="13"/>
  <c r="G12" i="13"/>
  <c r="X6" i="13"/>
  <c r="Y88" i="13"/>
  <c r="AA88" i="13" s="1"/>
  <c r="G88" i="13"/>
  <c r="X44" i="13"/>
  <c r="F45" i="3"/>
  <c r="G45" i="3" s="1"/>
  <c r="X81" i="13"/>
  <c r="Y62" i="13"/>
  <c r="X62" i="13" s="1"/>
  <c r="G62" i="13"/>
  <c r="G56" i="13"/>
  <c r="G48" i="13"/>
  <c r="G47" i="13"/>
  <c r="H18" i="15"/>
  <c r="Y35" i="13"/>
  <c r="G35" i="13"/>
  <c r="X74" i="13"/>
  <c r="F75" i="3"/>
  <c r="G75" i="3" s="1"/>
  <c r="H14" i="15"/>
  <c r="H89" i="15"/>
  <c r="G45" i="13"/>
  <c r="Z45" i="13"/>
  <c r="AA45" i="13" s="1"/>
  <c r="Y41" i="13"/>
  <c r="AA41" i="13" s="1"/>
  <c r="G41" i="13"/>
  <c r="F39" i="3"/>
  <c r="G39" i="3" s="1"/>
  <c r="X38" i="13"/>
  <c r="G67" i="13"/>
  <c r="Y67" i="13"/>
  <c r="AA67" i="13" s="1"/>
  <c r="Y15" i="13"/>
  <c r="G15" i="13"/>
  <c r="Y89" i="13"/>
  <c r="AA89" i="13" s="1"/>
  <c r="G89" i="13"/>
  <c r="G59" i="13"/>
  <c r="H39" i="15"/>
  <c r="Y80" i="13"/>
  <c r="AA80" i="13" s="1"/>
  <c r="G80" i="13"/>
  <c r="H12" i="15"/>
  <c r="L12" i="15" s="1"/>
  <c r="L81" i="15"/>
  <c r="AA7" i="20"/>
  <c r="X7" i="20"/>
  <c r="AA82" i="20"/>
  <c r="X82" i="20"/>
  <c r="X45" i="20"/>
  <c r="AA45" i="20"/>
  <c r="X81" i="20"/>
  <c r="AA81" i="20"/>
  <c r="AA41" i="20"/>
  <c r="X41" i="20"/>
  <c r="AA69" i="20"/>
  <c r="X69" i="20"/>
  <c r="AP57" i="20"/>
  <c r="Y57" i="20" s="1"/>
  <c r="E58" i="13" s="1" a="1"/>
  <c r="E58" i="13" s="1"/>
  <c r="AA25" i="20"/>
  <c r="X25" i="20"/>
  <c r="AA51" i="20"/>
  <c r="X51" i="20"/>
  <c r="X93" i="20"/>
  <c r="AA93" i="20"/>
  <c r="X11" i="20"/>
  <c r="AA11" i="20"/>
  <c r="AP14" i="20"/>
  <c r="Y14" i="20" s="1"/>
  <c r="E14" i="13" s="1" a="1"/>
  <c r="E14" i="13" s="1"/>
  <c r="X13" i="20"/>
  <c r="AA13" i="20"/>
  <c r="AA32" i="20"/>
  <c r="X32" i="20"/>
  <c r="AP26" i="20"/>
  <c r="Y26" i="20" s="1"/>
  <c r="E26" i="13" s="1" a="1"/>
  <c r="E26" i="13" s="1"/>
  <c r="X5" i="20"/>
  <c r="AA5" i="20"/>
  <c r="L62" i="15"/>
  <c r="L78" i="15"/>
  <c r="X77" i="13"/>
  <c r="F78" i="3"/>
  <c r="G78" i="3" s="1"/>
  <c r="J26" i="15"/>
  <c r="K26" i="15" s="1"/>
  <c r="L42" i="15"/>
  <c r="F60" i="3"/>
  <c r="G60" i="3" s="1"/>
  <c r="F69" i="3"/>
  <c r="G69" i="3" s="1"/>
  <c r="X68" i="13"/>
  <c r="X86" i="13"/>
  <c r="X56" i="13"/>
  <c r="X9" i="13"/>
  <c r="X59" i="13"/>
  <c r="J82" i="15"/>
  <c r="K82" i="15" s="1"/>
  <c r="L74" i="15"/>
  <c r="L36" i="15"/>
  <c r="J36" i="15"/>
  <c r="K36" i="15" s="1"/>
  <c r="L158" i="15"/>
  <c r="F103" i="3"/>
  <c r="G103" i="3" s="1"/>
  <c r="J83" i="15"/>
  <c r="K83" i="15" s="1"/>
  <c r="L83" i="15"/>
  <c r="L94" i="15"/>
  <c r="J94" i="15"/>
  <c r="K94" i="15" s="1"/>
  <c r="J47" i="15"/>
  <c r="K47" i="15" s="1"/>
  <c r="L47" i="15"/>
  <c r="F144" i="3"/>
  <c r="G144" i="3" s="1"/>
  <c r="L26" i="15"/>
  <c r="J31" i="15"/>
  <c r="K31" i="15" s="1"/>
  <c r="L31" i="15"/>
  <c r="L184" i="15"/>
  <c r="F87" i="3"/>
  <c r="G87" i="3" s="1"/>
  <c r="F11" i="3"/>
  <c r="G11" i="3" s="1"/>
  <c r="J116" i="15"/>
  <c r="K116" i="15" s="1"/>
  <c r="L150" i="15"/>
  <c r="J150" i="15"/>
  <c r="K150" i="15" s="1"/>
  <c r="L95" i="15"/>
  <c r="J95" i="15"/>
  <c r="K95" i="15" s="1"/>
  <c r="J41" i="15"/>
  <c r="K41" i="15" s="1"/>
  <c r="L41" i="15"/>
  <c r="L154" i="15"/>
  <c r="J154" i="15"/>
  <c r="K154" i="15" s="1"/>
  <c r="L11" i="15"/>
  <c r="J11" i="15"/>
  <c r="K11" i="15" s="1"/>
  <c r="J60" i="15"/>
  <c r="K60" i="15" s="1"/>
  <c r="L60" i="15"/>
  <c r="L77" i="15"/>
  <c r="J77" i="15"/>
  <c r="K77" i="15" s="1"/>
  <c r="L56" i="15"/>
  <c r="J56" i="15"/>
  <c r="K56" i="15" s="1"/>
  <c r="J147" i="15"/>
  <c r="K147" i="15" s="1"/>
  <c r="F31" i="3"/>
  <c r="G31" i="3" s="1"/>
  <c r="J173" i="15"/>
  <c r="K173" i="15" s="1"/>
  <c r="L173" i="15"/>
  <c r="J110" i="15"/>
  <c r="K110" i="15" s="1"/>
  <c r="L110" i="15"/>
  <c r="J40" i="15"/>
  <c r="K40" i="15" s="1"/>
  <c r="L40" i="15"/>
  <c r="J66" i="15"/>
  <c r="K66" i="15" s="1"/>
  <c r="L66" i="15"/>
  <c r="L20" i="15"/>
  <c r="J20" i="15"/>
  <c r="K20" i="15" s="1"/>
  <c r="L23" i="15"/>
  <c r="J23" i="15"/>
  <c r="K23" i="15" s="1"/>
  <c r="J38" i="15"/>
  <c r="K38" i="15" s="1"/>
  <c r="L38" i="15"/>
  <c r="L194" i="15"/>
  <c r="J194" i="15"/>
  <c r="K194" i="15" s="1"/>
  <c r="L17" i="15"/>
  <c r="J17" i="15"/>
  <c r="K17" i="15" s="1"/>
  <c r="L170" i="15"/>
  <c r="J170" i="15"/>
  <c r="K170" i="15" s="1"/>
  <c r="L203" i="15"/>
  <c r="J184" i="15"/>
  <c r="K184" i="15" s="1"/>
  <c r="J169" i="15"/>
  <c r="K169" i="15" s="1"/>
  <c r="L169" i="15"/>
  <c r="L39" i="15"/>
  <c r="J39" i="15"/>
  <c r="K39" i="15" s="1"/>
  <c r="L195" i="15"/>
  <c r="J195" i="15"/>
  <c r="K195" i="15" s="1"/>
  <c r="L86" i="15"/>
  <c r="J86" i="15"/>
  <c r="K86" i="15" s="1"/>
  <c r="F152" i="3"/>
  <c r="G152" i="3" s="1"/>
  <c r="F100" i="3"/>
  <c r="G100" i="3" s="1"/>
  <c r="F154" i="3"/>
  <c r="G154" i="3" s="1"/>
  <c r="F82" i="3"/>
  <c r="G82" i="3" s="1"/>
  <c r="F32" i="3"/>
  <c r="G32" i="3" s="1"/>
  <c r="F124" i="3"/>
  <c r="G124" i="3" s="1"/>
  <c r="F200" i="3"/>
  <c r="G200" i="3" s="1"/>
  <c r="F190" i="3"/>
  <c r="G190" i="3" s="1"/>
  <c r="F8" i="3"/>
  <c r="G8" i="3" s="1"/>
  <c r="F38" i="3"/>
  <c r="G38" i="3" s="1"/>
  <c r="F125" i="3"/>
  <c r="G125" i="3" s="1"/>
  <c r="F116" i="3"/>
  <c r="G116" i="3" s="1"/>
  <c r="F80" i="3"/>
  <c r="G80" i="3" s="1"/>
  <c r="F112" i="3"/>
  <c r="G112" i="3" s="1"/>
  <c r="F42" i="3" l="1"/>
  <c r="G42" i="3" s="1"/>
  <c r="X19" i="13"/>
  <c r="Y5" i="13"/>
  <c r="AA5" i="13" s="1"/>
  <c r="F37" i="3"/>
  <c r="G37" i="3" s="1"/>
  <c r="AA35" i="13"/>
  <c r="X53" i="13"/>
  <c r="AA53" i="13"/>
  <c r="F14" i="3"/>
  <c r="G14" i="3" s="1"/>
  <c r="AA12" i="13"/>
  <c r="F63" i="3"/>
  <c r="G63" i="3" s="1"/>
  <c r="AA62" i="13"/>
  <c r="F17" i="3"/>
  <c r="G17" i="3" s="1"/>
  <c r="AA15" i="13"/>
  <c r="L32" i="15"/>
  <c r="X35" i="13"/>
  <c r="X76" i="13"/>
  <c r="F21" i="3"/>
  <c r="G21" i="3" s="1"/>
  <c r="H21" i="15"/>
  <c r="L21" i="15" s="1"/>
  <c r="Y70" i="13"/>
  <c r="AA70" i="13" s="1"/>
  <c r="G70" i="13"/>
  <c r="G13" i="13"/>
  <c r="Y13" i="13"/>
  <c r="AA13" i="13" s="1"/>
  <c r="F81" i="3"/>
  <c r="G81" i="3" s="1"/>
  <c r="X80" i="13"/>
  <c r="Y46" i="13"/>
  <c r="X46" i="13" s="1"/>
  <c r="G46" i="13"/>
  <c r="G32" i="13"/>
  <c r="Y32" i="13"/>
  <c r="AA32" i="13" s="1"/>
  <c r="Y82" i="13"/>
  <c r="G82" i="13"/>
  <c r="X41" i="13"/>
  <c r="Y42" i="13"/>
  <c r="G42" i="13"/>
  <c r="Y11" i="13"/>
  <c r="AA11" i="13" s="1"/>
  <c r="G11" i="13"/>
  <c r="F46" i="3"/>
  <c r="G46" i="3" s="1"/>
  <c r="X88" i="13"/>
  <c r="F89" i="3"/>
  <c r="G89" i="3" s="1"/>
  <c r="G25" i="13"/>
  <c r="Y25" i="13"/>
  <c r="AA25" i="13" s="1"/>
  <c r="G52" i="13"/>
  <c r="Y52" i="13"/>
  <c r="AA52" i="13" s="1"/>
  <c r="H33" i="15"/>
  <c r="Y83" i="13"/>
  <c r="AA83" i="13" s="1"/>
  <c r="G83" i="13"/>
  <c r="F77" i="3"/>
  <c r="G77" i="3" s="1"/>
  <c r="F90" i="3"/>
  <c r="G90" i="3" s="1"/>
  <c r="X89" i="13"/>
  <c r="F54" i="3"/>
  <c r="G54" i="3" s="1"/>
  <c r="H64" i="15"/>
  <c r="L64" i="15" s="1"/>
  <c r="X15" i="13"/>
  <c r="Y94" i="13"/>
  <c r="AA94" i="13" s="1"/>
  <c r="G94" i="13"/>
  <c r="Y7" i="13"/>
  <c r="AA7" i="13" s="1"/>
  <c r="G7" i="13"/>
  <c r="X67" i="13"/>
  <c r="F68" i="3"/>
  <c r="G68" i="3" s="1"/>
  <c r="X12" i="13"/>
  <c r="I7" i="15"/>
  <c r="AA14" i="20"/>
  <c r="X14" i="20"/>
  <c r="X57" i="20"/>
  <c r="AA57" i="20"/>
  <c r="AA26" i="20"/>
  <c r="X26" i="20"/>
  <c r="J42" i="15"/>
  <c r="K42" i="15" s="1"/>
  <c r="L147" i="15"/>
  <c r="X87" i="13"/>
  <c r="L116" i="15"/>
  <c r="X65" i="13"/>
  <c r="L82" i="15"/>
  <c r="X47" i="13"/>
  <c r="X22" i="13"/>
  <c r="X48" i="13"/>
  <c r="X20" i="13"/>
  <c r="X40" i="13"/>
  <c r="J12" i="15"/>
  <c r="K12" i="15" s="1"/>
  <c r="J29" i="15"/>
  <c r="K29" i="15" s="1"/>
  <c r="F24" i="3"/>
  <c r="G24" i="3" s="1"/>
  <c r="J53" i="15"/>
  <c r="K53" i="15" s="1"/>
  <c r="F48" i="3"/>
  <c r="G48" i="3" s="1"/>
  <c r="J48" i="15"/>
  <c r="K48" i="15" s="1"/>
  <c r="F41" i="3"/>
  <c r="G41" i="3" s="1"/>
  <c r="J46" i="15"/>
  <c r="K46" i="15" s="1"/>
  <c r="J93" i="15"/>
  <c r="K93" i="15" s="1"/>
  <c r="F88" i="3"/>
  <c r="G88" i="3" s="1"/>
  <c r="F49" i="3"/>
  <c r="G49" i="3" s="1"/>
  <c r="L119" i="15"/>
  <c r="J119" i="15"/>
  <c r="K119" i="15" s="1"/>
  <c r="L16" i="15"/>
  <c r="J16" i="15"/>
  <c r="K16" i="15" s="1"/>
  <c r="L68" i="15"/>
  <c r="J68" i="15"/>
  <c r="K68" i="15" s="1"/>
  <c r="F22" i="3"/>
  <c r="G22" i="3" s="1"/>
  <c r="L18" i="15"/>
  <c r="J18" i="15"/>
  <c r="K18" i="15" s="1"/>
  <c r="L128" i="15"/>
  <c r="J128" i="15"/>
  <c r="K128" i="15" s="1"/>
  <c r="J76" i="15"/>
  <c r="K76" i="15" s="1"/>
  <c r="L76" i="15"/>
  <c r="J59" i="15"/>
  <c r="K59" i="15" s="1"/>
  <c r="L59" i="15"/>
  <c r="L58" i="15"/>
  <c r="J58" i="15"/>
  <c r="K58" i="15" s="1"/>
  <c r="J92" i="15"/>
  <c r="K92" i="15" s="1"/>
  <c r="L92" i="15"/>
  <c r="F149" i="3"/>
  <c r="G149" i="3" s="1"/>
  <c r="F66" i="3"/>
  <c r="G66" i="3" s="1"/>
  <c r="L155" i="15"/>
  <c r="J155" i="15"/>
  <c r="K155" i="15" s="1"/>
  <c r="J99" i="15"/>
  <c r="K99" i="15" s="1"/>
  <c r="F172" i="3"/>
  <c r="G172" i="3" s="1"/>
  <c r="F10" i="3"/>
  <c r="G10" i="3" s="1"/>
  <c r="F9" i="3"/>
  <c r="G9" i="3" s="1"/>
  <c r="L54" i="15"/>
  <c r="J104" i="15"/>
  <c r="K104" i="15" s="1"/>
  <c r="J15" i="15"/>
  <c r="K15" i="15" s="1"/>
  <c r="F94" i="3"/>
  <c r="G94" i="3" s="1"/>
  <c r="L152" i="15"/>
  <c r="J175" i="15"/>
  <c r="K175" i="15" s="1"/>
  <c r="L175" i="15"/>
  <c r="L87" i="15"/>
  <c r="J87" i="15"/>
  <c r="K87" i="15" s="1"/>
  <c r="J22" i="15"/>
  <c r="K22" i="15" s="1"/>
  <c r="L22" i="15"/>
  <c r="J115" i="15"/>
  <c r="K115" i="15" s="1"/>
  <c r="L115" i="15"/>
  <c r="J157" i="15"/>
  <c r="K157" i="15" s="1"/>
  <c r="L157" i="15"/>
  <c r="J37" i="15"/>
  <c r="K37" i="15" s="1"/>
  <c r="L37" i="15"/>
  <c r="J33" i="15"/>
  <c r="K33" i="15" s="1"/>
  <c r="L33" i="15"/>
  <c r="L19" i="15"/>
  <c r="J19" i="15"/>
  <c r="K19" i="15" s="1"/>
  <c r="L43" i="15"/>
  <c r="J43" i="15"/>
  <c r="K43" i="15" s="1"/>
  <c r="J127" i="15"/>
  <c r="K127" i="15" s="1"/>
  <c r="L127" i="15"/>
  <c r="L13" i="15"/>
  <c r="J13" i="15"/>
  <c r="K13" i="15" s="1"/>
  <c r="J193" i="15"/>
  <c r="K193" i="15" s="1"/>
  <c r="L193" i="15"/>
  <c r="J100" i="15"/>
  <c r="K100" i="15" s="1"/>
  <c r="L100" i="15"/>
  <c r="J85" i="15"/>
  <c r="K85" i="15" s="1"/>
  <c r="L85" i="15"/>
  <c r="X5" i="13" l="1"/>
  <c r="F7" i="3"/>
  <c r="G7" i="3" s="1"/>
  <c r="F13" i="3"/>
  <c r="G13" i="3" s="1"/>
  <c r="F43" i="3"/>
  <c r="G43" i="3" s="1"/>
  <c r="AA42" i="13"/>
  <c r="X82" i="13"/>
  <c r="AA82" i="13"/>
  <c r="X11" i="13"/>
  <c r="F47" i="3"/>
  <c r="G47" i="3" s="1"/>
  <c r="AA46" i="13"/>
  <c r="J21" i="15"/>
  <c r="K21" i="15" s="1"/>
  <c r="X42" i="13"/>
  <c r="F83" i="3"/>
  <c r="G83" i="3" s="1"/>
  <c r="X7" i="13"/>
  <c r="X70" i="13"/>
  <c r="F71" i="3"/>
  <c r="G71" i="3" s="1"/>
  <c r="G26" i="13"/>
  <c r="Y26" i="13"/>
  <c r="AA26" i="13" s="1"/>
  <c r="X94" i="13"/>
  <c r="F95" i="3"/>
  <c r="G95" i="3" s="1"/>
  <c r="X52" i="13"/>
  <c r="F53" i="3"/>
  <c r="G53" i="3" s="1"/>
  <c r="X13" i="13"/>
  <c r="F15" i="3"/>
  <c r="G15" i="3" s="1"/>
  <c r="Y14" i="13"/>
  <c r="AA14" i="13" s="1"/>
  <c r="G14" i="13"/>
  <c r="G58" i="13"/>
  <c r="Y58" i="13"/>
  <c r="AA58" i="13" s="1"/>
  <c r="J64" i="15"/>
  <c r="K64" i="15" s="1"/>
  <c r="F34" i="3"/>
  <c r="G34" i="3" s="1"/>
  <c r="X32" i="13"/>
  <c r="F27" i="3"/>
  <c r="G27" i="3" s="1"/>
  <c r="X25" i="13"/>
  <c r="L29" i="15"/>
  <c r="L93" i="15"/>
  <c r="L48" i="15"/>
  <c r="L53" i="15"/>
  <c r="L104" i="15"/>
  <c r="L46" i="15"/>
  <c r="X83" i="13"/>
  <c r="J27" i="15"/>
  <c r="K27" i="15" s="1"/>
  <c r="L27" i="15"/>
  <c r="L14" i="15"/>
  <c r="J14" i="15"/>
  <c r="K14" i="15" s="1"/>
  <c r="F84" i="3"/>
  <c r="G84" i="3" s="1"/>
  <c r="L88" i="15"/>
  <c r="J88" i="15"/>
  <c r="K88" i="15" s="1"/>
  <c r="L71" i="15"/>
  <c r="J71" i="15"/>
  <c r="K71" i="15" s="1"/>
  <c r="L99" i="15"/>
  <c r="J54" i="15"/>
  <c r="K54" i="15" s="1"/>
  <c r="L52" i="15"/>
  <c r="J52" i="15"/>
  <c r="K52" i="15" s="1"/>
  <c r="L15" i="15"/>
  <c r="J152" i="15"/>
  <c r="K152" i="15" s="1"/>
  <c r="F173" i="3"/>
  <c r="G173" i="3" s="1"/>
  <c r="X26" i="13" l="1"/>
  <c r="F28" i="3"/>
  <c r="G28" i="3" s="1"/>
  <c r="C6" i="2" s="1"/>
  <c r="F59" i="3"/>
  <c r="G59" i="3" s="1"/>
  <c r="X58" i="13"/>
  <c r="X14" i="13"/>
  <c r="F16" i="3"/>
  <c r="G16" i="3" s="1"/>
  <c r="B21" i="2"/>
  <c r="L89" i="15"/>
  <c r="J89" i="15"/>
  <c r="K89" i="15" s="1"/>
  <c r="J176" i="15"/>
  <c r="L176" i="15"/>
  <c r="C7" i="2" l="1"/>
  <c r="C5" i="2"/>
  <c r="K176" i="15"/>
  <c r="I4" i="15"/>
  <c r="B7" i="15" l="1"/>
  <c r="B8" i="15"/>
  <c r="C7" i="15"/>
  <c r="C8" i="15"/>
  <c r="B6" i="15"/>
  <c r="I5" i="15"/>
  <c r="I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<sst xmlns="http://schemas.openxmlformats.org/spreadsheetml/2006/main" count="8554" uniqueCount="339">
  <si>
    <t>HGT Inventory Control System — How This Workbook Works</t>
  </si>
  <si>
    <t>Rebuilt from STOCK REPORT RECONCILED latest one.xlsx on the fixes identified in the stock report audit.</t>
  </si>
  <si>
    <t>What changed vs. the old file</t>
  </si>
  <si>
    <t>1. One fixed layout for every week tab — same columns, same order, same header row, every time.</t>
  </si>
  <si>
    <t>2. Opening stock for each week is a formula linking to the PRIOR week’s closing stock — never retyped.</t>
  </si>
  <si>
    <t>3. Stock In Dodoma is now included in every closing-stock formula (it was silently dropped before).</t>
  </si>
  <si>
    <t>4. No formulas were replaced with typed numbers — every closing/total cell recalculates.</t>
  </si>
  <si>
    <t>5. Each SKU (Product + Pack Size + Type) has exactly one home row in every week, so nothing is split.</t>
  </si>
  <si>
    <t>6. Any week where recorded sales/out exceed recorded stock now shows in the Stock Alert column instead of silently going negative.</t>
  </si>
  <si>
    <t>7. Branch distribution (Dar / Dodoma / Iringa / Manyara: sent, sold, not sold) is tracked every week in its own block.</t>
  </si>
  <si>
    <t>Color legend</t>
  </si>
  <si>
    <t>Blue text = a manually entered number (opening baseline the week a product started, sales, stock in/out, sent/sold, remarks).</t>
  </si>
  <si>
    <t>Black text = a formula. Never type over a black cell — it will stop updating.</t>
  </si>
  <si>
    <t>Yellow fill = your input. Only the Reorder Point column on Master Products needs filling in.</t>
  </si>
  <si>
    <t>How to add a new week</t>
  </si>
  <si>
    <t>1. Duplicate the most recent week tab and rename it (e.g. “5-september-2026”).</t>
  </si>
  <si>
    <t>2. Leave columns E, F, G (Opening) alone — update the formula to point at the new previous week’s tab name.</t>
  </si>
  <si>
    <t>3. Fill in blue movement columns (Sales, Stock Out, Stock In, Sent/Sold) for the week.</t>
  </si>
  <si>
    <t>4. Everything else — totals, closing stock, alerts — recalculates on its own.</t>
  </si>
  <si>
    <t>5. Master Products and the Dashboard automatically pick up the latest tab once you rename the reference in Master Products column F.</t>
  </si>
  <si>
    <t>Sheets in this workbook</t>
  </si>
  <si>
    <t>Dashboard — KPIs and a stock trend chart across all weeks.</t>
  </si>
  <si>
    <t>Master Products — one row per SKU with your reorder points and live status.</t>
  </si>
  <si>
    <t>One tab per week — the weekly stock ledger, same layout throughout.</t>
  </si>
  <si>
    <t>HGT Inventory Dashboard</t>
  </si>
  <si>
    <t>Live KPIs pulled from Master Products and each week tab. Recalculates automatically as you fill in new weeks.</t>
  </si>
  <si>
    <t>Total SKUs tracked</t>
  </si>
  <si>
    <t>SKUs below reorder point</t>
  </si>
  <si>
    <t>SKUs with negative stock</t>
  </si>
  <si>
    <t>SKUs OK</t>
  </si>
  <si>
    <t>Total warehouse stock by week (Arusha + Moro + Dar)</t>
  </si>
  <si>
    <t>Week</t>
  </si>
  <si>
    <t>Total Closing Stock</t>
  </si>
  <si>
    <t>26 june</t>
  </si>
  <si>
    <t>3-july2026</t>
  </si>
  <si>
    <t>10-JULY2026</t>
  </si>
  <si>
    <t>17-july2026</t>
  </si>
  <si>
    <t>24-july-2026</t>
  </si>
  <si>
    <t>31-july-2026</t>
  </si>
  <si>
    <t>8-august-2026</t>
  </si>
  <si>
    <t>15-august-2026</t>
  </si>
  <si>
    <t>21-AUGUST-2026</t>
  </si>
  <si>
    <t>29-AUGUST-2026</t>
  </si>
  <si>
    <t>Master Product List</t>
  </si>
  <si>
    <t>One row per SKU. Reorder Point is the only cell you edit here — everything else pulls live from the latest week tab.</t>
  </si>
  <si>
    <t>Product</t>
  </si>
  <si>
    <t>Pack Size</t>
  </si>
  <si>
    <t>Category</t>
  </si>
  <si>
    <t>Type</t>
  </si>
  <si>
    <t>Reorder Point (edit me)</t>
  </si>
  <si>
    <t>Current Stock (29-AUGUST-2026)</t>
  </si>
  <si>
    <t>Status</t>
  </si>
  <si>
    <t>Last Updated</t>
  </si>
  <si>
    <t>30-WC773</t>
  </si>
  <si>
    <t>SEED</t>
  </si>
  <si>
    <t>COMMERCIAL</t>
  </si>
  <si>
    <t>Afadja</t>
  </si>
  <si>
    <t>CUSTOM&amp;TRIAL</t>
  </si>
  <si>
    <t>African eggplant BENUE F1</t>
  </si>
  <si>
    <t>African eggplant KAZINGA RZ F1</t>
  </si>
  <si>
    <t>African eggplant KERIO RZ F1</t>
  </si>
  <si>
    <t>African eggplant LIMPOPO RZ F3</t>
  </si>
  <si>
    <t>African hot pepper AFADJA RZ F7</t>
  </si>
  <si>
    <t>African hot pepper LENGAI RZ F2</t>
  </si>
  <si>
    <t>African hot pepper LENGAI RZ F3</t>
  </si>
  <si>
    <t>African Hot Pepper Loleza RZ</t>
  </si>
  <si>
    <t>African Hot Pepper Mawenzili</t>
  </si>
  <si>
    <t>alaine</t>
  </si>
  <si>
    <t>MASIFIO CUSTOM</t>
  </si>
  <si>
    <t>Alboreto</t>
  </si>
  <si>
    <t>Allegreto</t>
  </si>
  <si>
    <t>Alpes</t>
  </si>
  <si>
    <t>amburana</t>
  </si>
  <si>
    <t>Aubergine BRIGITTE RZ F2</t>
  </si>
  <si>
    <t>Aubergine FANTASTIC RZ F3</t>
  </si>
  <si>
    <t>barlach</t>
  </si>
  <si>
    <t>Barldralla</t>
  </si>
  <si>
    <t>Baronesa</t>
  </si>
  <si>
    <t>Batavia lettuce INVICTA RZ</t>
  </si>
  <si>
    <t>Batavia lettuce TOURBILLON RZ</t>
  </si>
  <si>
    <t>Beetroot LARKA RZ</t>
  </si>
  <si>
    <t>Beetroot Zeppo</t>
  </si>
  <si>
    <t>Bellaire</t>
  </si>
  <si>
    <t>benue</t>
  </si>
  <si>
    <t>Blanched celery KYLIAN RZ</t>
  </si>
  <si>
    <t>Boelli</t>
  </si>
  <si>
    <t>Bologna</t>
  </si>
  <si>
    <t>Bottas</t>
  </si>
  <si>
    <t>Bourdais</t>
  </si>
  <si>
    <t>Bravura</t>
  </si>
  <si>
    <t>Brigitte</t>
  </si>
  <si>
    <t>Broccoli TAHOE RZ F3</t>
  </si>
  <si>
    <t>Calazina</t>
  </si>
  <si>
    <t>Cantrell</t>
  </si>
  <si>
    <t>Caribbean Gold</t>
  </si>
  <si>
    <t>Caribbean king</t>
  </si>
  <si>
    <t>Cartegeneous</t>
  </si>
  <si>
    <t>Cauliflower CASPER RZ F1</t>
  </si>
  <si>
    <t>Cauliflower CASPER RZ F4</t>
  </si>
  <si>
    <t>Cauliflower MONEERA RZ F4</t>
  </si>
  <si>
    <t>Chromis</t>
  </si>
  <si>
    <t>Codex</t>
  </si>
  <si>
    <t>concorde</t>
  </si>
  <si>
    <t>cook</t>
  </si>
  <si>
    <t>Cos lettuce MAXIMUS RZ</t>
  </si>
  <si>
    <t>Coulthard</t>
  </si>
  <si>
    <t>Cucumber LARINO RZ F1</t>
  </si>
  <si>
    <t>Daywalt</t>
  </si>
  <si>
    <t>Diapson</t>
  </si>
  <si>
    <t>DRIP KIT DK500-G</t>
  </si>
  <si>
    <t>IRRIGATION</t>
  </si>
  <si>
    <t>Exact</t>
  </si>
  <si>
    <t>excentric</t>
  </si>
  <si>
    <t>Excurcus</t>
  </si>
  <si>
    <t>fantastic</t>
  </si>
  <si>
    <t>Fennel BOELLI</t>
  </si>
  <si>
    <t>Floccus</t>
  </si>
  <si>
    <t>Gamhar</t>
  </si>
  <si>
    <t>Gibbard</t>
  </si>
  <si>
    <t>Gimli</t>
  </si>
  <si>
    <t>Gladial</t>
  </si>
  <si>
    <t>Gourami</t>
  </si>
  <si>
    <t>grecale</t>
  </si>
  <si>
    <t>GREEN HOUSE</t>
  </si>
  <si>
    <t>NOT COMPLETE</t>
  </si>
  <si>
    <t>Hazleton</t>
  </si>
  <si>
    <t>Hilbert</t>
  </si>
  <si>
    <t>Horiver Blue</t>
  </si>
  <si>
    <t>IPM</t>
  </si>
  <si>
    <t>Horiver Yellow</t>
  </si>
  <si>
    <t>Hot pepper HABIB RZ F1</t>
  </si>
  <si>
    <t>Hot pepper MEXTIZO RZ F3</t>
  </si>
  <si>
    <t>Hot pepper MEXTIZO RZ F4</t>
  </si>
  <si>
    <t>Iceberg lettuce Bruma RZ</t>
  </si>
  <si>
    <t>Ilanga</t>
  </si>
  <si>
    <t>Jarrah</t>
  </si>
  <si>
    <t>Jerada</t>
  </si>
  <si>
    <t>Kariba</t>
  </si>
  <si>
    <t>Kazinga</t>
  </si>
  <si>
    <t>kivu</t>
  </si>
  <si>
    <t>Klee</t>
  </si>
  <si>
    <t>Kohl Rabi Eder RZ F2</t>
  </si>
  <si>
    <t>Kohl Rabi Ukza RZ F1</t>
  </si>
  <si>
    <t>kristine</t>
  </si>
  <si>
    <t>lalique</t>
  </si>
  <si>
    <t>Larsson</t>
  </si>
  <si>
    <t>Lavender</t>
  </si>
  <si>
    <t>Leaf lettuce CONCORDE RZ</t>
  </si>
  <si>
    <t>leirre</t>
  </si>
  <si>
    <t>LENARA</t>
  </si>
  <si>
    <t>libero</t>
  </si>
  <si>
    <t>Ligier</t>
  </si>
  <si>
    <t>Limpopo</t>
  </si>
  <si>
    <t>Litoral</t>
  </si>
  <si>
    <t>Long cucumber BOLOGNA RZ F1</t>
  </si>
  <si>
    <t>Maggino</t>
  </si>
  <si>
    <t>Matejko</t>
  </si>
  <si>
    <t>Mawenzili</t>
  </si>
  <si>
    <t>Melon ALPES RZ F1</t>
  </si>
  <si>
    <t>Melon CARIBBEAN GOLD RZ F6</t>
  </si>
  <si>
    <t>Melon CARIBBEAN KING RZ F2</t>
  </si>
  <si>
    <t>Melon GLADIAL RZ F1</t>
  </si>
  <si>
    <t>Melon GLADIAL RZ F16</t>
  </si>
  <si>
    <t>Melon GLADIAL RZ F17</t>
  </si>
  <si>
    <t>Messina</t>
  </si>
  <si>
    <t>Mondial</t>
  </si>
  <si>
    <t>Morelia</t>
  </si>
  <si>
    <t>Morgan</t>
  </si>
  <si>
    <t>multistar</t>
  </si>
  <si>
    <t>Nanaki</t>
  </si>
  <si>
    <t>Oak leaf lettuce KRISTINE RZ</t>
  </si>
  <si>
    <t>Oak leaf lettuce MONDAI RZ</t>
  </si>
  <si>
    <t>Orange Tarta</t>
  </si>
  <si>
    <t>Palermo river</t>
  </si>
  <si>
    <t>Papeletto</t>
  </si>
  <si>
    <t>Pasarella</t>
  </si>
  <si>
    <t>PEATMOSS</t>
  </si>
  <si>
    <t>45KG</t>
  </si>
  <si>
    <t>PEAT</t>
  </si>
  <si>
    <t>Piccolima</t>
  </si>
  <si>
    <t>Ponderet</t>
  </si>
  <si>
    <t>Primarino</t>
  </si>
  <si>
    <t>Puntoverde</t>
  </si>
  <si>
    <t>Rasbora</t>
  </si>
  <si>
    <t>Red cabbage - redma</t>
  </si>
  <si>
    <t>Red Tatin</t>
  </si>
  <si>
    <t>Reggaeton</t>
  </si>
  <si>
    <t>Rincon</t>
  </si>
  <si>
    <t>romietto</t>
  </si>
  <si>
    <t>Rugantino</t>
  </si>
  <si>
    <t>Shelter</t>
  </si>
  <si>
    <t>Shinefit</t>
  </si>
  <si>
    <t>Slicer cucumber MYDAS RZ F1</t>
  </si>
  <si>
    <t>sondela</t>
  </si>
  <si>
    <t>Sondela</t>
  </si>
  <si>
    <t>sungari</t>
  </si>
  <si>
    <t>Sweet pepper ILANGA RZ F9</t>
  </si>
  <si>
    <t>Sweet pepper MASSILIA RZ F6</t>
  </si>
  <si>
    <t>Sweet pepper PASARELLA RZ F8</t>
  </si>
  <si>
    <t>Sweet pepper RED JET RZ F8</t>
  </si>
  <si>
    <t>Sweet pepper RED JET RZ F9</t>
  </si>
  <si>
    <t>Sweet pepper Reggaeton</t>
  </si>
  <si>
    <t>Sweet pepper Snack Triora</t>
  </si>
  <si>
    <t>Sweet pepper Snack Triyello</t>
  </si>
  <si>
    <t>Swisschard charsano</t>
  </si>
  <si>
    <t>Tacoma</t>
  </si>
  <si>
    <t>Tahoe</t>
  </si>
  <si>
    <t>Tejal</t>
  </si>
  <si>
    <t>Tendita</t>
  </si>
  <si>
    <t>tirsuli</t>
  </si>
  <si>
    <t>Tirsuli</t>
  </si>
  <si>
    <t>Tomato Amburana</t>
  </si>
  <si>
    <t>Tomato FORTESA RZ F4</t>
  </si>
  <si>
    <t>Tomato GAMHAR RZ F7</t>
  </si>
  <si>
    <t>Tomato JARRAH RZ F2</t>
  </si>
  <si>
    <t>Tomato JARRAH RZ F3</t>
  </si>
  <si>
    <t>Tomato MONTEAZUL RZ F3</t>
  </si>
  <si>
    <t>Tomato PRIMARINO RZ F6</t>
  </si>
  <si>
    <t>Tomato UWEZO RZ F4</t>
  </si>
  <si>
    <t>Tomato VALOURO RZ F1</t>
  </si>
  <si>
    <t>Toughma</t>
  </si>
  <si>
    <t>tourbillion</t>
  </si>
  <si>
    <t>Tralex</t>
  </si>
  <si>
    <t>trambelinno</t>
  </si>
  <si>
    <t>Trianum</t>
  </si>
  <si>
    <t>500g</t>
  </si>
  <si>
    <t>Trirosso</t>
  </si>
  <si>
    <t>Tropical Sunshine</t>
  </si>
  <si>
    <t>twistma</t>
  </si>
  <si>
    <t>Ty 12 RZ</t>
  </si>
  <si>
    <t>Ukza</t>
  </si>
  <si>
    <t>Uwezo</t>
  </si>
  <si>
    <t>Valdivia</t>
  </si>
  <si>
    <t>valerioso</t>
  </si>
  <si>
    <t>vicinity</t>
  </si>
  <si>
    <t>Webber</t>
  </si>
  <si>
    <t>White cabbage TOUGHMA RZ F3</t>
  </si>
  <si>
    <t>White cabbage-Bluesma</t>
  </si>
  <si>
    <t>White cabbage-Swingma</t>
  </si>
  <si>
    <t>White cabbage-TACOMA</t>
  </si>
  <si>
    <t>White cabbage-Twistma</t>
  </si>
  <si>
    <t>Woodpeker</t>
  </si>
  <si>
    <t>Yellow zuppa</t>
  </si>
  <si>
    <t>Zanardi</t>
  </si>
  <si>
    <t>Zarnadi</t>
  </si>
  <si>
    <t>zeppo</t>
  </si>
  <si>
    <t>PRODUCT</t>
  </si>
  <si>
    <t>WAREHOUSE STOCK - OPENING</t>
  </si>
  <si>
    <t>WEEKLY MOVEMENT (manual entry)</t>
  </si>
  <si>
    <t>WAREHOUSE STOCK - CLOSING</t>
  </si>
  <si>
    <t>ALERT</t>
  </si>
  <si>
    <t>BRANCH DISTRIBUTION (Dar / Dodoma / Iringa / Manyara)</t>
  </si>
  <si>
    <t>NOTES</t>
  </si>
  <si>
    <t>Opening Arusha</t>
  </si>
  <si>
    <t>Opening Moro</t>
  </si>
  <si>
    <t>Opening Dar</t>
  </si>
  <si>
    <t>Total Qty - Week Start</t>
  </si>
  <si>
    <t>Sales Arusha</t>
  </si>
  <si>
    <t>Sales Moro</t>
  </si>
  <si>
    <t>Sales Dar</t>
  </si>
  <si>
    <t>Stock Out Arusha</t>
  </si>
  <si>
    <t>Stock Out Moro</t>
  </si>
  <si>
    <t>Stock Out Dar</t>
  </si>
  <si>
    <t>Stock In Arusha</t>
  </si>
  <si>
    <t>Stock In Moro</t>
  </si>
  <si>
    <t>Stock In Dar</t>
  </si>
  <si>
    <t>Stock In Dodoma</t>
  </si>
  <si>
    <t>Total Qty - Week End</t>
  </si>
  <si>
    <t>Closing Arusha</t>
  </si>
  <si>
    <t>Closing Moro</t>
  </si>
  <si>
    <t>Closing Dar</t>
  </si>
  <si>
    <t>Stock Alert</t>
  </si>
  <si>
    <t>Sent Dar</t>
  </si>
  <si>
    <t>Sold Dar</t>
  </si>
  <si>
    <t>Not Sold Dar</t>
  </si>
  <si>
    <t>Sent Dodoma</t>
  </si>
  <si>
    <t>Sold Dodoma</t>
  </si>
  <si>
    <t>Not Sold Dodoma</t>
  </si>
  <si>
    <t>Sent Iringa</t>
  </si>
  <si>
    <t>Sold Iringa</t>
  </si>
  <si>
    <t>Not Sold Iringa</t>
  </si>
  <si>
    <t>Sent Manyara</t>
  </si>
  <si>
    <t>Sold Manyara</t>
  </si>
  <si>
    <t>Not Sold Manyara</t>
  </si>
  <si>
    <t>Remarks</t>
  </si>
  <si>
    <t>6 MORO TO FAIR AGRO AS PROMO</t>
  </si>
  <si>
    <t>EXPIRED</t>
  </si>
  <si>
    <t>DISCARDED</t>
  </si>
  <si>
    <t>IMPORT STOCK IN (by origin — manual entry)</t>
  </si>
  <si>
    <t>Stock In Kenya</t>
  </si>
  <si>
    <t>Stock In Netherlands</t>
  </si>
  <si>
    <t>Stock In Other Country</t>
  </si>
  <si>
    <t>Other Origin (name)</t>
  </si>
  <si>
    <t>Import Destination</t>
  </si>
  <si>
    <t>Total Imports</t>
  </si>
  <si>
    <t>IMPORTS THIS WEEK (by origin)</t>
  </si>
  <si>
    <t>Total:</t>
  </si>
  <si>
    <t>Imports by origin country (added on 29-AUGUST-2026 onward)</t>
  </si>
  <si>
    <t>Columns S-X on the week tab: Stock In Kenya, Stock In Netherlands, Stock In Other Country, Other Origin (name), Import Destination, Total Imports.</t>
  </si>
  <si>
    <t>Enter import quantities in the blue Kenya / Netherlands / Other columns, type the country in “Other Origin”, then pick the receiving warehouse from the Import Destination dropdown (Arusha / Moro / Dar / Dodoma).</t>
  </si>
  <si>
    <t>Total Imports (X) is a formula and feeds both Total Qty - Week End and the closing stock of the warehouse you selected.</t>
  </si>
  <si>
    <t>If an import quantity is entered without a destination, the Stock Alert column shows “IMPORT NEEDS DESTINATION”.</t>
  </si>
  <si>
    <t>Row 201 totals imports by origin for the week. Duplicate this tab for future weeks so the columns carry forward.</t>
  </si>
  <si>
    <t>Physical Count 27-Aug</t>
  </si>
  <si>
    <t>NOT COUNTED</t>
  </si>
  <si>
    <t>Opening Arusha (21-Aug)</t>
  </si>
  <si>
    <t>System Closing Arusha 29-Aug</t>
  </si>
  <si>
    <t>Variance (Phys - System)</t>
  </si>
  <si>
    <t>SUMMARY</t>
  </si>
  <si>
    <t>Lines</t>
  </si>
  <si>
    <t>Units</t>
  </si>
  <si>
    <t>Products in system list</t>
  </si>
  <si>
    <t>Lines with a physical count on 27-Aug</t>
  </si>
  <si>
    <t>MATCH (count = system)</t>
  </si>
  <si>
    <t>DEFICIT (physical less than system)</t>
  </si>
  <si>
    <t>EXCESS (physical more than system)</t>
  </si>
  <si>
    <t>Net variance (units)</t>
  </si>
  <si>
    <t>Counted blank / #REF! in count sheet</t>
  </si>
  <si>
    <t>Not on the 27-Aug count sheet at all</t>
  </si>
  <si>
    <t>Lines with negative system closing</t>
  </si>
  <si>
    <t>ARUSHA STORE ONLY — Physical count 27-Aug-2026 vs system stock at week end 29-Aug-2026</t>
  </si>
  <si>
    <t>All figures are Arusha store columns only (Opening Arusha, Sales Arusha, Stock Out Arusha, Stock In Arusha, Closing Arusha). Moro, Dar and branch distribution figures are excluded. Variance = Physical count (27-Aug) less System closing Arusha (29-Aug); negative = DEFICIT, positive = EXCESS. Count date is 27-Aug vs closing 29-Aug, so movements booked on 28-29 Aug show as variances.</t>
  </si>
  <si>
    <t>dickson manyara</t>
  </si>
  <si>
    <t>COUNT RECONCILIATION (27-AUG PHYSICAL)</t>
  </si>
  <si>
    <t>Closing Arusha (before count adj)</t>
  </si>
  <si>
    <t>Count Adjustment Arusha</t>
  </si>
  <si>
    <t>Merged COMMERCIAL + CUSTOM&amp;TRIAL lines into one (both Types combined)</t>
  </si>
  <si>
    <t>NOT IN COUNT</t>
  </si>
  <si>
    <t>MATCH</t>
  </si>
  <si>
    <t>Item listed twice in count sheet</t>
  </si>
  <si>
    <t>Static snapshot — values only, no formulas or external links. Extracted from 'HGT Inventory Control System.xlsx' (sheets: 29-AUGUST-2026 + 27-Aug physical count) on 2026-09-08.</t>
  </si>
  <si>
    <t>ERTA ALE</t>
  </si>
  <si>
    <t>20 out to Kenya</t>
  </si>
  <si>
    <t>20 out to Kenya; 6 sent Dodoma</t>
  </si>
  <si>
    <t>Negative carry-in from 29-Aug written off to 0 (Arusha -54, Moro -56)</t>
  </si>
  <si>
    <t>Negative carry-in from 29-Aug written off to 0 (Moro -1)</t>
  </si>
  <si>
    <t>Negative carry-in from 29-Aug written off to 0 (Moro -8)</t>
  </si>
  <si>
    <t>Negative carry-in from 29-Aug written off to 0 (Arusha -6)</t>
  </si>
  <si>
    <t>Negative carry-in from 29-Aug written off to 0 (Arusha 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</si>
</sst>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&quot;-&quot;"/>
  </numFmts>
  <fonts count="22" x14ac:knownFonts="1">
    <font>
      <sz val="11"/>
      <color theme="1"/>
      <name val="Calibri"/>
      <family val="2"/>
      <charset val="1"/>
    </font>
    <font>
      <b/>
      <sz val="16"/>
      <color rgb="FF305496"/>
      <name val="Arial"/>
      <charset val="1"/>
    </font>
    <font>
      <i/>
      <sz val="10"/>
      <color rgb="FF7F7F7F"/>
      <name val="Arial"/>
      <charset val="1"/>
    </font>
    <font>
      <b/>
      <sz val="12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1"/>
      <color rgb="FF7F6000"/>
      <name val="Arial"/>
      <charset val="1"/>
    </font>
    <font>
      <b/>
      <sz val="11"/>
      <name val="Arial"/>
      <charset val="1"/>
    </font>
    <font>
      <b/>
      <sz val="14"/>
      <color rgb="FF305496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0000FF"/>
      <name val="Arial"/>
      <charset val="1"/>
    </font>
    <font>
      <b/>
      <sz val="13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rgb="FF006100"/>
      <name val="Calibri"/>
      <family val="2"/>
      <charset val="1"/>
    </font>
    <font>
      <b/>
      <sz val="10"/>
      <color rgb="FFFFFFFF"/>
      <name val="Arial"/>
    </font>
    <font>
      <sz val="10"/>
      <color theme="1"/>
      <name val="Arial"/>
    </font>
    <font>
      <i/>
      <sz val="10"/>
      <color theme="1"/>
      <name val="Calibri"/>
      <family val="2"/>
      <charset val="1"/>
    </font>
    <font>
      <sz val="10"/>
      <color rgb="FF008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595959"/>
        <bgColor rgb="FF305496"/>
      </patternFill>
    </fill>
    <fill>
      <patternFill patternType="solid">
        <fgColor rgb="FF548235"/>
        <bgColor rgb="FF595959"/>
      </patternFill>
    </fill>
    <fill>
      <patternFill patternType="solid">
        <fgColor rgb="FFBF8F00"/>
        <bgColor rgb="FFFF6600"/>
      </patternFill>
    </fill>
    <fill>
      <patternFill patternType="solid">
        <fgColor rgb="FF30549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0" fillId="6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9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4" fillId="3" borderId="1" xfId="0" applyFont="1" applyFill="1" applyBorder="1"/>
    <xf numFmtId="0" fontId="5" fillId="0" borderId="1" xfId="0" applyFont="1" applyBorder="1"/>
    <xf numFmtId="0" fontId="0" fillId="0" borderId="1" xfId="0" applyBorder="1"/>
    <xf numFmtId="0" fontId="10" fillId="8" borderId="0" xfId="0" applyFont="1" applyFill="1" applyAlignment="1">
      <alignment horizontal="center" vertical="center" wrapText="1"/>
    </xf>
    <xf numFmtId="164" fontId="5" fillId="0" borderId="1" xfId="0" applyNumberFormat="1" applyFont="1" applyBorder="1"/>
    <xf numFmtId="164" fontId="4" fillId="0" borderId="1" xfId="0" applyNumberFormat="1" applyFont="1" applyBorder="1"/>
    <xf numFmtId="164" fontId="11" fillId="0" borderId="0" xfId="0" applyNumberFormat="1" applyFont="1"/>
    <xf numFmtId="164" fontId="13" fillId="0" borderId="0" xfId="0" applyNumberFormat="1" applyFont="1"/>
    <xf numFmtId="0" fontId="11" fillId="0" borderId="0" xfId="0" applyFont="1" applyAlignment="1">
      <alignment horizontal="right"/>
    </xf>
    <xf numFmtId="0" fontId="11" fillId="9" borderId="0" xfId="0" applyFont="1" applyFill="1"/>
    <xf numFmtId="0" fontId="11" fillId="9" borderId="0" xfId="0" applyFont="1" applyFill="1" applyAlignment="1">
      <alignment horizontal="center"/>
    </xf>
    <xf numFmtId="0" fontId="16" fillId="0" borderId="0" xfId="0" applyFont="1"/>
    <xf numFmtId="164" fontId="16" fillId="0" borderId="0" xfId="0" applyNumberFormat="1" applyFont="1"/>
    <xf numFmtId="0" fontId="17" fillId="0" borderId="0" xfId="0" applyFont="1"/>
    <xf numFmtId="164" fontId="17" fillId="0" borderId="0" xfId="0" applyNumberFormat="1" applyFont="1"/>
    <xf numFmtId="164" fontId="0" fillId="0" borderId="0" xfId="0" applyNumberFormat="1"/>
    <xf numFmtId="0" fontId="12" fillId="7" borderId="2" xfId="0" applyFont="1" applyFill="1" applyBorder="1" applyAlignment="1">
      <alignment horizontal="center" wrapText="1"/>
    </xf>
    <xf numFmtId="0" fontId="12" fillId="7" borderId="3" xfId="0" applyFont="1" applyFill="1" applyBorder="1" applyAlignment="1">
      <alignment horizontal="center" wrapText="1"/>
    </xf>
    <xf numFmtId="0" fontId="12" fillId="7" borderId="4" xfId="0" applyFont="1" applyFill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164" fontId="0" fillId="0" borderId="6" xfId="0" applyNumberFormat="1" applyBorder="1"/>
    <xf numFmtId="0" fontId="0" fillId="0" borderId="7" xfId="0" applyBorder="1"/>
    <xf numFmtId="0" fontId="10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10" fillId="4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/>
    </xf>
    <xf numFmtId="0" fontId="14" fillId="0" borderId="0" xfId="0" applyFont="1"/>
    <xf numFmtId="0" fontId="15" fillId="0" borderId="0" xfId="0" applyFont="1"/>
    <xf numFmtId="0" fontId="0" fillId="0" borderId="0" xfId="0"/>
    <xf numFmtId="0" fontId="18" fillId="10" borderId="0" xfId="0" applyFont="1" applyFill="1" applyAlignment="1">
      <alignment horizontal="center" vertical="center" wrapText="1"/>
    </xf>
    <xf numFmtId="0" fontId="18" fillId="10" borderId="0" xfId="0" applyFont="1" applyFill="1" applyAlignment="1">
      <alignment horizontal="center"/>
    </xf>
    <xf numFmtId="164" fontId="19" fillId="0" borderId="0" xfId="0" applyNumberFormat="1" applyFont="1"/>
    <xf numFmtId="0" fontId="14" fillId="0" borderId="0" xfId="0" applyNumberFormat="1" applyFont="1"/>
    <xf numFmtId="0" fontId="15" fillId="0" borderId="0" xfId="0" applyNumberFormat="1" applyFont="1"/>
    <xf numFmtId="0" fontId="11" fillId="9" borderId="0" xfId="0" applyNumberFormat="1" applyFont="1" applyFill="1"/>
    <xf numFmtId="0" fontId="11" fillId="9" borderId="0" xfId="0" applyNumberFormat="1" applyFont="1" applyFill="1" applyAlignment="1">
      <alignment horizontal="center"/>
    </xf>
    <xf numFmtId="0" fontId="0" fillId="0" borderId="0" xfId="0" applyNumberFormat="1"/>
    <xf numFmtId="0" fontId="0" fillId="0" borderId="0" xfId="0" applyNumberFormat="1"/>
    <xf numFmtId="0" fontId="16" fillId="0" borderId="0" xfId="0" applyNumberFormat="1" applyFont="1"/>
    <xf numFmtId="0" fontId="17" fillId="0" borderId="0" xfId="0" applyNumberFormat="1" applyFont="1"/>
    <xf numFmtId="0" fontId="12" fillId="7" borderId="2" xfId="0" applyNumberFormat="1" applyFont="1" applyFill="1" applyBorder="1" applyAlignment="1">
      <alignment horizontal="center" wrapText="1"/>
    </xf>
    <xf numFmtId="0" fontId="12" fillId="7" borderId="3" xfId="0" applyNumberFormat="1" applyFont="1" applyFill="1" applyBorder="1" applyAlignment="1">
      <alignment horizontal="center" wrapText="1"/>
    </xf>
    <xf numFmtId="0" fontId="12" fillId="7" borderId="4" xfId="0" applyNumberFormat="1" applyFont="1" applyFill="1" applyBorder="1" applyAlignment="1">
      <alignment horizontal="center" wrapText="1"/>
    </xf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20" fillId="0" borderId="0" xfId="0" applyNumberFormat="1" applyFont="1" applyFill="1" applyBorder="1"/>
    <xf numFmtId="0" fontId="21" fillId="0" borderId="1" xfId="0" applyFont="1" applyBorder="1"/>
  </cellXfs>
  <cellStyles count="1">
    <cellStyle name="Normal" xfId="0" builtinId="0"/>
  </cellStyles>
  <dxfs count="31"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name val="Arial"/>
        <charset val="1"/>
      </font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BF8F00"/>
      <rgbColor rgb="FFFF6600"/>
      <rgbColor rgb="FF595959"/>
      <rgbColor rgb="FF878787"/>
      <rgbColor rgb="FF003366"/>
      <rgbColor rgb="FF548235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Warehouse Stock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Dashboard!$B$11</c:f>
              <c:strCache>
                <c:ptCount val="1"/>
                <c:pt idx="0">
                  <c:v>Total Closing Stock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Dashboard!$A$12:$A$21</c:f>
              <c:strCache>
                <c:ptCount val="10"/>
                <c:pt idx="0">
                  <c:v>26 june</c:v>
                </c:pt>
                <c:pt idx="1">
                  <c:v>3-july2026</c:v>
                </c:pt>
                <c:pt idx="2">
                  <c:v>10-JULY2026</c:v>
                </c:pt>
                <c:pt idx="3">
                  <c:v>17-july2026</c:v>
                </c:pt>
                <c:pt idx="4">
                  <c:v>24-july-2026</c:v>
                </c:pt>
                <c:pt idx="5">
                  <c:v>31-july-2026</c:v>
                </c:pt>
                <c:pt idx="6">
                  <c:v>8-august-2026</c:v>
                </c:pt>
                <c:pt idx="7">
                  <c:v>15-august-2026</c:v>
                </c:pt>
                <c:pt idx="8">
                  <c:v>21-AUGUST-2026</c:v>
                </c:pt>
                <c:pt idx="9">
                  <c:v>29-AUGUST-2026</c:v>
                </c:pt>
              </c:strCache>
            </c:strRef>
          </c:cat>
          <c:val>
            <c:numRef>
              <c:f>Dashboard!$B$12:$B$21</c:f>
              <c:numCache>
                <c:formatCode>General</c:formatCode>
                <c:ptCount val="10"/>
                <c:pt idx="0">
                  <c:v>12222</c:v>
                </c:pt>
                <c:pt idx="1">
                  <c:v>11547</c:v>
                </c:pt>
                <c:pt idx="2">
                  <c:v>11243</c:v>
                </c:pt>
                <c:pt idx="3">
                  <c:v>10395</c:v>
                </c:pt>
                <c:pt idx="4">
                  <c:v>22568</c:v>
                </c:pt>
                <c:pt idx="5">
                  <c:v>19078</c:v>
                </c:pt>
                <c:pt idx="6">
                  <c:v>18321</c:v>
                </c:pt>
                <c:pt idx="7">
                  <c:v>16777</c:v>
                </c:pt>
                <c:pt idx="8">
                  <c:v>15770</c:v>
                </c:pt>
                <c:pt idx="9">
                  <c:v>21401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1F-4F29-B0A1-7E6ED16F2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866179"/>
        <c:axId val="5997570"/>
      </c:lineChart>
      <c:catAx>
        <c:axId val="788661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97570"/>
        <c:crosses val="autoZero"/>
        <c:auto val="1"/>
        <c:lblAlgn val="ctr"/>
        <c:lblOffset val="100"/>
        <c:noMultiLvlLbl val="0"/>
      </c:catAx>
      <c:valAx>
        <c:axId val="59975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8661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131040</xdr:rowOff>
    </xdr:from>
    <xdr:to>
      <xdr:col>15</xdr:col>
      <xdr:colOff>473040</xdr:colOff>
      <xdr:row>20</xdr:row>
      <xdr:rowOff>182160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African eggplant BENUE F1</v>
          </cell>
          <cell r="B2">
            <v>100</v>
          </cell>
          <cell r="C2">
            <v>0</v>
          </cell>
          <cell r="D2" t="str">
            <v>African eggplant BENUE F1|100</v>
          </cell>
        </row>
        <row r="3">
          <cell r="A3" t="str">
            <v>African eggplant KAZINGA RZ F1</v>
          </cell>
          <cell r="B3">
            <v>100</v>
          </cell>
          <cell r="C3">
            <v>0</v>
          </cell>
          <cell r="D3" t="str">
            <v>African eggplant KAZINGA RZ F1|100</v>
          </cell>
        </row>
        <row r="4">
          <cell r="A4" t="str">
            <v>African eggplant KERIO RZ F1</v>
          </cell>
          <cell r="B4">
            <v>100</v>
          </cell>
          <cell r="C4">
            <v>0</v>
          </cell>
          <cell r="D4" t="str">
            <v>African eggplant KERIO RZ F1|100</v>
          </cell>
        </row>
        <row r="5">
          <cell r="A5" t="str">
            <v>African eggplant LIMPOPO RZ F3</v>
          </cell>
          <cell r="B5">
            <v>100</v>
          </cell>
          <cell r="C5">
            <v>5</v>
          </cell>
          <cell r="D5" t="str">
            <v>African eggplant LIMPOPO RZ F3|100</v>
          </cell>
        </row>
        <row r="6">
          <cell r="A6" t="str">
            <v>African hot pepper AFADJA RZ F7</v>
          </cell>
          <cell r="B6">
            <v>100</v>
          </cell>
          <cell r="C6">
            <v>150</v>
          </cell>
          <cell r="D6" t="str">
            <v>African hot pepper AFADJA RZ F7|100</v>
          </cell>
        </row>
        <row r="7">
          <cell r="A7" t="str">
            <v>African hot pepper AFADJA RZ F7</v>
          </cell>
          <cell r="B7">
            <v>500</v>
          </cell>
          <cell r="C7">
            <v>0</v>
          </cell>
          <cell r="D7" t="str">
            <v>African hot pepper AFADJA RZ F7|500</v>
          </cell>
        </row>
        <row r="8">
          <cell r="A8" t="str">
            <v>African hot pepper LENGAI RZ F2</v>
          </cell>
          <cell r="B8">
            <v>100</v>
          </cell>
          <cell r="C8">
            <v>330</v>
          </cell>
          <cell r="D8" t="str">
            <v>African hot pepper LENGAI RZ F2|100</v>
          </cell>
        </row>
        <row r="9">
          <cell r="A9" t="str">
            <v>African hot pepper LENGAI RZ F3</v>
          </cell>
          <cell r="B9">
            <v>500</v>
          </cell>
          <cell r="C9">
            <v>8</v>
          </cell>
          <cell r="D9" t="str">
            <v>African hot pepper LENGAI RZ F3|500</v>
          </cell>
        </row>
        <row r="10">
          <cell r="A10" t="str">
            <v>African Hot Pepper Loleza RZ</v>
          </cell>
          <cell r="B10">
            <v>100</v>
          </cell>
          <cell r="C10">
            <v>4325</v>
          </cell>
          <cell r="D10" t="str">
            <v>African Hot Pepper Loleza RZ|100</v>
          </cell>
        </row>
        <row r="11">
          <cell r="A11" t="str">
            <v>African Hot Pepper Loleza RZ</v>
          </cell>
          <cell r="B11">
            <v>500</v>
          </cell>
          <cell r="C11" t="str">
            <v>NOT COUNTED</v>
          </cell>
          <cell r="D11" t="str">
            <v>African Hot Pepper Loleza RZ|500</v>
          </cell>
        </row>
        <row r="12">
          <cell r="A12" t="str">
            <v>African Hot Pepper Mawenzili</v>
          </cell>
          <cell r="B12">
            <v>100</v>
          </cell>
          <cell r="C12">
            <v>23</v>
          </cell>
          <cell r="D12" t="str">
            <v>African Hot Pepper Mawenzili|100</v>
          </cell>
        </row>
        <row r="13">
          <cell r="A13" t="str">
            <v>African Hot Pepper Mawenzili</v>
          </cell>
          <cell r="B13">
            <v>1000</v>
          </cell>
          <cell r="C13">
            <v>0</v>
          </cell>
          <cell r="D13" t="str">
            <v>African Hot Pepper Mawenzili|1000</v>
          </cell>
        </row>
        <row r="14">
          <cell r="A14" t="str">
            <v>Aubergine BRIGITTE RZ F2</v>
          </cell>
          <cell r="B14">
            <v>100</v>
          </cell>
          <cell r="C14">
            <v>1</v>
          </cell>
          <cell r="D14" t="str">
            <v>Aubergine BRIGITTE RZ F2|100</v>
          </cell>
        </row>
        <row r="15">
          <cell r="A15" t="str">
            <v>Aubergine FANTASTIC RZ F3</v>
          </cell>
          <cell r="B15">
            <v>100</v>
          </cell>
          <cell r="C15">
            <v>77</v>
          </cell>
          <cell r="D15" t="str">
            <v>Aubergine FANTASTIC RZ F3|100</v>
          </cell>
        </row>
        <row r="16">
          <cell r="A16" t="str">
            <v>Batavia lettuce INVICTA RZ</v>
          </cell>
          <cell r="B16">
            <v>1000</v>
          </cell>
          <cell r="C16">
            <v>0</v>
          </cell>
          <cell r="D16" t="str">
            <v>Batavia lettuce INVICTA RZ|1000</v>
          </cell>
        </row>
        <row r="17">
          <cell r="A17" t="str">
            <v>Batavia lettuce TOURBILLON RZ</v>
          </cell>
          <cell r="B17">
            <v>1000</v>
          </cell>
          <cell r="C17">
            <v>23</v>
          </cell>
          <cell r="D17" t="str">
            <v>Batavia lettuce TOURBILLON RZ|1000</v>
          </cell>
        </row>
        <row r="18">
          <cell r="A18" t="str">
            <v>Beetroot Zeppo</v>
          </cell>
          <cell r="B18">
            <v>25000</v>
          </cell>
          <cell r="C18">
            <v>2</v>
          </cell>
          <cell r="D18" t="str">
            <v>Beetroot Zeppo|25000</v>
          </cell>
        </row>
        <row r="19">
          <cell r="A19" t="str">
            <v>Beetroot LARKA RZ</v>
          </cell>
          <cell r="B19">
            <v>25000</v>
          </cell>
          <cell r="C19">
            <v>4</v>
          </cell>
          <cell r="D19" t="str">
            <v>Beetroot LARKA RZ|25000</v>
          </cell>
        </row>
        <row r="20">
          <cell r="A20" t="str">
            <v>Blanched celery KYLIAN RZ</v>
          </cell>
          <cell r="B20">
            <v>1000</v>
          </cell>
          <cell r="C20">
            <v>10</v>
          </cell>
          <cell r="D20" t="str">
            <v>Blanched celery KYLIAN RZ|1000</v>
          </cell>
        </row>
        <row r="21">
          <cell r="A21" t="str">
            <v>Broccoli TAHOE RZ F3</v>
          </cell>
          <cell r="B21">
            <v>1000</v>
          </cell>
          <cell r="C21">
            <v>31</v>
          </cell>
          <cell r="D21" t="str">
            <v>Broccoli TAHOE RZ F3|1000</v>
          </cell>
        </row>
        <row r="22">
          <cell r="A22" t="str">
            <v>Cauliflower CASPER RZ F1</v>
          </cell>
          <cell r="B22">
            <v>1000</v>
          </cell>
          <cell r="C22">
            <v>17</v>
          </cell>
          <cell r="D22" t="str">
            <v>Cauliflower CASPER RZ F1|1000</v>
          </cell>
        </row>
        <row r="23">
          <cell r="A23" t="str">
            <v>Cauliflower MONEERA RZ F4</v>
          </cell>
          <cell r="B23">
            <v>1000</v>
          </cell>
          <cell r="C23">
            <v>2</v>
          </cell>
          <cell r="D23" t="str">
            <v>Cauliflower MONEERA RZ F4|1000</v>
          </cell>
        </row>
        <row r="24">
          <cell r="A24" t="str">
            <v>Cucumber LARINO RZ F1</v>
          </cell>
          <cell r="B24">
            <v>100</v>
          </cell>
          <cell r="C24">
            <v>5</v>
          </cell>
          <cell r="D24" t="str">
            <v>Cucumber LARINO RZ F1|100</v>
          </cell>
        </row>
        <row r="25">
          <cell r="A25" t="str">
            <v>Cos lettuce MAXIMUS RZ</v>
          </cell>
          <cell r="B25">
            <v>1000</v>
          </cell>
          <cell r="C25">
            <v>0</v>
          </cell>
          <cell r="D25" t="str">
            <v>Cos lettuce MAXIMUS RZ|1000</v>
          </cell>
        </row>
        <row r="26">
          <cell r="A26" t="str">
            <v>Hot pepper HABIB RZ F1</v>
          </cell>
          <cell r="B26">
            <v>100</v>
          </cell>
          <cell r="C26">
            <v>113</v>
          </cell>
          <cell r="D26" t="str">
            <v>Hot pepper HABIB RZ F1|100</v>
          </cell>
        </row>
        <row r="27">
          <cell r="A27" t="str">
            <v>Hot pepper MEXTIZO RZ F3</v>
          </cell>
          <cell r="B27">
            <v>500</v>
          </cell>
          <cell r="C27">
            <v>6</v>
          </cell>
          <cell r="D27" t="str">
            <v>Hot pepper MEXTIZO RZ F3|500</v>
          </cell>
        </row>
        <row r="28">
          <cell r="A28" t="str">
            <v>Hot pepper MEXTIZO RZ F4</v>
          </cell>
          <cell r="B28">
            <v>100</v>
          </cell>
          <cell r="C28">
            <v>98</v>
          </cell>
          <cell r="D28" t="str">
            <v>Hot pepper MEXTIZO RZ F4|100</v>
          </cell>
        </row>
        <row r="29">
          <cell r="A29" t="str">
            <v>Iceberg lettuce Bruma RZ</v>
          </cell>
          <cell r="B29">
            <v>1000</v>
          </cell>
          <cell r="C29" t="str">
            <v>NOT COUNTED</v>
          </cell>
          <cell r="D29" t="str">
            <v>Iceberg lettuce Bruma RZ|1000</v>
          </cell>
        </row>
        <row r="30">
          <cell r="A30" t="str">
            <v>Kohl Rabi Eder RZ F2</v>
          </cell>
          <cell r="B30">
            <v>1000</v>
          </cell>
          <cell r="C30">
            <v>4</v>
          </cell>
          <cell r="D30" t="str">
            <v>Kohl Rabi Eder RZ F2|1000</v>
          </cell>
        </row>
        <row r="31">
          <cell r="A31" t="str">
            <v>Kohl Rabi Ukza RZ F1</v>
          </cell>
          <cell r="B31">
            <v>100</v>
          </cell>
          <cell r="C31">
            <v>1</v>
          </cell>
          <cell r="D31" t="str">
            <v>Kohl Rabi Ukza RZ F1|100</v>
          </cell>
        </row>
        <row r="32">
          <cell r="A32" t="str">
            <v>Leaf lettuce CONCORDE RZ</v>
          </cell>
          <cell r="B32">
            <v>1000</v>
          </cell>
          <cell r="C32">
            <v>26</v>
          </cell>
          <cell r="D32" t="str">
            <v>Leaf lettuce CONCORDE RZ|1000</v>
          </cell>
        </row>
        <row r="33">
          <cell r="A33" t="str">
            <v>Long cucumber BOLOGNA RZ F1</v>
          </cell>
          <cell r="B33">
            <v>100</v>
          </cell>
          <cell r="C33">
            <v>57</v>
          </cell>
          <cell r="D33" t="str">
            <v>Long cucumber BOLOGNA RZ F1|100</v>
          </cell>
        </row>
        <row r="34">
          <cell r="A34" t="str">
            <v>Melon ALPES RZ F1</v>
          </cell>
          <cell r="B34">
            <v>100</v>
          </cell>
          <cell r="C34">
            <v>29</v>
          </cell>
          <cell r="D34" t="str">
            <v>Melon ALPES RZ F1|100</v>
          </cell>
        </row>
        <row r="35">
          <cell r="A35" t="str">
            <v>Melon CARIBBEAN GOLD RZ F6</v>
          </cell>
          <cell r="B35">
            <v>100</v>
          </cell>
          <cell r="C35">
            <v>94</v>
          </cell>
          <cell r="D35" t="str">
            <v>Melon CARIBBEAN GOLD RZ F6|100</v>
          </cell>
        </row>
        <row r="36">
          <cell r="A36" t="str">
            <v>Melon CARIBBEAN KING RZ F2</v>
          </cell>
          <cell r="B36">
            <v>100</v>
          </cell>
          <cell r="C36">
            <v>126</v>
          </cell>
          <cell r="D36" t="str">
            <v>Melon CARIBBEAN KING RZ F2|100</v>
          </cell>
        </row>
        <row r="37">
          <cell r="A37" t="str">
            <v>Melon GLADIAL RZ F1</v>
          </cell>
          <cell r="B37">
            <v>100</v>
          </cell>
          <cell r="C37">
            <v>8</v>
          </cell>
          <cell r="D37" t="str">
            <v>Melon GLADIAL RZ F1|100</v>
          </cell>
        </row>
        <row r="38">
          <cell r="A38" t="str">
            <v>Melon GLADIAL RZ F16</v>
          </cell>
          <cell r="B38">
            <v>1000</v>
          </cell>
          <cell r="C38" t="str">
            <v>NOT COUNTED</v>
          </cell>
          <cell r="D38" t="str">
            <v>Melon GLADIAL RZ F16|1000</v>
          </cell>
        </row>
        <row r="39">
          <cell r="A39" t="str">
            <v>Melon GLADIAL RZ F17</v>
          </cell>
          <cell r="B39">
            <v>500</v>
          </cell>
          <cell r="C39" t="str">
            <v>NOT COUNTED</v>
          </cell>
          <cell r="D39" t="str">
            <v>Melon GLADIAL RZ F17|500</v>
          </cell>
        </row>
        <row r="40">
          <cell r="A40" t="str">
            <v>Oak leaf lettuce KRISTINE RZ</v>
          </cell>
          <cell r="B40">
            <v>1000</v>
          </cell>
          <cell r="C40">
            <v>20</v>
          </cell>
          <cell r="D40" t="str">
            <v>Oak leaf lettuce KRISTINE RZ|1000</v>
          </cell>
        </row>
        <row r="41">
          <cell r="A41" t="str">
            <v>Oak leaf lettuce MONDAI RZ</v>
          </cell>
          <cell r="B41">
            <v>1000</v>
          </cell>
          <cell r="C41" t="str">
            <v>NOT COUNTED</v>
          </cell>
          <cell r="D41" t="str">
            <v>Oak leaf lettuce MONDAI RZ|1000</v>
          </cell>
        </row>
        <row r="42">
          <cell r="A42" t="str">
            <v>Slicer cucumber MYDAS RZ F1</v>
          </cell>
          <cell r="B42">
            <v>100</v>
          </cell>
          <cell r="C42">
            <v>3665</v>
          </cell>
          <cell r="D42" t="str">
            <v>Slicer cucumber MYDAS RZ F1|100</v>
          </cell>
        </row>
        <row r="43">
          <cell r="A43" t="str">
            <v>Slicer cucumber MYDAS RZ F1</v>
          </cell>
          <cell r="B43">
            <v>500</v>
          </cell>
          <cell r="C43" t="str">
            <v>NOT COUNTED</v>
          </cell>
          <cell r="D43" t="str">
            <v>Slicer cucumber MYDAS RZ F1|500</v>
          </cell>
        </row>
        <row r="44">
          <cell r="A44" t="str">
            <v>Sweet pepper ILANGA RZ F9</v>
          </cell>
          <cell r="B44">
            <v>100</v>
          </cell>
          <cell r="C44">
            <v>165</v>
          </cell>
          <cell r="D44" t="str">
            <v>Sweet pepper ILANGA RZ F9|100</v>
          </cell>
        </row>
        <row r="45">
          <cell r="A45" t="str">
            <v>Sweet pepper MASSILIA RZ F6</v>
          </cell>
          <cell r="B45">
            <v>100</v>
          </cell>
          <cell r="C45" t="str">
            <v>NOT COUNTED</v>
          </cell>
          <cell r="D45" t="str">
            <v>Sweet pepper MASSILIA RZ F6|100</v>
          </cell>
        </row>
        <row r="46">
          <cell r="A46" t="str">
            <v>Sweet pepper PASARELLA RZ F8</v>
          </cell>
          <cell r="B46">
            <v>100</v>
          </cell>
          <cell r="C46" t="str">
            <v>NOT COUNTED</v>
          </cell>
          <cell r="D46" t="str">
            <v>Sweet pepper PASARELLA RZ F8|100</v>
          </cell>
        </row>
        <row r="47">
          <cell r="A47" t="str">
            <v>Sweet pepper RED JET RZ F8</v>
          </cell>
          <cell r="B47">
            <v>500</v>
          </cell>
          <cell r="C47" t="str">
            <v>NOT COUNTED</v>
          </cell>
          <cell r="D47" t="str">
            <v>Sweet pepper RED JET RZ F8|500</v>
          </cell>
        </row>
        <row r="48">
          <cell r="A48" t="str">
            <v>Sweet pepper RED JET RZ F9</v>
          </cell>
          <cell r="B48">
            <v>100</v>
          </cell>
          <cell r="C48">
            <v>149</v>
          </cell>
          <cell r="D48" t="str">
            <v>Sweet pepper RED JET RZ F9|100</v>
          </cell>
        </row>
        <row r="49">
          <cell r="A49" t="str">
            <v>Sweet pepper Reggaeton</v>
          </cell>
          <cell r="B49">
            <v>100</v>
          </cell>
          <cell r="C49">
            <v>8</v>
          </cell>
          <cell r="D49" t="str">
            <v>Sweet pepper Reggaeton|100</v>
          </cell>
        </row>
        <row r="50">
          <cell r="A50" t="str">
            <v>Sweet pepper Snack Triora</v>
          </cell>
          <cell r="B50">
            <v>100</v>
          </cell>
          <cell r="C50">
            <v>13</v>
          </cell>
          <cell r="D50" t="str">
            <v>Sweet pepper Snack Triora|100</v>
          </cell>
        </row>
        <row r="51">
          <cell r="A51" t="str">
            <v>Sweet pepper Snack Triyello</v>
          </cell>
          <cell r="B51">
            <v>100</v>
          </cell>
          <cell r="C51">
            <v>13</v>
          </cell>
          <cell r="D51" t="str">
            <v>Sweet pepper Snack Triyello|100</v>
          </cell>
        </row>
        <row r="52">
          <cell r="A52" t="str">
            <v>Tomato Amburana</v>
          </cell>
          <cell r="B52">
            <v>100</v>
          </cell>
          <cell r="C52">
            <v>127</v>
          </cell>
          <cell r="D52" t="str">
            <v>Tomato Amburana|100</v>
          </cell>
        </row>
        <row r="53">
          <cell r="A53" t="str">
            <v>Tomato FORTESA RZ F4</v>
          </cell>
          <cell r="B53">
            <v>100</v>
          </cell>
          <cell r="C53">
            <v>5</v>
          </cell>
          <cell r="D53" t="str">
            <v>Tomato FORTESA RZ F4|100</v>
          </cell>
        </row>
        <row r="54">
          <cell r="A54" t="str">
            <v>Tomato GAMHAR RZ F7</v>
          </cell>
          <cell r="B54">
            <v>500</v>
          </cell>
          <cell r="C54">
            <v>110</v>
          </cell>
          <cell r="D54" t="str">
            <v>Tomato GAMHAR RZ F7|500</v>
          </cell>
        </row>
        <row r="55">
          <cell r="A55" t="str">
            <v>Tomato GAMHAR RZ F7</v>
          </cell>
          <cell r="B55">
            <v>1000</v>
          </cell>
          <cell r="C55">
            <v>460</v>
          </cell>
          <cell r="D55" t="str">
            <v>Tomato GAMHAR RZ F7|1000</v>
          </cell>
        </row>
        <row r="56">
          <cell r="A56" t="str">
            <v>Tomato GAMHAR RZ F7</v>
          </cell>
          <cell r="B56">
            <v>100</v>
          </cell>
          <cell r="C56">
            <v>513</v>
          </cell>
          <cell r="D56" t="str">
            <v>Tomato GAMHAR RZ F7|100</v>
          </cell>
        </row>
        <row r="57">
          <cell r="A57" t="str">
            <v>Tomato JARRAH RZ F2</v>
          </cell>
          <cell r="B57">
            <v>1000</v>
          </cell>
          <cell r="C57">
            <v>1360</v>
          </cell>
          <cell r="D57" t="str">
            <v>Tomato JARRAH RZ F2|1000</v>
          </cell>
        </row>
        <row r="58">
          <cell r="A58" t="str">
            <v>Tomato JARRAH RZ F3</v>
          </cell>
          <cell r="B58">
            <v>100</v>
          </cell>
          <cell r="C58">
            <v>5604</v>
          </cell>
          <cell r="D58" t="str">
            <v>Tomato JARRAH RZ F3|100</v>
          </cell>
        </row>
        <row r="59">
          <cell r="A59" t="str">
            <v>Tomato PRIMARINO RZ F6</v>
          </cell>
          <cell r="B59">
            <v>100</v>
          </cell>
          <cell r="C59">
            <v>22</v>
          </cell>
          <cell r="D59" t="str">
            <v>Tomato PRIMARINO RZ F6|100</v>
          </cell>
        </row>
        <row r="60">
          <cell r="A60" t="str">
            <v>Tomato UWEZO RZ F4</v>
          </cell>
          <cell r="B60">
            <v>100</v>
          </cell>
          <cell r="C60">
            <v>244</v>
          </cell>
          <cell r="D60" t="str">
            <v>Tomato UWEZO RZ F4|100</v>
          </cell>
        </row>
        <row r="61">
          <cell r="A61" t="str">
            <v>Tomato VALOURO RZ F1</v>
          </cell>
          <cell r="B61">
            <v>100</v>
          </cell>
          <cell r="C61">
            <v>28</v>
          </cell>
          <cell r="D61" t="str">
            <v>Tomato VALOURO RZ F1|100</v>
          </cell>
        </row>
        <row r="62">
          <cell r="A62" t="str">
            <v>Tomato MONTEAZUL RZ F3</v>
          </cell>
          <cell r="B62">
            <v>100</v>
          </cell>
          <cell r="C62" t="str">
            <v>NOT COUNTED</v>
          </cell>
          <cell r="D62" t="str">
            <v>Tomato MONTEAZUL RZ F3|100</v>
          </cell>
        </row>
        <row r="63">
          <cell r="A63" t="str">
            <v>White cabbage TOUGHMA RZ F3</v>
          </cell>
          <cell r="B63">
            <v>1000</v>
          </cell>
          <cell r="C63">
            <v>13</v>
          </cell>
          <cell r="D63" t="str">
            <v>White cabbage TOUGHMA RZ F3|1000</v>
          </cell>
        </row>
        <row r="64">
          <cell r="A64" t="str">
            <v>White cabbage-Bluesma</v>
          </cell>
          <cell r="B64">
            <v>1000</v>
          </cell>
          <cell r="C64">
            <v>1</v>
          </cell>
          <cell r="D64" t="str">
            <v>White cabbage-Bluesma|1000</v>
          </cell>
        </row>
        <row r="65">
          <cell r="A65" t="str">
            <v>White cabbage-Swingma</v>
          </cell>
          <cell r="B65">
            <v>1000</v>
          </cell>
          <cell r="C65">
            <v>3</v>
          </cell>
          <cell r="D65" t="str">
            <v>White cabbage-Swingma|1000</v>
          </cell>
        </row>
        <row r="66">
          <cell r="A66" t="str">
            <v>White cabbage-TACOMA</v>
          </cell>
          <cell r="B66">
            <v>1000</v>
          </cell>
          <cell r="C66">
            <v>2</v>
          </cell>
          <cell r="D66" t="str">
            <v>White cabbage-TACOMA|1000</v>
          </cell>
        </row>
        <row r="67">
          <cell r="A67" t="str">
            <v>White cabbage-Twistma</v>
          </cell>
          <cell r="B67">
            <v>1000</v>
          </cell>
          <cell r="C67">
            <v>18</v>
          </cell>
          <cell r="D67" t="str">
            <v>White cabbage-Twistma|1000</v>
          </cell>
        </row>
        <row r="68">
          <cell r="A68" t="str">
            <v>Red cabbage - redma</v>
          </cell>
          <cell r="B68">
            <v>1000</v>
          </cell>
          <cell r="C68">
            <v>13</v>
          </cell>
          <cell r="D68" t="str">
            <v>Red cabbage - redma|1000</v>
          </cell>
        </row>
        <row r="69">
          <cell r="A69" t="str">
            <v>Fennel BOELLI</v>
          </cell>
          <cell r="B69">
            <v>1000</v>
          </cell>
          <cell r="C69">
            <v>1</v>
          </cell>
          <cell r="D69" t="str">
            <v>Fennel BOELLI|1000</v>
          </cell>
        </row>
        <row r="70">
          <cell r="A70" t="str">
            <v>Alpes</v>
          </cell>
          <cell r="B70">
            <v>1000</v>
          </cell>
          <cell r="C70">
            <v>8</v>
          </cell>
          <cell r="D70" t="str">
            <v>Alpes|1000</v>
          </cell>
        </row>
        <row r="71">
          <cell r="A71" t="str">
            <v>Trianum</v>
          </cell>
          <cell r="B71" t="str">
            <v>500g</v>
          </cell>
          <cell r="C71" t="str">
            <v>NOT COUNTED</v>
          </cell>
          <cell r="D71" t="str">
            <v>Trianum|500g</v>
          </cell>
        </row>
        <row r="72">
          <cell r="A72" t="str">
            <v>Tropical Sunshine</v>
          </cell>
          <cell r="B72">
            <v>100</v>
          </cell>
          <cell r="C72">
            <v>70</v>
          </cell>
          <cell r="D72" t="str">
            <v>Tropical Sunshine|100</v>
          </cell>
        </row>
        <row r="73">
          <cell r="A73" t="str">
            <v>Morgan</v>
          </cell>
          <cell r="B73">
            <v>100</v>
          </cell>
          <cell r="C73">
            <v>117</v>
          </cell>
          <cell r="D73" t="str">
            <v>Morgan|100</v>
          </cell>
        </row>
        <row r="74">
          <cell r="A74" t="str">
            <v>Bravura</v>
          </cell>
          <cell r="B74">
            <v>1000</v>
          </cell>
          <cell r="C74">
            <v>9</v>
          </cell>
          <cell r="D74" t="str">
            <v>Bravura|1000</v>
          </cell>
        </row>
        <row r="75">
          <cell r="A75" t="str">
            <v>Allegreto</v>
          </cell>
          <cell r="B75">
            <v>1000</v>
          </cell>
          <cell r="C75">
            <v>8</v>
          </cell>
          <cell r="D75" t="str">
            <v>Allegreto|1000</v>
          </cell>
        </row>
        <row r="76">
          <cell r="A76" t="str">
            <v>Baronesa</v>
          </cell>
          <cell r="B76">
            <v>100</v>
          </cell>
          <cell r="C76" t="str">
            <v>NOT COUNTED</v>
          </cell>
          <cell r="D76" t="str">
            <v>Baronesa|100</v>
          </cell>
        </row>
        <row r="77">
          <cell r="A77" t="str">
            <v>Horiver Yellow</v>
          </cell>
          <cell r="B77">
            <v>0</v>
          </cell>
          <cell r="C77">
            <v>45</v>
          </cell>
          <cell r="D77" t="str">
            <v>Horiver Yellow|0</v>
          </cell>
        </row>
        <row r="78">
          <cell r="A78" t="str">
            <v>Horiver Blue</v>
          </cell>
          <cell r="B78">
            <v>0</v>
          </cell>
          <cell r="C78">
            <v>108</v>
          </cell>
          <cell r="D78" t="str">
            <v>Horiver Blue|0</v>
          </cell>
        </row>
        <row r="79">
          <cell r="A79" t="str">
            <v>PEATMOSS</v>
          </cell>
          <cell r="B79" t="str">
            <v>45KG</v>
          </cell>
          <cell r="C79">
            <v>442</v>
          </cell>
          <cell r="D79" t="str">
            <v>PEATMOSS|45KG</v>
          </cell>
        </row>
        <row r="80">
          <cell r="A80" t="str">
            <v>GREEN HOUSE</v>
          </cell>
          <cell r="B80" t="str">
            <v>NOT COMPLETE</v>
          </cell>
          <cell r="C80">
            <v>1</v>
          </cell>
          <cell r="D80" t="str">
            <v>GREEN HOUSE|NOT COMPLETE</v>
          </cell>
        </row>
        <row r="81">
          <cell r="A81" t="str">
            <v>DRIP KIT DK500-G</v>
          </cell>
          <cell r="B81">
            <v>0</v>
          </cell>
          <cell r="C81">
            <v>2</v>
          </cell>
          <cell r="D81" t="str">
            <v>DRIP KIT DK500-G|0</v>
          </cell>
        </row>
        <row r="82">
          <cell r="A82" t="str">
            <v>Afadja</v>
          </cell>
          <cell r="B82">
            <v>500</v>
          </cell>
          <cell r="C82">
            <v>0</v>
          </cell>
          <cell r="D82" t="str">
            <v>Afadja|500</v>
          </cell>
        </row>
        <row r="83">
          <cell r="A83" t="str">
            <v>Allegreto</v>
          </cell>
          <cell r="B83">
            <v>1000</v>
          </cell>
          <cell r="C83">
            <v>1</v>
          </cell>
          <cell r="D83" t="str">
            <v>Allegreto|1000</v>
          </cell>
        </row>
        <row r="84">
          <cell r="A84" t="str">
            <v>amburana</v>
          </cell>
          <cell r="B84">
            <v>500</v>
          </cell>
          <cell r="C84">
            <v>1</v>
          </cell>
          <cell r="D84" t="str">
            <v>amburana|500</v>
          </cell>
        </row>
        <row r="85">
          <cell r="A85" t="str">
            <v>amburana</v>
          </cell>
          <cell r="B85">
            <v>100</v>
          </cell>
          <cell r="C85">
            <v>18</v>
          </cell>
          <cell r="D85" t="str">
            <v>amburana|100</v>
          </cell>
        </row>
        <row r="86">
          <cell r="A86" t="str">
            <v>benue</v>
          </cell>
          <cell r="B86">
            <v>100</v>
          </cell>
          <cell r="C86">
            <v>1</v>
          </cell>
          <cell r="D86" t="str">
            <v>benue|100</v>
          </cell>
        </row>
        <row r="87">
          <cell r="A87" t="str">
            <v>Brigitte</v>
          </cell>
          <cell r="B87">
            <v>100</v>
          </cell>
          <cell r="C87">
            <v>9</v>
          </cell>
          <cell r="D87" t="str">
            <v>Brigitte|100</v>
          </cell>
        </row>
        <row r="88">
          <cell r="A88" t="str">
            <v>Caribbean Gold</v>
          </cell>
          <cell r="B88">
            <v>100</v>
          </cell>
          <cell r="C88">
            <v>1</v>
          </cell>
          <cell r="D88" t="str">
            <v>Caribbean Gold|100</v>
          </cell>
        </row>
        <row r="89">
          <cell r="A89" t="str">
            <v>Caribbean king</v>
          </cell>
          <cell r="B89">
            <v>100</v>
          </cell>
          <cell r="C89">
            <v>1</v>
          </cell>
          <cell r="D89" t="str">
            <v>Caribbean king|100</v>
          </cell>
        </row>
        <row r="90">
          <cell r="A90" t="str">
            <v>fantastic</v>
          </cell>
          <cell r="B90">
            <v>100</v>
          </cell>
          <cell r="C90">
            <v>2</v>
          </cell>
          <cell r="D90" t="str">
            <v>fantastic|100</v>
          </cell>
        </row>
        <row r="91">
          <cell r="A91" t="str">
            <v>Gamhar</v>
          </cell>
          <cell r="B91">
            <v>100</v>
          </cell>
          <cell r="C91">
            <v>7</v>
          </cell>
          <cell r="D91" t="str">
            <v>Gamhar|100</v>
          </cell>
        </row>
        <row r="92">
          <cell r="A92" t="str">
            <v>Gladial</v>
          </cell>
          <cell r="B92">
            <v>100</v>
          </cell>
          <cell r="C92">
            <v>2</v>
          </cell>
          <cell r="D92" t="str">
            <v>Gladial|100</v>
          </cell>
        </row>
        <row r="93">
          <cell r="A93" t="str">
            <v>Ilanga</v>
          </cell>
          <cell r="B93">
            <v>100</v>
          </cell>
          <cell r="C93">
            <v>3</v>
          </cell>
          <cell r="D93" t="str">
            <v>Ilanga|100</v>
          </cell>
        </row>
        <row r="94">
          <cell r="A94" t="str">
            <v>Jarrah</v>
          </cell>
          <cell r="B94">
            <v>100</v>
          </cell>
          <cell r="C94">
            <v>4</v>
          </cell>
          <cell r="D94" t="str">
            <v>Jarrah|100</v>
          </cell>
        </row>
        <row r="95">
          <cell r="A95" t="str">
            <v>Jarrah</v>
          </cell>
          <cell r="B95">
            <v>1000</v>
          </cell>
          <cell r="C95">
            <v>1</v>
          </cell>
          <cell r="D95" t="str">
            <v>Jarrah|1000</v>
          </cell>
        </row>
        <row r="96">
          <cell r="A96" t="str">
            <v>Kazinga</v>
          </cell>
          <cell r="B96">
            <v>100</v>
          </cell>
          <cell r="C96">
            <v>1</v>
          </cell>
          <cell r="D96" t="str">
            <v>Kazinga|100</v>
          </cell>
        </row>
        <row r="97">
          <cell r="A97" t="str">
            <v>leirre</v>
          </cell>
          <cell r="B97">
            <v>1000</v>
          </cell>
          <cell r="C97">
            <v>2</v>
          </cell>
          <cell r="D97" t="str">
            <v>leirre|1000</v>
          </cell>
        </row>
        <row r="98">
          <cell r="A98" t="str">
            <v>Limpopo</v>
          </cell>
          <cell r="B98">
            <v>500</v>
          </cell>
          <cell r="C98">
            <v>1</v>
          </cell>
          <cell r="D98" t="str">
            <v>Limpopo|500</v>
          </cell>
        </row>
        <row r="99">
          <cell r="A99" t="str">
            <v>Mawenzili</v>
          </cell>
          <cell r="B99">
            <v>100</v>
          </cell>
          <cell r="C99">
            <v>0</v>
          </cell>
          <cell r="D99" t="str">
            <v>Mawenzili|100</v>
          </cell>
        </row>
        <row r="100">
          <cell r="A100" t="str">
            <v>Pasarella</v>
          </cell>
          <cell r="B100">
            <v>100</v>
          </cell>
          <cell r="C100">
            <v>1</v>
          </cell>
          <cell r="D100" t="str">
            <v>Pasarella|100</v>
          </cell>
        </row>
        <row r="101">
          <cell r="A101" t="str">
            <v>Primarino</v>
          </cell>
          <cell r="B101">
            <v>100</v>
          </cell>
          <cell r="C101">
            <v>4</v>
          </cell>
          <cell r="D101" t="str">
            <v>Primarino|100</v>
          </cell>
        </row>
        <row r="102">
          <cell r="A102" t="str">
            <v>Reggaeton</v>
          </cell>
          <cell r="B102">
            <v>100</v>
          </cell>
          <cell r="C102">
            <v>2</v>
          </cell>
          <cell r="D102" t="str">
            <v>Reggaeton|100</v>
          </cell>
        </row>
        <row r="103">
          <cell r="A103" t="str">
            <v>romietto</v>
          </cell>
          <cell r="B103">
            <v>100</v>
          </cell>
          <cell r="C103">
            <v>3</v>
          </cell>
          <cell r="D103" t="str">
            <v>romietto|100</v>
          </cell>
        </row>
        <row r="104">
          <cell r="A104" t="str">
            <v>Shelter</v>
          </cell>
          <cell r="B104">
            <v>100</v>
          </cell>
          <cell r="C104">
            <v>3</v>
          </cell>
          <cell r="D104" t="str">
            <v>Shelter|100</v>
          </cell>
        </row>
        <row r="105">
          <cell r="A105" t="str">
            <v>sondela</v>
          </cell>
          <cell r="B105">
            <v>100</v>
          </cell>
          <cell r="C105">
            <v>2</v>
          </cell>
          <cell r="D105" t="str">
            <v>sondela|100</v>
          </cell>
        </row>
        <row r="106">
          <cell r="A106" t="str">
            <v>Tacoma</v>
          </cell>
          <cell r="B106">
            <v>1000</v>
          </cell>
          <cell r="C106">
            <v>1</v>
          </cell>
          <cell r="D106" t="str">
            <v>Tacoma|1000</v>
          </cell>
        </row>
        <row r="107">
          <cell r="A107" t="str">
            <v>Tahoe</v>
          </cell>
          <cell r="B107">
            <v>1000</v>
          </cell>
          <cell r="C107">
            <v>2</v>
          </cell>
          <cell r="D107" t="str">
            <v>Tahoe|1000</v>
          </cell>
        </row>
        <row r="108">
          <cell r="A108" t="str">
            <v>tirsuli</v>
          </cell>
          <cell r="B108">
            <v>100</v>
          </cell>
          <cell r="C108">
            <v>1</v>
          </cell>
          <cell r="D108" t="str">
            <v>tirsuli|100</v>
          </cell>
        </row>
        <row r="109">
          <cell r="A109" t="str">
            <v>Toughma</v>
          </cell>
          <cell r="B109">
            <v>2500</v>
          </cell>
          <cell r="C109">
            <v>1</v>
          </cell>
          <cell r="D109" t="str">
            <v>Toughma|2500</v>
          </cell>
        </row>
        <row r="110">
          <cell r="A110" t="str">
            <v>Toughma</v>
          </cell>
          <cell r="B110">
            <v>1000</v>
          </cell>
          <cell r="C110">
            <v>4</v>
          </cell>
          <cell r="D110" t="str">
            <v>Toughma|1000</v>
          </cell>
        </row>
        <row r="111">
          <cell r="A111" t="str">
            <v>trambelinno</v>
          </cell>
          <cell r="B111">
            <v>100</v>
          </cell>
          <cell r="C111">
            <v>1</v>
          </cell>
          <cell r="D111" t="str">
            <v>trambelinno|100</v>
          </cell>
        </row>
        <row r="112">
          <cell r="A112" t="str">
            <v>twistma</v>
          </cell>
          <cell r="B112">
            <v>1000</v>
          </cell>
          <cell r="C112">
            <v>5</v>
          </cell>
          <cell r="D112" t="str">
            <v>twistma|1000</v>
          </cell>
        </row>
        <row r="113">
          <cell r="A113" t="str">
            <v>Uwezo</v>
          </cell>
          <cell r="B113">
            <v>100</v>
          </cell>
          <cell r="C113">
            <v>0</v>
          </cell>
          <cell r="D113" t="str">
            <v>Uwezo|100</v>
          </cell>
        </row>
        <row r="114">
          <cell r="A114" t="str">
            <v>valerioso</v>
          </cell>
          <cell r="B114">
            <v>100</v>
          </cell>
          <cell r="C114">
            <v>3</v>
          </cell>
          <cell r="D114" t="str">
            <v>valerioso|100</v>
          </cell>
        </row>
        <row r="115">
          <cell r="A115" t="str">
            <v>zeppo</v>
          </cell>
          <cell r="B115">
            <v>25000</v>
          </cell>
          <cell r="C115">
            <v>1</v>
          </cell>
          <cell r="D115" t="str">
            <v>zeppo|25000</v>
          </cell>
        </row>
        <row r="116">
          <cell r="A116" t="str">
            <v>Zanardi</v>
          </cell>
          <cell r="B116">
            <v>100000</v>
          </cell>
          <cell r="C116">
            <v>6</v>
          </cell>
          <cell r="D116" t="str">
            <v>Zanardi|100000</v>
          </cell>
        </row>
        <row r="117">
          <cell r="A117" t="str">
            <v>Alboreto</v>
          </cell>
          <cell r="B117">
            <v>100000</v>
          </cell>
          <cell r="C117">
            <v>2</v>
          </cell>
          <cell r="D117" t="str">
            <v>Alboreto|100000</v>
          </cell>
        </row>
        <row r="118">
          <cell r="A118" t="str">
            <v>Barldralla</v>
          </cell>
          <cell r="B118">
            <v>100</v>
          </cell>
          <cell r="C118">
            <v>6</v>
          </cell>
          <cell r="D118" t="str">
            <v>Barldralla|100</v>
          </cell>
        </row>
        <row r="119">
          <cell r="A119" t="str">
            <v>Bellaire</v>
          </cell>
          <cell r="B119">
            <v>1000</v>
          </cell>
          <cell r="C119">
            <v>2</v>
          </cell>
          <cell r="D119" t="str">
            <v>Bellaire|1000</v>
          </cell>
        </row>
        <row r="120">
          <cell r="A120" t="str">
            <v>Boelli</v>
          </cell>
          <cell r="B120">
            <v>1000</v>
          </cell>
          <cell r="C120">
            <v>5</v>
          </cell>
          <cell r="D120" t="str">
            <v>Boelli|1000</v>
          </cell>
        </row>
        <row r="121">
          <cell r="A121" t="str">
            <v>Bologna</v>
          </cell>
          <cell r="B121">
            <v>100</v>
          </cell>
          <cell r="C121">
            <v>0</v>
          </cell>
          <cell r="D121" t="str">
            <v>Bologna|100</v>
          </cell>
        </row>
        <row r="122">
          <cell r="A122" t="str">
            <v>Bottas</v>
          </cell>
          <cell r="B122">
            <v>100000</v>
          </cell>
          <cell r="C122">
            <v>2</v>
          </cell>
          <cell r="D122" t="str">
            <v>Bottas|100000</v>
          </cell>
        </row>
        <row r="123">
          <cell r="A123" t="str">
            <v>Bourdais</v>
          </cell>
          <cell r="B123">
            <v>100000</v>
          </cell>
          <cell r="C123">
            <v>1</v>
          </cell>
          <cell r="D123" t="str">
            <v>Bourdais|100000</v>
          </cell>
        </row>
        <row r="124">
          <cell r="A124" t="str">
            <v>Calazina</v>
          </cell>
          <cell r="B124">
            <v>100</v>
          </cell>
          <cell r="C124">
            <v>4</v>
          </cell>
          <cell r="D124" t="str">
            <v>Calazina|100</v>
          </cell>
        </row>
        <row r="125">
          <cell r="A125" t="str">
            <v>Cantrell</v>
          </cell>
          <cell r="B125">
            <v>100000</v>
          </cell>
          <cell r="C125">
            <v>2</v>
          </cell>
          <cell r="D125" t="str">
            <v>Cantrell|100000</v>
          </cell>
        </row>
        <row r="126">
          <cell r="A126" t="str">
            <v>kristine</v>
          </cell>
          <cell r="B126">
            <v>1000</v>
          </cell>
          <cell r="C126">
            <v>1</v>
          </cell>
          <cell r="D126" t="str">
            <v>kristine|1000</v>
          </cell>
        </row>
        <row r="127">
          <cell r="A127" t="str">
            <v>Chromis</v>
          </cell>
          <cell r="B127">
            <v>100</v>
          </cell>
          <cell r="C127">
            <v>3</v>
          </cell>
          <cell r="D127" t="str">
            <v>Chromis|100</v>
          </cell>
        </row>
        <row r="128">
          <cell r="A128" t="str">
            <v>Codex</v>
          </cell>
          <cell r="B128">
            <v>1000</v>
          </cell>
          <cell r="C128">
            <v>3</v>
          </cell>
          <cell r="D128" t="str">
            <v>Codex|1000</v>
          </cell>
        </row>
        <row r="129">
          <cell r="A129" t="str">
            <v>Coulthard</v>
          </cell>
          <cell r="B129">
            <v>100000</v>
          </cell>
          <cell r="C129">
            <v>2</v>
          </cell>
          <cell r="D129" t="str">
            <v>Coulthard|100000</v>
          </cell>
        </row>
        <row r="130">
          <cell r="A130" t="str">
            <v>Daywalt</v>
          </cell>
          <cell r="B130">
            <v>100000</v>
          </cell>
          <cell r="C130">
            <v>5</v>
          </cell>
          <cell r="D130" t="str">
            <v>Daywalt|100000</v>
          </cell>
        </row>
        <row r="131">
          <cell r="A131" t="str">
            <v>Diapson</v>
          </cell>
          <cell r="B131">
            <v>100</v>
          </cell>
          <cell r="C131">
            <v>3</v>
          </cell>
          <cell r="D131" t="str">
            <v>Diapson|100</v>
          </cell>
        </row>
        <row r="132">
          <cell r="A132" t="str">
            <v>Exact</v>
          </cell>
          <cell r="B132">
            <v>1000</v>
          </cell>
          <cell r="C132">
            <v>3</v>
          </cell>
          <cell r="D132" t="str">
            <v>Exact|1000</v>
          </cell>
        </row>
        <row r="133">
          <cell r="A133" t="str">
            <v>Excurcus</v>
          </cell>
          <cell r="B133">
            <v>1000</v>
          </cell>
          <cell r="C133">
            <v>4</v>
          </cell>
          <cell r="D133" t="str">
            <v>Excurcus|1000</v>
          </cell>
        </row>
        <row r="134">
          <cell r="A134" t="str">
            <v>Floccus</v>
          </cell>
          <cell r="B134">
            <v>5000</v>
          </cell>
          <cell r="C134">
            <v>1</v>
          </cell>
          <cell r="D134" t="str">
            <v>Floccus|5000</v>
          </cell>
        </row>
        <row r="135">
          <cell r="A135" t="str">
            <v>Gibbard</v>
          </cell>
          <cell r="B135">
            <v>5000</v>
          </cell>
          <cell r="C135">
            <v>3</v>
          </cell>
          <cell r="D135" t="str">
            <v>Gibbard|5000</v>
          </cell>
        </row>
        <row r="136">
          <cell r="A136" t="str">
            <v>Gourami</v>
          </cell>
          <cell r="B136">
            <v>100</v>
          </cell>
          <cell r="C136">
            <v>5</v>
          </cell>
          <cell r="D136" t="str">
            <v>Gourami|100</v>
          </cell>
        </row>
        <row r="137">
          <cell r="A137" t="str">
            <v>Hazleton</v>
          </cell>
          <cell r="B137">
            <v>1000</v>
          </cell>
          <cell r="C137">
            <v>2</v>
          </cell>
          <cell r="D137" t="str">
            <v>Hazleton|1000</v>
          </cell>
        </row>
        <row r="138">
          <cell r="A138" t="str">
            <v>Hilbert</v>
          </cell>
          <cell r="B138">
            <v>1000</v>
          </cell>
          <cell r="C138">
            <v>3</v>
          </cell>
          <cell r="D138" t="str">
            <v>Hilbert|1000</v>
          </cell>
        </row>
        <row r="139">
          <cell r="A139" t="str">
            <v>Jerada</v>
          </cell>
          <cell r="B139">
            <v>100000</v>
          </cell>
          <cell r="C139">
            <v>1</v>
          </cell>
          <cell r="D139" t="str">
            <v>Jerada|100000</v>
          </cell>
        </row>
        <row r="140">
          <cell r="A140" t="str">
            <v>Kariba</v>
          </cell>
          <cell r="B140">
            <v>1000</v>
          </cell>
          <cell r="C140">
            <v>5</v>
          </cell>
          <cell r="D140" t="str">
            <v>Kariba|1000</v>
          </cell>
        </row>
        <row r="141">
          <cell r="A141" t="str">
            <v>kivu</v>
          </cell>
          <cell r="B141">
            <v>100</v>
          </cell>
          <cell r="C141">
            <v>8</v>
          </cell>
          <cell r="D141" t="str">
            <v>kivu|100</v>
          </cell>
        </row>
        <row r="142">
          <cell r="A142" t="str">
            <v>Klee</v>
          </cell>
          <cell r="B142">
            <v>1000</v>
          </cell>
          <cell r="C142">
            <v>7</v>
          </cell>
          <cell r="D142" t="str">
            <v>Klee|1000</v>
          </cell>
        </row>
        <row r="143">
          <cell r="A143" t="str">
            <v>Larsson</v>
          </cell>
          <cell r="B143">
            <v>1000</v>
          </cell>
          <cell r="C143" t="str">
            <v>NOT COUNTED</v>
          </cell>
          <cell r="D143" t="str">
            <v>Larsson|1000</v>
          </cell>
        </row>
        <row r="144">
          <cell r="A144" t="str">
            <v>Lavender</v>
          </cell>
          <cell r="B144">
            <v>1000</v>
          </cell>
          <cell r="C144" t="str">
            <v>NOT COUNTED</v>
          </cell>
          <cell r="D144" t="str">
            <v>Lavender|1000</v>
          </cell>
        </row>
        <row r="145">
          <cell r="A145" t="str">
            <v>Ligier</v>
          </cell>
          <cell r="B145">
            <v>100000</v>
          </cell>
          <cell r="C145" t="str">
            <v>NOT COUNTED</v>
          </cell>
          <cell r="D145" t="str">
            <v>Ligier|100000</v>
          </cell>
        </row>
        <row r="146">
          <cell r="A146" t="str">
            <v>Litoral</v>
          </cell>
          <cell r="B146">
            <v>100</v>
          </cell>
          <cell r="C146" t="str">
            <v>NOT COUNTED</v>
          </cell>
          <cell r="D146" t="str">
            <v>Litoral|100</v>
          </cell>
        </row>
        <row r="147">
          <cell r="A147" t="str">
            <v>Maggino</v>
          </cell>
          <cell r="B147">
            <v>100</v>
          </cell>
          <cell r="C147" t="str">
            <v>NOT COUNTED</v>
          </cell>
          <cell r="D147" t="str">
            <v>Maggino|100</v>
          </cell>
        </row>
        <row r="148">
          <cell r="A148" t="str">
            <v>Matejko</v>
          </cell>
          <cell r="B148">
            <v>2500</v>
          </cell>
          <cell r="C148" t="str">
            <v>NOT COUNTED</v>
          </cell>
          <cell r="D148" t="str">
            <v>Matejko|2500</v>
          </cell>
        </row>
        <row r="149">
          <cell r="A149" t="str">
            <v>Tejal</v>
          </cell>
          <cell r="B149">
            <v>1000</v>
          </cell>
          <cell r="C149" t="str">
            <v>NOT COUNTED</v>
          </cell>
          <cell r="D149" t="str">
            <v>Tejal|1000</v>
          </cell>
        </row>
        <row r="150">
          <cell r="A150" t="str">
            <v>Mondial</v>
          </cell>
          <cell r="B150">
            <v>100000</v>
          </cell>
          <cell r="C150" t="str">
            <v>NOT COUNTED</v>
          </cell>
          <cell r="D150" t="str">
            <v>Mondial|100000</v>
          </cell>
        </row>
        <row r="151">
          <cell r="A151" t="str">
            <v>Mondial</v>
          </cell>
          <cell r="B151">
            <v>25000</v>
          </cell>
          <cell r="C151" t="str">
            <v>NOT COUNTED</v>
          </cell>
          <cell r="D151" t="str">
            <v>Mondial|25000</v>
          </cell>
        </row>
        <row r="152">
          <cell r="A152" t="str">
            <v>Morelia</v>
          </cell>
          <cell r="B152">
            <v>100000</v>
          </cell>
          <cell r="C152">
            <v>0</v>
          </cell>
          <cell r="D152" t="str">
            <v>Morelia|100000</v>
          </cell>
        </row>
        <row r="153">
          <cell r="A153" t="str">
            <v>Nanaki</v>
          </cell>
          <cell r="B153">
            <v>1000</v>
          </cell>
          <cell r="C153" t="str">
            <v>NOT COUNTED</v>
          </cell>
          <cell r="D153" t="str">
            <v>Nanaki|1000</v>
          </cell>
        </row>
        <row r="154">
          <cell r="A154" t="str">
            <v>Orange Tarta</v>
          </cell>
          <cell r="B154">
            <v>100</v>
          </cell>
          <cell r="C154" t="str">
            <v>NOT COUNTED</v>
          </cell>
          <cell r="D154" t="str">
            <v>Orange Tarta|100</v>
          </cell>
        </row>
        <row r="155">
          <cell r="A155" t="str">
            <v>Palermo river</v>
          </cell>
          <cell r="B155">
            <v>100</v>
          </cell>
          <cell r="C155">
            <v>10</v>
          </cell>
          <cell r="D155" t="str">
            <v>Palermo river|100</v>
          </cell>
        </row>
        <row r="156">
          <cell r="A156" t="str">
            <v>Papeletto</v>
          </cell>
          <cell r="B156">
            <v>100</v>
          </cell>
          <cell r="C156" t="str">
            <v>NOT COUNTED</v>
          </cell>
          <cell r="D156" t="str">
            <v>Papeletto|100</v>
          </cell>
        </row>
        <row r="157">
          <cell r="A157" t="str">
            <v>Piccolima</v>
          </cell>
          <cell r="B157">
            <v>2500</v>
          </cell>
          <cell r="C157">
            <v>2</v>
          </cell>
          <cell r="D157" t="str">
            <v>Piccolima|2500</v>
          </cell>
        </row>
        <row r="158">
          <cell r="A158" t="str">
            <v>Ponderet</v>
          </cell>
          <cell r="B158">
            <v>1000</v>
          </cell>
          <cell r="C158" t="str">
            <v>NOT COUNTED</v>
          </cell>
          <cell r="D158" t="str">
            <v>Ponderet|1000</v>
          </cell>
        </row>
        <row r="159">
          <cell r="A159" t="str">
            <v>Puntoverde</v>
          </cell>
          <cell r="B159">
            <v>1000</v>
          </cell>
          <cell r="C159" t="str">
            <v>NOT COUNTED</v>
          </cell>
          <cell r="D159" t="str">
            <v>Puntoverde|1000</v>
          </cell>
        </row>
        <row r="160">
          <cell r="A160" t="str">
            <v>Rasbora</v>
          </cell>
          <cell r="B160">
            <v>100</v>
          </cell>
          <cell r="C160" t="str">
            <v>NOT COUNTED</v>
          </cell>
          <cell r="D160" t="str">
            <v>Rasbora|100</v>
          </cell>
        </row>
        <row r="161">
          <cell r="A161" t="str">
            <v>Red Tatin</v>
          </cell>
          <cell r="B161">
            <v>100</v>
          </cell>
          <cell r="C161" t="str">
            <v>NOT COUNTED</v>
          </cell>
          <cell r="D161" t="str">
            <v>Red Tatin|100</v>
          </cell>
        </row>
        <row r="162">
          <cell r="A162" t="str">
            <v>Rincon</v>
          </cell>
          <cell r="B162">
            <v>1000</v>
          </cell>
          <cell r="C162" t="str">
            <v>NOT COUNTED</v>
          </cell>
          <cell r="D162" t="str">
            <v>Rincon|1000</v>
          </cell>
        </row>
        <row r="163">
          <cell r="A163" t="str">
            <v>Rugantino</v>
          </cell>
          <cell r="B163">
            <v>100</v>
          </cell>
          <cell r="C163" t="str">
            <v>NOT COUNTED</v>
          </cell>
          <cell r="D163" t="str">
            <v>Rugantino|100</v>
          </cell>
        </row>
        <row r="164">
          <cell r="A164" t="str">
            <v>Shinefit</v>
          </cell>
          <cell r="B164">
            <v>100</v>
          </cell>
          <cell r="C164" t="str">
            <v>NOT COUNTED</v>
          </cell>
          <cell r="D164" t="str">
            <v>Shinefit|100</v>
          </cell>
        </row>
        <row r="165">
          <cell r="A165" t="str">
            <v>multistar</v>
          </cell>
          <cell r="B165">
            <v>100</v>
          </cell>
          <cell r="C165" t="str">
            <v>NOT COUNTED</v>
          </cell>
          <cell r="D165" t="str">
            <v>multistar|100</v>
          </cell>
        </row>
        <row r="166">
          <cell r="A166" t="str">
            <v>Tejal</v>
          </cell>
          <cell r="B166">
            <v>1000</v>
          </cell>
          <cell r="C166" t="str">
            <v>NOT COUNTED</v>
          </cell>
          <cell r="D166" t="str">
            <v>Tejal|1000</v>
          </cell>
        </row>
        <row r="167">
          <cell r="A167" t="str">
            <v>Tendita</v>
          </cell>
          <cell r="B167">
            <v>1000</v>
          </cell>
          <cell r="C167" t="str">
            <v>NOT COUNTED</v>
          </cell>
          <cell r="D167" t="str">
            <v>Tendita|1000</v>
          </cell>
        </row>
        <row r="168">
          <cell r="A168" t="str">
            <v>Tirsuli</v>
          </cell>
          <cell r="B168">
            <v>1000</v>
          </cell>
          <cell r="C168" t="str">
            <v>NOT COUNTED</v>
          </cell>
          <cell r="D168" t="str">
            <v>Tirsuli|1000</v>
          </cell>
        </row>
        <row r="169">
          <cell r="A169" t="str">
            <v>Tralex</v>
          </cell>
          <cell r="B169">
            <v>1000</v>
          </cell>
          <cell r="C169" t="str">
            <v>NOT COUNTED</v>
          </cell>
          <cell r="D169" t="str">
            <v>Tralex|1000</v>
          </cell>
        </row>
        <row r="170">
          <cell r="A170" t="str">
            <v>Trirosso</v>
          </cell>
          <cell r="B170">
            <v>100</v>
          </cell>
          <cell r="C170" t="str">
            <v>NOT COUNTED</v>
          </cell>
          <cell r="D170" t="str">
            <v>Trirosso|100</v>
          </cell>
        </row>
        <row r="171">
          <cell r="A171" t="str">
            <v>Ukza</v>
          </cell>
          <cell r="B171">
            <v>1000</v>
          </cell>
          <cell r="C171">
            <v>1</v>
          </cell>
          <cell r="D171" t="str">
            <v>Ukza|1000</v>
          </cell>
        </row>
        <row r="172">
          <cell r="A172" t="str">
            <v>Valdivia</v>
          </cell>
          <cell r="B172">
            <v>100000</v>
          </cell>
          <cell r="C172" t="str">
            <v>NOT COUNTED</v>
          </cell>
          <cell r="D172" t="str">
            <v>Valdivia|100000</v>
          </cell>
        </row>
        <row r="173">
          <cell r="A173" t="str">
            <v>Webber</v>
          </cell>
          <cell r="B173">
            <v>100000</v>
          </cell>
          <cell r="C173" t="str">
            <v>NOT COUNTED</v>
          </cell>
          <cell r="D173" t="str">
            <v>Webber|100000</v>
          </cell>
        </row>
        <row r="174">
          <cell r="A174" t="str">
            <v>Woodpeker</v>
          </cell>
          <cell r="B174">
            <v>25000</v>
          </cell>
          <cell r="C174" t="str">
            <v>NOT COUNTED</v>
          </cell>
          <cell r="D174" t="str">
            <v>Woodpeker|25000</v>
          </cell>
        </row>
        <row r="175">
          <cell r="A175" t="str">
            <v>Yellow zuppa</v>
          </cell>
          <cell r="B175">
            <v>100</v>
          </cell>
          <cell r="C175" t="str">
            <v>NOT COUNTED</v>
          </cell>
          <cell r="D175" t="str">
            <v>Yellow zuppa|100</v>
          </cell>
        </row>
        <row r="176">
          <cell r="A176" t="str">
            <v>cook</v>
          </cell>
          <cell r="B176">
            <v>1000</v>
          </cell>
          <cell r="C176" t="str">
            <v>NOT COUNTED</v>
          </cell>
          <cell r="D176" t="str">
            <v>cook|1000</v>
          </cell>
        </row>
        <row r="177">
          <cell r="A177" t="str">
            <v>excentric</v>
          </cell>
          <cell r="B177">
            <v>1000</v>
          </cell>
          <cell r="C177" t="str">
            <v>NOT COUNTED</v>
          </cell>
          <cell r="D177" t="str">
            <v>excentric|1000</v>
          </cell>
        </row>
        <row r="178">
          <cell r="A178" t="str">
            <v>vicinity</v>
          </cell>
          <cell r="B178">
            <v>1000</v>
          </cell>
          <cell r="C178" t="str">
            <v>NOT COUNTED</v>
          </cell>
          <cell r="D178" t="str">
            <v>vicinity|1000</v>
          </cell>
        </row>
        <row r="179">
          <cell r="A179" t="str">
            <v>alaine</v>
          </cell>
          <cell r="B179">
            <v>1000</v>
          </cell>
          <cell r="C179" t="str">
            <v>NOT COUNTED</v>
          </cell>
          <cell r="D179" t="str">
            <v>alaine|1000</v>
          </cell>
        </row>
        <row r="180">
          <cell r="A180" t="str">
            <v>sungari</v>
          </cell>
          <cell r="B180">
            <v>1000</v>
          </cell>
          <cell r="C180" t="str">
            <v>NOT COUNTED</v>
          </cell>
          <cell r="D180" t="str">
            <v>sungari|1000</v>
          </cell>
        </row>
        <row r="181">
          <cell r="A181" t="str">
            <v>tourbillion</v>
          </cell>
          <cell r="B181">
            <v>1000</v>
          </cell>
          <cell r="C181">
            <v>1</v>
          </cell>
          <cell r="D181" t="str">
            <v>tourbillion|1000</v>
          </cell>
        </row>
        <row r="182">
          <cell r="A182" t="str">
            <v>lalique</v>
          </cell>
          <cell r="B182">
            <v>1000</v>
          </cell>
          <cell r="C182">
            <v>0</v>
          </cell>
          <cell r="D182" t="str">
            <v>lalique|1000</v>
          </cell>
        </row>
        <row r="183">
          <cell r="A183" t="str">
            <v>concorde</v>
          </cell>
          <cell r="B183">
            <v>5000</v>
          </cell>
          <cell r="C183" t="str">
            <v>NOT COUNTED</v>
          </cell>
          <cell r="D183" t="str">
            <v>concorde|5000</v>
          </cell>
        </row>
        <row r="184">
          <cell r="A184" t="str">
            <v>Messina</v>
          </cell>
          <cell r="B184">
            <v>100</v>
          </cell>
          <cell r="C184" t="str">
            <v>NOT COUNTED</v>
          </cell>
          <cell r="D184" t="str">
            <v>Messina|100</v>
          </cell>
        </row>
        <row r="185">
          <cell r="A185" t="str">
            <v>libero</v>
          </cell>
          <cell r="B185">
            <v>10000</v>
          </cell>
          <cell r="C185" t="str">
            <v>NOT COUNTED</v>
          </cell>
          <cell r="D185" t="str">
            <v>libero|10000</v>
          </cell>
        </row>
        <row r="186">
          <cell r="A186" t="str">
            <v>Ty 12 RZ</v>
          </cell>
          <cell r="B186">
            <v>100</v>
          </cell>
          <cell r="C186" t="str">
            <v>NOT COUNTED</v>
          </cell>
          <cell r="D186" t="str">
            <v>Ty 12 RZ|100</v>
          </cell>
        </row>
        <row r="187">
          <cell r="A187" t="str">
            <v>Ukza</v>
          </cell>
          <cell r="B187">
            <v>1000</v>
          </cell>
          <cell r="C187">
            <v>1</v>
          </cell>
          <cell r="D187" t="str">
            <v>Ukza|1000</v>
          </cell>
        </row>
        <row r="188">
          <cell r="A188" t="str">
            <v>barlach</v>
          </cell>
          <cell r="B188">
            <v>1000</v>
          </cell>
          <cell r="C188">
            <v>2</v>
          </cell>
          <cell r="D188" t="str">
            <v>barlach|1000</v>
          </cell>
        </row>
        <row r="189">
          <cell r="A189" t="str">
            <v>grecale</v>
          </cell>
          <cell r="B189">
            <v>1000</v>
          </cell>
          <cell r="C189" t="str">
            <v>NOT COUNTED</v>
          </cell>
          <cell r="D189" t="str">
            <v>grecale|1000</v>
          </cell>
        </row>
        <row r="190">
          <cell r="A190" t="str">
            <v>Gimli</v>
          </cell>
          <cell r="B190">
            <v>100</v>
          </cell>
          <cell r="C190" t="str">
            <v>NOT COUNTED</v>
          </cell>
          <cell r="D190" t="str">
            <v>Gimli|100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35058C-B2F4-459B-97A0-C606B08F6665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74d40c99-6b6d-4d33-903a-bc1cd9421e6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showGridLines="0" topLeftCell="A7" zoomScaleNormal="100" workbookViewId="0">
      <selection activeCell="A20" sqref="A20"/>
    </sheetView>
  </sheetViews>
  <sheetFormatPr defaultColWidth="8.6640625" defaultRowHeight="14.4" x14ac:dyDescent="0.3"/>
  <cols>
    <col min="1" max="1" width="100" customWidth="1"/>
  </cols>
  <sheetData>
    <row r="1" spans="1:1" ht="21" x14ac:dyDescent="0.4">
      <c r="A1" s="6" t="s">
        <v>0</v>
      </c>
    </row>
    <row r="2" spans="1:1" x14ac:dyDescent="0.3">
      <c r="A2" s="5" t="s">
        <v>1</v>
      </c>
    </row>
    <row r="4" spans="1:1" ht="15.6" x14ac:dyDescent="0.3">
      <c r="A4" s="7" t="s">
        <v>2</v>
      </c>
    </row>
    <row r="5" spans="1:1" x14ac:dyDescent="0.3">
      <c r="A5" s="8" t="s">
        <v>3</v>
      </c>
    </row>
    <row r="6" spans="1:1" x14ac:dyDescent="0.3">
      <c r="A6" s="8" t="s">
        <v>4</v>
      </c>
    </row>
    <row r="7" spans="1:1" x14ac:dyDescent="0.3">
      <c r="A7" s="8" t="s">
        <v>5</v>
      </c>
    </row>
    <row r="8" spans="1:1" x14ac:dyDescent="0.3">
      <c r="A8" s="8" t="s">
        <v>6</v>
      </c>
    </row>
    <row r="9" spans="1:1" x14ac:dyDescent="0.3">
      <c r="A9" s="8" t="s">
        <v>7</v>
      </c>
    </row>
    <row r="10" spans="1:1" x14ac:dyDescent="0.3">
      <c r="A10" s="8" t="s">
        <v>8</v>
      </c>
    </row>
    <row r="11" spans="1:1" x14ac:dyDescent="0.3">
      <c r="A11" s="8" t="s">
        <v>9</v>
      </c>
    </row>
    <row r="13" spans="1:1" ht="15.6" x14ac:dyDescent="0.3">
      <c r="A13" s="7" t="s">
        <v>10</v>
      </c>
    </row>
    <row r="14" spans="1:1" x14ac:dyDescent="0.3">
      <c r="A14" s="9" t="s">
        <v>11</v>
      </c>
    </row>
    <row r="15" spans="1:1" x14ac:dyDescent="0.3">
      <c r="A15" s="8" t="s">
        <v>12</v>
      </c>
    </row>
    <row r="16" spans="1:1" x14ac:dyDescent="0.3">
      <c r="A16" s="10" t="s">
        <v>13</v>
      </c>
    </row>
    <row r="18" spans="1:1" ht="15.6" x14ac:dyDescent="0.3">
      <c r="A18" s="7" t="s">
        <v>14</v>
      </c>
    </row>
    <row r="19" spans="1:1" x14ac:dyDescent="0.3">
      <c r="A19" s="8" t="s">
        <v>15</v>
      </c>
    </row>
    <row r="20" spans="1:1" x14ac:dyDescent="0.3">
      <c r="A20" s="8" t="s">
        <v>16</v>
      </c>
    </row>
    <row r="21" spans="1:1" x14ac:dyDescent="0.3">
      <c r="A21" s="8" t="s">
        <v>17</v>
      </c>
    </row>
    <row r="22" spans="1:1" x14ac:dyDescent="0.3">
      <c r="A22" s="8" t="s">
        <v>18</v>
      </c>
    </row>
    <row r="23" spans="1:1" x14ac:dyDescent="0.3">
      <c r="A23" s="8" t="s">
        <v>19</v>
      </c>
    </row>
    <row r="25" spans="1:1" ht="15.6" x14ac:dyDescent="0.3">
      <c r="A25" s="7" t="s">
        <v>20</v>
      </c>
    </row>
    <row r="26" spans="1:1" x14ac:dyDescent="0.3">
      <c r="A26" s="8" t="s">
        <v>21</v>
      </c>
    </row>
    <row r="27" spans="1:1" x14ac:dyDescent="0.3">
      <c r="A27" s="8" t="s">
        <v>22</v>
      </c>
    </row>
    <row r="28" spans="1:1" x14ac:dyDescent="0.3">
      <c r="A28" s="8" t="s">
        <v>23</v>
      </c>
    </row>
    <row r="30" spans="1:1" x14ac:dyDescent="0.3">
      <c r="A30" s="8" t="s">
        <v>297</v>
      </c>
    </row>
    <row r="31" spans="1:1" x14ac:dyDescent="0.3">
      <c r="A31" s="8" t="s">
        <v>298</v>
      </c>
    </row>
    <row r="32" spans="1:1" x14ac:dyDescent="0.3">
      <c r="A32" s="8" t="s">
        <v>299</v>
      </c>
    </row>
    <row r="33" spans="1:1" x14ac:dyDescent="0.3">
      <c r="A33" s="8" t="s">
        <v>300</v>
      </c>
    </row>
    <row r="34" spans="1:1" x14ac:dyDescent="0.3">
      <c r="A34" s="8" t="s">
        <v>301</v>
      </c>
    </row>
    <row r="35" spans="1:1" x14ac:dyDescent="0.3">
      <c r="A35" s="8" t="s">
        <v>302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showGridLines="0" zoomScaleNormal="100" workbookViewId="0">
      <selection activeCell="A7" sqref="A7"/>
    </sheetView>
  </sheetViews>
  <sheetFormatPr defaultColWidth="8.6640625" defaultRowHeight="14.4" x14ac:dyDescent="0.3"/>
  <cols>
    <col min="1" max="1" width="26" customWidth="1"/>
    <col min="2" max="2" width="12.6640625" customWidth="1"/>
    <col min="3" max="3" width="12" customWidth="1"/>
  </cols>
  <sheetData>
    <row r="1" spans="1:6" ht="21" x14ac:dyDescent="0.4">
      <c r="A1" s="44" t="s">
        <v>24</v>
      </c>
      <c r="B1" s="44"/>
      <c r="C1" s="44"/>
      <c r="D1" s="44"/>
      <c r="E1" s="44"/>
      <c r="F1" s="44"/>
    </row>
    <row r="2" spans="1:6" x14ac:dyDescent="0.3">
      <c r="A2" s="45" t="s">
        <v>25</v>
      </c>
      <c r="B2" s="45"/>
      <c r="C2" s="45"/>
      <c r="D2" s="45"/>
      <c r="E2" s="45"/>
      <c r="F2" s="45"/>
    </row>
    <row r="4" spans="1:6" ht="17.399999999999999" x14ac:dyDescent="0.3">
      <c r="A4" s="11" t="s">
        <v>26</v>
      </c>
      <c r="C4" s="12">
        <f>COUNTA('Master Products'!A5:A201)</f>
        <v>197</v>
      </c>
    </row>
    <row r="5" spans="1:6" ht="17.399999999999999" x14ac:dyDescent="0.3">
      <c r="A5" s="11" t="s">
        <v>27</v>
      </c>
      <c r="C5" s="12">
        <f>COUNTIF('Master Products'!G5:G201,"REORDER")</f>
        <v>0</v>
      </c>
    </row>
    <row r="6" spans="1:6" ht="17.399999999999999" x14ac:dyDescent="0.3">
      <c r="A6" s="11" t="s">
        <v>28</v>
      </c>
      <c r="C6" s="12">
        <f>COUNTIF('Master Products'!G5:G201,"NEGATIVE - CHECK ENTRIES")</f>
        <v>0</v>
      </c>
    </row>
    <row r="7" spans="1:6" ht="17.399999999999999" x14ac:dyDescent="0.3">
      <c r="A7" s="11" t="s">
        <v>29</v>
      </c>
      <c r="C7" s="12">
        <f>COUNTIF('Master Products'!G5:G201,"OK")</f>
        <v>0</v>
      </c>
    </row>
    <row r="10" spans="1:6" x14ac:dyDescent="0.3">
      <c r="A10" s="11" t="s">
        <v>30</v>
      </c>
    </row>
    <row r="11" spans="1:6" x14ac:dyDescent="0.3">
      <c r="A11" s="13" t="s">
        <v>31</v>
      </c>
      <c r="B11" s="13" t="s">
        <v>32</v>
      </c>
    </row>
    <row r="12" spans="1:6" x14ac:dyDescent="0.3">
      <c r="A12" s="8" t="s">
        <v>33</v>
      </c>
      <c r="B12" s="8">
        <f>SUM('26 june'!T3:V199)</f>
        <v>12222</v>
      </c>
    </row>
    <row r="13" spans="1:6" x14ac:dyDescent="0.3">
      <c r="A13" s="8" t="s">
        <v>34</v>
      </c>
      <c r="B13" s="8">
        <f>SUM('3-july2026'!T3:V199)</f>
        <v>11547</v>
      </c>
    </row>
    <row r="14" spans="1:6" x14ac:dyDescent="0.3">
      <c r="A14" s="8" t="s">
        <v>35</v>
      </c>
      <c r="B14" s="8">
        <f>SUM('10-JULY2026'!T3:V199)</f>
        <v>11243</v>
      </c>
    </row>
    <row r="15" spans="1:6" x14ac:dyDescent="0.3">
      <c r="A15" s="8" t="s">
        <v>36</v>
      </c>
      <c r="B15" s="8">
        <f>SUM('17-july2026'!T3:V199)</f>
        <v>10395</v>
      </c>
    </row>
    <row r="16" spans="1:6" x14ac:dyDescent="0.3">
      <c r="A16" s="8" t="s">
        <v>37</v>
      </c>
      <c r="B16" s="8">
        <f>SUM('24-july-2026'!T3:V199)</f>
        <v>22568</v>
      </c>
    </row>
    <row r="17" spans="1:2" x14ac:dyDescent="0.3">
      <c r="A17" s="8" t="s">
        <v>38</v>
      </c>
      <c r="B17" s="8">
        <f>SUM('31-july-2026'!T3:V199)</f>
        <v>19078</v>
      </c>
    </row>
    <row r="18" spans="1:2" x14ac:dyDescent="0.3">
      <c r="A18" s="8" t="s">
        <v>39</v>
      </c>
      <c r="B18" s="8">
        <f>SUM('8-august-2026'!T3:V199)</f>
        <v>18321</v>
      </c>
    </row>
    <row r="19" spans="1:2" x14ac:dyDescent="0.3">
      <c r="A19" s="8" t="s">
        <v>40</v>
      </c>
      <c r="B19" s="8">
        <f>SUM('15-august-2026'!T3:V199)</f>
        <v>16777</v>
      </c>
    </row>
    <row r="20" spans="1:2" x14ac:dyDescent="0.3">
      <c r="A20" s="8" t="s">
        <v>41</v>
      </c>
      <c r="B20" s="8">
        <f>SUM('21-AUGUST-2026'!T3:V199)</f>
        <v>15770</v>
      </c>
    </row>
    <row r="21" spans="1:2" x14ac:dyDescent="0.3">
      <c r="A21" s="8" t="s">
        <v>42</v>
      </c>
      <c r="B21" s="8">
        <f>SUM('5-SEPTEMBER-2026'!Y3:Z198)</f>
        <v>21401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showGridLines="0" zoomScaleNormal="100" workbookViewId="0">
      <pane ySplit="4" topLeftCell="A5" activePane="bottomLeft" state="frozen"/>
      <selection pane="bottomLeft" activeCell="A2" sqref="A2:H2"/>
    </sheetView>
  </sheetViews>
  <sheetFormatPr defaultColWidth="8.6640625" defaultRowHeight="14.4" x14ac:dyDescent="0.3"/>
  <cols>
    <col min="1" max="1" width="30" customWidth="1"/>
    <col min="2" max="2" width="10" customWidth="1"/>
    <col min="3" max="3" width="12" customWidth="1"/>
    <col min="4" max="4" width="14" customWidth="1"/>
    <col min="5" max="5" width="18" customWidth="1"/>
    <col min="6" max="6" width="20" customWidth="1"/>
    <col min="7" max="7" width="24" customWidth="1"/>
    <col min="8" max="8" width="16" customWidth="1"/>
  </cols>
  <sheetData>
    <row r="1" spans="1:8" ht="21" x14ac:dyDescent="0.4">
      <c r="A1" s="44" t="s">
        <v>43</v>
      </c>
      <c r="B1" s="44"/>
      <c r="C1" s="44"/>
      <c r="D1" s="44"/>
      <c r="E1" s="44"/>
      <c r="F1" s="44"/>
      <c r="G1" s="44"/>
      <c r="H1" s="44"/>
    </row>
    <row r="2" spans="1:8" x14ac:dyDescent="0.3">
      <c r="A2" s="45" t="s">
        <v>44</v>
      </c>
      <c r="B2" s="45"/>
      <c r="C2" s="45"/>
      <c r="D2" s="45"/>
      <c r="E2" s="45"/>
      <c r="F2" s="45"/>
      <c r="G2" s="45"/>
      <c r="H2" s="45"/>
    </row>
    <row r="4" spans="1:8" ht="30" customHeight="1" x14ac:dyDescent="0.3">
      <c r="A4" s="14" t="s">
        <v>45</v>
      </c>
      <c r="B4" s="14" t="s">
        <v>46</v>
      </c>
      <c r="C4" s="14" t="s">
        <v>47</v>
      </c>
      <c r="D4" s="14" t="s">
        <v>48</v>
      </c>
      <c r="E4" s="14" t="s">
        <v>49</v>
      </c>
      <c r="F4" s="14" t="s">
        <v>50</v>
      </c>
      <c r="G4" s="14" t="s">
        <v>51</v>
      </c>
      <c r="H4" s="14" t="s">
        <v>52</v>
      </c>
    </row>
    <row r="5" spans="1:8" x14ac:dyDescent="0.3">
      <c r="A5" s="15" t="s">
        <v>53</v>
      </c>
      <c r="B5" s="15">
        <v>1000</v>
      </c>
      <c r="C5" s="15" t="s">
        <v>54</v>
      </c>
      <c r="D5" s="15" t="s">
        <v>55</v>
      </c>
      <c r="E5" s="16"/>
      <c r="F5" s="15" t="e">
        <f>'5-SEPTEMBER-2026'!Y3+'5-SEPTEMBER-2026'!Z3+'5-SEPTEMBER-2026'!#REF!</f>
        <v>#REF!</v>
      </c>
      <c r="G5" s="15" t="e">
        <f t="shared" ref="G5:G36" si="0">IF(F5&lt;0,"NEGATIVE - CHECK ENTRIES",IF(AND(E5&lt;&gt;"",E5&gt;0,F5&lt;=E5),"REORDER","OK"))</f>
        <v>#REF!</v>
      </c>
      <c r="H5" s="15" t="s">
        <v>42</v>
      </c>
    </row>
    <row r="6" spans="1:8" x14ac:dyDescent="0.3">
      <c r="A6" s="15" t="s">
        <v>56</v>
      </c>
      <c r="B6" s="15">
        <v>500</v>
      </c>
      <c r="C6" s="15" t="s">
        <v>54</v>
      </c>
      <c r="D6" s="15" t="s">
        <v>57</v>
      </c>
      <c r="E6" s="16"/>
      <c r="F6" s="15" t="e">
        <f>'5-SEPTEMBER-2026'!Y4+'5-SEPTEMBER-2026'!Z4+'5-SEPTEMBER-2026'!#REF!</f>
        <v>#REF!</v>
      </c>
      <c r="G6" s="15" t="e">
        <f t="shared" si="0"/>
        <v>#REF!</v>
      </c>
      <c r="H6" s="15" t="s">
        <v>42</v>
      </c>
    </row>
    <row r="7" spans="1:8" x14ac:dyDescent="0.3">
      <c r="A7" s="15" t="s">
        <v>58</v>
      </c>
      <c r="B7" s="15">
        <v>100</v>
      </c>
      <c r="C7" s="15" t="s">
        <v>54</v>
      </c>
      <c r="D7" s="15" t="s">
        <v>55</v>
      </c>
      <c r="E7" s="16"/>
      <c r="F7" s="15" t="e">
        <f>'5-SEPTEMBER-2026'!Y5+'5-SEPTEMBER-2026'!Z5+'5-SEPTEMBER-2026'!#REF!</f>
        <v>#REF!</v>
      </c>
      <c r="G7" s="15" t="e">
        <f t="shared" si="0"/>
        <v>#REF!</v>
      </c>
      <c r="H7" s="15" t="s">
        <v>42</v>
      </c>
    </row>
    <row r="8" spans="1:8" x14ac:dyDescent="0.3">
      <c r="A8" s="15" t="s">
        <v>59</v>
      </c>
      <c r="B8" s="15">
        <v>100</v>
      </c>
      <c r="C8" s="15" t="s">
        <v>54</v>
      </c>
      <c r="D8" s="15" t="s">
        <v>55</v>
      </c>
      <c r="E8" s="16"/>
      <c r="F8" s="15" t="e">
        <f>'5-SEPTEMBER-2026'!Y6+'5-SEPTEMBER-2026'!Z6+'5-SEPTEMBER-2026'!#REF!</f>
        <v>#REF!</v>
      </c>
      <c r="G8" s="15" t="e">
        <f t="shared" si="0"/>
        <v>#REF!</v>
      </c>
      <c r="H8" s="15" t="s">
        <v>42</v>
      </c>
    </row>
    <row r="9" spans="1:8" x14ac:dyDescent="0.3">
      <c r="A9" s="15" t="s">
        <v>60</v>
      </c>
      <c r="B9" s="15">
        <v>100</v>
      </c>
      <c r="C9" s="15" t="s">
        <v>54</v>
      </c>
      <c r="D9" s="15" t="s">
        <v>55</v>
      </c>
      <c r="E9" s="16"/>
      <c r="F9" s="15" t="e">
        <f>'5-SEPTEMBER-2026'!Y7+'5-SEPTEMBER-2026'!Z7+'5-SEPTEMBER-2026'!#REF!</f>
        <v>#REF!</v>
      </c>
      <c r="G9" s="15" t="e">
        <f t="shared" si="0"/>
        <v>#REF!</v>
      </c>
      <c r="H9" s="15" t="s">
        <v>42</v>
      </c>
    </row>
    <row r="10" spans="1:8" x14ac:dyDescent="0.3">
      <c r="A10" s="15" t="s">
        <v>61</v>
      </c>
      <c r="B10" s="15">
        <v>100</v>
      </c>
      <c r="C10" s="15" t="s">
        <v>54</v>
      </c>
      <c r="D10" s="15" t="s">
        <v>55</v>
      </c>
      <c r="E10" s="16"/>
      <c r="F10" s="15" t="e">
        <f>'5-SEPTEMBER-2026'!Y8+'5-SEPTEMBER-2026'!Z8+'5-SEPTEMBER-2026'!#REF!</f>
        <v>#REF!</v>
      </c>
      <c r="G10" s="15" t="e">
        <f t="shared" si="0"/>
        <v>#REF!</v>
      </c>
      <c r="H10" s="15" t="s">
        <v>42</v>
      </c>
    </row>
    <row r="11" spans="1:8" x14ac:dyDescent="0.3">
      <c r="A11" s="15" t="s">
        <v>62</v>
      </c>
      <c r="B11" s="15">
        <v>100</v>
      </c>
      <c r="C11" s="15" t="s">
        <v>54</v>
      </c>
      <c r="D11" s="15" t="s">
        <v>55</v>
      </c>
      <c r="E11" s="16"/>
      <c r="F11" s="15" t="e">
        <f>'5-SEPTEMBER-2026'!Y9+'5-SEPTEMBER-2026'!Z9+'5-SEPTEMBER-2026'!#REF!</f>
        <v>#REF!</v>
      </c>
      <c r="G11" s="15" t="e">
        <f t="shared" si="0"/>
        <v>#REF!</v>
      </c>
      <c r="H11" s="15" t="s">
        <v>42</v>
      </c>
    </row>
    <row r="12" spans="1:8" x14ac:dyDescent="0.3">
      <c r="A12" s="15" t="s">
        <v>62</v>
      </c>
      <c r="B12" s="15">
        <v>500</v>
      </c>
      <c r="C12" s="15" t="s">
        <v>54</v>
      </c>
      <c r="D12" s="15" t="s">
        <v>55</v>
      </c>
      <c r="E12" s="16"/>
      <c r="F12" s="15" t="e">
        <f>'5-SEPTEMBER-2026'!Y10+'5-SEPTEMBER-2026'!Z10+'5-SEPTEMBER-2026'!#REF!</f>
        <v>#REF!</v>
      </c>
      <c r="G12" s="15" t="e">
        <f t="shared" si="0"/>
        <v>#REF!</v>
      </c>
      <c r="H12" s="15" t="s">
        <v>42</v>
      </c>
    </row>
    <row r="13" spans="1:8" x14ac:dyDescent="0.3">
      <c r="A13" s="15" t="s">
        <v>63</v>
      </c>
      <c r="B13" s="15">
        <v>100</v>
      </c>
      <c r="C13" s="15" t="s">
        <v>54</v>
      </c>
      <c r="D13" s="15" t="s">
        <v>55</v>
      </c>
      <c r="E13" s="16"/>
      <c r="F13" s="15" t="e">
        <f>'5-SEPTEMBER-2026'!Y11+'5-SEPTEMBER-2026'!Z11+'5-SEPTEMBER-2026'!#REF!</f>
        <v>#REF!</v>
      </c>
      <c r="G13" s="15" t="e">
        <f t="shared" si="0"/>
        <v>#REF!</v>
      </c>
      <c r="H13" s="15" t="s">
        <v>42</v>
      </c>
    </row>
    <row r="14" spans="1:8" x14ac:dyDescent="0.3">
      <c r="A14" s="15" t="s">
        <v>64</v>
      </c>
      <c r="B14" s="15">
        <v>500</v>
      </c>
      <c r="C14" s="15" t="s">
        <v>54</v>
      </c>
      <c r="D14" s="15" t="s">
        <v>55</v>
      </c>
      <c r="E14" s="16"/>
      <c r="F14" s="15" t="e">
        <f>'5-SEPTEMBER-2026'!Y12+'5-SEPTEMBER-2026'!Z12+'5-SEPTEMBER-2026'!#REF!</f>
        <v>#REF!</v>
      </c>
      <c r="G14" s="15" t="e">
        <f t="shared" si="0"/>
        <v>#REF!</v>
      </c>
      <c r="H14" s="15" t="s">
        <v>42</v>
      </c>
    </row>
    <row r="15" spans="1:8" x14ac:dyDescent="0.3">
      <c r="A15" s="15" t="s">
        <v>65</v>
      </c>
      <c r="B15" s="15">
        <v>100</v>
      </c>
      <c r="C15" s="15" t="s">
        <v>54</v>
      </c>
      <c r="D15" s="15" t="s">
        <v>55</v>
      </c>
      <c r="E15" s="16"/>
      <c r="F15" s="15" t="e">
        <f>'5-SEPTEMBER-2026'!Y13+'5-SEPTEMBER-2026'!Z13+'5-SEPTEMBER-2026'!#REF!</f>
        <v>#REF!</v>
      </c>
      <c r="G15" s="15" t="e">
        <f t="shared" si="0"/>
        <v>#REF!</v>
      </c>
      <c r="H15" s="15" t="s">
        <v>42</v>
      </c>
    </row>
    <row r="16" spans="1:8" x14ac:dyDescent="0.3">
      <c r="A16" s="15" t="s">
        <v>65</v>
      </c>
      <c r="B16" s="15">
        <v>500</v>
      </c>
      <c r="C16" s="15" t="s">
        <v>54</v>
      </c>
      <c r="D16" s="15" t="s">
        <v>55</v>
      </c>
      <c r="E16" s="16"/>
      <c r="F16" s="15" t="e">
        <f>'5-SEPTEMBER-2026'!Y14+'5-SEPTEMBER-2026'!Z14+'5-SEPTEMBER-2026'!#REF!</f>
        <v>#REF!</v>
      </c>
      <c r="G16" s="15" t="e">
        <f t="shared" si="0"/>
        <v>#REF!</v>
      </c>
      <c r="H16" s="15" t="s">
        <v>42</v>
      </c>
    </row>
    <row r="17" spans="1:8" x14ac:dyDescent="0.3">
      <c r="A17" s="15" t="s">
        <v>66</v>
      </c>
      <c r="B17" s="15">
        <v>100</v>
      </c>
      <c r="C17" s="15" t="s">
        <v>54</v>
      </c>
      <c r="D17" s="15" t="s">
        <v>55</v>
      </c>
      <c r="E17" s="16"/>
      <c r="F17" s="15" t="e">
        <f>'5-SEPTEMBER-2026'!Y15+'5-SEPTEMBER-2026'!Z15+'5-SEPTEMBER-2026'!#REF!</f>
        <v>#REF!</v>
      </c>
      <c r="G17" s="15" t="e">
        <f t="shared" si="0"/>
        <v>#REF!</v>
      </c>
      <c r="H17" s="15" t="s">
        <v>42</v>
      </c>
    </row>
    <row r="18" spans="1:8" x14ac:dyDescent="0.3">
      <c r="A18" s="15" t="s">
        <v>66</v>
      </c>
      <c r="B18" s="15">
        <v>1000</v>
      </c>
      <c r="C18" s="15" t="s">
        <v>54</v>
      </c>
      <c r="D18" s="15" t="s">
        <v>55</v>
      </c>
      <c r="E18" s="16"/>
      <c r="F18" s="15" t="e">
        <f>'5-SEPTEMBER-2026'!Y16+'5-SEPTEMBER-2026'!Z16+'5-SEPTEMBER-2026'!#REF!</f>
        <v>#REF!</v>
      </c>
      <c r="G18" s="15" t="e">
        <f t="shared" si="0"/>
        <v>#REF!</v>
      </c>
      <c r="H18" s="15" t="s">
        <v>42</v>
      </c>
    </row>
    <row r="19" spans="1:8" x14ac:dyDescent="0.3">
      <c r="A19" s="15" t="s">
        <v>67</v>
      </c>
      <c r="B19" s="15">
        <v>1000</v>
      </c>
      <c r="C19" s="15" t="s">
        <v>54</v>
      </c>
      <c r="D19" s="15" t="s">
        <v>68</v>
      </c>
      <c r="E19" s="16"/>
      <c r="F19" s="15" t="e">
        <f>'5-SEPTEMBER-2026'!Y17+'5-SEPTEMBER-2026'!Z17+'5-SEPTEMBER-2026'!#REF!</f>
        <v>#REF!</v>
      </c>
      <c r="G19" s="15" t="e">
        <f t="shared" si="0"/>
        <v>#REF!</v>
      </c>
      <c r="H19" s="15" t="s">
        <v>42</v>
      </c>
    </row>
    <row r="20" spans="1:8" x14ac:dyDescent="0.3">
      <c r="A20" s="15" t="s">
        <v>69</v>
      </c>
      <c r="B20" s="15">
        <v>100000</v>
      </c>
      <c r="C20" s="15" t="s">
        <v>54</v>
      </c>
      <c r="D20" s="15" t="s">
        <v>68</v>
      </c>
      <c r="E20" s="16"/>
      <c r="F20" s="15" t="e">
        <f>'5-SEPTEMBER-2026'!Y18+'5-SEPTEMBER-2026'!Z18+'5-SEPTEMBER-2026'!#REF!</f>
        <v>#REF!</v>
      </c>
      <c r="G20" s="15" t="e">
        <f t="shared" si="0"/>
        <v>#REF!</v>
      </c>
      <c r="H20" s="15" t="s">
        <v>42</v>
      </c>
    </row>
    <row r="21" spans="1:8" x14ac:dyDescent="0.3">
      <c r="A21" s="15" t="s">
        <v>70</v>
      </c>
      <c r="B21" s="15">
        <v>1000</v>
      </c>
      <c r="C21" s="15" t="s">
        <v>54</v>
      </c>
      <c r="D21" s="15" t="s">
        <v>55</v>
      </c>
      <c r="E21" s="16"/>
      <c r="F21" s="15" t="e">
        <f>'5-SEPTEMBER-2026'!Y19+'5-SEPTEMBER-2026'!Z19+'5-SEPTEMBER-2026'!#REF!</f>
        <v>#REF!</v>
      </c>
      <c r="G21" s="15" t="e">
        <f t="shared" si="0"/>
        <v>#REF!</v>
      </c>
      <c r="H21" s="15" t="s">
        <v>42</v>
      </c>
    </row>
    <row r="22" spans="1:8" x14ac:dyDescent="0.3">
      <c r="A22" s="15" t="s">
        <v>70</v>
      </c>
      <c r="B22" s="15">
        <v>1000</v>
      </c>
      <c r="C22" s="15" t="s">
        <v>54</v>
      </c>
      <c r="D22" s="15" t="s">
        <v>57</v>
      </c>
      <c r="E22" s="16"/>
      <c r="F22" s="15" t="e">
        <f>'5-SEPTEMBER-2026'!Y20+'5-SEPTEMBER-2026'!Z20+'5-SEPTEMBER-2026'!#REF!</f>
        <v>#REF!</v>
      </c>
      <c r="G22" s="15" t="e">
        <f t="shared" si="0"/>
        <v>#REF!</v>
      </c>
      <c r="H22" s="15" t="s">
        <v>42</v>
      </c>
    </row>
    <row r="23" spans="1:8" x14ac:dyDescent="0.3">
      <c r="A23" s="15" t="s">
        <v>71</v>
      </c>
      <c r="B23" s="15">
        <v>100</v>
      </c>
      <c r="C23" s="15" t="s">
        <v>54</v>
      </c>
      <c r="D23" s="15" t="s">
        <v>55</v>
      </c>
      <c r="E23" s="16"/>
      <c r="F23" s="15" t="e">
        <f>'5-SEPTEMBER-2026'!Y21+'5-SEPTEMBER-2026'!Z21+'5-SEPTEMBER-2026'!#REF!</f>
        <v>#REF!</v>
      </c>
      <c r="G23" s="15" t="e">
        <f t="shared" si="0"/>
        <v>#REF!</v>
      </c>
      <c r="H23" s="15" t="s">
        <v>42</v>
      </c>
    </row>
    <row r="24" spans="1:8" x14ac:dyDescent="0.3">
      <c r="A24" s="15" t="s">
        <v>71</v>
      </c>
      <c r="B24" s="15">
        <v>1000</v>
      </c>
      <c r="C24" s="15" t="s">
        <v>54</v>
      </c>
      <c r="D24" s="15" t="s">
        <v>55</v>
      </c>
      <c r="E24" s="16"/>
      <c r="F24" s="15" t="e">
        <f>'5-SEPTEMBER-2026'!Y22+'5-SEPTEMBER-2026'!Z22+'5-SEPTEMBER-2026'!#REF!</f>
        <v>#REF!</v>
      </c>
      <c r="G24" s="15" t="e">
        <f t="shared" si="0"/>
        <v>#REF!</v>
      </c>
      <c r="H24" s="15" t="s">
        <v>42</v>
      </c>
    </row>
    <row r="25" spans="1:8" x14ac:dyDescent="0.3">
      <c r="A25" s="15" t="s">
        <v>72</v>
      </c>
      <c r="B25" s="15">
        <v>100</v>
      </c>
      <c r="C25" s="15" t="s">
        <v>54</v>
      </c>
      <c r="D25" s="15" t="s">
        <v>57</v>
      </c>
      <c r="E25" s="16"/>
      <c r="F25" s="15" t="e">
        <f>'5-SEPTEMBER-2026'!Y23+'5-SEPTEMBER-2026'!Z23+'5-SEPTEMBER-2026'!#REF!</f>
        <v>#REF!</v>
      </c>
      <c r="G25" s="15" t="e">
        <f t="shared" si="0"/>
        <v>#REF!</v>
      </c>
      <c r="H25" s="15" t="s">
        <v>42</v>
      </c>
    </row>
    <row r="26" spans="1:8" x14ac:dyDescent="0.3">
      <c r="A26" s="15" t="s">
        <v>72</v>
      </c>
      <c r="B26" s="15">
        <v>500</v>
      </c>
      <c r="C26" s="15" t="s">
        <v>54</v>
      </c>
      <c r="D26" s="15" t="s">
        <v>57</v>
      </c>
      <c r="E26" s="16"/>
      <c r="F26" s="15" t="e">
        <f>'5-SEPTEMBER-2026'!Y24+'5-SEPTEMBER-2026'!Z24+'5-SEPTEMBER-2026'!#REF!</f>
        <v>#REF!</v>
      </c>
      <c r="G26" s="15" t="e">
        <f t="shared" si="0"/>
        <v>#REF!</v>
      </c>
      <c r="H26" s="15" t="s">
        <v>42</v>
      </c>
    </row>
    <row r="27" spans="1:8" x14ac:dyDescent="0.3">
      <c r="A27" s="15" t="s">
        <v>73</v>
      </c>
      <c r="B27" s="15">
        <v>100</v>
      </c>
      <c r="C27" s="15" t="s">
        <v>54</v>
      </c>
      <c r="D27" s="15" t="s">
        <v>55</v>
      </c>
      <c r="E27" s="16"/>
      <c r="F27" s="15" t="e">
        <f>'5-SEPTEMBER-2026'!Y25+'5-SEPTEMBER-2026'!Z25+'5-SEPTEMBER-2026'!#REF!</f>
        <v>#REF!</v>
      </c>
      <c r="G27" s="15" t="e">
        <f t="shared" si="0"/>
        <v>#REF!</v>
      </c>
      <c r="H27" s="15" t="s">
        <v>42</v>
      </c>
    </row>
    <row r="28" spans="1:8" x14ac:dyDescent="0.3">
      <c r="A28" s="15" t="s">
        <v>74</v>
      </c>
      <c r="B28" s="15">
        <v>100</v>
      </c>
      <c r="C28" s="15" t="s">
        <v>54</v>
      </c>
      <c r="D28" s="15" t="s">
        <v>55</v>
      </c>
      <c r="E28" s="16"/>
      <c r="F28" s="15" t="e">
        <f>'5-SEPTEMBER-2026'!Y26+'5-SEPTEMBER-2026'!Z26+'5-SEPTEMBER-2026'!#REF!</f>
        <v>#REF!</v>
      </c>
      <c r="G28" s="15" t="e">
        <f t="shared" si="0"/>
        <v>#REF!</v>
      </c>
      <c r="H28" s="15" t="s">
        <v>42</v>
      </c>
    </row>
    <row r="29" spans="1:8" x14ac:dyDescent="0.3">
      <c r="A29" s="15" t="s">
        <v>75</v>
      </c>
      <c r="B29" s="15">
        <v>1000</v>
      </c>
      <c r="C29" s="15" t="s">
        <v>54</v>
      </c>
      <c r="D29" s="15" t="s">
        <v>68</v>
      </c>
      <c r="E29" s="16"/>
      <c r="F29" s="15" t="e">
        <f>'5-SEPTEMBER-2026'!Y27+'5-SEPTEMBER-2026'!Z27+'5-SEPTEMBER-2026'!#REF!</f>
        <v>#REF!</v>
      </c>
      <c r="G29" s="15" t="e">
        <f t="shared" si="0"/>
        <v>#REF!</v>
      </c>
      <c r="H29" s="15" t="s">
        <v>42</v>
      </c>
    </row>
    <row r="30" spans="1:8" x14ac:dyDescent="0.3">
      <c r="A30" s="15" t="s">
        <v>76</v>
      </c>
      <c r="B30" s="15">
        <v>100</v>
      </c>
      <c r="C30" s="15" t="s">
        <v>54</v>
      </c>
      <c r="D30" s="15" t="s">
        <v>68</v>
      </c>
      <c r="E30" s="16"/>
      <c r="F30" s="15" t="e">
        <f>'5-SEPTEMBER-2026'!Y28+'5-SEPTEMBER-2026'!Z28+'5-SEPTEMBER-2026'!#REF!</f>
        <v>#REF!</v>
      </c>
      <c r="G30" s="15" t="e">
        <f t="shared" si="0"/>
        <v>#REF!</v>
      </c>
      <c r="H30" s="15" t="s">
        <v>42</v>
      </c>
    </row>
    <row r="31" spans="1:8" x14ac:dyDescent="0.3">
      <c r="A31" s="15" t="s">
        <v>77</v>
      </c>
      <c r="B31" s="15">
        <v>100</v>
      </c>
      <c r="C31" s="15" t="s">
        <v>54</v>
      </c>
      <c r="D31" s="15" t="s">
        <v>55</v>
      </c>
      <c r="E31" s="16"/>
      <c r="F31" s="15" t="e">
        <f>'5-SEPTEMBER-2026'!Y29+'5-SEPTEMBER-2026'!Z29+'5-SEPTEMBER-2026'!#REF!</f>
        <v>#REF!</v>
      </c>
      <c r="G31" s="15" t="e">
        <f t="shared" si="0"/>
        <v>#REF!</v>
      </c>
      <c r="H31" s="15" t="s">
        <v>42</v>
      </c>
    </row>
    <row r="32" spans="1:8" x14ac:dyDescent="0.3">
      <c r="A32" s="15" t="s">
        <v>78</v>
      </c>
      <c r="B32" s="15">
        <v>1000</v>
      </c>
      <c r="C32" s="15" t="s">
        <v>54</v>
      </c>
      <c r="D32" s="15" t="s">
        <v>55</v>
      </c>
      <c r="E32" s="16"/>
      <c r="F32" s="15" t="e">
        <f>'5-SEPTEMBER-2026'!Y30+'5-SEPTEMBER-2026'!Z30+'5-SEPTEMBER-2026'!#REF!</f>
        <v>#REF!</v>
      </c>
      <c r="G32" s="15" t="e">
        <f t="shared" si="0"/>
        <v>#REF!</v>
      </c>
      <c r="H32" s="15" t="s">
        <v>42</v>
      </c>
    </row>
    <row r="33" spans="1:8" x14ac:dyDescent="0.3">
      <c r="A33" s="15" t="s">
        <v>79</v>
      </c>
      <c r="B33" s="15">
        <v>1000</v>
      </c>
      <c r="C33" s="15" t="s">
        <v>54</v>
      </c>
      <c r="D33" s="15" t="s">
        <v>55</v>
      </c>
      <c r="E33" s="16"/>
      <c r="F33" s="15" t="e">
        <f>'5-SEPTEMBER-2026'!Y31+'5-SEPTEMBER-2026'!Z31+'5-SEPTEMBER-2026'!#REF!</f>
        <v>#REF!</v>
      </c>
      <c r="G33" s="15" t="e">
        <f t="shared" si="0"/>
        <v>#REF!</v>
      </c>
      <c r="H33" s="15" t="s">
        <v>42</v>
      </c>
    </row>
    <row r="34" spans="1:8" x14ac:dyDescent="0.3">
      <c r="A34" s="15" t="s">
        <v>80</v>
      </c>
      <c r="B34" s="15">
        <v>25000</v>
      </c>
      <c r="C34" s="15" t="s">
        <v>54</v>
      </c>
      <c r="D34" s="15" t="s">
        <v>55</v>
      </c>
      <c r="E34" s="16"/>
      <c r="F34" s="15" t="e">
        <f>'5-SEPTEMBER-2026'!Y32+'5-SEPTEMBER-2026'!Z32+'5-SEPTEMBER-2026'!#REF!</f>
        <v>#REF!</v>
      </c>
      <c r="G34" s="15" t="e">
        <f t="shared" si="0"/>
        <v>#REF!</v>
      </c>
      <c r="H34" s="15" t="s">
        <v>42</v>
      </c>
    </row>
    <row r="35" spans="1:8" x14ac:dyDescent="0.3">
      <c r="A35" s="15" t="s">
        <v>81</v>
      </c>
      <c r="B35" s="15">
        <v>25000</v>
      </c>
      <c r="C35" s="15" t="s">
        <v>54</v>
      </c>
      <c r="D35" s="15" t="s">
        <v>55</v>
      </c>
      <c r="E35" s="16"/>
      <c r="F35" s="15" t="e">
        <f>'5-SEPTEMBER-2026'!Y33+'5-SEPTEMBER-2026'!Z33+'5-SEPTEMBER-2026'!#REF!</f>
        <v>#REF!</v>
      </c>
      <c r="G35" s="15" t="e">
        <f t="shared" si="0"/>
        <v>#REF!</v>
      </c>
      <c r="H35" s="15" t="s">
        <v>42</v>
      </c>
    </row>
    <row r="36" spans="1:8" x14ac:dyDescent="0.3">
      <c r="A36" s="15" t="s">
        <v>82</v>
      </c>
      <c r="B36" s="15">
        <v>1000</v>
      </c>
      <c r="C36" s="15" t="s">
        <v>54</v>
      </c>
      <c r="D36" s="15" t="s">
        <v>68</v>
      </c>
      <c r="E36" s="16"/>
      <c r="F36" s="15" t="e">
        <f>'5-SEPTEMBER-2026'!Y34+'5-SEPTEMBER-2026'!Z34+'5-SEPTEMBER-2026'!#REF!</f>
        <v>#REF!</v>
      </c>
      <c r="G36" s="15" t="e">
        <f t="shared" si="0"/>
        <v>#REF!</v>
      </c>
      <c r="H36" s="15" t="s">
        <v>42</v>
      </c>
    </row>
    <row r="37" spans="1:8" x14ac:dyDescent="0.3">
      <c r="A37" s="15" t="s">
        <v>83</v>
      </c>
      <c r="B37" s="15">
        <v>100</v>
      </c>
      <c r="C37" s="15" t="s">
        <v>54</v>
      </c>
      <c r="D37" s="15" t="s">
        <v>57</v>
      </c>
      <c r="E37" s="16"/>
      <c r="F37" s="15" t="e">
        <f>'5-SEPTEMBER-2026'!Y35+'5-SEPTEMBER-2026'!Z35+'5-SEPTEMBER-2026'!#REF!</f>
        <v>#REF!</v>
      </c>
      <c r="G37" s="15" t="e">
        <f t="shared" ref="G37:G68" si="1">IF(F37&lt;0,"NEGATIVE - CHECK ENTRIES",IF(AND(E37&lt;&gt;"",E37&gt;0,F37&lt;=E37),"REORDER","OK"))</f>
        <v>#REF!</v>
      </c>
      <c r="H37" s="15" t="s">
        <v>42</v>
      </c>
    </row>
    <row r="38" spans="1:8" x14ac:dyDescent="0.3">
      <c r="A38" s="15" t="s">
        <v>84</v>
      </c>
      <c r="B38" s="15">
        <v>1000</v>
      </c>
      <c r="C38" s="15" t="s">
        <v>54</v>
      </c>
      <c r="D38" s="15" t="s">
        <v>55</v>
      </c>
      <c r="E38" s="16"/>
      <c r="F38" s="15" t="e">
        <f>'5-SEPTEMBER-2026'!Y36+'5-SEPTEMBER-2026'!Z36+'5-SEPTEMBER-2026'!#REF!</f>
        <v>#REF!</v>
      </c>
      <c r="G38" s="15" t="e">
        <f t="shared" si="1"/>
        <v>#REF!</v>
      </c>
      <c r="H38" s="15" t="s">
        <v>42</v>
      </c>
    </row>
    <row r="39" spans="1:8" x14ac:dyDescent="0.3">
      <c r="A39" s="15" t="s">
        <v>85</v>
      </c>
      <c r="B39" s="15">
        <v>1000</v>
      </c>
      <c r="C39" s="15" t="s">
        <v>54</v>
      </c>
      <c r="D39" s="15" t="s">
        <v>68</v>
      </c>
      <c r="E39" s="16"/>
      <c r="F39" s="15" t="e">
        <f>'5-SEPTEMBER-2026'!Y38+'5-SEPTEMBER-2026'!Z38+'5-SEPTEMBER-2026'!#REF!</f>
        <v>#REF!</v>
      </c>
      <c r="G39" s="15" t="e">
        <f t="shared" si="1"/>
        <v>#REF!</v>
      </c>
      <c r="H39" s="15" t="s">
        <v>42</v>
      </c>
    </row>
    <row r="40" spans="1:8" x14ac:dyDescent="0.3">
      <c r="A40" s="15" t="s">
        <v>86</v>
      </c>
      <c r="B40" s="15">
        <v>100</v>
      </c>
      <c r="C40" s="15" t="s">
        <v>54</v>
      </c>
      <c r="D40" s="15" t="s">
        <v>57</v>
      </c>
      <c r="E40" s="16"/>
      <c r="F40" s="15" t="e">
        <f>'5-SEPTEMBER-2026'!Y39+'5-SEPTEMBER-2026'!Z39+'5-SEPTEMBER-2026'!#REF!</f>
        <v>#REF!</v>
      </c>
      <c r="G40" s="15" t="e">
        <f t="shared" si="1"/>
        <v>#REF!</v>
      </c>
      <c r="H40" s="15" t="s">
        <v>42</v>
      </c>
    </row>
    <row r="41" spans="1:8" x14ac:dyDescent="0.3">
      <c r="A41" s="15" t="s">
        <v>87</v>
      </c>
      <c r="B41" s="15">
        <v>100000</v>
      </c>
      <c r="C41" s="15" t="s">
        <v>54</v>
      </c>
      <c r="D41" s="15" t="s">
        <v>68</v>
      </c>
      <c r="E41" s="16"/>
      <c r="F41" s="15" t="e">
        <f>'5-SEPTEMBER-2026'!Y40+'5-SEPTEMBER-2026'!Z40+'5-SEPTEMBER-2026'!#REF!</f>
        <v>#REF!</v>
      </c>
      <c r="G41" s="15" t="e">
        <f t="shared" si="1"/>
        <v>#REF!</v>
      </c>
      <c r="H41" s="15" t="s">
        <v>42</v>
      </c>
    </row>
    <row r="42" spans="1:8" x14ac:dyDescent="0.3">
      <c r="A42" s="15" t="s">
        <v>88</v>
      </c>
      <c r="B42" s="15">
        <v>100000</v>
      </c>
      <c r="C42" s="15" t="s">
        <v>54</v>
      </c>
      <c r="D42" s="15" t="s">
        <v>68</v>
      </c>
      <c r="E42" s="16"/>
      <c r="F42" s="15" t="e">
        <f>'5-SEPTEMBER-2026'!Y41+'5-SEPTEMBER-2026'!Z41+'5-SEPTEMBER-2026'!#REF!</f>
        <v>#REF!</v>
      </c>
      <c r="G42" s="15" t="e">
        <f t="shared" si="1"/>
        <v>#REF!</v>
      </c>
      <c r="H42" s="15" t="s">
        <v>42</v>
      </c>
    </row>
    <row r="43" spans="1:8" x14ac:dyDescent="0.3">
      <c r="A43" s="15" t="s">
        <v>89</v>
      </c>
      <c r="B43" s="15">
        <v>100</v>
      </c>
      <c r="C43" s="15" t="s">
        <v>54</v>
      </c>
      <c r="D43" s="15" t="s">
        <v>55</v>
      </c>
      <c r="E43" s="16"/>
      <c r="F43" s="15" t="e">
        <f>'5-SEPTEMBER-2026'!Y42+'5-SEPTEMBER-2026'!Z42+'5-SEPTEMBER-2026'!#REF!</f>
        <v>#REF!</v>
      </c>
      <c r="G43" s="15" t="e">
        <f t="shared" si="1"/>
        <v>#REF!</v>
      </c>
      <c r="H43" s="15" t="s">
        <v>42</v>
      </c>
    </row>
    <row r="44" spans="1:8" x14ac:dyDescent="0.3">
      <c r="A44" s="15" t="s">
        <v>90</v>
      </c>
      <c r="B44" s="15">
        <v>100</v>
      </c>
      <c r="C44" s="15" t="s">
        <v>54</v>
      </c>
      <c r="D44" s="15" t="s">
        <v>57</v>
      </c>
      <c r="E44" s="16"/>
      <c r="F44" s="15" t="e">
        <f>'5-SEPTEMBER-2026'!Y43+'5-SEPTEMBER-2026'!Z43+'5-SEPTEMBER-2026'!#REF!</f>
        <v>#REF!</v>
      </c>
      <c r="G44" s="15" t="e">
        <f t="shared" si="1"/>
        <v>#REF!</v>
      </c>
      <c r="H44" s="15" t="s">
        <v>42</v>
      </c>
    </row>
    <row r="45" spans="1:8" x14ac:dyDescent="0.3">
      <c r="A45" s="15" t="s">
        <v>91</v>
      </c>
      <c r="B45" s="15">
        <v>1000</v>
      </c>
      <c r="C45" s="15" t="s">
        <v>54</v>
      </c>
      <c r="D45" s="15" t="s">
        <v>55</v>
      </c>
      <c r="E45" s="16"/>
      <c r="F45" s="15" t="e">
        <f>'5-SEPTEMBER-2026'!Y44+'5-SEPTEMBER-2026'!Z44+'5-SEPTEMBER-2026'!#REF!</f>
        <v>#REF!</v>
      </c>
      <c r="G45" s="15" t="e">
        <f t="shared" si="1"/>
        <v>#REF!</v>
      </c>
      <c r="H45" s="15" t="s">
        <v>42</v>
      </c>
    </row>
    <row r="46" spans="1:8" x14ac:dyDescent="0.3">
      <c r="A46" s="15" t="s">
        <v>92</v>
      </c>
      <c r="B46" s="15">
        <v>100</v>
      </c>
      <c r="C46" s="15" t="s">
        <v>54</v>
      </c>
      <c r="D46" s="15" t="s">
        <v>68</v>
      </c>
      <c r="E46" s="16"/>
      <c r="F46" s="15" t="e">
        <f>'5-SEPTEMBER-2026'!Y45+'5-SEPTEMBER-2026'!Z45+'5-SEPTEMBER-2026'!#REF!</f>
        <v>#REF!</v>
      </c>
      <c r="G46" s="15" t="e">
        <f t="shared" si="1"/>
        <v>#REF!</v>
      </c>
      <c r="H46" s="15" t="s">
        <v>42</v>
      </c>
    </row>
    <row r="47" spans="1:8" x14ac:dyDescent="0.3">
      <c r="A47" s="15" t="s">
        <v>93</v>
      </c>
      <c r="B47" s="15">
        <v>100000</v>
      </c>
      <c r="C47" s="15" t="s">
        <v>54</v>
      </c>
      <c r="D47" s="15" t="s">
        <v>68</v>
      </c>
      <c r="E47" s="16"/>
      <c r="F47" s="15" t="e">
        <f>'5-SEPTEMBER-2026'!Y46+'5-SEPTEMBER-2026'!Z46+'5-SEPTEMBER-2026'!#REF!</f>
        <v>#REF!</v>
      </c>
      <c r="G47" s="15" t="e">
        <f t="shared" si="1"/>
        <v>#REF!</v>
      </c>
      <c r="H47" s="15" t="s">
        <v>42</v>
      </c>
    </row>
    <row r="48" spans="1:8" x14ac:dyDescent="0.3">
      <c r="A48" s="15" t="s">
        <v>94</v>
      </c>
      <c r="B48" s="15">
        <v>100</v>
      </c>
      <c r="C48" s="15" t="s">
        <v>54</v>
      </c>
      <c r="D48" s="15" t="s">
        <v>55</v>
      </c>
      <c r="E48" s="16"/>
      <c r="F48" s="15" t="e">
        <f>'5-SEPTEMBER-2026'!Y47+'5-SEPTEMBER-2026'!Z47+'5-SEPTEMBER-2026'!#REF!</f>
        <v>#REF!</v>
      </c>
      <c r="G48" s="15" t="e">
        <f t="shared" si="1"/>
        <v>#REF!</v>
      </c>
      <c r="H48" s="15" t="s">
        <v>42</v>
      </c>
    </row>
    <row r="49" spans="1:8" x14ac:dyDescent="0.3">
      <c r="A49" s="15" t="s">
        <v>94</v>
      </c>
      <c r="B49" s="15">
        <v>100</v>
      </c>
      <c r="C49" s="15" t="s">
        <v>54</v>
      </c>
      <c r="D49" s="15" t="s">
        <v>57</v>
      </c>
      <c r="E49" s="16"/>
      <c r="F49" s="15" t="e">
        <f>'5-SEPTEMBER-2026'!Y48+'5-SEPTEMBER-2026'!Z48+'5-SEPTEMBER-2026'!#REF!</f>
        <v>#REF!</v>
      </c>
      <c r="G49" s="15" t="e">
        <f t="shared" si="1"/>
        <v>#REF!</v>
      </c>
      <c r="H49" s="15" t="s">
        <v>42</v>
      </c>
    </row>
    <row r="50" spans="1:8" x14ac:dyDescent="0.3">
      <c r="A50" s="15" t="s">
        <v>95</v>
      </c>
      <c r="B50" s="15">
        <v>100</v>
      </c>
      <c r="C50" s="15" t="s">
        <v>54</v>
      </c>
      <c r="D50" s="15" t="s">
        <v>57</v>
      </c>
      <c r="E50" s="16"/>
      <c r="F50" s="15" t="e">
        <f>'5-SEPTEMBER-2026'!Y49+'5-SEPTEMBER-2026'!Z49+'5-SEPTEMBER-2026'!#REF!</f>
        <v>#REF!</v>
      </c>
      <c r="G50" s="15" t="e">
        <f t="shared" si="1"/>
        <v>#REF!</v>
      </c>
      <c r="H50" s="15" t="s">
        <v>42</v>
      </c>
    </row>
    <row r="51" spans="1:8" x14ac:dyDescent="0.3">
      <c r="A51" s="15" t="s">
        <v>96</v>
      </c>
      <c r="B51" s="15">
        <v>1000</v>
      </c>
      <c r="C51" s="15"/>
      <c r="D51" s="15" t="s">
        <v>55</v>
      </c>
      <c r="E51" s="16"/>
      <c r="F51" s="15" t="e">
        <f>'5-SEPTEMBER-2026'!Y50+'5-SEPTEMBER-2026'!Z50+'5-SEPTEMBER-2026'!#REF!</f>
        <v>#REF!</v>
      </c>
      <c r="G51" s="15" t="e">
        <f t="shared" si="1"/>
        <v>#REF!</v>
      </c>
      <c r="H51" s="15" t="s">
        <v>42</v>
      </c>
    </row>
    <row r="52" spans="1:8" x14ac:dyDescent="0.3">
      <c r="A52" s="15" t="s">
        <v>97</v>
      </c>
      <c r="B52" s="15">
        <v>1000</v>
      </c>
      <c r="C52" s="15" t="s">
        <v>54</v>
      </c>
      <c r="D52" s="15" t="s">
        <v>55</v>
      </c>
      <c r="E52" s="16"/>
      <c r="F52" s="15" t="e">
        <f>'5-SEPTEMBER-2026'!Y51+'5-SEPTEMBER-2026'!Z51+'5-SEPTEMBER-2026'!#REF!</f>
        <v>#REF!</v>
      </c>
      <c r="G52" s="15" t="e">
        <f t="shared" si="1"/>
        <v>#REF!</v>
      </c>
      <c r="H52" s="15" t="s">
        <v>42</v>
      </c>
    </row>
    <row r="53" spans="1:8" x14ac:dyDescent="0.3">
      <c r="A53" s="15" t="s">
        <v>98</v>
      </c>
      <c r="B53" s="15">
        <v>1000</v>
      </c>
      <c r="C53" s="15" t="s">
        <v>54</v>
      </c>
      <c r="D53" s="15" t="s">
        <v>55</v>
      </c>
      <c r="E53" s="16"/>
      <c r="F53" s="15" t="e">
        <f>'5-SEPTEMBER-2026'!Y52+'5-SEPTEMBER-2026'!Z52+'5-SEPTEMBER-2026'!#REF!</f>
        <v>#REF!</v>
      </c>
      <c r="G53" s="15" t="e">
        <f t="shared" si="1"/>
        <v>#REF!</v>
      </c>
      <c r="H53" s="15" t="s">
        <v>42</v>
      </c>
    </row>
    <row r="54" spans="1:8" x14ac:dyDescent="0.3">
      <c r="A54" s="15" t="s">
        <v>99</v>
      </c>
      <c r="B54" s="15">
        <v>1000</v>
      </c>
      <c r="C54" s="15" t="s">
        <v>54</v>
      </c>
      <c r="D54" s="15" t="s">
        <v>55</v>
      </c>
      <c r="E54" s="16"/>
      <c r="F54" s="15" t="e">
        <f>'5-SEPTEMBER-2026'!Y53+'5-SEPTEMBER-2026'!Z53+'5-SEPTEMBER-2026'!#REF!</f>
        <v>#REF!</v>
      </c>
      <c r="G54" s="15" t="e">
        <f t="shared" si="1"/>
        <v>#REF!</v>
      </c>
      <c r="H54" s="15" t="s">
        <v>42</v>
      </c>
    </row>
    <row r="55" spans="1:8" x14ac:dyDescent="0.3">
      <c r="A55" s="15" t="s">
        <v>100</v>
      </c>
      <c r="B55" s="15">
        <v>100</v>
      </c>
      <c r="C55" s="15" t="s">
        <v>54</v>
      </c>
      <c r="D55" s="15" t="s">
        <v>68</v>
      </c>
      <c r="E55" s="16"/>
      <c r="F55" s="15" t="e">
        <f>'5-SEPTEMBER-2026'!Y54+'5-SEPTEMBER-2026'!Z54+'5-SEPTEMBER-2026'!#REF!</f>
        <v>#REF!</v>
      </c>
      <c r="G55" s="15" t="e">
        <f t="shared" si="1"/>
        <v>#REF!</v>
      </c>
      <c r="H55" s="15" t="s">
        <v>42</v>
      </c>
    </row>
    <row r="56" spans="1:8" x14ac:dyDescent="0.3">
      <c r="A56" s="15" t="s">
        <v>101</v>
      </c>
      <c r="B56" s="15">
        <v>1000</v>
      </c>
      <c r="C56" s="15" t="s">
        <v>54</v>
      </c>
      <c r="D56" s="15" t="s">
        <v>68</v>
      </c>
      <c r="E56" s="16"/>
      <c r="F56" s="15" t="e">
        <f>'5-SEPTEMBER-2026'!Y55+'5-SEPTEMBER-2026'!Z55+'5-SEPTEMBER-2026'!#REF!</f>
        <v>#REF!</v>
      </c>
      <c r="G56" s="15" t="e">
        <f t="shared" si="1"/>
        <v>#REF!</v>
      </c>
      <c r="H56" s="15" t="s">
        <v>42</v>
      </c>
    </row>
    <row r="57" spans="1:8" x14ac:dyDescent="0.3">
      <c r="A57" s="15" t="s">
        <v>102</v>
      </c>
      <c r="B57" s="15">
        <v>5000</v>
      </c>
      <c r="C57" s="15" t="s">
        <v>54</v>
      </c>
      <c r="D57" s="15" t="s">
        <v>57</v>
      </c>
      <c r="E57" s="16"/>
      <c r="F57" s="15" t="e">
        <f>'5-SEPTEMBER-2026'!Y56+'5-SEPTEMBER-2026'!Z56+'5-SEPTEMBER-2026'!#REF!</f>
        <v>#REF!</v>
      </c>
      <c r="G57" s="15" t="e">
        <f t="shared" si="1"/>
        <v>#REF!</v>
      </c>
      <c r="H57" s="15" t="s">
        <v>42</v>
      </c>
    </row>
    <row r="58" spans="1:8" x14ac:dyDescent="0.3">
      <c r="A58" s="15" t="s">
        <v>103</v>
      </c>
      <c r="B58" s="15">
        <v>1000</v>
      </c>
      <c r="C58" s="15" t="s">
        <v>54</v>
      </c>
      <c r="D58" s="15" t="s">
        <v>68</v>
      </c>
      <c r="E58" s="16"/>
      <c r="F58" s="15" t="e">
        <f>'5-SEPTEMBER-2026'!Y57+'5-SEPTEMBER-2026'!Z57+'5-SEPTEMBER-2026'!#REF!</f>
        <v>#REF!</v>
      </c>
      <c r="G58" s="15" t="e">
        <f t="shared" si="1"/>
        <v>#REF!</v>
      </c>
      <c r="H58" s="15" t="s">
        <v>42</v>
      </c>
    </row>
    <row r="59" spans="1:8" x14ac:dyDescent="0.3">
      <c r="A59" s="15" t="s">
        <v>104</v>
      </c>
      <c r="B59" s="15">
        <v>1000</v>
      </c>
      <c r="C59" s="15" t="s">
        <v>54</v>
      </c>
      <c r="D59" s="15" t="s">
        <v>55</v>
      </c>
      <c r="E59" s="16"/>
      <c r="F59" s="15" t="e">
        <f>'5-SEPTEMBER-2026'!Y58+'5-SEPTEMBER-2026'!Z58+'5-SEPTEMBER-2026'!#REF!</f>
        <v>#REF!</v>
      </c>
      <c r="G59" s="15" t="e">
        <f t="shared" si="1"/>
        <v>#REF!</v>
      </c>
      <c r="H59" s="15" t="s">
        <v>42</v>
      </c>
    </row>
    <row r="60" spans="1:8" x14ac:dyDescent="0.3">
      <c r="A60" s="15" t="s">
        <v>105</v>
      </c>
      <c r="B60" s="15">
        <v>100000</v>
      </c>
      <c r="C60" s="15" t="s">
        <v>54</v>
      </c>
      <c r="D60" s="15" t="s">
        <v>68</v>
      </c>
      <c r="E60" s="16"/>
      <c r="F60" s="15" t="e">
        <f>'5-SEPTEMBER-2026'!Y59+'5-SEPTEMBER-2026'!Z59+'5-SEPTEMBER-2026'!#REF!</f>
        <v>#REF!</v>
      </c>
      <c r="G60" s="15" t="e">
        <f t="shared" si="1"/>
        <v>#REF!</v>
      </c>
      <c r="H60" s="15" t="s">
        <v>42</v>
      </c>
    </row>
    <row r="61" spans="1:8" x14ac:dyDescent="0.3">
      <c r="A61" s="15" t="s">
        <v>106</v>
      </c>
      <c r="B61" s="15">
        <v>100</v>
      </c>
      <c r="C61" s="15" t="s">
        <v>54</v>
      </c>
      <c r="D61" s="15" t="s">
        <v>55</v>
      </c>
      <c r="E61" s="16"/>
      <c r="F61" s="15" t="e">
        <f>'5-SEPTEMBER-2026'!Y60+'5-SEPTEMBER-2026'!Z60+'5-SEPTEMBER-2026'!#REF!</f>
        <v>#REF!</v>
      </c>
      <c r="G61" s="15" t="e">
        <f t="shared" si="1"/>
        <v>#REF!</v>
      </c>
      <c r="H61" s="15" t="s">
        <v>42</v>
      </c>
    </row>
    <row r="62" spans="1:8" x14ac:dyDescent="0.3">
      <c r="A62" s="15" t="s">
        <v>107</v>
      </c>
      <c r="B62" s="15">
        <v>100000</v>
      </c>
      <c r="C62" s="15" t="s">
        <v>54</v>
      </c>
      <c r="D62" s="15" t="s">
        <v>68</v>
      </c>
      <c r="E62" s="16"/>
      <c r="F62" s="15" t="e">
        <f>'5-SEPTEMBER-2026'!Y61+'5-SEPTEMBER-2026'!Z61+'5-SEPTEMBER-2026'!#REF!</f>
        <v>#REF!</v>
      </c>
      <c r="G62" s="15" t="e">
        <f t="shared" si="1"/>
        <v>#REF!</v>
      </c>
      <c r="H62" s="15" t="s">
        <v>42</v>
      </c>
    </row>
    <row r="63" spans="1:8" x14ac:dyDescent="0.3">
      <c r="A63" s="15" t="s">
        <v>108</v>
      </c>
      <c r="B63" s="15">
        <v>100</v>
      </c>
      <c r="C63" s="15" t="s">
        <v>54</v>
      </c>
      <c r="D63" s="15" t="s">
        <v>68</v>
      </c>
      <c r="E63" s="16"/>
      <c r="F63" s="15" t="e">
        <f>'5-SEPTEMBER-2026'!Y62+'5-SEPTEMBER-2026'!Z62+'5-SEPTEMBER-2026'!#REF!</f>
        <v>#REF!</v>
      </c>
      <c r="G63" s="15" t="e">
        <f t="shared" si="1"/>
        <v>#REF!</v>
      </c>
      <c r="H63" s="15" t="s">
        <v>42</v>
      </c>
    </row>
    <row r="64" spans="1:8" x14ac:dyDescent="0.3">
      <c r="A64" s="15" t="s">
        <v>109</v>
      </c>
      <c r="B64" s="15">
        <v>0</v>
      </c>
      <c r="C64" s="15" t="s">
        <v>110</v>
      </c>
      <c r="D64" s="15" t="s">
        <v>55</v>
      </c>
      <c r="E64" s="16"/>
      <c r="F64" s="15" t="e">
        <f>'5-SEPTEMBER-2026'!Y63+'5-SEPTEMBER-2026'!Z63+'5-SEPTEMBER-2026'!#REF!</f>
        <v>#REF!</v>
      </c>
      <c r="G64" s="15" t="e">
        <f t="shared" si="1"/>
        <v>#REF!</v>
      </c>
      <c r="H64" s="15" t="s">
        <v>42</v>
      </c>
    </row>
    <row r="65" spans="1:8" x14ac:dyDescent="0.3">
      <c r="A65" s="15" t="s">
        <v>111</v>
      </c>
      <c r="B65" s="15">
        <v>1000</v>
      </c>
      <c r="C65" s="15" t="s">
        <v>54</v>
      </c>
      <c r="D65" s="15" t="s">
        <v>68</v>
      </c>
      <c r="E65" s="16"/>
      <c r="F65" s="15" t="e">
        <f>'5-SEPTEMBER-2026'!Y64+'5-SEPTEMBER-2026'!Z64+'5-SEPTEMBER-2026'!#REF!</f>
        <v>#REF!</v>
      </c>
      <c r="G65" s="15" t="e">
        <f t="shared" si="1"/>
        <v>#REF!</v>
      </c>
      <c r="H65" s="15" t="s">
        <v>42</v>
      </c>
    </row>
    <row r="66" spans="1:8" x14ac:dyDescent="0.3">
      <c r="A66" s="15" t="s">
        <v>112</v>
      </c>
      <c r="B66" s="15">
        <v>1000</v>
      </c>
      <c r="C66" s="15" t="s">
        <v>54</v>
      </c>
      <c r="D66" s="15" t="s">
        <v>68</v>
      </c>
      <c r="E66" s="16"/>
      <c r="F66" s="15" t="e">
        <f>'5-SEPTEMBER-2026'!Y65+'5-SEPTEMBER-2026'!Z65+'5-SEPTEMBER-2026'!#REF!</f>
        <v>#REF!</v>
      </c>
      <c r="G66" s="15" t="e">
        <f t="shared" si="1"/>
        <v>#REF!</v>
      </c>
      <c r="H66" s="15" t="s">
        <v>42</v>
      </c>
    </row>
    <row r="67" spans="1:8" x14ac:dyDescent="0.3">
      <c r="A67" s="15" t="s">
        <v>113</v>
      </c>
      <c r="B67" s="15">
        <v>1000</v>
      </c>
      <c r="C67" s="15" t="s">
        <v>54</v>
      </c>
      <c r="D67" s="15" t="s">
        <v>68</v>
      </c>
      <c r="E67" s="16"/>
      <c r="F67" s="15" t="e">
        <f>'5-SEPTEMBER-2026'!Y66+'5-SEPTEMBER-2026'!Z66+'5-SEPTEMBER-2026'!#REF!</f>
        <v>#REF!</v>
      </c>
      <c r="G67" s="15" t="e">
        <f t="shared" si="1"/>
        <v>#REF!</v>
      </c>
      <c r="H67" s="15" t="s">
        <v>42</v>
      </c>
    </row>
    <row r="68" spans="1:8" x14ac:dyDescent="0.3">
      <c r="A68" s="15" t="s">
        <v>114</v>
      </c>
      <c r="B68" s="15">
        <v>100</v>
      </c>
      <c r="C68" s="15" t="s">
        <v>54</v>
      </c>
      <c r="D68" s="15" t="s">
        <v>57</v>
      </c>
      <c r="E68" s="16"/>
      <c r="F68" s="15" t="e">
        <f>'5-SEPTEMBER-2026'!Y67+'5-SEPTEMBER-2026'!Z67+'5-SEPTEMBER-2026'!#REF!</f>
        <v>#REF!</v>
      </c>
      <c r="G68" s="15" t="e">
        <f t="shared" si="1"/>
        <v>#REF!</v>
      </c>
      <c r="H68" s="15" t="s">
        <v>42</v>
      </c>
    </row>
    <row r="69" spans="1:8" x14ac:dyDescent="0.3">
      <c r="A69" s="15" t="s">
        <v>115</v>
      </c>
      <c r="B69" s="15">
        <v>1000</v>
      </c>
      <c r="C69" s="15" t="s">
        <v>54</v>
      </c>
      <c r="D69" s="15" t="s">
        <v>55</v>
      </c>
      <c r="E69" s="16"/>
      <c r="F69" s="15" t="e">
        <f>'5-SEPTEMBER-2026'!Y68+'5-SEPTEMBER-2026'!Z68+'5-SEPTEMBER-2026'!#REF!</f>
        <v>#REF!</v>
      </c>
      <c r="G69" s="15" t="e">
        <f t="shared" ref="G69:G100" si="2">IF(F69&lt;0,"NEGATIVE - CHECK ENTRIES",IF(AND(E69&lt;&gt;"",E69&gt;0,F69&lt;=E69),"REORDER","OK"))</f>
        <v>#REF!</v>
      </c>
      <c r="H69" s="15" t="s">
        <v>42</v>
      </c>
    </row>
    <row r="70" spans="1:8" x14ac:dyDescent="0.3">
      <c r="A70" s="15" t="s">
        <v>116</v>
      </c>
      <c r="B70" s="15">
        <v>5000</v>
      </c>
      <c r="C70" s="15" t="s">
        <v>54</v>
      </c>
      <c r="D70" s="15" t="s">
        <v>68</v>
      </c>
      <c r="E70" s="16"/>
      <c r="F70" s="15" t="e">
        <f>'5-SEPTEMBER-2026'!Y69+'5-SEPTEMBER-2026'!Z69+'5-SEPTEMBER-2026'!#REF!</f>
        <v>#REF!</v>
      </c>
      <c r="G70" s="15" t="e">
        <f t="shared" si="2"/>
        <v>#REF!</v>
      </c>
      <c r="H70" s="15" t="s">
        <v>42</v>
      </c>
    </row>
    <row r="71" spans="1:8" x14ac:dyDescent="0.3">
      <c r="A71" s="15" t="s">
        <v>117</v>
      </c>
      <c r="B71" s="15">
        <v>100</v>
      </c>
      <c r="C71" s="15" t="s">
        <v>54</v>
      </c>
      <c r="D71" s="15" t="s">
        <v>57</v>
      </c>
      <c r="E71" s="16"/>
      <c r="F71" s="15" t="e">
        <f>'5-SEPTEMBER-2026'!Y70+'5-SEPTEMBER-2026'!Z70+'5-SEPTEMBER-2026'!#REF!</f>
        <v>#REF!</v>
      </c>
      <c r="G71" s="15" t="e">
        <f t="shared" si="2"/>
        <v>#REF!</v>
      </c>
      <c r="H71" s="15" t="s">
        <v>42</v>
      </c>
    </row>
    <row r="72" spans="1:8" x14ac:dyDescent="0.3">
      <c r="A72" s="15" t="s">
        <v>118</v>
      </c>
      <c r="B72" s="15">
        <v>5000</v>
      </c>
      <c r="C72" s="15" t="s">
        <v>54</v>
      </c>
      <c r="D72" s="15" t="s">
        <v>68</v>
      </c>
      <c r="E72" s="16"/>
      <c r="F72" s="15" t="e">
        <f>'5-SEPTEMBER-2026'!Y71+'5-SEPTEMBER-2026'!Z71+'5-SEPTEMBER-2026'!#REF!</f>
        <v>#REF!</v>
      </c>
      <c r="G72" s="15" t="e">
        <f t="shared" si="2"/>
        <v>#REF!</v>
      </c>
      <c r="H72" s="15" t="s">
        <v>42</v>
      </c>
    </row>
    <row r="73" spans="1:8" x14ac:dyDescent="0.3">
      <c r="A73" s="15" t="s">
        <v>119</v>
      </c>
      <c r="B73" s="15">
        <v>100</v>
      </c>
      <c r="C73" s="15" t="s">
        <v>54</v>
      </c>
      <c r="D73" s="15" t="s">
        <v>68</v>
      </c>
      <c r="E73" s="16"/>
      <c r="F73" s="15" t="e">
        <f>'5-SEPTEMBER-2026'!Y72+'5-SEPTEMBER-2026'!Z72+'5-SEPTEMBER-2026'!#REF!</f>
        <v>#REF!</v>
      </c>
      <c r="G73" s="15" t="e">
        <f t="shared" si="2"/>
        <v>#REF!</v>
      </c>
      <c r="H73" s="15" t="s">
        <v>42</v>
      </c>
    </row>
    <row r="74" spans="1:8" x14ac:dyDescent="0.3">
      <c r="A74" s="15" t="s">
        <v>120</v>
      </c>
      <c r="B74" s="15">
        <v>100</v>
      </c>
      <c r="C74" s="15" t="s">
        <v>54</v>
      </c>
      <c r="D74" s="15" t="s">
        <v>57</v>
      </c>
      <c r="E74" s="16"/>
      <c r="F74" s="15" t="e">
        <f>'5-SEPTEMBER-2026'!Y73+'5-SEPTEMBER-2026'!Z73+'5-SEPTEMBER-2026'!#REF!</f>
        <v>#REF!</v>
      </c>
      <c r="G74" s="15" t="e">
        <f t="shared" si="2"/>
        <v>#REF!</v>
      </c>
      <c r="H74" s="15" t="s">
        <v>42</v>
      </c>
    </row>
    <row r="75" spans="1:8" x14ac:dyDescent="0.3">
      <c r="A75" s="15" t="s">
        <v>121</v>
      </c>
      <c r="B75" s="15">
        <v>100</v>
      </c>
      <c r="C75" s="15" t="s">
        <v>54</v>
      </c>
      <c r="D75" s="15" t="s">
        <v>68</v>
      </c>
      <c r="E75" s="16"/>
      <c r="F75" s="15" t="e">
        <f>'5-SEPTEMBER-2026'!Y74+'5-SEPTEMBER-2026'!Z74+'5-SEPTEMBER-2026'!#REF!</f>
        <v>#REF!</v>
      </c>
      <c r="G75" s="15" t="e">
        <f t="shared" si="2"/>
        <v>#REF!</v>
      </c>
      <c r="H75" s="15" t="s">
        <v>42</v>
      </c>
    </row>
    <row r="76" spans="1:8" x14ac:dyDescent="0.3">
      <c r="A76" s="15" t="s">
        <v>122</v>
      </c>
      <c r="B76" s="15">
        <v>1000</v>
      </c>
      <c r="C76" s="15" t="s">
        <v>54</v>
      </c>
      <c r="D76" s="15" t="s">
        <v>68</v>
      </c>
      <c r="E76" s="16"/>
      <c r="F76" s="15" t="e">
        <f>'5-SEPTEMBER-2026'!Y75+'5-SEPTEMBER-2026'!Z75+'5-SEPTEMBER-2026'!#REF!</f>
        <v>#REF!</v>
      </c>
      <c r="G76" s="15" t="e">
        <f t="shared" si="2"/>
        <v>#REF!</v>
      </c>
      <c r="H76" s="15" t="s">
        <v>42</v>
      </c>
    </row>
    <row r="77" spans="1:8" x14ac:dyDescent="0.3">
      <c r="A77" s="15" t="s">
        <v>123</v>
      </c>
      <c r="B77" s="15" t="s">
        <v>124</v>
      </c>
      <c r="C77" s="15" t="s">
        <v>123</v>
      </c>
      <c r="D77" s="15" t="s">
        <v>55</v>
      </c>
      <c r="E77" s="16"/>
      <c r="F77" s="15" t="e">
        <f>'5-SEPTEMBER-2026'!Y76+'5-SEPTEMBER-2026'!Z76+'5-SEPTEMBER-2026'!#REF!</f>
        <v>#REF!</v>
      </c>
      <c r="G77" s="15" t="e">
        <f t="shared" si="2"/>
        <v>#REF!</v>
      </c>
      <c r="H77" s="15" t="s">
        <v>42</v>
      </c>
    </row>
    <row r="78" spans="1:8" x14ac:dyDescent="0.3">
      <c r="A78" s="15" t="s">
        <v>125</v>
      </c>
      <c r="B78" s="15">
        <v>1000</v>
      </c>
      <c r="C78" s="15" t="s">
        <v>54</v>
      </c>
      <c r="D78" s="15" t="s">
        <v>68</v>
      </c>
      <c r="E78" s="16"/>
      <c r="F78" s="15" t="e">
        <f>'5-SEPTEMBER-2026'!Y77+'5-SEPTEMBER-2026'!Z77+'5-SEPTEMBER-2026'!#REF!</f>
        <v>#REF!</v>
      </c>
      <c r="G78" s="15" t="e">
        <f t="shared" si="2"/>
        <v>#REF!</v>
      </c>
      <c r="H78" s="15" t="s">
        <v>42</v>
      </c>
    </row>
    <row r="79" spans="1:8" x14ac:dyDescent="0.3">
      <c r="A79" s="15" t="s">
        <v>126</v>
      </c>
      <c r="B79" s="15">
        <v>1000</v>
      </c>
      <c r="C79" s="15" t="s">
        <v>54</v>
      </c>
      <c r="D79" s="15" t="s">
        <v>68</v>
      </c>
      <c r="E79" s="16"/>
      <c r="F79" s="15" t="e">
        <f>'5-SEPTEMBER-2026'!Y78+'5-SEPTEMBER-2026'!Z78+'5-SEPTEMBER-2026'!#REF!</f>
        <v>#REF!</v>
      </c>
      <c r="G79" s="15" t="e">
        <f t="shared" si="2"/>
        <v>#REF!</v>
      </c>
      <c r="H79" s="15" t="s">
        <v>42</v>
      </c>
    </row>
    <row r="80" spans="1:8" x14ac:dyDescent="0.3">
      <c r="A80" s="15" t="s">
        <v>127</v>
      </c>
      <c r="B80" s="15">
        <v>0</v>
      </c>
      <c r="C80" s="15" t="s">
        <v>128</v>
      </c>
      <c r="D80" s="15" t="s">
        <v>55</v>
      </c>
      <c r="E80" s="16"/>
      <c r="F80" s="15" t="e">
        <f>'5-SEPTEMBER-2026'!Y79+'5-SEPTEMBER-2026'!Z79+'5-SEPTEMBER-2026'!#REF!</f>
        <v>#REF!</v>
      </c>
      <c r="G80" s="15" t="e">
        <f t="shared" si="2"/>
        <v>#REF!</v>
      </c>
      <c r="H80" s="15" t="s">
        <v>42</v>
      </c>
    </row>
    <row r="81" spans="1:8" x14ac:dyDescent="0.3">
      <c r="A81" s="15" t="s">
        <v>129</v>
      </c>
      <c r="B81" s="15">
        <v>0</v>
      </c>
      <c r="C81" s="15" t="s">
        <v>128</v>
      </c>
      <c r="D81" s="15" t="s">
        <v>55</v>
      </c>
      <c r="E81" s="16"/>
      <c r="F81" s="15" t="e">
        <f>'5-SEPTEMBER-2026'!Y80+'5-SEPTEMBER-2026'!Z80+'5-SEPTEMBER-2026'!#REF!</f>
        <v>#REF!</v>
      </c>
      <c r="G81" s="15" t="e">
        <f t="shared" si="2"/>
        <v>#REF!</v>
      </c>
      <c r="H81" s="15" t="s">
        <v>42</v>
      </c>
    </row>
    <row r="82" spans="1:8" x14ac:dyDescent="0.3">
      <c r="A82" s="15" t="s">
        <v>130</v>
      </c>
      <c r="B82" s="15">
        <v>100</v>
      </c>
      <c r="C82" s="15" t="s">
        <v>54</v>
      </c>
      <c r="D82" s="15" t="s">
        <v>55</v>
      </c>
      <c r="E82" s="16"/>
      <c r="F82" s="15" t="e">
        <f>'5-SEPTEMBER-2026'!Y81+'5-SEPTEMBER-2026'!Z81+'5-SEPTEMBER-2026'!#REF!</f>
        <v>#REF!</v>
      </c>
      <c r="G82" s="15" t="e">
        <f t="shared" si="2"/>
        <v>#REF!</v>
      </c>
      <c r="H82" s="15" t="s">
        <v>42</v>
      </c>
    </row>
    <row r="83" spans="1:8" x14ac:dyDescent="0.3">
      <c r="A83" s="15" t="s">
        <v>131</v>
      </c>
      <c r="B83" s="15">
        <v>500</v>
      </c>
      <c r="C83" s="15" t="s">
        <v>54</v>
      </c>
      <c r="D83" s="15" t="s">
        <v>55</v>
      </c>
      <c r="E83" s="16"/>
      <c r="F83" s="15" t="e">
        <f>'5-SEPTEMBER-2026'!Y82+'5-SEPTEMBER-2026'!Z82+'5-SEPTEMBER-2026'!#REF!</f>
        <v>#REF!</v>
      </c>
      <c r="G83" s="15" t="e">
        <f t="shared" si="2"/>
        <v>#REF!</v>
      </c>
      <c r="H83" s="15" t="s">
        <v>42</v>
      </c>
    </row>
    <row r="84" spans="1:8" x14ac:dyDescent="0.3">
      <c r="A84" s="15" t="s">
        <v>132</v>
      </c>
      <c r="B84" s="15">
        <v>100</v>
      </c>
      <c r="C84" s="15" t="s">
        <v>54</v>
      </c>
      <c r="D84" s="15" t="s">
        <v>55</v>
      </c>
      <c r="E84" s="16"/>
      <c r="F84" s="15" t="e">
        <f>'5-SEPTEMBER-2026'!Y83+'5-SEPTEMBER-2026'!Z83+'5-SEPTEMBER-2026'!#REF!</f>
        <v>#REF!</v>
      </c>
      <c r="G84" s="15" t="e">
        <f t="shared" si="2"/>
        <v>#REF!</v>
      </c>
      <c r="H84" s="15" t="s">
        <v>42</v>
      </c>
    </row>
    <row r="85" spans="1:8" x14ac:dyDescent="0.3">
      <c r="A85" s="15" t="s">
        <v>133</v>
      </c>
      <c r="B85" s="15">
        <v>1000</v>
      </c>
      <c r="C85" s="15" t="s">
        <v>54</v>
      </c>
      <c r="D85" s="15" t="s">
        <v>55</v>
      </c>
      <c r="E85" s="16"/>
      <c r="F85" s="15" t="e">
        <f>'5-SEPTEMBER-2026'!Y84+'5-SEPTEMBER-2026'!Z84+'5-SEPTEMBER-2026'!#REF!</f>
        <v>#REF!</v>
      </c>
      <c r="G85" s="15" t="e">
        <f t="shared" si="2"/>
        <v>#REF!</v>
      </c>
      <c r="H85" s="15" t="s">
        <v>42</v>
      </c>
    </row>
    <row r="86" spans="1:8" x14ac:dyDescent="0.3">
      <c r="A86" s="15" t="s">
        <v>134</v>
      </c>
      <c r="B86" s="15">
        <v>100</v>
      </c>
      <c r="C86" s="15" t="s">
        <v>54</v>
      </c>
      <c r="D86" s="15" t="s">
        <v>57</v>
      </c>
      <c r="E86" s="16"/>
      <c r="F86" s="15" t="e">
        <f>'5-SEPTEMBER-2026'!Y85+'5-SEPTEMBER-2026'!Z85+'5-SEPTEMBER-2026'!#REF!</f>
        <v>#REF!</v>
      </c>
      <c r="G86" s="15" t="e">
        <f t="shared" si="2"/>
        <v>#REF!</v>
      </c>
      <c r="H86" s="15" t="s">
        <v>42</v>
      </c>
    </row>
    <row r="87" spans="1:8" x14ac:dyDescent="0.3">
      <c r="A87" s="15" t="s">
        <v>135</v>
      </c>
      <c r="B87" s="15">
        <v>100</v>
      </c>
      <c r="C87" s="15" t="s">
        <v>54</v>
      </c>
      <c r="D87" s="15" t="s">
        <v>57</v>
      </c>
      <c r="E87" s="16"/>
      <c r="F87" s="15" t="e">
        <f>'5-SEPTEMBER-2026'!Y86+'5-SEPTEMBER-2026'!Z86+'5-SEPTEMBER-2026'!#REF!</f>
        <v>#REF!</v>
      </c>
      <c r="G87" s="15" t="e">
        <f t="shared" si="2"/>
        <v>#REF!</v>
      </c>
      <c r="H87" s="15" t="s">
        <v>42</v>
      </c>
    </row>
    <row r="88" spans="1:8" x14ac:dyDescent="0.3">
      <c r="A88" s="15" t="s">
        <v>135</v>
      </c>
      <c r="B88" s="15">
        <v>1000</v>
      </c>
      <c r="C88" s="15" t="s">
        <v>54</v>
      </c>
      <c r="D88" s="15" t="s">
        <v>57</v>
      </c>
      <c r="E88" s="16"/>
      <c r="F88" s="15" t="e">
        <f>'5-SEPTEMBER-2026'!Y87+'5-SEPTEMBER-2026'!Z87+'5-SEPTEMBER-2026'!#REF!</f>
        <v>#REF!</v>
      </c>
      <c r="G88" s="15" t="e">
        <f t="shared" si="2"/>
        <v>#REF!</v>
      </c>
      <c r="H88" s="15" t="s">
        <v>42</v>
      </c>
    </row>
    <row r="89" spans="1:8" x14ac:dyDescent="0.3">
      <c r="A89" s="15" t="s">
        <v>136</v>
      </c>
      <c r="B89" s="15">
        <v>100000</v>
      </c>
      <c r="C89" s="15" t="s">
        <v>54</v>
      </c>
      <c r="D89" s="15" t="s">
        <v>68</v>
      </c>
      <c r="E89" s="16"/>
      <c r="F89" s="15" t="e">
        <f>'5-SEPTEMBER-2026'!Y88+'5-SEPTEMBER-2026'!Z88+'5-SEPTEMBER-2026'!#REF!</f>
        <v>#REF!</v>
      </c>
      <c r="G89" s="15" t="e">
        <f t="shared" si="2"/>
        <v>#REF!</v>
      </c>
      <c r="H89" s="15" t="s">
        <v>42</v>
      </c>
    </row>
    <row r="90" spans="1:8" x14ac:dyDescent="0.3">
      <c r="A90" s="15" t="s">
        <v>137</v>
      </c>
      <c r="B90" s="15">
        <v>1000</v>
      </c>
      <c r="C90" s="15" t="s">
        <v>54</v>
      </c>
      <c r="D90" s="15" t="s">
        <v>68</v>
      </c>
      <c r="E90" s="16"/>
      <c r="F90" s="15" t="e">
        <f>'5-SEPTEMBER-2026'!Y89+'5-SEPTEMBER-2026'!Z89+'5-SEPTEMBER-2026'!#REF!</f>
        <v>#REF!</v>
      </c>
      <c r="G90" s="15" t="e">
        <f t="shared" si="2"/>
        <v>#REF!</v>
      </c>
      <c r="H90" s="15" t="s">
        <v>42</v>
      </c>
    </row>
    <row r="91" spans="1:8" x14ac:dyDescent="0.3">
      <c r="A91" s="15" t="s">
        <v>138</v>
      </c>
      <c r="B91" s="15">
        <v>100</v>
      </c>
      <c r="C91" s="15" t="s">
        <v>54</v>
      </c>
      <c r="D91" s="15" t="s">
        <v>57</v>
      </c>
      <c r="E91" s="16"/>
      <c r="F91" s="15" t="e">
        <f>'5-SEPTEMBER-2026'!Y90+'5-SEPTEMBER-2026'!Z90+'5-SEPTEMBER-2026'!#REF!</f>
        <v>#REF!</v>
      </c>
      <c r="G91" s="15" t="e">
        <f t="shared" si="2"/>
        <v>#REF!</v>
      </c>
      <c r="H91" s="15" t="s">
        <v>42</v>
      </c>
    </row>
    <row r="92" spans="1:8" x14ac:dyDescent="0.3">
      <c r="A92" s="15" t="s">
        <v>139</v>
      </c>
      <c r="B92" s="15">
        <v>100</v>
      </c>
      <c r="C92" s="15" t="s">
        <v>54</v>
      </c>
      <c r="D92" s="15" t="s">
        <v>68</v>
      </c>
      <c r="E92" s="16"/>
      <c r="F92" s="15" t="e">
        <f>'5-SEPTEMBER-2026'!Y91+'5-SEPTEMBER-2026'!Z91+'5-SEPTEMBER-2026'!#REF!</f>
        <v>#REF!</v>
      </c>
      <c r="G92" s="15" t="e">
        <f t="shared" si="2"/>
        <v>#REF!</v>
      </c>
      <c r="H92" s="15" t="s">
        <v>42</v>
      </c>
    </row>
    <row r="93" spans="1:8" x14ac:dyDescent="0.3">
      <c r="A93" s="15" t="s">
        <v>140</v>
      </c>
      <c r="B93" s="15">
        <v>1000</v>
      </c>
      <c r="C93" s="15" t="s">
        <v>54</v>
      </c>
      <c r="D93" s="15" t="s">
        <v>68</v>
      </c>
      <c r="E93" s="16"/>
      <c r="F93" s="15" t="e">
        <f>'5-SEPTEMBER-2026'!Y92+'5-SEPTEMBER-2026'!Z92+'5-SEPTEMBER-2026'!#REF!</f>
        <v>#REF!</v>
      </c>
      <c r="G93" s="15" t="e">
        <f t="shared" si="2"/>
        <v>#REF!</v>
      </c>
      <c r="H93" s="15" t="s">
        <v>42</v>
      </c>
    </row>
    <row r="94" spans="1:8" x14ac:dyDescent="0.3">
      <c r="A94" s="15" t="s">
        <v>141</v>
      </c>
      <c r="B94" s="15">
        <v>1000</v>
      </c>
      <c r="C94" s="15" t="s">
        <v>54</v>
      </c>
      <c r="D94" s="15" t="s">
        <v>55</v>
      </c>
      <c r="E94" s="16"/>
      <c r="F94" s="15" t="e">
        <f>'5-SEPTEMBER-2026'!Y93+'5-SEPTEMBER-2026'!Z93+'5-SEPTEMBER-2026'!#REF!</f>
        <v>#REF!</v>
      </c>
      <c r="G94" s="15" t="e">
        <f t="shared" si="2"/>
        <v>#REF!</v>
      </c>
      <c r="H94" s="15" t="s">
        <v>42</v>
      </c>
    </row>
    <row r="95" spans="1:8" x14ac:dyDescent="0.3">
      <c r="A95" s="15" t="s">
        <v>142</v>
      </c>
      <c r="B95" s="15">
        <v>100</v>
      </c>
      <c r="C95" s="15" t="s">
        <v>54</v>
      </c>
      <c r="D95" s="15" t="s">
        <v>55</v>
      </c>
      <c r="E95" s="16"/>
      <c r="F95" s="15" t="e">
        <f>'5-SEPTEMBER-2026'!Y94+'5-SEPTEMBER-2026'!Z94+'5-SEPTEMBER-2026'!#REF!</f>
        <v>#REF!</v>
      </c>
      <c r="G95" s="15" t="e">
        <f t="shared" si="2"/>
        <v>#REF!</v>
      </c>
      <c r="H95" s="15" t="s">
        <v>42</v>
      </c>
    </row>
    <row r="96" spans="1:8" x14ac:dyDescent="0.3">
      <c r="A96" s="15" t="s">
        <v>143</v>
      </c>
      <c r="B96" s="15">
        <v>1000</v>
      </c>
      <c r="C96" s="15" t="s">
        <v>54</v>
      </c>
      <c r="D96" s="15" t="s">
        <v>57</v>
      </c>
      <c r="E96" s="16"/>
      <c r="F96" s="15" t="e">
        <f>'5-SEPTEMBER-2026'!Y95+'5-SEPTEMBER-2026'!Z95+'5-SEPTEMBER-2026'!#REF!</f>
        <v>#REF!</v>
      </c>
      <c r="G96" s="15" t="e">
        <f t="shared" si="2"/>
        <v>#REF!</v>
      </c>
      <c r="H96" s="15" t="s">
        <v>42</v>
      </c>
    </row>
    <row r="97" spans="1:8" x14ac:dyDescent="0.3">
      <c r="A97" s="15" t="s">
        <v>144</v>
      </c>
      <c r="B97" s="15">
        <v>1000</v>
      </c>
      <c r="C97" s="15" t="s">
        <v>54</v>
      </c>
      <c r="D97" s="15" t="s">
        <v>68</v>
      </c>
      <c r="E97" s="16"/>
      <c r="F97" s="15" t="e">
        <f>'5-SEPTEMBER-2026'!#REF!+'5-SEPTEMBER-2026'!#REF!+'5-SEPTEMBER-2026'!#REF!</f>
        <v>#REF!</v>
      </c>
      <c r="G97" s="15" t="e">
        <f t="shared" si="2"/>
        <v>#REF!</v>
      </c>
      <c r="H97" s="15" t="s">
        <v>42</v>
      </c>
    </row>
    <row r="98" spans="1:8" x14ac:dyDescent="0.3">
      <c r="A98" s="15" t="s">
        <v>145</v>
      </c>
      <c r="B98" s="15">
        <v>1000</v>
      </c>
      <c r="C98" s="15" t="s">
        <v>54</v>
      </c>
      <c r="D98" s="15" t="s">
        <v>68</v>
      </c>
      <c r="E98" s="16"/>
      <c r="F98" s="15" t="e">
        <f>'5-SEPTEMBER-2026'!Y96+'5-SEPTEMBER-2026'!Z96+'5-SEPTEMBER-2026'!#REF!</f>
        <v>#REF!</v>
      </c>
      <c r="G98" s="15" t="e">
        <f t="shared" si="2"/>
        <v>#REF!</v>
      </c>
      <c r="H98" s="15" t="s">
        <v>42</v>
      </c>
    </row>
    <row r="99" spans="1:8" x14ac:dyDescent="0.3">
      <c r="A99" s="15" t="s">
        <v>146</v>
      </c>
      <c r="B99" s="15">
        <v>1000</v>
      </c>
      <c r="C99" s="15" t="s">
        <v>54</v>
      </c>
      <c r="D99" s="15" t="s">
        <v>68</v>
      </c>
      <c r="E99" s="16"/>
      <c r="F99" s="15" t="e">
        <f>'5-SEPTEMBER-2026'!Y97+'5-SEPTEMBER-2026'!Z97+'5-SEPTEMBER-2026'!#REF!</f>
        <v>#REF!</v>
      </c>
      <c r="G99" s="15" t="e">
        <f t="shared" si="2"/>
        <v>#REF!</v>
      </c>
      <c r="H99" s="15" t="s">
        <v>42</v>
      </c>
    </row>
    <row r="100" spans="1:8" x14ac:dyDescent="0.3">
      <c r="A100" s="15" t="s">
        <v>147</v>
      </c>
      <c r="B100" s="15">
        <v>1000</v>
      </c>
      <c r="C100" s="15" t="s">
        <v>54</v>
      </c>
      <c r="D100" s="15" t="s">
        <v>55</v>
      </c>
      <c r="E100" s="16"/>
      <c r="F100" s="15" t="e">
        <f>'5-SEPTEMBER-2026'!Y98+'5-SEPTEMBER-2026'!Z98+'5-SEPTEMBER-2026'!#REF!</f>
        <v>#REF!</v>
      </c>
      <c r="G100" s="15" t="e">
        <f t="shared" si="2"/>
        <v>#REF!</v>
      </c>
      <c r="H100" s="15" t="s">
        <v>42</v>
      </c>
    </row>
    <row r="101" spans="1:8" x14ac:dyDescent="0.3">
      <c r="A101" s="15" t="s">
        <v>148</v>
      </c>
      <c r="B101" s="15">
        <v>100</v>
      </c>
      <c r="C101" s="15" t="s">
        <v>54</v>
      </c>
      <c r="D101" s="15" t="s">
        <v>57</v>
      </c>
      <c r="E101" s="16"/>
      <c r="F101" s="15" t="e">
        <f>'5-SEPTEMBER-2026'!Y99+'5-SEPTEMBER-2026'!Z99+'5-SEPTEMBER-2026'!#REF!</f>
        <v>#REF!</v>
      </c>
      <c r="G101" s="15" t="e">
        <f t="shared" ref="G101:G132" si="3">IF(F101&lt;0,"NEGATIVE - CHECK ENTRIES",IF(AND(E101&lt;&gt;"",E101&gt;0,F101&lt;=E101),"REORDER","OK"))</f>
        <v>#REF!</v>
      </c>
      <c r="H101" s="15" t="s">
        <v>42</v>
      </c>
    </row>
    <row r="102" spans="1:8" x14ac:dyDescent="0.3">
      <c r="A102" s="15" t="s">
        <v>149</v>
      </c>
      <c r="B102" s="15">
        <v>250</v>
      </c>
      <c r="C102" s="15" t="s">
        <v>54</v>
      </c>
      <c r="D102" s="15" t="s">
        <v>55</v>
      </c>
      <c r="E102" s="16"/>
      <c r="F102" s="15" t="e">
        <f>'5-SEPTEMBER-2026'!Y100+'5-SEPTEMBER-2026'!Z100+'5-SEPTEMBER-2026'!#REF!</f>
        <v>#REF!</v>
      </c>
      <c r="G102" s="15" t="e">
        <f t="shared" si="3"/>
        <v>#REF!</v>
      </c>
      <c r="H102" s="15" t="s">
        <v>42</v>
      </c>
    </row>
    <row r="103" spans="1:8" x14ac:dyDescent="0.3">
      <c r="A103" s="15" t="s">
        <v>150</v>
      </c>
      <c r="B103" s="15">
        <v>10000</v>
      </c>
      <c r="C103" s="15" t="s">
        <v>54</v>
      </c>
      <c r="D103" s="15" t="s">
        <v>68</v>
      </c>
      <c r="E103" s="16"/>
      <c r="F103" s="15" t="e">
        <f>'5-SEPTEMBER-2026'!#REF!+'5-SEPTEMBER-2026'!#REF!+'5-SEPTEMBER-2026'!#REF!</f>
        <v>#REF!</v>
      </c>
      <c r="G103" s="15" t="e">
        <f t="shared" si="3"/>
        <v>#REF!</v>
      </c>
      <c r="H103" s="15" t="s">
        <v>42</v>
      </c>
    </row>
    <row r="104" spans="1:8" x14ac:dyDescent="0.3">
      <c r="A104" s="15" t="s">
        <v>151</v>
      </c>
      <c r="B104" s="15">
        <v>100000</v>
      </c>
      <c r="C104" s="15" t="s">
        <v>54</v>
      </c>
      <c r="D104" s="15" t="s">
        <v>68</v>
      </c>
      <c r="E104" s="16"/>
      <c r="F104" s="15" t="e">
        <f>'5-SEPTEMBER-2026'!Y101+'5-SEPTEMBER-2026'!Z101+'5-SEPTEMBER-2026'!#REF!</f>
        <v>#REF!</v>
      </c>
      <c r="G104" s="15" t="e">
        <f t="shared" si="3"/>
        <v>#REF!</v>
      </c>
      <c r="H104" s="15" t="s">
        <v>42</v>
      </c>
    </row>
    <row r="105" spans="1:8" x14ac:dyDescent="0.3">
      <c r="A105" s="15" t="s">
        <v>152</v>
      </c>
      <c r="B105" s="15">
        <v>500</v>
      </c>
      <c r="C105" s="15" t="s">
        <v>54</v>
      </c>
      <c r="D105" s="15" t="s">
        <v>57</v>
      </c>
      <c r="E105" s="16"/>
      <c r="F105" s="15" t="e">
        <f>'5-SEPTEMBER-2026'!Y102+'5-SEPTEMBER-2026'!Z102+'5-SEPTEMBER-2026'!#REF!</f>
        <v>#REF!</v>
      </c>
      <c r="G105" s="15" t="e">
        <f t="shared" si="3"/>
        <v>#REF!</v>
      </c>
      <c r="H105" s="15" t="s">
        <v>42</v>
      </c>
    </row>
    <row r="106" spans="1:8" x14ac:dyDescent="0.3">
      <c r="A106" s="15" t="s">
        <v>153</v>
      </c>
      <c r="B106" s="15">
        <v>100</v>
      </c>
      <c r="C106" s="15" t="s">
        <v>54</v>
      </c>
      <c r="D106" s="15" t="s">
        <v>68</v>
      </c>
      <c r="E106" s="16"/>
      <c r="F106" s="15" t="e">
        <f>'5-SEPTEMBER-2026'!Y103+'5-SEPTEMBER-2026'!Z103+'5-SEPTEMBER-2026'!#REF!</f>
        <v>#REF!</v>
      </c>
      <c r="G106" s="15" t="e">
        <f t="shared" si="3"/>
        <v>#REF!</v>
      </c>
      <c r="H106" s="15" t="s">
        <v>42</v>
      </c>
    </row>
    <row r="107" spans="1:8" x14ac:dyDescent="0.3">
      <c r="A107" s="15" t="s">
        <v>154</v>
      </c>
      <c r="B107" s="15">
        <v>100</v>
      </c>
      <c r="C107" s="15" t="s">
        <v>54</v>
      </c>
      <c r="D107" s="15" t="s">
        <v>55</v>
      </c>
      <c r="E107" s="16"/>
      <c r="F107" s="15" t="e">
        <f>'5-SEPTEMBER-2026'!Y104+'5-SEPTEMBER-2026'!Z104+'5-SEPTEMBER-2026'!#REF!</f>
        <v>#REF!</v>
      </c>
      <c r="G107" s="15" t="e">
        <f t="shared" si="3"/>
        <v>#REF!</v>
      </c>
      <c r="H107" s="15" t="s">
        <v>42</v>
      </c>
    </row>
    <row r="108" spans="1:8" x14ac:dyDescent="0.3">
      <c r="A108" s="15" t="s">
        <v>155</v>
      </c>
      <c r="B108" s="15">
        <v>100</v>
      </c>
      <c r="C108" s="15" t="s">
        <v>54</v>
      </c>
      <c r="D108" s="15" t="s">
        <v>68</v>
      </c>
      <c r="E108" s="16"/>
      <c r="F108" s="15" t="e">
        <f>'5-SEPTEMBER-2026'!Y105+'5-SEPTEMBER-2026'!Z105+'5-SEPTEMBER-2026'!#REF!</f>
        <v>#REF!</v>
      </c>
      <c r="G108" s="15" t="e">
        <f t="shared" si="3"/>
        <v>#REF!</v>
      </c>
      <c r="H108" s="15" t="s">
        <v>42</v>
      </c>
    </row>
    <row r="109" spans="1:8" x14ac:dyDescent="0.3">
      <c r="A109" s="15" t="s">
        <v>156</v>
      </c>
      <c r="B109" s="15">
        <v>2500</v>
      </c>
      <c r="C109" s="15" t="s">
        <v>54</v>
      </c>
      <c r="D109" s="15" t="s">
        <v>68</v>
      </c>
      <c r="E109" s="16"/>
      <c r="F109" s="15" t="e">
        <f>'5-SEPTEMBER-2026'!Y106+'5-SEPTEMBER-2026'!Z106+'5-SEPTEMBER-2026'!#REF!</f>
        <v>#REF!</v>
      </c>
      <c r="G109" s="15" t="e">
        <f t="shared" si="3"/>
        <v>#REF!</v>
      </c>
      <c r="H109" s="15" t="s">
        <v>42</v>
      </c>
    </row>
    <row r="110" spans="1:8" x14ac:dyDescent="0.3">
      <c r="A110" s="15" t="s">
        <v>157</v>
      </c>
      <c r="B110" s="15">
        <v>100</v>
      </c>
      <c r="C110" s="15" t="s">
        <v>54</v>
      </c>
      <c r="D110" s="15" t="s">
        <v>57</v>
      </c>
      <c r="E110" s="16"/>
      <c r="F110" s="15" t="e">
        <f>'5-SEPTEMBER-2026'!Y107+'5-SEPTEMBER-2026'!Z107+'5-SEPTEMBER-2026'!#REF!</f>
        <v>#REF!</v>
      </c>
      <c r="G110" s="15" t="e">
        <f t="shared" si="3"/>
        <v>#REF!</v>
      </c>
      <c r="H110" s="15" t="s">
        <v>42</v>
      </c>
    </row>
    <row r="111" spans="1:8" x14ac:dyDescent="0.3">
      <c r="A111" s="15" t="s">
        <v>158</v>
      </c>
      <c r="B111" s="15">
        <v>100</v>
      </c>
      <c r="C111" s="15" t="s">
        <v>54</v>
      </c>
      <c r="D111" s="15" t="s">
        <v>55</v>
      </c>
      <c r="E111" s="16"/>
      <c r="F111" s="15" t="e">
        <f>'5-SEPTEMBER-2026'!Y108+'5-SEPTEMBER-2026'!Z108+'5-SEPTEMBER-2026'!#REF!</f>
        <v>#REF!</v>
      </c>
      <c r="G111" s="15" t="e">
        <f t="shared" si="3"/>
        <v>#REF!</v>
      </c>
      <c r="H111" s="15" t="s">
        <v>42</v>
      </c>
    </row>
    <row r="112" spans="1:8" x14ac:dyDescent="0.3">
      <c r="A112" s="15" t="s">
        <v>159</v>
      </c>
      <c r="B112" s="15">
        <v>100</v>
      </c>
      <c r="C112" s="15" t="s">
        <v>54</v>
      </c>
      <c r="D112" s="15" t="s">
        <v>55</v>
      </c>
      <c r="E112" s="16"/>
      <c r="F112" s="15" t="e">
        <f>'5-SEPTEMBER-2026'!Y109+'5-SEPTEMBER-2026'!Z109+'5-SEPTEMBER-2026'!#REF!</f>
        <v>#REF!</v>
      </c>
      <c r="G112" s="15" t="e">
        <f t="shared" si="3"/>
        <v>#REF!</v>
      </c>
      <c r="H112" s="15" t="s">
        <v>42</v>
      </c>
    </row>
    <row r="113" spans="1:8" x14ac:dyDescent="0.3">
      <c r="A113" s="15" t="s">
        <v>160</v>
      </c>
      <c r="B113" s="15">
        <v>100</v>
      </c>
      <c r="C113" s="15" t="s">
        <v>54</v>
      </c>
      <c r="D113" s="15" t="s">
        <v>55</v>
      </c>
      <c r="E113" s="16"/>
      <c r="F113" s="15" t="e">
        <f>'5-SEPTEMBER-2026'!Y110+'5-SEPTEMBER-2026'!Z110+'5-SEPTEMBER-2026'!#REF!</f>
        <v>#REF!</v>
      </c>
      <c r="G113" s="15" t="e">
        <f t="shared" si="3"/>
        <v>#REF!</v>
      </c>
      <c r="H113" s="15" t="s">
        <v>42</v>
      </c>
    </row>
    <row r="114" spans="1:8" x14ac:dyDescent="0.3">
      <c r="A114" s="15" t="s">
        <v>161</v>
      </c>
      <c r="B114" s="15">
        <v>100</v>
      </c>
      <c r="C114" s="15" t="s">
        <v>54</v>
      </c>
      <c r="D114" s="15" t="s">
        <v>55</v>
      </c>
      <c r="E114" s="16"/>
      <c r="F114" s="15" t="e">
        <f>'5-SEPTEMBER-2026'!Y111+'5-SEPTEMBER-2026'!Z111+'5-SEPTEMBER-2026'!#REF!</f>
        <v>#REF!</v>
      </c>
      <c r="G114" s="15" t="e">
        <f t="shared" si="3"/>
        <v>#REF!</v>
      </c>
      <c r="H114" s="15" t="s">
        <v>42</v>
      </c>
    </row>
    <row r="115" spans="1:8" x14ac:dyDescent="0.3">
      <c r="A115" s="15" t="s">
        <v>162</v>
      </c>
      <c r="B115" s="15">
        <v>1000</v>
      </c>
      <c r="C115" s="15" t="s">
        <v>54</v>
      </c>
      <c r="D115" s="15" t="s">
        <v>55</v>
      </c>
      <c r="E115" s="16"/>
      <c r="F115" s="15" t="e">
        <f>'5-SEPTEMBER-2026'!Y112+'5-SEPTEMBER-2026'!Z112+'5-SEPTEMBER-2026'!#REF!</f>
        <v>#REF!</v>
      </c>
      <c r="G115" s="15" t="e">
        <f t="shared" si="3"/>
        <v>#REF!</v>
      </c>
      <c r="H115" s="15" t="s">
        <v>42</v>
      </c>
    </row>
    <row r="116" spans="1:8" x14ac:dyDescent="0.3">
      <c r="A116" s="15" t="s">
        <v>163</v>
      </c>
      <c r="B116" s="15">
        <v>500</v>
      </c>
      <c r="C116" s="15" t="s">
        <v>54</v>
      </c>
      <c r="D116" s="15" t="s">
        <v>55</v>
      </c>
      <c r="E116" s="16"/>
      <c r="F116" s="15" t="e">
        <f>'5-SEPTEMBER-2026'!Y113+'5-SEPTEMBER-2026'!Z113+'5-SEPTEMBER-2026'!#REF!</f>
        <v>#REF!</v>
      </c>
      <c r="G116" s="15" t="e">
        <f t="shared" si="3"/>
        <v>#REF!</v>
      </c>
      <c r="H116" s="15" t="s">
        <v>42</v>
      </c>
    </row>
    <row r="117" spans="1:8" x14ac:dyDescent="0.3">
      <c r="A117" s="15" t="s">
        <v>164</v>
      </c>
      <c r="B117" s="15">
        <v>100</v>
      </c>
      <c r="C117" s="15" t="s">
        <v>54</v>
      </c>
      <c r="D117" s="15" t="s">
        <v>68</v>
      </c>
      <c r="E117" s="16"/>
      <c r="F117" s="15" t="e">
        <f>'5-SEPTEMBER-2026'!Y114+'5-SEPTEMBER-2026'!Z114+'5-SEPTEMBER-2026'!#REF!</f>
        <v>#REF!</v>
      </c>
      <c r="G117" s="15" t="e">
        <f t="shared" si="3"/>
        <v>#REF!</v>
      </c>
      <c r="H117" s="15" t="s">
        <v>42</v>
      </c>
    </row>
    <row r="118" spans="1:8" x14ac:dyDescent="0.3">
      <c r="A118" s="15" t="s">
        <v>165</v>
      </c>
      <c r="B118" s="15">
        <v>100000</v>
      </c>
      <c r="C118" s="15" t="s">
        <v>54</v>
      </c>
      <c r="D118" s="15" t="s">
        <v>68</v>
      </c>
      <c r="E118" s="16"/>
      <c r="F118" s="15" t="e">
        <f>'5-SEPTEMBER-2026'!Y115+'5-SEPTEMBER-2026'!Z115+'5-SEPTEMBER-2026'!#REF!</f>
        <v>#REF!</v>
      </c>
      <c r="G118" s="15" t="e">
        <f t="shared" si="3"/>
        <v>#REF!</v>
      </c>
      <c r="H118" s="15" t="s">
        <v>42</v>
      </c>
    </row>
    <row r="119" spans="1:8" x14ac:dyDescent="0.3">
      <c r="A119" s="15" t="s">
        <v>165</v>
      </c>
      <c r="B119" s="15">
        <v>25000</v>
      </c>
      <c r="C119" s="15" t="s">
        <v>54</v>
      </c>
      <c r="D119" s="15" t="s">
        <v>68</v>
      </c>
      <c r="E119" s="16"/>
      <c r="F119" s="15" t="e">
        <f>'5-SEPTEMBER-2026'!Y116+'5-SEPTEMBER-2026'!Z116+'5-SEPTEMBER-2026'!#REF!</f>
        <v>#REF!</v>
      </c>
      <c r="G119" s="15" t="e">
        <f t="shared" si="3"/>
        <v>#REF!</v>
      </c>
      <c r="H119" s="15" t="s">
        <v>42</v>
      </c>
    </row>
    <row r="120" spans="1:8" x14ac:dyDescent="0.3">
      <c r="A120" s="15" t="s">
        <v>166</v>
      </c>
      <c r="B120" s="15">
        <v>100000</v>
      </c>
      <c r="C120" s="15" t="s">
        <v>54</v>
      </c>
      <c r="D120" s="15" t="s">
        <v>68</v>
      </c>
      <c r="E120" s="16"/>
      <c r="F120" s="15" t="e">
        <f>'5-SEPTEMBER-2026'!Y117+'5-SEPTEMBER-2026'!Z117+'5-SEPTEMBER-2026'!#REF!</f>
        <v>#REF!</v>
      </c>
      <c r="G120" s="15" t="e">
        <f t="shared" si="3"/>
        <v>#REF!</v>
      </c>
      <c r="H120" s="15" t="s">
        <v>42</v>
      </c>
    </row>
    <row r="121" spans="1:8" x14ac:dyDescent="0.3">
      <c r="A121" s="15" t="s">
        <v>167</v>
      </c>
      <c r="B121" s="15">
        <v>100</v>
      </c>
      <c r="C121" s="15" t="s">
        <v>54</v>
      </c>
      <c r="D121" s="15" t="s">
        <v>55</v>
      </c>
      <c r="E121" s="16"/>
      <c r="F121" s="15" t="e">
        <f>'5-SEPTEMBER-2026'!Y118+'5-SEPTEMBER-2026'!Z118+'5-SEPTEMBER-2026'!#REF!</f>
        <v>#REF!</v>
      </c>
      <c r="G121" s="15" t="e">
        <f t="shared" si="3"/>
        <v>#REF!</v>
      </c>
      <c r="H121" s="15" t="s">
        <v>42</v>
      </c>
    </row>
    <row r="122" spans="1:8" x14ac:dyDescent="0.3">
      <c r="A122" s="15" t="s">
        <v>168</v>
      </c>
      <c r="B122" s="15">
        <v>100</v>
      </c>
      <c r="C122" s="15" t="s">
        <v>54</v>
      </c>
      <c r="D122" s="15" t="s">
        <v>68</v>
      </c>
      <c r="E122" s="16"/>
      <c r="F122" s="15" t="e">
        <f>'5-SEPTEMBER-2026'!Y119+'5-SEPTEMBER-2026'!Z119+'5-SEPTEMBER-2026'!#REF!</f>
        <v>#REF!</v>
      </c>
      <c r="G122" s="15" t="e">
        <f t="shared" si="3"/>
        <v>#REF!</v>
      </c>
      <c r="H122" s="15" t="s">
        <v>42</v>
      </c>
    </row>
    <row r="123" spans="1:8" x14ac:dyDescent="0.3">
      <c r="A123" s="15" t="s">
        <v>169</v>
      </c>
      <c r="B123" s="15">
        <v>1000</v>
      </c>
      <c r="C123" s="15" t="s">
        <v>54</v>
      </c>
      <c r="D123" s="15" t="s">
        <v>68</v>
      </c>
      <c r="E123" s="16"/>
      <c r="F123" s="15" t="e">
        <f>'5-SEPTEMBER-2026'!Y120+'5-SEPTEMBER-2026'!Z120+'5-SEPTEMBER-2026'!#REF!</f>
        <v>#REF!</v>
      </c>
      <c r="G123" s="15" t="e">
        <f t="shared" si="3"/>
        <v>#REF!</v>
      </c>
      <c r="H123" s="15" t="s">
        <v>42</v>
      </c>
    </row>
    <row r="124" spans="1:8" x14ac:dyDescent="0.3">
      <c r="A124" s="15" t="s">
        <v>170</v>
      </c>
      <c r="B124" s="15">
        <v>1000</v>
      </c>
      <c r="C124" s="15" t="s">
        <v>54</v>
      </c>
      <c r="D124" s="15" t="s">
        <v>55</v>
      </c>
      <c r="E124" s="16"/>
      <c r="F124" s="15" t="e">
        <f>'5-SEPTEMBER-2026'!Y121+'5-SEPTEMBER-2026'!Z121+'5-SEPTEMBER-2026'!#REF!</f>
        <v>#REF!</v>
      </c>
      <c r="G124" s="15" t="e">
        <f t="shared" si="3"/>
        <v>#REF!</v>
      </c>
      <c r="H124" s="15" t="s">
        <v>42</v>
      </c>
    </row>
    <row r="125" spans="1:8" x14ac:dyDescent="0.3">
      <c r="A125" s="15" t="s">
        <v>171</v>
      </c>
      <c r="B125" s="15">
        <v>1000</v>
      </c>
      <c r="C125" s="15" t="s">
        <v>54</v>
      </c>
      <c r="D125" s="15" t="s">
        <v>55</v>
      </c>
      <c r="E125" s="16"/>
      <c r="F125" s="15" t="e">
        <f>'5-SEPTEMBER-2026'!Y122+'5-SEPTEMBER-2026'!Z122+'5-SEPTEMBER-2026'!#REF!</f>
        <v>#REF!</v>
      </c>
      <c r="G125" s="15" t="e">
        <f t="shared" si="3"/>
        <v>#REF!</v>
      </c>
      <c r="H125" s="15" t="s">
        <v>42</v>
      </c>
    </row>
    <row r="126" spans="1:8" x14ac:dyDescent="0.3">
      <c r="A126" s="15" t="s">
        <v>172</v>
      </c>
      <c r="B126" s="15">
        <v>100</v>
      </c>
      <c r="C126" s="15" t="s">
        <v>54</v>
      </c>
      <c r="D126" s="15" t="s">
        <v>68</v>
      </c>
      <c r="E126" s="16"/>
      <c r="F126" s="15" t="e">
        <f>'5-SEPTEMBER-2026'!Y123+'5-SEPTEMBER-2026'!Z123+'5-SEPTEMBER-2026'!#REF!</f>
        <v>#REF!</v>
      </c>
      <c r="G126" s="15" t="e">
        <f t="shared" si="3"/>
        <v>#REF!</v>
      </c>
      <c r="H126" s="15" t="s">
        <v>42</v>
      </c>
    </row>
    <row r="127" spans="1:8" x14ac:dyDescent="0.3">
      <c r="A127" s="15" t="s">
        <v>173</v>
      </c>
      <c r="B127" s="15">
        <v>100</v>
      </c>
      <c r="C127" s="15" t="s">
        <v>54</v>
      </c>
      <c r="D127" s="15" t="s">
        <v>68</v>
      </c>
      <c r="E127" s="16"/>
      <c r="F127" s="15" t="e">
        <f>'5-SEPTEMBER-2026'!Y124+'5-SEPTEMBER-2026'!Z124+'5-SEPTEMBER-2026'!#REF!</f>
        <v>#REF!</v>
      </c>
      <c r="G127" s="15" t="e">
        <f t="shared" si="3"/>
        <v>#REF!</v>
      </c>
      <c r="H127" s="15" t="s">
        <v>42</v>
      </c>
    </row>
    <row r="128" spans="1:8" x14ac:dyDescent="0.3">
      <c r="A128" s="15" t="s">
        <v>174</v>
      </c>
      <c r="B128" s="15">
        <v>100</v>
      </c>
      <c r="C128" s="15" t="s">
        <v>54</v>
      </c>
      <c r="D128" s="15" t="s">
        <v>68</v>
      </c>
      <c r="E128" s="16"/>
      <c r="F128" s="15" t="e">
        <f>'5-SEPTEMBER-2026'!Y125+'5-SEPTEMBER-2026'!Z125+'5-SEPTEMBER-2026'!#REF!</f>
        <v>#REF!</v>
      </c>
      <c r="G128" s="15" t="e">
        <f t="shared" si="3"/>
        <v>#REF!</v>
      </c>
      <c r="H128" s="15" t="s">
        <v>42</v>
      </c>
    </row>
    <row r="129" spans="1:8" x14ac:dyDescent="0.3">
      <c r="A129" s="15" t="s">
        <v>175</v>
      </c>
      <c r="B129" s="15">
        <v>100</v>
      </c>
      <c r="C129" s="15" t="s">
        <v>54</v>
      </c>
      <c r="D129" s="15" t="s">
        <v>57</v>
      </c>
      <c r="E129" s="16"/>
      <c r="F129" s="15" t="e">
        <f>'5-SEPTEMBER-2026'!Y126+'5-SEPTEMBER-2026'!Z126+'5-SEPTEMBER-2026'!#REF!</f>
        <v>#REF!</v>
      </c>
      <c r="G129" s="15" t="e">
        <f t="shared" si="3"/>
        <v>#REF!</v>
      </c>
      <c r="H129" s="15" t="s">
        <v>42</v>
      </c>
    </row>
    <row r="130" spans="1:8" x14ac:dyDescent="0.3">
      <c r="A130" s="15" t="s">
        <v>176</v>
      </c>
      <c r="B130" s="15" t="s">
        <v>177</v>
      </c>
      <c r="C130" s="15" t="s">
        <v>178</v>
      </c>
      <c r="D130" s="15" t="s">
        <v>55</v>
      </c>
      <c r="E130" s="16"/>
      <c r="F130" s="15" t="e">
        <f>'5-SEPTEMBER-2026'!Y127+'5-SEPTEMBER-2026'!Z127+'5-SEPTEMBER-2026'!#REF!</f>
        <v>#REF!</v>
      </c>
      <c r="G130" s="15" t="e">
        <f t="shared" si="3"/>
        <v>#REF!</v>
      </c>
      <c r="H130" s="15" t="s">
        <v>42</v>
      </c>
    </row>
    <row r="131" spans="1:8" x14ac:dyDescent="0.3">
      <c r="A131" s="15" t="s">
        <v>179</v>
      </c>
      <c r="B131" s="15">
        <v>2500</v>
      </c>
      <c r="C131" s="15" t="s">
        <v>54</v>
      </c>
      <c r="D131" s="15" t="s">
        <v>68</v>
      </c>
      <c r="E131" s="16"/>
      <c r="F131" s="15" t="e">
        <f>'5-SEPTEMBER-2026'!Y128+'5-SEPTEMBER-2026'!Z128+'5-SEPTEMBER-2026'!#REF!</f>
        <v>#REF!</v>
      </c>
      <c r="G131" s="15" t="e">
        <f t="shared" si="3"/>
        <v>#REF!</v>
      </c>
      <c r="H131" s="15" t="s">
        <v>42</v>
      </c>
    </row>
    <row r="132" spans="1:8" x14ac:dyDescent="0.3">
      <c r="A132" s="15" t="s">
        <v>180</v>
      </c>
      <c r="B132" s="15">
        <v>1000</v>
      </c>
      <c r="C132" s="15" t="s">
        <v>54</v>
      </c>
      <c r="D132" s="15" t="s">
        <v>68</v>
      </c>
      <c r="E132" s="16"/>
      <c r="F132" s="15" t="e">
        <f>'5-SEPTEMBER-2026'!Y129+'5-SEPTEMBER-2026'!Z129+'5-SEPTEMBER-2026'!#REF!</f>
        <v>#REF!</v>
      </c>
      <c r="G132" s="15" t="e">
        <f t="shared" si="3"/>
        <v>#REF!</v>
      </c>
      <c r="H132" s="15" t="s">
        <v>42</v>
      </c>
    </row>
    <row r="133" spans="1:8" x14ac:dyDescent="0.3">
      <c r="A133" s="15" t="s">
        <v>181</v>
      </c>
      <c r="B133" s="15">
        <v>100</v>
      </c>
      <c r="C133" s="15" t="s">
        <v>54</v>
      </c>
      <c r="D133" s="15" t="s">
        <v>57</v>
      </c>
      <c r="E133" s="16"/>
      <c r="F133" s="15" t="e">
        <f>'5-SEPTEMBER-2026'!Y130+'5-SEPTEMBER-2026'!Z130+'5-SEPTEMBER-2026'!#REF!</f>
        <v>#REF!</v>
      </c>
      <c r="G133" s="15" t="e">
        <f t="shared" ref="G133:G164" si="4">IF(F133&lt;0,"NEGATIVE - CHECK ENTRIES",IF(AND(E133&lt;&gt;"",E133&gt;0,F133&lt;=E133),"REORDER","OK"))</f>
        <v>#REF!</v>
      </c>
      <c r="H133" s="15" t="s">
        <v>42</v>
      </c>
    </row>
    <row r="134" spans="1:8" x14ac:dyDescent="0.3">
      <c r="A134" s="15" t="s">
        <v>182</v>
      </c>
      <c r="B134" s="15">
        <v>1000</v>
      </c>
      <c r="C134" s="15" t="s">
        <v>54</v>
      </c>
      <c r="D134" s="15" t="s">
        <v>68</v>
      </c>
      <c r="E134" s="16"/>
      <c r="F134" s="15" t="e">
        <f>'5-SEPTEMBER-2026'!Y131+'5-SEPTEMBER-2026'!Z131+'5-SEPTEMBER-2026'!#REF!</f>
        <v>#REF!</v>
      </c>
      <c r="G134" s="15" t="e">
        <f t="shared" si="4"/>
        <v>#REF!</v>
      </c>
      <c r="H134" s="15" t="s">
        <v>42</v>
      </c>
    </row>
    <row r="135" spans="1:8" x14ac:dyDescent="0.3">
      <c r="A135" s="15" t="s">
        <v>183</v>
      </c>
      <c r="B135" s="15">
        <v>100</v>
      </c>
      <c r="C135" s="15" t="s">
        <v>54</v>
      </c>
      <c r="D135" s="15" t="s">
        <v>68</v>
      </c>
      <c r="E135" s="16"/>
      <c r="F135" s="15" t="e">
        <f>'5-SEPTEMBER-2026'!Y132+'5-SEPTEMBER-2026'!Z132+'5-SEPTEMBER-2026'!#REF!</f>
        <v>#REF!</v>
      </c>
      <c r="G135" s="15" t="e">
        <f t="shared" si="4"/>
        <v>#REF!</v>
      </c>
      <c r="H135" s="15" t="s">
        <v>42</v>
      </c>
    </row>
    <row r="136" spans="1:8" x14ac:dyDescent="0.3">
      <c r="A136" s="15" t="s">
        <v>184</v>
      </c>
      <c r="B136" s="15">
        <v>1000</v>
      </c>
      <c r="C136" s="15" t="s">
        <v>54</v>
      </c>
      <c r="D136" s="15" t="s">
        <v>55</v>
      </c>
      <c r="E136" s="16"/>
      <c r="F136" s="15" t="e">
        <f>'5-SEPTEMBER-2026'!Y133+'5-SEPTEMBER-2026'!Z133+'5-SEPTEMBER-2026'!#REF!</f>
        <v>#REF!</v>
      </c>
      <c r="G136" s="15" t="e">
        <f t="shared" si="4"/>
        <v>#REF!</v>
      </c>
      <c r="H136" s="15" t="s">
        <v>42</v>
      </c>
    </row>
    <row r="137" spans="1:8" x14ac:dyDescent="0.3">
      <c r="A137" s="15" t="s">
        <v>185</v>
      </c>
      <c r="B137" s="15">
        <v>100</v>
      </c>
      <c r="C137" s="15" t="s">
        <v>54</v>
      </c>
      <c r="D137" s="15" t="s">
        <v>68</v>
      </c>
      <c r="E137" s="16"/>
      <c r="F137" s="15" t="e">
        <f>'5-SEPTEMBER-2026'!Y134+'5-SEPTEMBER-2026'!Z134+'5-SEPTEMBER-2026'!#REF!</f>
        <v>#REF!</v>
      </c>
      <c r="G137" s="15" t="e">
        <f t="shared" si="4"/>
        <v>#REF!</v>
      </c>
      <c r="H137" s="15" t="s">
        <v>42</v>
      </c>
    </row>
    <row r="138" spans="1:8" x14ac:dyDescent="0.3">
      <c r="A138" s="15" t="s">
        <v>186</v>
      </c>
      <c r="B138" s="15">
        <v>100</v>
      </c>
      <c r="C138" s="15" t="s">
        <v>54</v>
      </c>
      <c r="D138" s="15" t="s">
        <v>57</v>
      </c>
      <c r="E138" s="16"/>
      <c r="F138" s="15" t="e">
        <f>'5-SEPTEMBER-2026'!Y135+'5-SEPTEMBER-2026'!Z135+'5-SEPTEMBER-2026'!#REF!</f>
        <v>#REF!</v>
      </c>
      <c r="G138" s="15" t="e">
        <f t="shared" si="4"/>
        <v>#REF!</v>
      </c>
      <c r="H138" s="15" t="s">
        <v>42</v>
      </c>
    </row>
    <row r="139" spans="1:8" x14ac:dyDescent="0.3">
      <c r="A139" s="15" t="s">
        <v>187</v>
      </c>
      <c r="B139" s="15">
        <v>1000</v>
      </c>
      <c r="C139" s="15" t="s">
        <v>54</v>
      </c>
      <c r="D139" s="15" t="s">
        <v>68</v>
      </c>
      <c r="E139" s="16"/>
      <c r="F139" s="15" t="e">
        <f>'5-SEPTEMBER-2026'!Y136+'5-SEPTEMBER-2026'!Z136+'5-SEPTEMBER-2026'!#REF!</f>
        <v>#REF!</v>
      </c>
      <c r="G139" s="15" t="e">
        <f t="shared" si="4"/>
        <v>#REF!</v>
      </c>
      <c r="H139" s="15" t="s">
        <v>42</v>
      </c>
    </row>
    <row r="140" spans="1:8" x14ac:dyDescent="0.3">
      <c r="A140" s="15" t="s">
        <v>188</v>
      </c>
      <c r="B140" s="15">
        <v>100</v>
      </c>
      <c r="C140" s="15" t="s">
        <v>54</v>
      </c>
      <c r="D140" s="15" t="s">
        <v>57</v>
      </c>
      <c r="E140" s="16"/>
      <c r="F140" s="15" t="e">
        <f>'5-SEPTEMBER-2026'!Y137+'5-SEPTEMBER-2026'!Z137+'5-SEPTEMBER-2026'!#REF!</f>
        <v>#REF!</v>
      </c>
      <c r="G140" s="15" t="e">
        <f t="shared" si="4"/>
        <v>#REF!</v>
      </c>
      <c r="H140" s="15" t="s">
        <v>42</v>
      </c>
    </row>
    <row r="141" spans="1:8" x14ac:dyDescent="0.3">
      <c r="A141" s="15" t="s">
        <v>189</v>
      </c>
      <c r="B141" s="15">
        <v>100</v>
      </c>
      <c r="C141" s="15" t="s">
        <v>54</v>
      </c>
      <c r="D141" s="15" t="s">
        <v>68</v>
      </c>
      <c r="E141" s="16"/>
      <c r="F141" s="15" t="e">
        <f>'5-SEPTEMBER-2026'!Y138+'5-SEPTEMBER-2026'!Z138+'5-SEPTEMBER-2026'!#REF!</f>
        <v>#REF!</v>
      </c>
      <c r="G141" s="15" t="e">
        <f t="shared" si="4"/>
        <v>#REF!</v>
      </c>
      <c r="H141" s="15" t="s">
        <v>42</v>
      </c>
    </row>
    <row r="142" spans="1:8" x14ac:dyDescent="0.3">
      <c r="A142" s="15" t="s">
        <v>190</v>
      </c>
      <c r="B142" s="15">
        <v>100</v>
      </c>
      <c r="C142" s="15" t="s">
        <v>54</v>
      </c>
      <c r="D142" s="15" t="s">
        <v>57</v>
      </c>
      <c r="E142" s="16"/>
      <c r="F142" s="15" t="e">
        <f>'5-SEPTEMBER-2026'!Y139+'5-SEPTEMBER-2026'!Z139+'5-SEPTEMBER-2026'!#REF!</f>
        <v>#REF!</v>
      </c>
      <c r="G142" s="15" t="e">
        <f t="shared" si="4"/>
        <v>#REF!</v>
      </c>
      <c r="H142" s="15" t="s">
        <v>42</v>
      </c>
    </row>
    <row r="143" spans="1:8" x14ac:dyDescent="0.3">
      <c r="A143" s="15" t="s">
        <v>191</v>
      </c>
      <c r="B143" s="15">
        <v>100</v>
      </c>
      <c r="C143" s="15" t="s">
        <v>54</v>
      </c>
      <c r="D143" s="15" t="s">
        <v>68</v>
      </c>
      <c r="E143" s="16"/>
      <c r="F143" s="15" t="e">
        <f>'5-SEPTEMBER-2026'!Y140+'5-SEPTEMBER-2026'!Z140+'5-SEPTEMBER-2026'!#REF!</f>
        <v>#REF!</v>
      </c>
      <c r="G143" s="15" t="e">
        <f t="shared" si="4"/>
        <v>#REF!</v>
      </c>
      <c r="H143" s="15" t="s">
        <v>42</v>
      </c>
    </row>
    <row r="144" spans="1:8" x14ac:dyDescent="0.3">
      <c r="A144" s="15" t="s">
        <v>192</v>
      </c>
      <c r="B144" s="15">
        <v>100</v>
      </c>
      <c r="C144" s="15" t="s">
        <v>54</v>
      </c>
      <c r="D144" s="15" t="s">
        <v>55</v>
      </c>
      <c r="E144" s="16"/>
      <c r="F144" s="15" t="e">
        <f>'5-SEPTEMBER-2026'!Y141+'5-SEPTEMBER-2026'!Z141+'5-SEPTEMBER-2026'!#REF!</f>
        <v>#REF!</v>
      </c>
      <c r="G144" s="15" t="e">
        <f t="shared" si="4"/>
        <v>#REF!</v>
      </c>
      <c r="H144" s="15" t="s">
        <v>42</v>
      </c>
    </row>
    <row r="145" spans="1:8" x14ac:dyDescent="0.3">
      <c r="A145" s="15" t="s">
        <v>192</v>
      </c>
      <c r="B145" s="15">
        <v>500</v>
      </c>
      <c r="C145" s="15" t="s">
        <v>54</v>
      </c>
      <c r="D145" s="15" t="s">
        <v>55</v>
      </c>
      <c r="E145" s="16"/>
      <c r="F145" s="15" t="e">
        <f>'5-SEPTEMBER-2026'!Y142+'5-SEPTEMBER-2026'!Z142+'5-SEPTEMBER-2026'!#REF!</f>
        <v>#REF!</v>
      </c>
      <c r="G145" s="15" t="e">
        <f t="shared" si="4"/>
        <v>#REF!</v>
      </c>
      <c r="H145" s="15" t="s">
        <v>42</v>
      </c>
    </row>
    <row r="146" spans="1:8" x14ac:dyDescent="0.3">
      <c r="A146" s="15" t="s">
        <v>193</v>
      </c>
      <c r="B146" s="15">
        <v>100</v>
      </c>
      <c r="C146" s="15" t="s">
        <v>54</v>
      </c>
      <c r="D146" s="15" t="s">
        <v>57</v>
      </c>
      <c r="E146" s="16"/>
      <c r="F146" s="15" t="e">
        <f>'5-SEPTEMBER-2026'!Y143+'5-SEPTEMBER-2026'!Z143+'5-SEPTEMBER-2026'!#REF!</f>
        <v>#REF!</v>
      </c>
      <c r="G146" s="15" t="e">
        <f t="shared" si="4"/>
        <v>#REF!</v>
      </c>
      <c r="H146" s="15" t="s">
        <v>42</v>
      </c>
    </row>
    <row r="147" spans="1:8" x14ac:dyDescent="0.3">
      <c r="A147" s="15" t="s">
        <v>194</v>
      </c>
      <c r="B147" s="15">
        <v>1000</v>
      </c>
      <c r="C147" s="15"/>
      <c r="D147" s="15" t="s">
        <v>55</v>
      </c>
      <c r="E147" s="16"/>
      <c r="F147" s="15" t="e">
        <f>'5-SEPTEMBER-2026'!Y144+'5-SEPTEMBER-2026'!Z144+'5-SEPTEMBER-2026'!#REF!</f>
        <v>#REF!</v>
      </c>
      <c r="G147" s="15" t="e">
        <f t="shared" si="4"/>
        <v>#REF!</v>
      </c>
      <c r="H147" s="15" t="s">
        <v>42</v>
      </c>
    </row>
    <row r="148" spans="1:8" x14ac:dyDescent="0.3">
      <c r="A148" s="15" t="s">
        <v>195</v>
      </c>
      <c r="B148" s="15">
        <v>1000</v>
      </c>
      <c r="C148" s="15" t="s">
        <v>54</v>
      </c>
      <c r="D148" s="15" t="s">
        <v>68</v>
      </c>
      <c r="E148" s="16"/>
      <c r="F148" s="15" t="e">
        <f>'5-SEPTEMBER-2026'!Y145+'5-SEPTEMBER-2026'!Z145+'5-SEPTEMBER-2026'!#REF!</f>
        <v>#REF!</v>
      </c>
      <c r="G148" s="15" t="e">
        <f t="shared" si="4"/>
        <v>#REF!</v>
      </c>
      <c r="H148" s="15" t="s">
        <v>42</v>
      </c>
    </row>
    <row r="149" spans="1:8" x14ac:dyDescent="0.3">
      <c r="A149" s="15" t="s">
        <v>196</v>
      </c>
      <c r="B149" s="15">
        <v>100</v>
      </c>
      <c r="C149" s="15" t="s">
        <v>54</v>
      </c>
      <c r="D149" s="15" t="s">
        <v>55</v>
      </c>
      <c r="E149" s="16"/>
      <c r="F149" s="15" t="e">
        <f>'5-SEPTEMBER-2026'!Y146+'5-SEPTEMBER-2026'!Z146+'5-SEPTEMBER-2026'!#REF!</f>
        <v>#REF!</v>
      </c>
      <c r="G149" s="15" t="e">
        <f t="shared" si="4"/>
        <v>#REF!</v>
      </c>
      <c r="H149" s="15" t="s">
        <v>42</v>
      </c>
    </row>
    <row r="150" spans="1:8" x14ac:dyDescent="0.3">
      <c r="A150" s="15" t="s">
        <v>197</v>
      </c>
      <c r="B150" s="15">
        <v>100</v>
      </c>
      <c r="C150" s="15" t="s">
        <v>54</v>
      </c>
      <c r="D150" s="15" t="s">
        <v>55</v>
      </c>
      <c r="E150" s="16"/>
      <c r="F150" s="15" t="e">
        <f>'5-SEPTEMBER-2026'!Y147+'5-SEPTEMBER-2026'!Z147+'5-SEPTEMBER-2026'!#REF!</f>
        <v>#REF!</v>
      </c>
      <c r="G150" s="15" t="e">
        <f t="shared" si="4"/>
        <v>#REF!</v>
      </c>
      <c r="H150" s="15" t="s">
        <v>42</v>
      </c>
    </row>
    <row r="151" spans="1:8" x14ac:dyDescent="0.3">
      <c r="A151" s="15" t="s">
        <v>198</v>
      </c>
      <c r="B151" s="15">
        <v>100</v>
      </c>
      <c r="C151" s="15" t="s">
        <v>54</v>
      </c>
      <c r="D151" s="15" t="s">
        <v>55</v>
      </c>
      <c r="E151" s="16"/>
      <c r="F151" s="15" t="e">
        <f>'5-SEPTEMBER-2026'!Y148+'5-SEPTEMBER-2026'!Z148+'5-SEPTEMBER-2026'!#REF!</f>
        <v>#REF!</v>
      </c>
      <c r="G151" s="15" t="e">
        <f t="shared" si="4"/>
        <v>#REF!</v>
      </c>
      <c r="H151" s="15" t="s">
        <v>42</v>
      </c>
    </row>
    <row r="152" spans="1:8" x14ac:dyDescent="0.3">
      <c r="A152" s="15" t="s">
        <v>199</v>
      </c>
      <c r="B152" s="15">
        <v>500</v>
      </c>
      <c r="C152" s="15" t="s">
        <v>54</v>
      </c>
      <c r="D152" s="15" t="s">
        <v>55</v>
      </c>
      <c r="E152" s="16"/>
      <c r="F152" s="15" t="e">
        <f>'5-SEPTEMBER-2026'!Y149+'5-SEPTEMBER-2026'!Z149+'5-SEPTEMBER-2026'!#REF!</f>
        <v>#REF!</v>
      </c>
      <c r="G152" s="15" t="e">
        <f t="shared" si="4"/>
        <v>#REF!</v>
      </c>
      <c r="H152" s="15" t="s">
        <v>42</v>
      </c>
    </row>
    <row r="153" spans="1:8" x14ac:dyDescent="0.3">
      <c r="A153" s="15" t="s">
        <v>200</v>
      </c>
      <c r="B153" s="15">
        <v>100</v>
      </c>
      <c r="C153" s="15" t="s">
        <v>54</v>
      </c>
      <c r="D153" s="15" t="s">
        <v>55</v>
      </c>
      <c r="E153" s="16"/>
      <c r="F153" s="15" t="e">
        <f>'5-SEPTEMBER-2026'!Y150+'5-SEPTEMBER-2026'!Z150+'5-SEPTEMBER-2026'!#REF!</f>
        <v>#REF!</v>
      </c>
      <c r="G153" s="15" t="e">
        <f t="shared" si="4"/>
        <v>#REF!</v>
      </c>
      <c r="H153" s="15" t="s">
        <v>42</v>
      </c>
    </row>
    <row r="154" spans="1:8" x14ac:dyDescent="0.3">
      <c r="A154" s="15" t="s">
        <v>201</v>
      </c>
      <c r="B154" s="15">
        <v>100</v>
      </c>
      <c r="C154" s="15" t="s">
        <v>54</v>
      </c>
      <c r="D154" s="15" t="s">
        <v>55</v>
      </c>
      <c r="E154" s="16"/>
      <c r="F154" s="15" t="e">
        <f>'5-SEPTEMBER-2026'!Y151+'5-SEPTEMBER-2026'!Z151+'5-SEPTEMBER-2026'!#REF!</f>
        <v>#REF!</v>
      </c>
      <c r="G154" s="15" t="e">
        <f t="shared" si="4"/>
        <v>#REF!</v>
      </c>
      <c r="H154" s="15" t="s">
        <v>42</v>
      </c>
    </row>
    <row r="155" spans="1:8" x14ac:dyDescent="0.3">
      <c r="A155" s="15" t="s">
        <v>202</v>
      </c>
      <c r="B155" s="15">
        <v>100</v>
      </c>
      <c r="C155" s="15" t="s">
        <v>54</v>
      </c>
      <c r="D155" s="15" t="s">
        <v>55</v>
      </c>
      <c r="E155" s="16"/>
      <c r="F155" s="15" t="e">
        <f>'5-SEPTEMBER-2026'!Y152+'5-SEPTEMBER-2026'!Z152+'5-SEPTEMBER-2026'!#REF!</f>
        <v>#REF!</v>
      </c>
      <c r="G155" s="15" t="e">
        <f t="shared" si="4"/>
        <v>#REF!</v>
      </c>
      <c r="H155" s="15" t="s">
        <v>42</v>
      </c>
    </row>
    <row r="156" spans="1:8" x14ac:dyDescent="0.3">
      <c r="A156" s="15" t="s">
        <v>203</v>
      </c>
      <c r="B156" s="15">
        <v>100</v>
      </c>
      <c r="C156" s="15" t="s">
        <v>54</v>
      </c>
      <c r="D156" s="15" t="s">
        <v>55</v>
      </c>
      <c r="E156" s="16"/>
      <c r="F156" s="15" t="e">
        <f>'5-SEPTEMBER-2026'!Y153+'5-SEPTEMBER-2026'!Z153+'5-SEPTEMBER-2026'!#REF!</f>
        <v>#REF!</v>
      </c>
      <c r="G156" s="15" t="e">
        <f t="shared" si="4"/>
        <v>#REF!</v>
      </c>
      <c r="H156" s="15" t="s">
        <v>42</v>
      </c>
    </row>
    <row r="157" spans="1:8" x14ac:dyDescent="0.3">
      <c r="A157" s="15" t="s">
        <v>204</v>
      </c>
      <c r="B157" s="15">
        <v>10000</v>
      </c>
      <c r="C157" s="15" t="s">
        <v>54</v>
      </c>
      <c r="D157" s="15" t="s">
        <v>55</v>
      </c>
      <c r="E157" s="16"/>
      <c r="F157" s="15" t="e">
        <f>'5-SEPTEMBER-2026'!Y154+'5-SEPTEMBER-2026'!Z154+'5-SEPTEMBER-2026'!#REF!</f>
        <v>#REF!</v>
      </c>
      <c r="G157" s="15" t="e">
        <f t="shared" si="4"/>
        <v>#REF!</v>
      </c>
      <c r="H157" s="15" t="s">
        <v>42</v>
      </c>
    </row>
    <row r="158" spans="1:8" x14ac:dyDescent="0.3">
      <c r="A158" s="15" t="s">
        <v>205</v>
      </c>
      <c r="B158" s="15">
        <v>1000</v>
      </c>
      <c r="C158" s="15" t="s">
        <v>54</v>
      </c>
      <c r="D158" s="15" t="s">
        <v>57</v>
      </c>
      <c r="E158" s="16"/>
      <c r="F158" s="15" t="e">
        <f>'5-SEPTEMBER-2026'!Y155+'5-SEPTEMBER-2026'!Z155+'5-SEPTEMBER-2026'!#REF!</f>
        <v>#REF!</v>
      </c>
      <c r="G158" s="15" t="e">
        <f t="shared" si="4"/>
        <v>#REF!</v>
      </c>
      <c r="H158" s="15" t="s">
        <v>42</v>
      </c>
    </row>
    <row r="159" spans="1:8" x14ac:dyDescent="0.3">
      <c r="A159" s="15" t="s">
        <v>206</v>
      </c>
      <c r="B159" s="15">
        <v>1000</v>
      </c>
      <c r="C159" s="15" t="s">
        <v>54</v>
      </c>
      <c r="D159" s="15" t="s">
        <v>57</v>
      </c>
      <c r="E159" s="16"/>
      <c r="F159" s="15" t="e">
        <f>'5-SEPTEMBER-2026'!Y156+'5-SEPTEMBER-2026'!Z156+'5-SEPTEMBER-2026'!#REF!</f>
        <v>#REF!</v>
      </c>
      <c r="G159" s="15" t="e">
        <f t="shared" si="4"/>
        <v>#REF!</v>
      </c>
      <c r="H159" s="15" t="s">
        <v>42</v>
      </c>
    </row>
    <row r="160" spans="1:8" x14ac:dyDescent="0.3">
      <c r="A160" s="15" t="s">
        <v>207</v>
      </c>
      <c r="B160" s="15">
        <v>1000</v>
      </c>
      <c r="C160" s="15" t="s">
        <v>54</v>
      </c>
      <c r="D160" s="15" t="s">
        <v>68</v>
      </c>
      <c r="E160" s="16"/>
      <c r="F160" s="15" t="e">
        <f>'5-SEPTEMBER-2026'!Y157+'5-SEPTEMBER-2026'!Z157+'5-SEPTEMBER-2026'!#REF!</f>
        <v>#REF!</v>
      </c>
      <c r="G160" s="15" t="e">
        <f t="shared" si="4"/>
        <v>#REF!</v>
      </c>
      <c r="H160" s="15" t="s">
        <v>42</v>
      </c>
    </row>
    <row r="161" spans="1:8" x14ac:dyDescent="0.3">
      <c r="A161" s="15" t="s">
        <v>208</v>
      </c>
      <c r="B161" s="15">
        <v>1000</v>
      </c>
      <c r="C161" s="15" t="s">
        <v>54</v>
      </c>
      <c r="D161" s="15" t="s">
        <v>68</v>
      </c>
      <c r="E161" s="16"/>
      <c r="F161" s="15" t="e">
        <f>'5-SEPTEMBER-2026'!Y158+'5-SEPTEMBER-2026'!Z158+'5-SEPTEMBER-2026'!#REF!</f>
        <v>#REF!</v>
      </c>
      <c r="G161" s="15" t="e">
        <f t="shared" si="4"/>
        <v>#REF!</v>
      </c>
      <c r="H161" s="15" t="s">
        <v>42</v>
      </c>
    </row>
    <row r="162" spans="1:8" x14ac:dyDescent="0.3">
      <c r="A162" s="15" t="s">
        <v>209</v>
      </c>
      <c r="B162" s="15">
        <v>100</v>
      </c>
      <c r="C162" s="15" t="s">
        <v>54</v>
      </c>
      <c r="D162" s="15" t="s">
        <v>57</v>
      </c>
      <c r="E162" s="16"/>
      <c r="F162" s="15" t="e">
        <f>'5-SEPTEMBER-2026'!Y159+'5-SEPTEMBER-2026'!Z159+'5-SEPTEMBER-2026'!#REF!</f>
        <v>#REF!</v>
      </c>
      <c r="G162" s="15" t="e">
        <f t="shared" si="4"/>
        <v>#REF!</v>
      </c>
      <c r="H162" s="15" t="s">
        <v>42</v>
      </c>
    </row>
    <row r="163" spans="1:8" x14ac:dyDescent="0.3">
      <c r="A163" s="15" t="s">
        <v>210</v>
      </c>
      <c r="B163" s="15">
        <v>1000</v>
      </c>
      <c r="C163" s="15" t="s">
        <v>54</v>
      </c>
      <c r="D163" s="15" t="s">
        <v>68</v>
      </c>
      <c r="E163" s="16"/>
      <c r="F163" s="15" t="e">
        <f>'5-SEPTEMBER-2026'!Y160+'5-SEPTEMBER-2026'!Z160+'5-SEPTEMBER-2026'!#REF!</f>
        <v>#REF!</v>
      </c>
      <c r="G163" s="15" t="e">
        <f t="shared" si="4"/>
        <v>#REF!</v>
      </c>
      <c r="H163" s="15" t="s">
        <v>42</v>
      </c>
    </row>
    <row r="164" spans="1:8" x14ac:dyDescent="0.3">
      <c r="A164" s="15" t="s">
        <v>211</v>
      </c>
      <c r="B164" s="15">
        <v>100</v>
      </c>
      <c r="C164" s="15" t="s">
        <v>54</v>
      </c>
      <c r="D164" s="15" t="s">
        <v>55</v>
      </c>
      <c r="E164" s="16"/>
      <c r="F164" s="15" t="e">
        <f>'5-SEPTEMBER-2026'!Y161+'5-SEPTEMBER-2026'!Z161+'5-SEPTEMBER-2026'!#REF!</f>
        <v>#REF!</v>
      </c>
      <c r="G164" s="15" t="e">
        <f t="shared" si="4"/>
        <v>#REF!</v>
      </c>
      <c r="H164" s="15" t="s">
        <v>42</v>
      </c>
    </row>
    <row r="165" spans="1:8" x14ac:dyDescent="0.3">
      <c r="A165" s="15" t="s">
        <v>212</v>
      </c>
      <c r="B165" s="15">
        <v>100</v>
      </c>
      <c r="C165" s="15" t="s">
        <v>54</v>
      </c>
      <c r="D165" s="15" t="s">
        <v>55</v>
      </c>
      <c r="E165" s="16"/>
      <c r="F165" s="15" t="e">
        <f>'5-SEPTEMBER-2026'!Y162+'5-SEPTEMBER-2026'!Z162+'5-SEPTEMBER-2026'!#REF!</f>
        <v>#REF!</v>
      </c>
      <c r="G165" s="15" t="e">
        <f t="shared" ref="G165:G196" si="5">IF(F165&lt;0,"NEGATIVE - CHECK ENTRIES",IF(AND(E165&lt;&gt;"",E165&gt;0,F165&lt;=E165),"REORDER","OK"))</f>
        <v>#REF!</v>
      </c>
      <c r="H165" s="15" t="s">
        <v>42</v>
      </c>
    </row>
    <row r="166" spans="1:8" x14ac:dyDescent="0.3">
      <c r="A166" s="15" t="s">
        <v>213</v>
      </c>
      <c r="B166" s="15">
        <v>100</v>
      </c>
      <c r="C166" s="15" t="s">
        <v>54</v>
      </c>
      <c r="D166" s="15" t="s">
        <v>55</v>
      </c>
      <c r="E166" s="16"/>
      <c r="F166" s="15" t="e">
        <f>'5-SEPTEMBER-2026'!Y163+'5-SEPTEMBER-2026'!Z163+'5-SEPTEMBER-2026'!#REF!</f>
        <v>#REF!</v>
      </c>
      <c r="G166" s="15" t="e">
        <f t="shared" si="5"/>
        <v>#REF!</v>
      </c>
      <c r="H166" s="15" t="s">
        <v>42</v>
      </c>
    </row>
    <row r="167" spans="1:8" x14ac:dyDescent="0.3">
      <c r="A167" s="15" t="s">
        <v>213</v>
      </c>
      <c r="B167" s="15">
        <v>1000</v>
      </c>
      <c r="C167" s="15" t="s">
        <v>54</v>
      </c>
      <c r="D167" s="15" t="s">
        <v>55</v>
      </c>
      <c r="E167" s="16"/>
      <c r="F167" s="15" t="e">
        <f>'5-SEPTEMBER-2026'!Y164+'5-SEPTEMBER-2026'!Z164+'5-SEPTEMBER-2026'!#REF!</f>
        <v>#REF!</v>
      </c>
      <c r="G167" s="15" t="e">
        <f t="shared" si="5"/>
        <v>#REF!</v>
      </c>
      <c r="H167" s="15" t="s">
        <v>42</v>
      </c>
    </row>
    <row r="168" spans="1:8" x14ac:dyDescent="0.3">
      <c r="A168" s="15" t="s">
        <v>213</v>
      </c>
      <c r="B168" s="15">
        <v>500</v>
      </c>
      <c r="C168" s="15" t="s">
        <v>54</v>
      </c>
      <c r="D168" s="15" t="s">
        <v>55</v>
      </c>
      <c r="E168" s="16"/>
      <c r="F168" s="15" t="e">
        <f>'5-SEPTEMBER-2026'!Y165+'5-SEPTEMBER-2026'!Z165+'5-SEPTEMBER-2026'!#REF!</f>
        <v>#REF!</v>
      </c>
      <c r="G168" s="15" t="e">
        <f t="shared" si="5"/>
        <v>#REF!</v>
      </c>
      <c r="H168" s="15" t="s">
        <v>42</v>
      </c>
    </row>
    <row r="169" spans="1:8" x14ac:dyDescent="0.3">
      <c r="A169" s="15" t="s">
        <v>214</v>
      </c>
      <c r="B169" s="15">
        <v>1000</v>
      </c>
      <c r="C169" s="15" t="s">
        <v>54</v>
      </c>
      <c r="D169" s="15" t="s">
        <v>55</v>
      </c>
      <c r="E169" s="16"/>
      <c r="F169" s="15" t="e">
        <f>'5-SEPTEMBER-2026'!Y166+'5-SEPTEMBER-2026'!Z166+'5-SEPTEMBER-2026'!#REF!</f>
        <v>#REF!</v>
      </c>
      <c r="G169" s="15" t="e">
        <f t="shared" si="5"/>
        <v>#REF!</v>
      </c>
      <c r="H169" s="15" t="s">
        <v>42</v>
      </c>
    </row>
    <row r="170" spans="1:8" x14ac:dyDescent="0.3">
      <c r="A170" s="15" t="s">
        <v>215</v>
      </c>
      <c r="B170" s="15">
        <v>100</v>
      </c>
      <c r="C170" s="15" t="s">
        <v>54</v>
      </c>
      <c r="D170" s="15" t="s">
        <v>55</v>
      </c>
      <c r="E170" s="16"/>
      <c r="F170" s="15" t="e">
        <f>'5-SEPTEMBER-2026'!Y167+'5-SEPTEMBER-2026'!Z167+'5-SEPTEMBER-2026'!#REF!</f>
        <v>#REF!</v>
      </c>
      <c r="G170" s="15" t="e">
        <f t="shared" si="5"/>
        <v>#REF!</v>
      </c>
      <c r="H170" s="15" t="s">
        <v>42</v>
      </c>
    </row>
    <row r="171" spans="1:8" x14ac:dyDescent="0.3">
      <c r="A171" s="15" t="s">
        <v>216</v>
      </c>
      <c r="B171" s="15">
        <v>100</v>
      </c>
      <c r="C171" s="15" t="s">
        <v>54</v>
      </c>
      <c r="D171" s="15" t="s">
        <v>55</v>
      </c>
      <c r="E171" s="16"/>
      <c r="F171" s="15" t="e">
        <f>'5-SEPTEMBER-2026'!Y168+'5-SEPTEMBER-2026'!Z168+'5-SEPTEMBER-2026'!#REF!</f>
        <v>#REF!</v>
      </c>
      <c r="G171" s="15" t="e">
        <f t="shared" si="5"/>
        <v>#REF!</v>
      </c>
      <c r="H171" s="15" t="s">
        <v>42</v>
      </c>
    </row>
    <row r="172" spans="1:8" x14ac:dyDescent="0.3">
      <c r="A172" s="15" t="s">
        <v>217</v>
      </c>
      <c r="B172" s="15">
        <v>100</v>
      </c>
      <c r="C172" s="15" t="s">
        <v>54</v>
      </c>
      <c r="D172" s="15" t="s">
        <v>55</v>
      </c>
      <c r="E172" s="16"/>
      <c r="F172" s="15" t="e">
        <f>'5-SEPTEMBER-2026'!Y169+'5-SEPTEMBER-2026'!Z169+'5-SEPTEMBER-2026'!#REF!</f>
        <v>#REF!</v>
      </c>
      <c r="G172" s="15" t="e">
        <f t="shared" si="5"/>
        <v>#REF!</v>
      </c>
      <c r="H172" s="15" t="s">
        <v>42</v>
      </c>
    </row>
    <row r="173" spans="1:8" x14ac:dyDescent="0.3">
      <c r="A173" s="15" t="s">
        <v>218</v>
      </c>
      <c r="B173" s="15">
        <v>100</v>
      </c>
      <c r="C173" s="15" t="s">
        <v>54</v>
      </c>
      <c r="D173" s="15" t="s">
        <v>55</v>
      </c>
      <c r="E173" s="16"/>
      <c r="F173" s="15" t="e">
        <f>'5-SEPTEMBER-2026'!Y170+'5-SEPTEMBER-2026'!Z170+'5-SEPTEMBER-2026'!#REF!</f>
        <v>#REF!</v>
      </c>
      <c r="G173" s="15" t="e">
        <f t="shared" si="5"/>
        <v>#REF!</v>
      </c>
      <c r="H173" s="15" t="s">
        <v>42</v>
      </c>
    </row>
    <row r="174" spans="1:8" x14ac:dyDescent="0.3">
      <c r="A174" s="15" t="s">
        <v>219</v>
      </c>
      <c r="B174" s="15">
        <v>100</v>
      </c>
      <c r="C174" s="15" t="s">
        <v>54</v>
      </c>
      <c r="D174" s="15" t="s">
        <v>55</v>
      </c>
      <c r="E174" s="16"/>
      <c r="F174" s="15" t="e">
        <f>'5-SEPTEMBER-2026'!Y171+'5-SEPTEMBER-2026'!Z171+'5-SEPTEMBER-2026'!#REF!</f>
        <v>#REF!</v>
      </c>
      <c r="G174" s="15" t="e">
        <f t="shared" si="5"/>
        <v>#REF!</v>
      </c>
      <c r="H174" s="15" t="s">
        <v>42</v>
      </c>
    </row>
    <row r="175" spans="1:8" x14ac:dyDescent="0.3">
      <c r="A175" s="15" t="s">
        <v>220</v>
      </c>
      <c r="B175" s="15">
        <v>1000</v>
      </c>
      <c r="C175" s="15" t="s">
        <v>54</v>
      </c>
      <c r="D175" s="15" t="s">
        <v>57</v>
      </c>
      <c r="E175" s="16"/>
      <c r="F175" s="15" t="e">
        <f>'5-SEPTEMBER-2026'!Y172+'5-SEPTEMBER-2026'!Z172+'5-SEPTEMBER-2026'!#REF!</f>
        <v>#REF!</v>
      </c>
      <c r="G175" s="15" t="e">
        <f t="shared" si="5"/>
        <v>#REF!</v>
      </c>
      <c r="H175" s="15" t="s">
        <v>42</v>
      </c>
    </row>
    <row r="176" spans="1:8" x14ac:dyDescent="0.3">
      <c r="A176" s="15" t="s">
        <v>221</v>
      </c>
      <c r="B176" s="15">
        <v>1000</v>
      </c>
      <c r="C176" s="15" t="s">
        <v>54</v>
      </c>
      <c r="D176" s="15" t="s">
        <v>68</v>
      </c>
      <c r="E176" s="16"/>
      <c r="F176" s="15" t="e">
        <f>'5-SEPTEMBER-2026'!Y173+'5-SEPTEMBER-2026'!Z173+'5-SEPTEMBER-2026'!#REF!</f>
        <v>#REF!</v>
      </c>
      <c r="G176" s="15" t="e">
        <f t="shared" si="5"/>
        <v>#REF!</v>
      </c>
      <c r="H176" s="15" t="s">
        <v>42</v>
      </c>
    </row>
    <row r="177" spans="1:8" x14ac:dyDescent="0.3">
      <c r="A177" s="15" t="s">
        <v>222</v>
      </c>
      <c r="B177" s="15">
        <v>1000</v>
      </c>
      <c r="C177" s="15" t="s">
        <v>54</v>
      </c>
      <c r="D177" s="15" t="s">
        <v>68</v>
      </c>
      <c r="E177" s="16"/>
      <c r="F177" s="15" t="e">
        <f>'5-SEPTEMBER-2026'!Y174+'5-SEPTEMBER-2026'!Z174+'5-SEPTEMBER-2026'!#REF!</f>
        <v>#REF!</v>
      </c>
      <c r="G177" s="15" t="e">
        <f t="shared" si="5"/>
        <v>#REF!</v>
      </c>
      <c r="H177" s="15" t="s">
        <v>42</v>
      </c>
    </row>
    <row r="178" spans="1:8" x14ac:dyDescent="0.3">
      <c r="A178" s="15" t="s">
        <v>223</v>
      </c>
      <c r="B178" s="15">
        <v>100</v>
      </c>
      <c r="C178" s="15" t="s">
        <v>54</v>
      </c>
      <c r="D178" s="15" t="s">
        <v>57</v>
      </c>
      <c r="E178" s="16"/>
      <c r="F178" s="15" t="e">
        <f>'5-SEPTEMBER-2026'!Y175+'5-SEPTEMBER-2026'!Z175+'5-SEPTEMBER-2026'!#REF!</f>
        <v>#REF!</v>
      </c>
      <c r="G178" s="15" t="e">
        <f t="shared" si="5"/>
        <v>#REF!</v>
      </c>
      <c r="H178" s="15" t="s">
        <v>42</v>
      </c>
    </row>
    <row r="179" spans="1:8" x14ac:dyDescent="0.3">
      <c r="A179" s="15" t="s">
        <v>224</v>
      </c>
      <c r="B179" s="15" t="s">
        <v>225</v>
      </c>
      <c r="C179" s="15" t="s">
        <v>54</v>
      </c>
      <c r="D179" s="15" t="s">
        <v>55</v>
      </c>
      <c r="E179" s="16"/>
      <c r="F179" s="15" t="e">
        <f>'5-SEPTEMBER-2026'!Y176+'5-SEPTEMBER-2026'!Z176+'5-SEPTEMBER-2026'!#REF!</f>
        <v>#REF!</v>
      </c>
      <c r="G179" s="15" t="e">
        <f t="shared" si="5"/>
        <v>#REF!</v>
      </c>
      <c r="H179" s="15" t="s">
        <v>42</v>
      </c>
    </row>
    <row r="180" spans="1:8" x14ac:dyDescent="0.3">
      <c r="A180" s="15" t="s">
        <v>226</v>
      </c>
      <c r="B180" s="15">
        <v>100</v>
      </c>
      <c r="C180" s="15" t="s">
        <v>54</v>
      </c>
      <c r="D180" s="15" t="s">
        <v>68</v>
      </c>
      <c r="E180" s="16"/>
      <c r="F180" s="15" t="e">
        <f>'5-SEPTEMBER-2026'!Y177+'5-SEPTEMBER-2026'!Z177+'5-SEPTEMBER-2026'!#REF!</f>
        <v>#REF!</v>
      </c>
      <c r="G180" s="15" t="e">
        <f t="shared" si="5"/>
        <v>#REF!</v>
      </c>
      <c r="H180" s="15" t="s">
        <v>42</v>
      </c>
    </row>
    <row r="181" spans="1:8" x14ac:dyDescent="0.3">
      <c r="A181" s="15" t="s">
        <v>227</v>
      </c>
      <c r="B181" s="15">
        <v>100</v>
      </c>
      <c r="C181" s="15" t="s">
        <v>54</v>
      </c>
      <c r="D181" s="15" t="s">
        <v>55</v>
      </c>
      <c r="E181" s="16"/>
      <c r="F181" s="15" t="e">
        <f>'5-SEPTEMBER-2026'!Y178+'5-SEPTEMBER-2026'!Z178+'5-SEPTEMBER-2026'!#REF!</f>
        <v>#REF!</v>
      </c>
      <c r="G181" s="15" t="e">
        <f t="shared" si="5"/>
        <v>#REF!</v>
      </c>
      <c r="H181" s="15" t="s">
        <v>42</v>
      </c>
    </row>
    <row r="182" spans="1:8" x14ac:dyDescent="0.3">
      <c r="A182" s="15" t="s">
        <v>228</v>
      </c>
      <c r="B182" s="15">
        <v>1000</v>
      </c>
      <c r="C182" s="15" t="s">
        <v>54</v>
      </c>
      <c r="D182" s="15" t="s">
        <v>57</v>
      </c>
      <c r="E182" s="16"/>
      <c r="F182" s="15" t="e">
        <f>'5-SEPTEMBER-2026'!Y179+'5-SEPTEMBER-2026'!Z179+'5-SEPTEMBER-2026'!#REF!</f>
        <v>#REF!</v>
      </c>
      <c r="G182" s="15" t="e">
        <f t="shared" si="5"/>
        <v>#REF!</v>
      </c>
      <c r="H182" s="15" t="s">
        <v>42</v>
      </c>
    </row>
    <row r="183" spans="1:8" x14ac:dyDescent="0.3">
      <c r="A183" s="15" t="s">
        <v>229</v>
      </c>
      <c r="B183" s="15">
        <v>100</v>
      </c>
      <c r="C183" s="15" t="s">
        <v>54</v>
      </c>
      <c r="D183" s="15" t="s">
        <v>68</v>
      </c>
      <c r="E183" s="16"/>
      <c r="F183" s="15" t="e">
        <f>'5-SEPTEMBER-2026'!Y180+'5-SEPTEMBER-2026'!Z180+'5-SEPTEMBER-2026'!#REF!</f>
        <v>#REF!</v>
      </c>
      <c r="G183" s="15" t="e">
        <f t="shared" si="5"/>
        <v>#REF!</v>
      </c>
      <c r="H183" s="15" t="s">
        <v>42</v>
      </c>
    </row>
    <row r="184" spans="1:8" x14ac:dyDescent="0.3">
      <c r="A184" s="15" t="s">
        <v>230</v>
      </c>
      <c r="B184" s="15">
        <v>1000</v>
      </c>
      <c r="C184" s="15" t="s">
        <v>54</v>
      </c>
      <c r="D184" s="15" t="s">
        <v>68</v>
      </c>
      <c r="E184" s="16"/>
      <c r="F184" s="15" t="e">
        <f>'5-SEPTEMBER-2026'!Y181+'5-SEPTEMBER-2026'!Z181+'5-SEPTEMBER-2026'!#REF!</f>
        <v>#REF!</v>
      </c>
      <c r="G184" s="15" t="e">
        <f t="shared" si="5"/>
        <v>#REF!</v>
      </c>
      <c r="H184" s="15" t="s">
        <v>42</v>
      </c>
    </row>
    <row r="185" spans="1:8" x14ac:dyDescent="0.3">
      <c r="A185" s="15" t="s">
        <v>231</v>
      </c>
      <c r="B185" s="15">
        <v>100</v>
      </c>
      <c r="C185" s="15" t="s">
        <v>54</v>
      </c>
      <c r="D185" s="15" t="s">
        <v>57</v>
      </c>
      <c r="E185" s="16"/>
      <c r="F185" s="15" t="e">
        <f>'5-SEPTEMBER-2026'!Y182+'5-SEPTEMBER-2026'!Z182+'5-SEPTEMBER-2026'!#REF!</f>
        <v>#REF!</v>
      </c>
      <c r="G185" s="15" t="e">
        <f t="shared" si="5"/>
        <v>#REF!</v>
      </c>
      <c r="H185" s="15" t="s">
        <v>42</v>
      </c>
    </row>
    <row r="186" spans="1:8" x14ac:dyDescent="0.3">
      <c r="A186" s="15" t="s">
        <v>232</v>
      </c>
      <c r="B186" s="15">
        <v>100000</v>
      </c>
      <c r="C186" s="15" t="s">
        <v>54</v>
      </c>
      <c r="D186" s="15" t="s">
        <v>68</v>
      </c>
      <c r="E186" s="16"/>
      <c r="F186" s="15" t="e">
        <f>'5-SEPTEMBER-2026'!Y183+'5-SEPTEMBER-2026'!Z183+'5-SEPTEMBER-2026'!#REF!</f>
        <v>#REF!</v>
      </c>
      <c r="G186" s="15" t="e">
        <f t="shared" si="5"/>
        <v>#REF!</v>
      </c>
      <c r="H186" s="15" t="s">
        <v>42</v>
      </c>
    </row>
    <row r="187" spans="1:8" x14ac:dyDescent="0.3">
      <c r="A187" s="15" t="s">
        <v>233</v>
      </c>
      <c r="B187" s="15">
        <v>100</v>
      </c>
      <c r="C187" s="15" t="s">
        <v>54</v>
      </c>
      <c r="D187" s="15" t="s">
        <v>57</v>
      </c>
      <c r="E187" s="16"/>
      <c r="F187" s="15" t="e">
        <f>'5-SEPTEMBER-2026'!Y184+'5-SEPTEMBER-2026'!Z184+'5-SEPTEMBER-2026'!#REF!</f>
        <v>#REF!</v>
      </c>
      <c r="G187" s="15" t="e">
        <f t="shared" si="5"/>
        <v>#REF!</v>
      </c>
      <c r="H187" s="15" t="s">
        <v>42</v>
      </c>
    </row>
    <row r="188" spans="1:8" x14ac:dyDescent="0.3">
      <c r="A188" s="15" t="s">
        <v>234</v>
      </c>
      <c r="B188" s="15">
        <v>1000</v>
      </c>
      <c r="C188" s="15" t="s">
        <v>54</v>
      </c>
      <c r="D188" s="15" t="s">
        <v>68</v>
      </c>
      <c r="E188" s="16"/>
      <c r="F188" s="15" t="e">
        <f>'5-SEPTEMBER-2026'!Y185+'5-SEPTEMBER-2026'!Z185+'5-SEPTEMBER-2026'!#REF!</f>
        <v>#REF!</v>
      </c>
      <c r="G188" s="15" t="e">
        <f t="shared" si="5"/>
        <v>#REF!</v>
      </c>
      <c r="H188" s="15" t="s">
        <v>42</v>
      </c>
    </row>
    <row r="189" spans="1:8" x14ac:dyDescent="0.3">
      <c r="A189" s="15" t="s">
        <v>235</v>
      </c>
      <c r="B189" s="15">
        <v>100000</v>
      </c>
      <c r="C189" s="15" t="s">
        <v>54</v>
      </c>
      <c r="D189" s="15" t="s">
        <v>68</v>
      </c>
      <c r="E189" s="16"/>
      <c r="F189" s="15" t="e">
        <f>'5-SEPTEMBER-2026'!Y186+'5-SEPTEMBER-2026'!Z186+'5-SEPTEMBER-2026'!#REF!</f>
        <v>#REF!</v>
      </c>
      <c r="G189" s="15" t="e">
        <f t="shared" si="5"/>
        <v>#REF!</v>
      </c>
      <c r="H189" s="15" t="s">
        <v>42</v>
      </c>
    </row>
    <row r="190" spans="1:8" x14ac:dyDescent="0.3">
      <c r="A190" s="15" t="s">
        <v>236</v>
      </c>
      <c r="B190" s="15">
        <v>1000</v>
      </c>
      <c r="C190" s="15" t="s">
        <v>54</v>
      </c>
      <c r="D190" s="15" t="s">
        <v>55</v>
      </c>
      <c r="E190" s="16"/>
      <c r="F190" s="15" t="e">
        <f>'5-SEPTEMBER-2026'!Y187+'5-SEPTEMBER-2026'!Z187+'5-SEPTEMBER-2026'!#REF!</f>
        <v>#REF!</v>
      </c>
      <c r="G190" s="15" t="e">
        <f t="shared" si="5"/>
        <v>#REF!</v>
      </c>
      <c r="H190" s="15" t="s">
        <v>42</v>
      </c>
    </row>
    <row r="191" spans="1:8" x14ac:dyDescent="0.3">
      <c r="A191" s="15" t="s">
        <v>237</v>
      </c>
      <c r="B191" s="15">
        <v>1000</v>
      </c>
      <c r="C191" s="15" t="s">
        <v>54</v>
      </c>
      <c r="D191" s="15" t="s">
        <v>55</v>
      </c>
      <c r="E191" s="16"/>
      <c r="F191" s="15" t="e">
        <f>'5-SEPTEMBER-2026'!Y188+'5-SEPTEMBER-2026'!Z188+'5-SEPTEMBER-2026'!#REF!</f>
        <v>#REF!</v>
      </c>
      <c r="G191" s="15" t="e">
        <f t="shared" si="5"/>
        <v>#REF!</v>
      </c>
      <c r="H191" s="15" t="s">
        <v>42</v>
      </c>
    </row>
    <row r="192" spans="1:8" x14ac:dyDescent="0.3">
      <c r="A192" s="15" t="s">
        <v>238</v>
      </c>
      <c r="B192" s="15">
        <v>1000</v>
      </c>
      <c r="C192" s="15" t="s">
        <v>54</v>
      </c>
      <c r="D192" s="15" t="s">
        <v>55</v>
      </c>
      <c r="E192" s="16"/>
      <c r="F192" s="15" t="e">
        <f>'5-SEPTEMBER-2026'!Y189+'5-SEPTEMBER-2026'!Z189+'5-SEPTEMBER-2026'!#REF!</f>
        <v>#REF!</v>
      </c>
      <c r="G192" s="15" t="e">
        <f t="shared" si="5"/>
        <v>#REF!</v>
      </c>
      <c r="H192" s="15" t="s">
        <v>42</v>
      </c>
    </row>
    <row r="193" spans="1:8" x14ac:dyDescent="0.3">
      <c r="A193" s="15" t="s">
        <v>239</v>
      </c>
      <c r="B193" s="15">
        <v>1000</v>
      </c>
      <c r="C193" s="15" t="s">
        <v>54</v>
      </c>
      <c r="D193" s="15" t="s">
        <v>55</v>
      </c>
      <c r="E193" s="16"/>
      <c r="F193" s="15" t="e">
        <f>'5-SEPTEMBER-2026'!Y190+'5-SEPTEMBER-2026'!Z190+'5-SEPTEMBER-2026'!#REF!</f>
        <v>#REF!</v>
      </c>
      <c r="G193" s="15" t="e">
        <f t="shared" si="5"/>
        <v>#REF!</v>
      </c>
      <c r="H193" s="15" t="s">
        <v>42</v>
      </c>
    </row>
    <row r="194" spans="1:8" x14ac:dyDescent="0.3">
      <c r="A194" s="15" t="s">
        <v>239</v>
      </c>
      <c r="B194" s="15">
        <v>2500</v>
      </c>
      <c r="C194" s="15" t="s">
        <v>54</v>
      </c>
      <c r="D194" s="15" t="s">
        <v>55</v>
      </c>
      <c r="E194" s="16"/>
      <c r="F194" s="15" t="e">
        <f>'5-SEPTEMBER-2026'!Y191+'5-SEPTEMBER-2026'!Z191+'5-SEPTEMBER-2026'!#REF!</f>
        <v>#REF!</v>
      </c>
      <c r="G194" s="15" t="e">
        <f t="shared" si="5"/>
        <v>#REF!</v>
      </c>
      <c r="H194" s="15" t="s">
        <v>42</v>
      </c>
    </row>
    <row r="195" spans="1:8" x14ac:dyDescent="0.3">
      <c r="A195" s="15" t="s">
        <v>240</v>
      </c>
      <c r="B195" s="15">
        <v>100</v>
      </c>
      <c r="C195" s="15" t="s">
        <v>54</v>
      </c>
      <c r="D195" s="15" t="s">
        <v>55</v>
      </c>
      <c r="E195" s="16"/>
      <c r="F195" s="15" t="e">
        <f>'5-SEPTEMBER-2026'!Y192+'5-SEPTEMBER-2026'!Z192+'5-SEPTEMBER-2026'!#REF!</f>
        <v>#REF!</v>
      </c>
      <c r="G195" s="15" t="e">
        <f t="shared" si="5"/>
        <v>#REF!</v>
      </c>
      <c r="H195" s="15" t="s">
        <v>42</v>
      </c>
    </row>
    <row r="196" spans="1:8" x14ac:dyDescent="0.3">
      <c r="A196" s="15" t="s">
        <v>240</v>
      </c>
      <c r="B196" s="15">
        <v>1000</v>
      </c>
      <c r="C196" s="15" t="s">
        <v>54</v>
      </c>
      <c r="D196" s="15" t="s">
        <v>55</v>
      </c>
      <c r="E196" s="16"/>
      <c r="F196" s="15" t="e">
        <f>'5-SEPTEMBER-2026'!Y193+'5-SEPTEMBER-2026'!Z193+'5-SEPTEMBER-2026'!#REF!</f>
        <v>#REF!</v>
      </c>
      <c r="G196" s="15" t="e">
        <f t="shared" si="5"/>
        <v>#REF!</v>
      </c>
      <c r="H196" s="15" t="s">
        <v>42</v>
      </c>
    </row>
    <row r="197" spans="1:8" x14ac:dyDescent="0.3">
      <c r="A197" s="15" t="s">
        <v>241</v>
      </c>
      <c r="B197" s="15">
        <v>25000</v>
      </c>
      <c r="C197" s="15" t="s">
        <v>54</v>
      </c>
      <c r="D197" s="15" t="s">
        <v>68</v>
      </c>
      <c r="E197" s="16"/>
      <c r="F197" s="15" t="e">
        <f>'5-SEPTEMBER-2026'!Y194+'5-SEPTEMBER-2026'!Z194+'5-SEPTEMBER-2026'!#REF!</f>
        <v>#REF!</v>
      </c>
      <c r="G197" s="15" t="e">
        <f t="shared" ref="G197:G201" si="6">IF(F197&lt;0,"NEGATIVE - CHECK ENTRIES",IF(AND(E197&lt;&gt;"",E197&gt;0,F197&lt;=E197),"REORDER","OK"))</f>
        <v>#REF!</v>
      </c>
      <c r="H197" s="15" t="s">
        <v>42</v>
      </c>
    </row>
    <row r="198" spans="1:8" x14ac:dyDescent="0.3">
      <c r="A198" s="15" t="s">
        <v>242</v>
      </c>
      <c r="B198" s="15">
        <v>100</v>
      </c>
      <c r="C198" s="15" t="s">
        <v>54</v>
      </c>
      <c r="D198" s="15" t="s">
        <v>68</v>
      </c>
      <c r="E198" s="16"/>
      <c r="F198" s="15" t="e">
        <f>'5-SEPTEMBER-2026'!Y195+'5-SEPTEMBER-2026'!Z195+'5-SEPTEMBER-2026'!#REF!</f>
        <v>#REF!</v>
      </c>
      <c r="G198" s="15" t="e">
        <f t="shared" si="6"/>
        <v>#REF!</v>
      </c>
      <c r="H198" s="15" t="s">
        <v>42</v>
      </c>
    </row>
    <row r="199" spans="1:8" x14ac:dyDescent="0.3">
      <c r="A199" s="15" t="s">
        <v>243</v>
      </c>
      <c r="B199" s="15">
        <v>100000</v>
      </c>
      <c r="C199" s="15" t="s">
        <v>54</v>
      </c>
      <c r="D199" s="15" t="s">
        <v>57</v>
      </c>
      <c r="E199" s="16"/>
      <c r="F199" s="15" t="e">
        <f>'5-SEPTEMBER-2026'!Y196+'5-SEPTEMBER-2026'!Z196+'5-SEPTEMBER-2026'!#REF!</f>
        <v>#REF!</v>
      </c>
      <c r="G199" s="15" t="e">
        <f t="shared" si="6"/>
        <v>#REF!</v>
      </c>
      <c r="H199" s="15" t="s">
        <v>42</v>
      </c>
    </row>
    <row r="200" spans="1:8" x14ac:dyDescent="0.3">
      <c r="A200" s="15" t="s">
        <v>244</v>
      </c>
      <c r="B200" s="15">
        <v>100000</v>
      </c>
      <c r="C200" s="15"/>
      <c r="D200" s="15" t="s">
        <v>55</v>
      </c>
      <c r="E200" s="16"/>
      <c r="F200" s="15" t="e">
        <f>'5-SEPTEMBER-2026'!Y197+'5-SEPTEMBER-2026'!Z197+'5-SEPTEMBER-2026'!#REF!</f>
        <v>#REF!</v>
      </c>
      <c r="G200" s="15" t="e">
        <f t="shared" si="6"/>
        <v>#REF!</v>
      </c>
      <c r="H200" s="15" t="s">
        <v>42</v>
      </c>
    </row>
    <row r="201" spans="1:8" x14ac:dyDescent="0.3">
      <c r="A201" s="15" t="s">
        <v>245</v>
      </c>
      <c r="B201" s="15">
        <v>25000</v>
      </c>
      <c r="C201" s="15" t="s">
        <v>54</v>
      </c>
      <c r="D201" s="15" t="s">
        <v>57</v>
      </c>
      <c r="E201" s="16"/>
      <c r="F201" s="15" t="e">
        <f>'5-SEPTEMBER-2026'!Y198+'5-SEPTEMBER-2026'!Z198+'5-SEPTEMBER-2026'!#REF!</f>
        <v>#REF!</v>
      </c>
      <c r="G201" s="15" t="e">
        <f t="shared" si="6"/>
        <v>#REF!</v>
      </c>
      <c r="H201" s="15" t="s">
        <v>42</v>
      </c>
    </row>
  </sheetData>
  <mergeCells count="2">
    <mergeCell ref="A1:H1"/>
    <mergeCell ref="A2:H2"/>
  </mergeCells>
  <conditionalFormatting sqref="G5:G201">
    <cfRule type="expression" dxfId="30" priority="2">
      <formula>G5="REORDER"</formula>
    </cfRule>
    <cfRule type="expression" dxfId="29" priority="3">
      <formula>G5="NEGATIVE - CHECK ENTRIES"</formula>
    </cfRule>
    <cfRule type="expression" dxfId="28" priority="4">
      <formula>G5="OK"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99"/>
  <sheetViews>
    <sheetView showGridLines="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defaultColWidth="8.6640625" defaultRowHeight="14.4" x14ac:dyDescent="0.3"/>
  <cols>
    <col min="1" max="1" width="30" customWidth="1"/>
    <col min="2" max="2" width="10" customWidth="1"/>
    <col min="3" max="3" width="12" customWidth="1"/>
    <col min="4" max="4" width="14" customWidth="1"/>
    <col min="5" max="35" width="11" customWidth="1"/>
    <col min="36" max="36" width="22" customWidth="1"/>
  </cols>
  <sheetData>
    <row r="1" spans="1:36" ht="19.5" customHeight="1" x14ac:dyDescent="0.3">
      <c r="A1" s="40" t="s">
        <v>246</v>
      </c>
      <c r="B1" s="40"/>
      <c r="C1" s="40"/>
      <c r="D1" s="40"/>
      <c r="E1" s="41" t="s">
        <v>247</v>
      </c>
      <c r="F1" s="41"/>
      <c r="G1" s="41"/>
      <c r="H1" s="41"/>
      <c r="I1" s="42" t="s">
        <v>248</v>
      </c>
      <c r="J1" s="42"/>
      <c r="K1" s="42"/>
      <c r="L1" s="42"/>
      <c r="M1" s="42"/>
      <c r="N1" s="42"/>
      <c r="O1" s="42"/>
      <c r="P1" s="42"/>
      <c r="Q1" s="42"/>
      <c r="R1" s="42"/>
      <c r="S1" s="41" t="s">
        <v>249</v>
      </c>
      <c r="T1" s="41"/>
      <c r="U1" s="41"/>
      <c r="V1" s="41"/>
      <c r="W1" s="3" t="s">
        <v>250</v>
      </c>
      <c r="X1" s="43" t="s">
        <v>251</v>
      </c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" t="s">
        <v>252</v>
      </c>
    </row>
    <row r="2" spans="1:36" ht="33.75" customHeight="1" x14ac:dyDescent="0.3">
      <c r="A2" s="4" t="s">
        <v>45</v>
      </c>
      <c r="B2" s="4" t="s">
        <v>46</v>
      </c>
      <c r="C2" s="4" t="s">
        <v>47</v>
      </c>
      <c r="D2" s="4" t="s">
        <v>48</v>
      </c>
      <c r="E2" s="3" t="s">
        <v>253</v>
      </c>
      <c r="F2" s="3" t="s">
        <v>254</v>
      </c>
      <c r="G2" s="3" t="s">
        <v>255</v>
      </c>
      <c r="H2" s="3" t="s">
        <v>256</v>
      </c>
      <c r="I2" s="2" t="s">
        <v>257</v>
      </c>
      <c r="J2" s="2" t="s">
        <v>258</v>
      </c>
      <c r="K2" s="2" t="s">
        <v>259</v>
      </c>
      <c r="L2" s="2" t="s">
        <v>260</v>
      </c>
      <c r="M2" s="2" t="s">
        <v>261</v>
      </c>
      <c r="N2" s="2" t="s">
        <v>262</v>
      </c>
      <c r="O2" s="2" t="s">
        <v>263</v>
      </c>
      <c r="P2" s="2" t="s">
        <v>264</v>
      </c>
      <c r="Q2" s="2" t="s">
        <v>265</v>
      </c>
      <c r="R2" s="2" t="s">
        <v>266</v>
      </c>
      <c r="S2" s="3" t="s">
        <v>267</v>
      </c>
      <c r="T2" s="3" t="s">
        <v>268</v>
      </c>
      <c r="U2" s="3" t="s">
        <v>269</v>
      </c>
      <c r="V2" s="3" t="s">
        <v>270</v>
      </c>
      <c r="W2" s="3" t="s">
        <v>271</v>
      </c>
      <c r="X2" s="1" t="s">
        <v>272</v>
      </c>
      <c r="Y2" s="1" t="s">
        <v>273</v>
      </c>
      <c r="Z2" s="1" t="s">
        <v>274</v>
      </c>
      <c r="AA2" s="1" t="s">
        <v>275</v>
      </c>
      <c r="AB2" s="1" t="s">
        <v>276</v>
      </c>
      <c r="AC2" s="1" t="s">
        <v>277</v>
      </c>
      <c r="AD2" s="1" t="s">
        <v>278</v>
      </c>
      <c r="AE2" s="1" t="s">
        <v>279</v>
      </c>
      <c r="AF2" s="1" t="s">
        <v>280</v>
      </c>
      <c r="AG2" s="1" t="s">
        <v>281</v>
      </c>
      <c r="AH2" s="1" t="s">
        <v>282</v>
      </c>
      <c r="AI2" s="1" t="s">
        <v>283</v>
      </c>
      <c r="AJ2" s="4" t="s">
        <v>284</v>
      </c>
    </row>
    <row r="3" spans="1:36" x14ac:dyDescent="0.3">
      <c r="A3" s="15" t="s">
        <v>53</v>
      </c>
      <c r="B3" s="15">
        <v>1000</v>
      </c>
      <c r="C3" s="15" t="s">
        <v>54</v>
      </c>
      <c r="D3" s="15" t="s">
        <v>55</v>
      </c>
      <c r="E3" s="15">
        <v>0</v>
      </c>
      <c r="F3" s="15">
        <v>0</v>
      </c>
      <c r="G3" s="15">
        <v>0</v>
      </c>
      <c r="H3" s="15">
        <f t="shared" ref="H3:H34" si="0">E3+F3+G3</f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5">
        <f t="shared" ref="S3:S34" si="1">H3+O3+P3+Q3+R3-(I3+J3+K3+L3+M3+N3)</f>
        <v>0</v>
      </c>
      <c r="T3" s="15">
        <f t="shared" ref="T3:T34" si="2">E3+O3-I3-L3</f>
        <v>0</v>
      </c>
      <c r="U3" s="15">
        <f t="shared" ref="U3:U34" si="3">F3+P3-J3-M3</f>
        <v>0</v>
      </c>
      <c r="V3" s="15">
        <f t="shared" ref="V3:V34" si="4">G3+Q3-K3-N3</f>
        <v>0</v>
      </c>
      <c r="W3" s="18" t="str">
        <f t="shared" ref="W3:W34" si="5">IF(MIN(T3,U3,V3)&lt;0,"NEGATIVE STOCK - CHECK ENTRIES","")</f>
        <v/>
      </c>
      <c r="X3" s="17">
        <v>0</v>
      </c>
      <c r="Y3" s="17">
        <v>0</v>
      </c>
      <c r="Z3" s="15">
        <f t="shared" ref="Z3:Z34" si="6">X3-Y3</f>
        <v>0</v>
      </c>
      <c r="AA3" s="17">
        <v>0</v>
      </c>
      <c r="AB3" s="17">
        <v>0</v>
      </c>
      <c r="AC3" s="15">
        <f t="shared" ref="AC3:AC34" si="7">AA3-AB3</f>
        <v>0</v>
      </c>
      <c r="AD3" s="17">
        <v>0</v>
      </c>
      <c r="AE3" s="17">
        <v>0</v>
      </c>
      <c r="AF3" s="15">
        <f t="shared" ref="AF3:AF34" si="8">AD3-AE3</f>
        <v>0</v>
      </c>
      <c r="AG3" s="17">
        <v>0</v>
      </c>
      <c r="AH3" s="17">
        <v>0</v>
      </c>
      <c r="AI3" s="15">
        <f t="shared" ref="AI3:AI34" si="9">AG3-AH3</f>
        <v>0</v>
      </c>
      <c r="AJ3" s="17"/>
    </row>
    <row r="4" spans="1:36" x14ac:dyDescent="0.3">
      <c r="A4" s="15" t="s">
        <v>56</v>
      </c>
      <c r="B4" s="15">
        <v>500</v>
      </c>
      <c r="C4" s="15" t="s">
        <v>54</v>
      </c>
      <c r="D4" s="15" t="s">
        <v>57</v>
      </c>
      <c r="E4" s="15">
        <v>0</v>
      </c>
      <c r="F4" s="15">
        <v>0</v>
      </c>
      <c r="G4" s="15">
        <v>0</v>
      </c>
      <c r="H4" s="15">
        <f t="shared" si="0"/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5">
        <f t="shared" si="1"/>
        <v>0</v>
      </c>
      <c r="T4" s="15">
        <f t="shared" si="2"/>
        <v>0</v>
      </c>
      <c r="U4" s="15">
        <f t="shared" si="3"/>
        <v>0</v>
      </c>
      <c r="V4" s="15">
        <f t="shared" si="4"/>
        <v>0</v>
      </c>
      <c r="W4" s="18" t="str">
        <f t="shared" si="5"/>
        <v/>
      </c>
      <c r="X4" s="17">
        <v>0</v>
      </c>
      <c r="Y4" s="17">
        <v>0</v>
      </c>
      <c r="Z4" s="15">
        <f t="shared" si="6"/>
        <v>0</v>
      </c>
      <c r="AA4" s="17">
        <v>0</v>
      </c>
      <c r="AB4" s="17">
        <v>0</v>
      </c>
      <c r="AC4" s="15">
        <f t="shared" si="7"/>
        <v>0</v>
      </c>
      <c r="AD4" s="17">
        <v>0</v>
      </c>
      <c r="AE4" s="17">
        <v>0</v>
      </c>
      <c r="AF4" s="15">
        <f t="shared" si="8"/>
        <v>0</v>
      </c>
      <c r="AG4" s="17">
        <v>0</v>
      </c>
      <c r="AH4" s="17">
        <v>0</v>
      </c>
      <c r="AI4" s="15">
        <f t="shared" si="9"/>
        <v>0</v>
      </c>
      <c r="AJ4" s="17"/>
    </row>
    <row r="5" spans="1:36" x14ac:dyDescent="0.3">
      <c r="A5" s="15" t="s">
        <v>58</v>
      </c>
      <c r="B5" s="15">
        <v>100</v>
      </c>
      <c r="C5" s="15" t="s">
        <v>54</v>
      </c>
      <c r="D5" s="15" t="s">
        <v>55</v>
      </c>
      <c r="E5" s="17">
        <v>396</v>
      </c>
      <c r="F5" s="17">
        <v>69</v>
      </c>
      <c r="G5" s="17">
        <v>190</v>
      </c>
      <c r="H5" s="15">
        <f t="shared" si="0"/>
        <v>655</v>
      </c>
      <c r="I5" s="17">
        <v>160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5">
        <f t="shared" si="1"/>
        <v>495</v>
      </c>
      <c r="T5" s="15">
        <f t="shared" si="2"/>
        <v>236</v>
      </c>
      <c r="U5" s="15">
        <f t="shared" si="3"/>
        <v>69</v>
      </c>
      <c r="V5" s="15">
        <f t="shared" si="4"/>
        <v>190</v>
      </c>
      <c r="W5" s="18" t="str">
        <f t="shared" si="5"/>
        <v/>
      </c>
      <c r="X5" s="17">
        <v>0</v>
      </c>
      <c r="Y5" s="17">
        <v>0</v>
      </c>
      <c r="Z5" s="15">
        <f t="shared" si="6"/>
        <v>0</v>
      </c>
      <c r="AA5" s="17">
        <v>0</v>
      </c>
      <c r="AB5" s="17">
        <v>0</v>
      </c>
      <c r="AC5" s="15">
        <f t="shared" si="7"/>
        <v>0</v>
      </c>
      <c r="AD5" s="17">
        <v>0</v>
      </c>
      <c r="AE5" s="17">
        <v>0</v>
      </c>
      <c r="AF5" s="15">
        <f t="shared" si="8"/>
        <v>0</v>
      </c>
      <c r="AG5" s="17">
        <v>0</v>
      </c>
      <c r="AH5" s="17">
        <v>0</v>
      </c>
      <c r="AI5" s="15">
        <f t="shared" si="9"/>
        <v>0</v>
      </c>
      <c r="AJ5" s="17"/>
    </row>
    <row r="6" spans="1:36" x14ac:dyDescent="0.3">
      <c r="A6" s="15" t="s">
        <v>59</v>
      </c>
      <c r="B6" s="15">
        <v>100</v>
      </c>
      <c r="C6" s="15" t="s">
        <v>54</v>
      </c>
      <c r="D6" s="15" t="s">
        <v>55</v>
      </c>
      <c r="E6" s="17">
        <v>233</v>
      </c>
      <c r="F6" s="17">
        <v>38</v>
      </c>
      <c r="G6" s="17">
        <v>52</v>
      </c>
      <c r="H6" s="15">
        <f t="shared" si="0"/>
        <v>323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5">
        <f t="shared" si="1"/>
        <v>323</v>
      </c>
      <c r="T6" s="15">
        <f t="shared" si="2"/>
        <v>233</v>
      </c>
      <c r="U6" s="15">
        <f t="shared" si="3"/>
        <v>38</v>
      </c>
      <c r="V6" s="15">
        <f t="shared" si="4"/>
        <v>52</v>
      </c>
      <c r="W6" s="18" t="str">
        <f t="shared" si="5"/>
        <v/>
      </c>
      <c r="X6" s="17">
        <v>0</v>
      </c>
      <c r="Y6" s="17">
        <v>0</v>
      </c>
      <c r="Z6" s="15">
        <f t="shared" si="6"/>
        <v>0</v>
      </c>
      <c r="AA6" s="17">
        <v>0</v>
      </c>
      <c r="AB6" s="17">
        <v>0</v>
      </c>
      <c r="AC6" s="15">
        <f t="shared" si="7"/>
        <v>0</v>
      </c>
      <c r="AD6" s="17">
        <v>0</v>
      </c>
      <c r="AE6" s="17">
        <v>0</v>
      </c>
      <c r="AF6" s="15">
        <f t="shared" si="8"/>
        <v>0</v>
      </c>
      <c r="AG6" s="17">
        <v>0</v>
      </c>
      <c r="AH6" s="17">
        <v>0</v>
      </c>
      <c r="AI6" s="15">
        <f t="shared" si="9"/>
        <v>0</v>
      </c>
      <c r="AJ6" s="17"/>
    </row>
    <row r="7" spans="1:36" x14ac:dyDescent="0.3">
      <c r="A7" s="15" t="s">
        <v>60</v>
      </c>
      <c r="B7" s="15">
        <v>100</v>
      </c>
      <c r="C7" s="15" t="s">
        <v>54</v>
      </c>
      <c r="D7" s="15" t="s">
        <v>55</v>
      </c>
      <c r="E7" s="17">
        <v>0</v>
      </c>
      <c r="F7" s="17">
        <v>20</v>
      </c>
      <c r="G7" s="17">
        <v>0</v>
      </c>
      <c r="H7" s="15">
        <f t="shared" si="0"/>
        <v>20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5">
        <f t="shared" si="1"/>
        <v>20</v>
      </c>
      <c r="T7" s="15">
        <f t="shared" si="2"/>
        <v>0</v>
      </c>
      <c r="U7" s="15">
        <f t="shared" si="3"/>
        <v>20</v>
      </c>
      <c r="V7" s="15">
        <f t="shared" si="4"/>
        <v>0</v>
      </c>
      <c r="W7" s="18" t="str">
        <f t="shared" si="5"/>
        <v/>
      </c>
      <c r="X7" s="17">
        <v>0</v>
      </c>
      <c r="Y7" s="17">
        <v>0</v>
      </c>
      <c r="Z7" s="15">
        <f t="shared" si="6"/>
        <v>0</v>
      </c>
      <c r="AA7" s="17">
        <v>0</v>
      </c>
      <c r="AB7" s="17">
        <v>0</v>
      </c>
      <c r="AC7" s="15">
        <f t="shared" si="7"/>
        <v>0</v>
      </c>
      <c r="AD7" s="17">
        <v>0</v>
      </c>
      <c r="AE7" s="17">
        <v>0</v>
      </c>
      <c r="AF7" s="15">
        <f t="shared" si="8"/>
        <v>0</v>
      </c>
      <c r="AG7" s="17">
        <v>0</v>
      </c>
      <c r="AH7" s="17">
        <v>0</v>
      </c>
      <c r="AI7" s="15">
        <f t="shared" si="9"/>
        <v>0</v>
      </c>
      <c r="AJ7" s="17"/>
    </row>
    <row r="8" spans="1:36" x14ac:dyDescent="0.3">
      <c r="A8" s="15" t="s">
        <v>61</v>
      </c>
      <c r="B8" s="15">
        <v>100</v>
      </c>
      <c r="C8" s="15" t="s">
        <v>54</v>
      </c>
      <c r="D8" s="15" t="s">
        <v>55</v>
      </c>
      <c r="E8" s="17">
        <v>0</v>
      </c>
      <c r="F8" s="17">
        <v>17</v>
      </c>
      <c r="G8" s="17">
        <v>20</v>
      </c>
      <c r="H8" s="15">
        <f t="shared" si="0"/>
        <v>37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5">
        <f t="shared" si="1"/>
        <v>37</v>
      </c>
      <c r="T8" s="15">
        <f t="shared" si="2"/>
        <v>0</v>
      </c>
      <c r="U8" s="15">
        <f t="shared" si="3"/>
        <v>17</v>
      </c>
      <c r="V8" s="15">
        <f t="shared" si="4"/>
        <v>20</v>
      </c>
      <c r="W8" s="18" t="str">
        <f t="shared" si="5"/>
        <v/>
      </c>
      <c r="X8" s="17">
        <v>0</v>
      </c>
      <c r="Y8" s="17">
        <v>0</v>
      </c>
      <c r="Z8" s="15">
        <f t="shared" si="6"/>
        <v>0</v>
      </c>
      <c r="AA8" s="17">
        <v>0</v>
      </c>
      <c r="AB8" s="17">
        <v>0</v>
      </c>
      <c r="AC8" s="15">
        <f t="shared" si="7"/>
        <v>0</v>
      </c>
      <c r="AD8" s="17">
        <v>0</v>
      </c>
      <c r="AE8" s="17">
        <v>0</v>
      </c>
      <c r="AF8" s="15">
        <f t="shared" si="8"/>
        <v>0</v>
      </c>
      <c r="AG8" s="17">
        <v>0</v>
      </c>
      <c r="AH8" s="17">
        <v>0</v>
      </c>
      <c r="AI8" s="15">
        <f t="shared" si="9"/>
        <v>0</v>
      </c>
      <c r="AJ8" s="17"/>
    </row>
    <row r="9" spans="1:36" x14ac:dyDescent="0.3">
      <c r="A9" s="15" t="s">
        <v>62</v>
      </c>
      <c r="B9" s="15">
        <v>100</v>
      </c>
      <c r="C9" s="15" t="s">
        <v>54</v>
      </c>
      <c r="D9" s="15" t="s">
        <v>55</v>
      </c>
      <c r="E9" s="17">
        <v>0</v>
      </c>
      <c r="F9" s="17">
        <v>0</v>
      </c>
      <c r="G9" s="17">
        <v>1</v>
      </c>
      <c r="H9" s="15">
        <f t="shared" si="0"/>
        <v>1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5">
        <f t="shared" si="1"/>
        <v>1</v>
      </c>
      <c r="T9" s="15">
        <f t="shared" si="2"/>
        <v>0</v>
      </c>
      <c r="U9" s="15">
        <f t="shared" si="3"/>
        <v>0</v>
      </c>
      <c r="V9" s="15">
        <f t="shared" si="4"/>
        <v>1</v>
      </c>
      <c r="W9" s="18" t="str">
        <f t="shared" si="5"/>
        <v/>
      </c>
      <c r="X9" s="17">
        <v>0</v>
      </c>
      <c r="Y9" s="17">
        <v>0</v>
      </c>
      <c r="Z9" s="15">
        <f t="shared" si="6"/>
        <v>0</v>
      </c>
      <c r="AA9" s="17">
        <v>0</v>
      </c>
      <c r="AB9" s="17">
        <v>0</v>
      </c>
      <c r="AC9" s="15">
        <f t="shared" si="7"/>
        <v>0</v>
      </c>
      <c r="AD9" s="17">
        <v>0</v>
      </c>
      <c r="AE9" s="17">
        <v>0</v>
      </c>
      <c r="AF9" s="15">
        <f t="shared" si="8"/>
        <v>0</v>
      </c>
      <c r="AG9" s="17">
        <v>0</v>
      </c>
      <c r="AH9" s="17">
        <v>0</v>
      </c>
      <c r="AI9" s="15">
        <f t="shared" si="9"/>
        <v>0</v>
      </c>
      <c r="AJ9" s="17"/>
    </row>
    <row r="10" spans="1:36" x14ac:dyDescent="0.3">
      <c r="A10" s="15" t="s">
        <v>62</v>
      </c>
      <c r="B10" s="15">
        <v>500</v>
      </c>
      <c r="C10" s="15" t="s">
        <v>54</v>
      </c>
      <c r="D10" s="15" t="s">
        <v>55</v>
      </c>
      <c r="E10" s="17">
        <v>0</v>
      </c>
      <c r="F10" s="17">
        <v>0</v>
      </c>
      <c r="G10" s="17">
        <v>0</v>
      </c>
      <c r="H10" s="15">
        <f t="shared" si="0"/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5">
        <f t="shared" si="1"/>
        <v>0</v>
      </c>
      <c r="T10" s="15">
        <f t="shared" si="2"/>
        <v>0</v>
      </c>
      <c r="U10" s="15">
        <f t="shared" si="3"/>
        <v>0</v>
      </c>
      <c r="V10" s="15">
        <f t="shared" si="4"/>
        <v>0</v>
      </c>
      <c r="W10" s="18" t="str">
        <f t="shared" si="5"/>
        <v/>
      </c>
      <c r="X10" s="17">
        <v>0</v>
      </c>
      <c r="Y10" s="17">
        <v>0</v>
      </c>
      <c r="Z10" s="15">
        <f t="shared" si="6"/>
        <v>0</v>
      </c>
      <c r="AA10" s="17">
        <v>0</v>
      </c>
      <c r="AB10" s="17">
        <v>0</v>
      </c>
      <c r="AC10" s="15">
        <f t="shared" si="7"/>
        <v>0</v>
      </c>
      <c r="AD10" s="17">
        <v>0</v>
      </c>
      <c r="AE10" s="17">
        <v>0</v>
      </c>
      <c r="AF10" s="15">
        <f t="shared" si="8"/>
        <v>0</v>
      </c>
      <c r="AG10" s="17">
        <v>0</v>
      </c>
      <c r="AH10" s="17">
        <v>0</v>
      </c>
      <c r="AI10" s="15">
        <f t="shared" si="9"/>
        <v>0</v>
      </c>
      <c r="AJ10" s="17"/>
    </row>
    <row r="11" spans="1:36" x14ac:dyDescent="0.3">
      <c r="A11" s="15" t="s">
        <v>63</v>
      </c>
      <c r="B11" s="15">
        <v>100</v>
      </c>
      <c r="C11" s="15" t="s">
        <v>54</v>
      </c>
      <c r="D11" s="15" t="s">
        <v>55</v>
      </c>
      <c r="E11" s="17">
        <v>329</v>
      </c>
      <c r="F11" s="17">
        <v>195</v>
      </c>
      <c r="G11" s="17">
        <v>16</v>
      </c>
      <c r="H11" s="15">
        <f t="shared" si="0"/>
        <v>540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5">
        <f t="shared" si="1"/>
        <v>540</v>
      </c>
      <c r="T11" s="15">
        <f t="shared" si="2"/>
        <v>329</v>
      </c>
      <c r="U11" s="15">
        <f t="shared" si="3"/>
        <v>195</v>
      </c>
      <c r="V11" s="15">
        <f t="shared" si="4"/>
        <v>16</v>
      </c>
      <c r="W11" s="18" t="str">
        <f t="shared" si="5"/>
        <v/>
      </c>
      <c r="X11" s="17">
        <v>0</v>
      </c>
      <c r="Y11" s="17">
        <v>0</v>
      </c>
      <c r="Z11" s="15">
        <f t="shared" si="6"/>
        <v>0</v>
      </c>
      <c r="AA11" s="17">
        <v>0</v>
      </c>
      <c r="AB11" s="17">
        <v>0</v>
      </c>
      <c r="AC11" s="15">
        <f t="shared" si="7"/>
        <v>0</v>
      </c>
      <c r="AD11" s="17">
        <v>0</v>
      </c>
      <c r="AE11" s="17">
        <v>0</v>
      </c>
      <c r="AF11" s="15">
        <f t="shared" si="8"/>
        <v>0</v>
      </c>
      <c r="AG11" s="17">
        <v>0</v>
      </c>
      <c r="AH11" s="17">
        <v>0</v>
      </c>
      <c r="AI11" s="15">
        <f t="shared" si="9"/>
        <v>0</v>
      </c>
      <c r="AJ11" s="17"/>
    </row>
    <row r="12" spans="1:36" x14ac:dyDescent="0.3">
      <c r="A12" s="15" t="s">
        <v>64</v>
      </c>
      <c r="B12" s="15">
        <v>500</v>
      </c>
      <c r="C12" s="15" t="s">
        <v>54</v>
      </c>
      <c r="D12" s="15" t="s">
        <v>55</v>
      </c>
      <c r="E12" s="17">
        <v>8</v>
      </c>
      <c r="F12" s="17">
        <v>0</v>
      </c>
      <c r="G12" s="17">
        <v>0</v>
      </c>
      <c r="H12" s="15">
        <f t="shared" si="0"/>
        <v>8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5">
        <f t="shared" si="1"/>
        <v>8</v>
      </c>
      <c r="T12" s="15">
        <f t="shared" si="2"/>
        <v>8</v>
      </c>
      <c r="U12" s="15">
        <f t="shared" si="3"/>
        <v>0</v>
      </c>
      <c r="V12" s="15">
        <f t="shared" si="4"/>
        <v>0</v>
      </c>
      <c r="W12" s="18" t="str">
        <f t="shared" si="5"/>
        <v/>
      </c>
      <c r="X12" s="17">
        <v>0</v>
      </c>
      <c r="Y12" s="17">
        <v>0</v>
      </c>
      <c r="Z12" s="15">
        <f t="shared" si="6"/>
        <v>0</v>
      </c>
      <c r="AA12" s="17">
        <v>0</v>
      </c>
      <c r="AB12" s="17">
        <v>0</v>
      </c>
      <c r="AC12" s="15">
        <f t="shared" si="7"/>
        <v>0</v>
      </c>
      <c r="AD12" s="17">
        <v>0</v>
      </c>
      <c r="AE12" s="17">
        <v>0</v>
      </c>
      <c r="AF12" s="15">
        <f t="shared" si="8"/>
        <v>0</v>
      </c>
      <c r="AG12" s="17">
        <v>0</v>
      </c>
      <c r="AH12" s="17">
        <v>0</v>
      </c>
      <c r="AI12" s="15">
        <f t="shared" si="9"/>
        <v>0</v>
      </c>
      <c r="AJ12" s="17"/>
    </row>
    <row r="13" spans="1:36" x14ac:dyDescent="0.3">
      <c r="A13" s="15" t="s">
        <v>65</v>
      </c>
      <c r="B13" s="15">
        <v>100</v>
      </c>
      <c r="C13" s="15" t="s">
        <v>54</v>
      </c>
      <c r="D13" s="15" t="s">
        <v>55</v>
      </c>
      <c r="E13" s="17">
        <v>2804</v>
      </c>
      <c r="F13" s="17">
        <v>302</v>
      </c>
      <c r="G13" s="17">
        <v>150</v>
      </c>
      <c r="H13" s="15">
        <f t="shared" si="0"/>
        <v>3256</v>
      </c>
      <c r="I13" s="17">
        <v>10</v>
      </c>
      <c r="J13" s="17">
        <v>5</v>
      </c>
      <c r="K13" s="17">
        <v>0</v>
      </c>
      <c r="L13" s="17">
        <v>1290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5">
        <f t="shared" si="1"/>
        <v>1951</v>
      </c>
      <c r="T13" s="15">
        <f t="shared" si="2"/>
        <v>1504</v>
      </c>
      <c r="U13" s="15">
        <f t="shared" si="3"/>
        <v>297</v>
      </c>
      <c r="V13" s="15">
        <f t="shared" si="4"/>
        <v>150</v>
      </c>
      <c r="W13" s="18" t="str">
        <f t="shared" si="5"/>
        <v/>
      </c>
      <c r="X13" s="17">
        <v>0</v>
      </c>
      <c r="Y13" s="17">
        <v>0</v>
      </c>
      <c r="Z13" s="15">
        <f t="shared" si="6"/>
        <v>0</v>
      </c>
      <c r="AA13" s="17">
        <v>0</v>
      </c>
      <c r="AB13" s="17">
        <v>0</v>
      </c>
      <c r="AC13" s="15">
        <f t="shared" si="7"/>
        <v>0</v>
      </c>
      <c r="AD13" s="17">
        <v>0</v>
      </c>
      <c r="AE13" s="17">
        <v>0</v>
      </c>
      <c r="AF13" s="15">
        <f t="shared" si="8"/>
        <v>0</v>
      </c>
      <c r="AG13" s="17">
        <v>0</v>
      </c>
      <c r="AH13" s="17">
        <v>0</v>
      </c>
      <c r="AI13" s="15">
        <f t="shared" si="9"/>
        <v>0</v>
      </c>
      <c r="AJ13" s="17"/>
    </row>
    <row r="14" spans="1:36" x14ac:dyDescent="0.3">
      <c r="A14" s="15" t="s">
        <v>65</v>
      </c>
      <c r="B14" s="15">
        <v>500</v>
      </c>
      <c r="C14" s="15" t="s">
        <v>54</v>
      </c>
      <c r="D14" s="15" t="s">
        <v>55</v>
      </c>
      <c r="E14" s="17">
        <v>170</v>
      </c>
      <c r="F14" s="17">
        <v>20</v>
      </c>
      <c r="G14" s="17">
        <v>15</v>
      </c>
      <c r="H14" s="15">
        <f t="shared" si="0"/>
        <v>205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5">
        <f t="shared" si="1"/>
        <v>205</v>
      </c>
      <c r="T14" s="15">
        <f t="shared" si="2"/>
        <v>170</v>
      </c>
      <c r="U14" s="15">
        <f t="shared" si="3"/>
        <v>20</v>
      </c>
      <c r="V14" s="15">
        <f t="shared" si="4"/>
        <v>15</v>
      </c>
      <c r="W14" s="18" t="str">
        <f t="shared" si="5"/>
        <v/>
      </c>
      <c r="X14" s="17">
        <v>0</v>
      </c>
      <c r="Y14" s="17">
        <v>0</v>
      </c>
      <c r="Z14" s="15">
        <f t="shared" si="6"/>
        <v>0</v>
      </c>
      <c r="AA14" s="17">
        <v>0</v>
      </c>
      <c r="AB14" s="17">
        <v>0</v>
      </c>
      <c r="AC14" s="15">
        <f t="shared" si="7"/>
        <v>0</v>
      </c>
      <c r="AD14" s="17">
        <v>0</v>
      </c>
      <c r="AE14" s="17">
        <v>0</v>
      </c>
      <c r="AF14" s="15">
        <f t="shared" si="8"/>
        <v>0</v>
      </c>
      <c r="AG14" s="17">
        <v>0</v>
      </c>
      <c r="AH14" s="17">
        <v>0</v>
      </c>
      <c r="AI14" s="15">
        <f t="shared" si="9"/>
        <v>0</v>
      </c>
      <c r="AJ14" s="17"/>
    </row>
    <row r="15" spans="1:36" x14ac:dyDescent="0.3">
      <c r="A15" s="15" t="s">
        <v>66</v>
      </c>
      <c r="B15" s="15">
        <v>100</v>
      </c>
      <c r="C15" s="15" t="s">
        <v>54</v>
      </c>
      <c r="D15" s="15" t="s">
        <v>55</v>
      </c>
      <c r="E15" s="17">
        <v>302</v>
      </c>
      <c r="F15" s="17">
        <v>41</v>
      </c>
      <c r="G15" s="17">
        <v>12</v>
      </c>
      <c r="H15" s="15">
        <f t="shared" si="0"/>
        <v>355</v>
      </c>
      <c r="I15" s="17">
        <v>0</v>
      </c>
      <c r="J15" s="17">
        <v>0</v>
      </c>
      <c r="K15" s="17">
        <v>1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5">
        <f t="shared" si="1"/>
        <v>354</v>
      </c>
      <c r="T15" s="15">
        <f t="shared" si="2"/>
        <v>302</v>
      </c>
      <c r="U15" s="15">
        <f t="shared" si="3"/>
        <v>41</v>
      </c>
      <c r="V15" s="15">
        <f t="shared" si="4"/>
        <v>11</v>
      </c>
      <c r="W15" s="18" t="str">
        <f t="shared" si="5"/>
        <v/>
      </c>
      <c r="X15" s="17">
        <v>0</v>
      </c>
      <c r="Y15" s="17">
        <v>0</v>
      </c>
      <c r="Z15" s="15">
        <f t="shared" si="6"/>
        <v>0</v>
      </c>
      <c r="AA15" s="17">
        <v>0</v>
      </c>
      <c r="AB15" s="17">
        <v>0</v>
      </c>
      <c r="AC15" s="15">
        <f t="shared" si="7"/>
        <v>0</v>
      </c>
      <c r="AD15" s="17">
        <v>0</v>
      </c>
      <c r="AE15" s="17">
        <v>0</v>
      </c>
      <c r="AF15" s="15">
        <f t="shared" si="8"/>
        <v>0</v>
      </c>
      <c r="AG15" s="17">
        <v>0</v>
      </c>
      <c r="AH15" s="17">
        <v>0</v>
      </c>
      <c r="AI15" s="15">
        <f t="shared" si="9"/>
        <v>0</v>
      </c>
      <c r="AJ15" s="17"/>
    </row>
    <row r="16" spans="1:36" x14ac:dyDescent="0.3">
      <c r="A16" s="15" t="s">
        <v>66</v>
      </c>
      <c r="B16" s="15">
        <v>1000</v>
      </c>
      <c r="C16" s="15" t="s">
        <v>54</v>
      </c>
      <c r="D16" s="15" t="s">
        <v>55</v>
      </c>
      <c r="E16" s="17">
        <v>2</v>
      </c>
      <c r="F16" s="17">
        <v>0</v>
      </c>
      <c r="G16" s="17">
        <v>0</v>
      </c>
      <c r="H16" s="15">
        <f t="shared" si="0"/>
        <v>2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5">
        <f t="shared" si="1"/>
        <v>2</v>
      </c>
      <c r="T16" s="15">
        <f t="shared" si="2"/>
        <v>2</v>
      </c>
      <c r="U16" s="15">
        <f t="shared" si="3"/>
        <v>0</v>
      </c>
      <c r="V16" s="15">
        <f t="shared" si="4"/>
        <v>0</v>
      </c>
      <c r="W16" s="18" t="str">
        <f t="shared" si="5"/>
        <v/>
      </c>
      <c r="X16" s="17">
        <v>0</v>
      </c>
      <c r="Y16" s="17">
        <v>0</v>
      </c>
      <c r="Z16" s="15">
        <f t="shared" si="6"/>
        <v>0</v>
      </c>
      <c r="AA16" s="17">
        <v>0</v>
      </c>
      <c r="AB16" s="17">
        <v>0</v>
      </c>
      <c r="AC16" s="15">
        <f t="shared" si="7"/>
        <v>0</v>
      </c>
      <c r="AD16" s="17">
        <v>0</v>
      </c>
      <c r="AE16" s="17">
        <v>0</v>
      </c>
      <c r="AF16" s="15">
        <f t="shared" si="8"/>
        <v>0</v>
      </c>
      <c r="AG16" s="17">
        <v>0</v>
      </c>
      <c r="AH16" s="17">
        <v>0</v>
      </c>
      <c r="AI16" s="15">
        <f t="shared" si="9"/>
        <v>0</v>
      </c>
      <c r="AJ16" s="17"/>
    </row>
    <row r="17" spans="1:36" x14ac:dyDescent="0.3">
      <c r="A17" s="15" t="s">
        <v>67</v>
      </c>
      <c r="B17" s="15">
        <v>1000</v>
      </c>
      <c r="C17" s="15" t="s">
        <v>54</v>
      </c>
      <c r="D17" s="15" t="s">
        <v>68</v>
      </c>
      <c r="E17" s="15">
        <v>0</v>
      </c>
      <c r="F17" s="15">
        <v>0</v>
      </c>
      <c r="G17" s="15">
        <v>0</v>
      </c>
      <c r="H17" s="15">
        <f t="shared" si="0"/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5">
        <f t="shared" si="1"/>
        <v>0</v>
      </c>
      <c r="T17" s="15">
        <f t="shared" si="2"/>
        <v>0</v>
      </c>
      <c r="U17" s="15">
        <f t="shared" si="3"/>
        <v>0</v>
      </c>
      <c r="V17" s="15">
        <f t="shared" si="4"/>
        <v>0</v>
      </c>
      <c r="W17" s="18" t="str">
        <f t="shared" si="5"/>
        <v/>
      </c>
      <c r="X17" s="17">
        <v>0</v>
      </c>
      <c r="Y17" s="17">
        <v>0</v>
      </c>
      <c r="Z17" s="15">
        <f t="shared" si="6"/>
        <v>0</v>
      </c>
      <c r="AA17" s="17">
        <v>0</v>
      </c>
      <c r="AB17" s="17">
        <v>0</v>
      </c>
      <c r="AC17" s="15">
        <f t="shared" si="7"/>
        <v>0</v>
      </c>
      <c r="AD17" s="17">
        <v>0</v>
      </c>
      <c r="AE17" s="17">
        <v>0</v>
      </c>
      <c r="AF17" s="15">
        <f t="shared" si="8"/>
        <v>0</v>
      </c>
      <c r="AG17" s="17">
        <v>0</v>
      </c>
      <c r="AH17" s="17">
        <v>0</v>
      </c>
      <c r="AI17" s="15">
        <f t="shared" si="9"/>
        <v>0</v>
      </c>
      <c r="AJ17" s="17"/>
    </row>
    <row r="18" spans="1:36" x14ac:dyDescent="0.3">
      <c r="A18" s="15" t="s">
        <v>69</v>
      </c>
      <c r="B18" s="15">
        <v>100000</v>
      </c>
      <c r="C18" s="15" t="s">
        <v>54</v>
      </c>
      <c r="D18" s="15" t="s">
        <v>68</v>
      </c>
      <c r="E18" s="15">
        <v>0</v>
      </c>
      <c r="F18" s="15">
        <v>0</v>
      </c>
      <c r="G18" s="15">
        <v>0</v>
      </c>
      <c r="H18" s="15">
        <f t="shared" si="0"/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5">
        <f t="shared" si="1"/>
        <v>0</v>
      </c>
      <c r="T18" s="15">
        <f t="shared" si="2"/>
        <v>0</v>
      </c>
      <c r="U18" s="15">
        <f t="shared" si="3"/>
        <v>0</v>
      </c>
      <c r="V18" s="15">
        <f t="shared" si="4"/>
        <v>0</v>
      </c>
      <c r="W18" s="18" t="str">
        <f t="shared" si="5"/>
        <v/>
      </c>
      <c r="X18" s="17">
        <v>0</v>
      </c>
      <c r="Y18" s="17">
        <v>0</v>
      </c>
      <c r="Z18" s="15">
        <f t="shared" si="6"/>
        <v>0</v>
      </c>
      <c r="AA18" s="17">
        <v>0</v>
      </c>
      <c r="AB18" s="17">
        <v>0</v>
      </c>
      <c r="AC18" s="15">
        <f t="shared" si="7"/>
        <v>0</v>
      </c>
      <c r="AD18" s="17">
        <v>0</v>
      </c>
      <c r="AE18" s="17">
        <v>0</v>
      </c>
      <c r="AF18" s="15">
        <f t="shared" si="8"/>
        <v>0</v>
      </c>
      <c r="AG18" s="17">
        <v>0</v>
      </c>
      <c r="AH18" s="17">
        <v>0</v>
      </c>
      <c r="AI18" s="15">
        <f t="shared" si="9"/>
        <v>0</v>
      </c>
      <c r="AJ18" s="17"/>
    </row>
    <row r="19" spans="1:36" x14ac:dyDescent="0.3">
      <c r="A19" s="15" t="s">
        <v>70</v>
      </c>
      <c r="B19" s="15">
        <v>1000</v>
      </c>
      <c r="C19" s="15" t="s">
        <v>54</v>
      </c>
      <c r="D19" s="15" t="s">
        <v>55</v>
      </c>
      <c r="E19" s="17">
        <v>8</v>
      </c>
      <c r="F19" s="17">
        <v>0</v>
      </c>
      <c r="G19" s="17">
        <v>0</v>
      </c>
      <c r="H19" s="15">
        <f t="shared" si="0"/>
        <v>8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5">
        <f t="shared" si="1"/>
        <v>8</v>
      </c>
      <c r="T19" s="15">
        <f t="shared" si="2"/>
        <v>8</v>
      </c>
      <c r="U19" s="15">
        <f t="shared" si="3"/>
        <v>0</v>
      </c>
      <c r="V19" s="15">
        <f t="shared" si="4"/>
        <v>0</v>
      </c>
      <c r="W19" s="18" t="str">
        <f t="shared" si="5"/>
        <v/>
      </c>
      <c r="X19" s="17">
        <v>0</v>
      </c>
      <c r="Y19" s="17">
        <v>0</v>
      </c>
      <c r="Z19" s="15">
        <f t="shared" si="6"/>
        <v>0</v>
      </c>
      <c r="AA19" s="17">
        <v>0</v>
      </c>
      <c r="AB19" s="17">
        <v>0</v>
      </c>
      <c r="AC19" s="15">
        <f t="shared" si="7"/>
        <v>0</v>
      </c>
      <c r="AD19" s="17">
        <v>0</v>
      </c>
      <c r="AE19" s="17">
        <v>0</v>
      </c>
      <c r="AF19" s="15">
        <f t="shared" si="8"/>
        <v>0</v>
      </c>
      <c r="AG19" s="17">
        <v>0</v>
      </c>
      <c r="AH19" s="17">
        <v>0</v>
      </c>
      <c r="AI19" s="15">
        <f t="shared" si="9"/>
        <v>0</v>
      </c>
      <c r="AJ19" s="17"/>
    </row>
    <row r="20" spans="1:36" x14ac:dyDescent="0.3">
      <c r="A20" s="15" t="s">
        <v>70</v>
      </c>
      <c r="B20" s="15">
        <v>1000</v>
      </c>
      <c r="C20" s="15" t="s">
        <v>54</v>
      </c>
      <c r="D20" s="15" t="s">
        <v>57</v>
      </c>
      <c r="E20" s="15">
        <v>0</v>
      </c>
      <c r="F20" s="15">
        <v>0</v>
      </c>
      <c r="G20" s="15">
        <v>0</v>
      </c>
      <c r="H20" s="15">
        <f t="shared" si="0"/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5">
        <f t="shared" si="1"/>
        <v>0</v>
      </c>
      <c r="T20" s="15">
        <f t="shared" si="2"/>
        <v>0</v>
      </c>
      <c r="U20" s="15">
        <f t="shared" si="3"/>
        <v>0</v>
      </c>
      <c r="V20" s="15">
        <f t="shared" si="4"/>
        <v>0</v>
      </c>
      <c r="W20" s="18" t="str">
        <f t="shared" si="5"/>
        <v/>
      </c>
      <c r="X20" s="17">
        <v>0</v>
      </c>
      <c r="Y20" s="17">
        <v>0</v>
      </c>
      <c r="Z20" s="15">
        <f t="shared" si="6"/>
        <v>0</v>
      </c>
      <c r="AA20" s="17">
        <v>0</v>
      </c>
      <c r="AB20" s="17">
        <v>0</v>
      </c>
      <c r="AC20" s="15">
        <f t="shared" si="7"/>
        <v>0</v>
      </c>
      <c r="AD20" s="17">
        <v>0</v>
      </c>
      <c r="AE20" s="17">
        <v>0</v>
      </c>
      <c r="AF20" s="15">
        <f t="shared" si="8"/>
        <v>0</v>
      </c>
      <c r="AG20" s="17">
        <v>0</v>
      </c>
      <c r="AH20" s="17">
        <v>0</v>
      </c>
      <c r="AI20" s="15">
        <f t="shared" si="9"/>
        <v>0</v>
      </c>
      <c r="AJ20" s="17"/>
    </row>
    <row r="21" spans="1:36" x14ac:dyDescent="0.3">
      <c r="A21" s="15" t="s">
        <v>71</v>
      </c>
      <c r="B21" s="15">
        <v>100</v>
      </c>
      <c r="C21" s="15" t="s">
        <v>54</v>
      </c>
      <c r="D21" s="15" t="s">
        <v>55</v>
      </c>
      <c r="E21" s="17">
        <v>4</v>
      </c>
      <c r="F21" s="17">
        <v>0</v>
      </c>
      <c r="G21" s="17">
        <v>0</v>
      </c>
      <c r="H21" s="15">
        <f t="shared" si="0"/>
        <v>4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5">
        <f t="shared" si="1"/>
        <v>4</v>
      </c>
      <c r="T21" s="15">
        <f t="shared" si="2"/>
        <v>4</v>
      </c>
      <c r="U21" s="15">
        <f t="shared" si="3"/>
        <v>0</v>
      </c>
      <c r="V21" s="15">
        <f t="shared" si="4"/>
        <v>0</v>
      </c>
      <c r="W21" s="18" t="str">
        <f t="shared" si="5"/>
        <v/>
      </c>
      <c r="X21" s="17">
        <v>0</v>
      </c>
      <c r="Y21" s="17">
        <v>0</v>
      </c>
      <c r="Z21" s="15">
        <f t="shared" si="6"/>
        <v>0</v>
      </c>
      <c r="AA21" s="17">
        <v>0</v>
      </c>
      <c r="AB21" s="17">
        <v>0</v>
      </c>
      <c r="AC21" s="15">
        <f t="shared" si="7"/>
        <v>0</v>
      </c>
      <c r="AD21" s="17">
        <v>0</v>
      </c>
      <c r="AE21" s="17">
        <v>0</v>
      </c>
      <c r="AF21" s="15">
        <f t="shared" si="8"/>
        <v>0</v>
      </c>
      <c r="AG21" s="17">
        <v>0</v>
      </c>
      <c r="AH21" s="17">
        <v>0</v>
      </c>
      <c r="AI21" s="15">
        <f t="shared" si="9"/>
        <v>0</v>
      </c>
      <c r="AJ21" s="17"/>
    </row>
    <row r="22" spans="1:36" x14ac:dyDescent="0.3">
      <c r="A22" s="15" t="s">
        <v>71</v>
      </c>
      <c r="B22" s="15">
        <v>1000</v>
      </c>
      <c r="C22" s="15" t="s">
        <v>54</v>
      </c>
      <c r="D22" s="15" t="s">
        <v>55</v>
      </c>
      <c r="E22" s="17">
        <v>8</v>
      </c>
      <c r="F22" s="17">
        <v>0</v>
      </c>
      <c r="G22" s="17">
        <v>0</v>
      </c>
      <c r="H22" s="15">
        <f t="shared" si="0"/>
        <v>8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5">
        <f t="shared" si="1"/>
        <v>8</v>
      </c>
      <c r="T22" s="15">
        <f t="shared" si="2"/>
        <v>8</v>
      </c>
      <c r="U22" s="15">
        <f t="shared" si="3"/>
        <v>0</v>
      </c>
      <c r="V22" s="15">
        <f t="shared" si="4"/>
        <v>0</v>
      </c>
      <c r="W22" s="18" t="str">
        <f t="shared" si="5"/>
        <v/>
      </c>
      <c r="X22" s="17">
        <v>0</v>
      </c>
      <c r="Y22" s="17">
        <v>0</v>
      </c>
      <c r="Z22" s="15">
        <f t="shared" si="6"/>
        <v>0</v>
      </c>
      <c r="AA22" s="17">
        <v>0</v>
      </c>
      <c r="AB22" s="17">
        <v>0</v>
      </c>
      <c r="AC22" s="15">
        <f t="shared" si="7"/>
        <v>0</v>
      </c>
      <c r="AD22" s="17">
        <v>0</v>
      </c>
      <c r="AE22" s="17">
        <v>0</v>
      </c>
      <c r="AF22" s="15">
        <f t="shared" si="8"/>
        <v>0</v>
      </c>
      <c r="AG22" s="17">
        <v>0</v>
      </c>
      <c r="AH22" s="17">
        <v>0</v>
      </c>
      <c r="AI22" s="15">
        <f t="shared" si="9"/>
        <v>0</v>
      </c>
      <c r="AJ22" s="17"/>
    </row>
    <row r="23" spans="1:36" x14ac:dyDescent="0.3">
      <c r="A23" s="15" t="s">
        <v>72</v>
      </c>
      <c r="B23" s="15">
        <v>100</v>
      </c>
      <c r="C23" s="15" t="s">
        <v>54</v>
      </c>
      <c r="D23" s="15" t="s">
        <v>57</v>
      </c>
      <c r="E23" s="15">
        <v>0</v>
      </c>
      <c r="F23" s="15">
        <v>0</v>
      </c>
      <c r="G23" s="15">
        <v>0</v>
      </c>
      <c r="H23" s="15">
        <f t="shared" si="0"/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5">
        <f t="shared" si="1"/>
        <v>0</v>
      </c>
      <c r="T23" s="15">
        <f t="shared" si="2"/>
        <v>0</v>
      </c>
      <c r="U23" s="15">
        <f t="shared" si="3"/>
        <v>0</v>
      </c>
      <c r="V23" s="15">
        <f t="shared" si="4"/>
        <v>0</v>
      </c>
      <c r="W23" s="18" t="str">
        <f t="shared" si="5"/>
        <v/>
      </c>
      <c r="X23" s="17">
        <v>0</v>
      </c>
      <c r="Y23" s="17">
        <v>0</v>
      </c>
      <c r="Z23" s="15">
        <f t="shared" si="6"/>
        <v>0</v>
      </c>
      <c r="AA23" s="17">
        <v>0</v>
      </c>
      <c r="AB23" s="17">
        <v>0</v>
      </c>
      <c r="AC23" s="15">
        <f t="shared" si="7"/>
        <v>0</v>
      </c>
      <c r="AD23" s="17">
        <v>0</v>
      </c>
      <c r="AE23" s="17">
        <v>0</v>
      </c>
      <c r="AF23" s="15">
        <f t="shared" si="8"/>
        <v>0</v>
      </c>
      <c r="AG23" s="17">
        <v>0</v>
      </c>
      <c r="AH23" s="17">
        <v>0</v>
      </c>
      <c r="AI23" s="15">
        <f t="shared" si="9"/>
        <v>0</v>
      </c>
      <c r="AJ23" s="17"/>
    </row>
    <row r="24" spans="1:36" x14ac:dyDescent="0.3">
      <c r="A24" s="15" t="s">
        <v>72</v>
      </c>
      <c r="B24" s="15">
        <v>500</v>
      </c>
      <c r="C24" s="15" t="s">
        <v>54</v>
      </c>
      <c r="D24" s="15" t="s">
        <v>57</v>
      </c>
      <c r="E24" s="15">
        <v>0</v>
      </c>
      <c r="F24" s="15">
        <v>0</v>
      </c>
      <c r="G24" s="15">
        <v>0</v>
      </c>
      <c r="H24" s="15">
        <f t="shared" si="0"/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5">
        <f t="shared" si="1"/>
        <v>0</v>
      </c>
      <c r="T24" s="15">
        <f t="shared" si="2"/>
        <v>0</v>
      </c>
      <c r="U24" s="15">
        <f t="shared" si="3"/>
        <v>0</v>
      </c>
      <c r="V24" s="15">
        <f t="shared" si="4"/>
        <v>0</v>
      </c>
      <c r="W24" s="18" t="str">
        <f t="shared" si="5"/>
        <v/>
      </c>
      <c r="X24" s="17">
        <v>0</v>
      </c>
      <c r="Y24" s="17">
        <v>0</v>
      </c>
      <c r="Z24" s="15">
        <f t="shared" si="6"/>
        <v>0</v>
      </c>
      <c r="AA24" s="17">
        <v>0</v>
      </c>
      <c r="AB24" s="17">
        <v>0</v>
      </c>
      <c r="AC24" s="15">
        <f t="shared" si="7"/>
        <v>0</v>
      </c>
      <c r="AD24" s="17">
        <v>0</v>
      </c>
      <c r="AE24" s="17">
        <v>0</v>
      </c>
      <c r="AF24" s="15">
        <f t="shared" si="8"/>
        <v>0</v>
      </c>
      <c r="AG24" s="17">
        <v>0</v>
      </c>
      <c r="AH24" s="17">
        <v>0</v>
      </c>
      <c r="AI24" s="15">
        <f t="shared" si="9"/>
        <v>0</v>
      </c>
      <c r="AJ24" s="17"/>
    </row>
    <row r="25" spans="1:36" x14ac:dyDescent="0.3">
      <c r="A25" s="15" t="s">
        <v>73</v>
      </c>
      <c r="B25" s="15">
        <v>100</v>
      </c>
      <c r="C25" s="15" t="s">
        <v>54</v>
      </c>
      <c r="D25" s="15" t="s">
        <v>55</v>
      </c>
      <c r="E25" s="17">
        <v>1</v>
      </c>
      <c r="F25" s="17">
        <v>151</v>
      </c>
      <c r="G25" s="17">
        <v>0</v>
      </c>
      <c r="H25" s="15">
        <f t="shared" si="0"/>
        <v>152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5">
        <f t="shared" si="1"/>
        <v>152</v>
      </c>
      <c r="T25" s="15">
        <f t="shared" si="2"/>
        <v>1</v>
      </c>
      <c r="U25" s="15">
        <f t="shared" si="3"/>
        <v>151</v>
      </c>
      <c r="V25" s="15">
        <f t="shared" si="4"/>
        <v>0</v>
      </c>
      <c r="W25" s="18" t="str">
        <f t="shared" si="5"/>
        <v/>
      </c>
      <c r="X25" s="17">
        <v>0</v>
      </c>
      <c r="Y25" s="17">
        <v>0</v>
      </c>
      <c r="Z25" s="15">
        <f t="shared" si="6"/>
        <v>0</v>
      </c>
      <c r="AA25" s="17">
        <v>0</v>
      </c>
      <c r="AB25" s="17">
        <v>0</v>
      </c>
      <c r="AC25" s="15">
        <f t="shared" si="7"/>
        <v>0</v>
      </c>
      <c r="AD25" s="17">
        <v>0</v>
      </c>
      <c r="AE25" s="17">
        <v>0</v>
      </c>
      <c r="AF25" s="15">
        <f t="shared" si="8"/>
        <v>0</v>
      </c>
      <c r="AG25" s="17">
        <v>0</v>
      </c>
      <c r="AH25" s="17">
        <v>0</v>
      </c>
      <c r="AI25" s="15">
        <f t="shared" si="9"/>
        <v>0</v>
      </c>
      <c r="AJ25" s="17"/>
    </row>
    <row r="26" spans="1:36" x14ac:dyDescent="0.3">
      <c r="A26" s="15" t="s">
        <v>74</v>
      </c>
      <c r="B26" s="15">
        <v>100</v>
      </c>
      <c r="C26" s="15" t="s">
        <v>54</v>
      </c>
      <c r="D26" s="15" t="s">
        <v>55</v>
      </c>
      <c r="E26" s="17">
        <v>99</v>
      </c>
      <c r="F26" s="17">
        <v>28</v>
      </c>
      <c r="G26" s="17">
        <v>4</v>
      </c>
      <c r="H26" s="15">
        <f t="shared" si="0"/>
        <v>131</v>
      </c>
      <c r="I26" s="17">
        <v>10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5">
        <f t="shared" si="1"/>
        <v>121</v>
      </c>
      <c r="T26" s="15">
        <f t="shared" si="2"/>
        <v>89</v>
      </c>
      <c r="U26" s="15">
        <f t="shared" si="3"/>
        <v>28</v>
      </c>
      <c r="V26" s="15">
        <f t="shared" si="4"/>
        <v>4</v>
      </c>
      <c r="W26" s="18" t="str">
        <f t="shared" si="5"/>
        <v/>
      </c>
      <c r="X26" s="17">
        <v>0</v>
      </c>
      <c r="Y26" s="17">
        <v>0</v>
      </c>
      <c r="Z26" s="15">
        <f t="shared" si="6"/>
        <v>0</v>
      </c>
      <c r="AA26" s="17">
        <v>0</v>
      </c>
      <c r="AB26" s="17">
        <v>0</v>
      </c>
      <c r="AC26" s="15">
        <f t="shared" si="7"/>
        <v>0</v>
      </c>
      <c r="AD26" s="17">
        <v>0</v>
      </c>
      <c r="AE26" s="17">
        <v>0</v>
      </c>
      <c r="AF26" s="15">
        <f t="shared" si="8"/>
        <v>0</v>
      </c>
      <c r="AG26" s="17">
        <v>0</v>
      </c>
      <c r="AH26" s="17">
        <v>0</v>
      </c>
      <c r="AI26" s="15">
        <f t="shared" si="9"/>
        <v>0</v>
      </c>
      <c r="AJ26" s="17"/>
    </row>
    <row r="27" spans="1:36" x14ac:dyDescent="0.3">
      <c r="A27" s="15" t="s">
        <v>75</v>
      </c>
      <c r="B27" s="15">
        <v>1000</v>
      </c>
      <c r="C27" s="15" t="s">
        <v>54</v>
      </c>
      <c r="D27" s="15" t="s">
        <v>68</v>
      </c>
      <c r="E27" s="15">
        <v>0</v>
      </c>
      <c r="F27" s="15">
        <v>0</v>
      </c>
      <c r="G27" s="15">
        <v>0</v>
      </c>
      <c r="H27" s="15">
        <f t="shared" si="0"/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5">
        <f t="shared" si="1"/>
        <v>0</v>
      </c>
      <c r="T27" s="15">
        <f t="shared" si="2"/>
        <v>0</v>
      </c>
      <c r="U27" s="15">
        <f t="shared" si="3"/>
        <v>0</v>
      </c>
      <c r="V27" s="15">
        <f t="shared" si="4"/>
        <v>0</v>
      </c>
      <c r="W27" s="18" t="str">
        <f t="shared" si="5"/>
        <v/>
      </c>
      <c r="X27" s="17">
        <v>0</v>
      </c>
      <c r="Y27" s="17">
        <v>0</v>
      </c>
      <c r="Z27" s="15">
        <f t="shared" si="6"/>
        <v>0</v>
      </c>
      <c r="AA27" s="17">
        <v>0</v>
      </c>
      <c r="AB27" s="17">
        <v>0</v>
      </c>
      <c r="AC27" s="15">
        <f t="shared" si="7"/>
        <v>0</v>
      </c>
      <c r="AD27" s="17">
        <v>0</v>
      </c>
      <c r="AE27" s="17">
        <v>0</v>
      </c>
      <c r="AF27" s="15">
        <f t="shared" si="8"/>
        <v>0</v>
      </c>
      <c r="AG27" s="17">
        <v>0</v>
      </c>
      <c r="AH27" s="17">
        <v>0</v>
      </c>
      <c r="AI27" s="15">
        <f t="shared" si="9"/>
        <v>0</v>
      </c>
      <c r="AJ27" s="17"/>
    </row>
    <row r="28" spans="1:36" x14ac:dyDescent="0.3">
      <c r="A28" s="15" t="s">
        <v>76</v>
      </c>
      <c r="B28" s="15">
        <v>100</v>
      </c>
      <c r="C28" s="15" t="s">
        <v>54</v>
      </c>
      <c r="D28" s="15" t="s">
        <v>68</v>
      </c>
      <c r="E28" s="15">
        <v>0</v>
      </c>
      <c r="F28" s="15">
        <v>0</v>
      </c>
      <c r="G28" s="15">
        <v>0</v>
      </c>
      <c r="H28" s="15">
        <f t="shared" si="0"/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5">
        <f t="shared" si="1"/>
        <v>0</v>
      </c>
      <c r="T28" s="15">
        <f t="shared" si="2"/>
        <v>0</v>
      </c>
      <c r="U28" s="15">
        <f t="shared" si="3"/>
        <v>0</v>
      </c>
      <c r="V28" s="15">
        <f t="shared" si="4"/>
        <v>0</v>
      </c>
      <c r="W28" s="18" t="str">
        <f t="shared" si="5"/>
        <v/>
      </c>
      <c r="X28" s="17">
        <v>0</v>
      </c>
      <c r="Y28" s="17">
        <v>0</v>
      </c>
      <c r="Z28" s="15">
        <f t="shared" si="6"/>
        <v>0</v>
      </c>
      <c r="AA28" s="17">
        <v>0</v>
      </c>
      <c r="AB28" s="17">
        <v>0</v>
      </c>
      <c r="AC28" s="15">
        <f t="shared" si="7"/>
        <v>0</v>
      </c>
      <c r="AD28" s="17">
        <v>0</v>
      </c>
      <c r="AE28" s="17">
        <v>0</v>
      </c>
      <c r="AF28" s="15">
        <f t="shared" si="8"/>
        <v>0</v>
      </c>
      <c r="AG28" s="17">
        <v>0</v>
      </c>
      <c r="AH28" s="17">
        <v>0</v>
      </c>
      <c r="AI28" s="15">
        <f t="shared" si="9"/>
        <v>0</v>
      </c>
      <c r="AJ28" s="17"/>
    </row>
    <row r="29" spans="1:36" x14ac:dyDescent="0.3">
      <c r="A29" s="15" t="s">
        <v>77</v>
      </c>
      <c r="B29" s="15">
        <v>100</v>
      </c>
      <c r="C29" s="15" t="s">
        <v>54</v>
      </c>
      <c r="D29" s="15" t="s">
        <v>55</v>
      </c>
      <c r="E29" s="17">
        <v>34</v>
      </c>
      <c r="F29" s="17">
        <v>0</v>
      </c>
      <c r="G29" s="17">
        <v>0</v>
      </c>
      <c r="H29" s="15">
        <f t="shared" si="0"/>
        <v>34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5">
        <f t="shared" si="1"/>
        <v>34</v>
      </c>
      <c r="T29" s="15">
        <f t="shared" si="2"/>
        <v>34</v>
      </c>
      <c r="U29" s="15">
        <f t="shared" si="3"/>
        <v>0</v>
      </c>
      <c r="V29" s="15">
        <f t="shared" si="4"/>
        <v>0</v>
      </c>
      <c r="W29" s="18" t="str">
        <f t="shared" si="5"/>
        <v/>
      </c>
      <c r="X29" s="17">
        <v>0</v>
      </c>
      <c r="Y29" s="17">
        <v>0</v>
      </c>
      <c r="Z29" s="15">
        <f t="shared" si="6"/>
        <v>0</v>
      </c>
      <c r="AA29" s="17">
        <v>0</v>
      </c>
      <c r="AB29" s="17">
        <v>0</v>
      </c>
      <c r="AC29" s="15">
        <f t="shared" si="7"/>
        <v>0</v>
      </c>
      <c r="AD29" s="17">
        <v>0</v>
      </c>
      <c r="AE29" s="17">
        <v>0</v>
      </c>
      <c r="AF29" s="15">
        <f t="shared" si="8"/>
        <v>0</v>
      </c>
      <c r="AG29" s="17">
        <v>0</v>
      </c>
      <c r="AH29" s="17">
        <v>0</v>
      </c>
      <c r="AI29" s="15">
        <f t="shared" si="9"/>
        <v>0</v>
      </c>
      <c r="AJ29" s="17"/>
    </row>
    <row r="30" spans="1:36" x14ac:dyDescent="0.3">
      <c r="A30" s="15" t="s">
        <v>78</v>
      </c>
      <c r="B30" s="15">
        <v>1000</v>
      </c>
      <c r="C30" s="15" t="s">
        <v>54</v>
      </c>
      <c r="D30" s="15" t="s">
        <v>55</v>
      </c>
      <c r="E30" s="17">
        <v>4</v>
      </c>
      <c r="F30" s="17">
        <v>9</v>
      </c>
      <c r="G30" s="17">
        <v>35</v>
      </c>
      <c r="H30" s="15">
        <f t="shared" si="0"/>
        <v>48</v>
      </c>
      <c r="I30" s="17">
        <v>0</v>
      </c>
      <c r="J30" s="17">
        <v>2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5">
        <f t="shared" si="1"/>
        <v>46</v>
      </c>
      <c r="T30" s="15">
        <f t="shared" si="2"/>
        <v>4</v>
      </c>
      <c r="U30" s="15">
        <f t="shared" si="3"/>
        <v>7</v>
      </c>
      <c r="V30" s="15">
        <f t="shared" si="4"/>
        <v>35</v>
      </c>
      <c r="W30" s="18" t="str">
        <f t="shared" si="5"/>
        <v/>
      </c>
      <c r="X30" s="17">
        <v>0</v>
      </c>
      <c r="Y30" s="17">
        <v>0</v>
      </c>
      <c r="Z30" s="15">
        <f t="shared" si="6"/>
        <v>0</v>
      </c>
      <c r="AA30" s="17">
        <v>0</v>
      </c>
      <c r="AB30" s="17">
        <v>0</v>
      </c>
      <c r="AC30" s="15">
        <f t="shared" si="7"/>
        <v>0</v>
      </c>
      <c r="AD30" s="17">
        <v>0</v>
      </c>
      <c r="AE30" s="17">
        <v>0</v>
      </c>
      <c r="AF30" s="15">
        <f t="shared" si="8"/>
        <v>0</v>
      </c>
      <c r="AG30" s="17">
        <v>0</v>
      </c>
      <c r="AH30" s="17">
        <v>0</v>
      </c>
      <c r="AI30" s="15">
        <f t="shared" si="9"/>
        <v>0</v>
      </c>
      <c r="AJ30" s="17"/>
    </row>
    <row r="31" spans="1:36" x14ac:dyDescent="0.3">
      <c r="A31" s="15" t="s">
        <v>79</v>
      </c>
      <c r="B31" s="15">
        <v>1000</v>
      </c>
      <c r="C31" s="15" t="s">
        <v>54</v>
      </c>
      <c r="D31" s="15" t="s">
        <v>55</v>
      </c>
      <c r="E31" s="17">
        <v>9</v>
      </c>
      <c r="F31" s="17">
        <v>5</v>
      </c>
      <c r="G31" s="17">
        <v>27</v>
      </c>
      <c r="H31" s="15">
        <f t="shared" si="0"/>
        <v>41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5">
        <f t="shared" si="1"/>
        <v>41</v>
      </c>
      <c r="T31" s="15">
        <f t="shared" si="2"/>
        <v>9</v>
      </c>
      <c r="U31" s="15">
        <f t="shared" si="3"/>
        <v>5</v>
      </c>
      <c r="V31" s="15">
        <f t="shared" si="4"/>
        <v>27</v>
      </c>
      <c r="W31" s="18" t="str">
        <f t="shared" si="5"/>
        <v/>
      </c>
      <c r="X31" s="17">
        <v>0</v>
      </c>
      <c r="Y31" s="17">
        <v>0</v>
      </c>
      <c r="Z31" s="15">
        <f t="shared" si="6"/>
        <v>0</v>
      </c>
      <c r="AA31" s="17">
        <v>0</v>
      </c>
      <c r="AB31" s="17">
        <v>0</v>
      </c>
      <c r="AC31" s="15">
        <f t="shared" si="7"/>
        <v>0</v>
      </c>
      <c r="AD31" s="17">
        <v>0</v>
      </c>
      <c r="AE31" s="17">
        <v>0</v>
      </c>
      <c r="AF31" s="15">
        <f t="shared" si="8"/>
        <v>0</v>
      </c>
      <c r="AG31" s="17">
        <v>0</v>
      </c>
      <c r="AH31" s="17">
        <v>0</v>
      </c>
      <c r="AI31" s="15">
        <f t="shared" si="9"/>
        <v>0</v>
      </c>
      <c r="AJ31" s="17"/>
    </row>
    <row r="32" spans="1:36" x14ac:dyDescent="0.3">
      <c r="A32" s="15" t="s">
        <v>80</v>
      </c>
      <c r="B32" s="15">
        <v>25000</v>
      </c>
      <c r="C32" s="15" t="s">
        <v>54</v>
      </c>
      <c r="D32" s="15" t="s">
        <v>55</v>
      </c>
      <c r="E32" s="17">
        <v>4</v>
      </c>
      <c r="F32" s="17">
        <v>0</v>
      </c>
      <c r="G32" s="17">
        <v>0</v>
      </c>
      <c r="H32" s="15">
        <f t="shared" si="0"/>
        <v>4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5">
        <f t="shared" si="1"/>
        <v>4</v>
      </c>
      <c r="T32" s="15">
        <f t="shared" si="2"/>
        <v>4</v>
      </c>
      <c r="U32" s="15">
        <f t="shared" si="3"/>
        <v>0</v>
      </c>
      <c r="V32" s="15">
        <f t="shared" si="4"/>
        <v>0</v>
      </c>
      <c r="W32" s="18" t="str">
        <f t="shared" si="5"/>
        <v/>
      </c>
      <c r="X32" s="17">
        <v>0</v>
      </c>
      <c r="Y32" s="17">
        <v>0</v>
      </c>
      <c r="Z32" s="15">
        <f t="shared" si="6"/>
        <v>0</v>
      </c>
      <c r="AA32" s="17">
        <v>0</v>
      </c>
      <c r="AB32" s="17">
        <v>0</v>
      </c>
      <c r="AC32" s="15">
        <f t="shared" si="7"/>
        <v>0</v>
      </c>
      <c r="AD32" s="17">
        <v>0</v>
      </c>
      <c r="AE32" s="17">
        <v>0</v>
      </c>
      <c r="AF32" s="15">
        <f t="shared" si="8"/>
        <v>0</v>
      </c>
      <c r="AG32" s="17">
        <v>0</v>
      </c>
      <c r="AH32" s="17">
        <v>0</v>
      </c>
      <c r="AI32" s="15">
        <f t="shared" si="9"/>
        <v>0</v>
      </c>
      <c r="AJ32" s="17"/>
    </row>
    <row r="33" spans="1:36" x14ac:dyDescent="0.3">
      <c r="A33" s="15" t="s">
        <v>81</v>
      </c>
      <c r="B33" s="15">
        <v>25000</v>
      </c>
      <c r="C33" s="15" t="s">
        <v>54</v>
      </c>
      <c r="D33" s="15" t="s">
        <v>55</v>
      </c>
      <c r="E33" s="17">
        <v>10</v>
      </c>
      <c r="F33" s="17">
        <v>0</v>
      </c>
      <c r="G33" s="17">
        <v>0</v>
      </c>
      <c r="H33" s="15">
        <f t="shared" si="0"/>
        <v>10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5">
        <f t="shared" si="1"/>
        <v>10</v>
      </c>
      <c r="T33" s="15">
        <f t="shared" si="2"/>
        <v>10</v>
      </c>
      <c r="U33" s="15">
        <f t="shared" si="3"/>
        <v>0</v>
      </c>
      <c r="V33" s="15">
        <f t="shared" si="4"/>
        <v>0</v>
      </c>
      <c r="W33" s="18" t="str">
        <f t="shared" si="5"/>
        <v/>
      </c>
      <c r="X33" s="17">
        <v>0</v>
      </c>
      <c r="Y33" s="17">
        <v>0</v>
      </c>
      <c r="Z33" s="15">
        <f t="shared" si="6"/>
        <v>0</v>
      </c>
      <c r="AA33" s="17">
        <v>0</v>
      </c>
      <c r="AB33" s="17">
        <v>0</v>
      </c>
      <c r="AC33" s="15">
        <f t="shared" si="7"/>
        <v>0</v>
      </c>
      <c r="AD33" s="17">
        <v>0</v>
      </c>
      <c r="AE33" s="17">
        <v>0</v>
      </c>
      <c r="AF33" s="15">
        <f t="shared" si="8"/>
        <v>0</v>
      </c>
      <c r="AG33" s="17">
        <v>0</v>
      </c>
      <c r="AH33" s="17">
        <v>0</v>
      </c>
      <c r="AI33" s="15">
        <f t="shared" si="9"/>
        <v>0</v>
      </c>
      <c r="AJ33" s="17"/>
    </row>
    <row r="34" spans="1:36" x14ac:dyDescent="0.3">
      <c r="A34" s="15" t="s">
        <v>82</v>
      </c>
      <c r="B34" s="15">
        <v>1000</v>
      </c>
      <c r="C34" s="15" t="s">
        <v>54</v>
      </c>
      <c r="D34" s="15" t="s">
        <v>68</v>
      </c>
      <c r="E34" s="15">
        <v>0</v>
      </c>
      <c r="F34" s="15">
        <v>0</v>
      </c>
      <c r="G34" s="15">
        <v>0</v>
      </c>
      <c r="H34" s="15">
        <f t="shared" si="0"/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5">
        <f t="shared" si="1"/>
        <v>0</v>
      </c>
      <c r="T34" s="15">
        <f t="shared" si="2"/>
        <v>0</v>
      </c>
      <c r="U34" s="15">
        <f t="shared" si="3"/>
        <v>0</v>
      </c>
      <c r="V34" s="15">
        <f t="shared" si="4"/>
        <v>0</v>
      </c>
      <c r="W34" s="18" t="str">
        <f t="shared" si="5"/>
        <v/>
      </c>
      <c r="X34" s="17">
        <v>0</v>
      </c>
      <c r="Y34" s="17">
        <v>0</v>
      </c>
      <c r="Z34" s="15">
        <f t="shared" si="6"/>
        <v>0</v>
      </c>
      <c r="AA34" s="17">
        <v>0</v>
      </c>
      <c r="AB34" s="17">
        <v>0</v>
      </c>
      <c r="AC34" s="15">
        <f t="shared" si="7"/>
        <v>0</v>
      </c>
      <c r="AD34" s="17">
        <v>0</v>
      </c>
      <c r="AE34" s="17">
        <v>0</v>
      </c>
      <c r="AF34" s="15">
        <f t="shared" si="8"/>
        <v>0</v>
      </c>
      <c r="AG34" s="17">
        <v>0</v>
      </c>
      <c r="AH34" s="17">
        <v>0</v>
      </c>
      <c r="AI34" s="15">
        <f t="shared" si="9"/>
        <v>0</v>
      </c>
      <c r="AJ34" s="17"/>
    </row>
    <row r="35" spans="1:36" x14ac:dyDescent="0.3">
      <c r="A35" s="15" t="s">
        <v>83</v>
      </c>
      <c r="B35" s="15">
        <v>100</v>
      </c>
      <c r="C35" s="15" t="s">
        <v>54</v>
      </c>
      <c r="D35" s="15" t="s">
        <v>57</v>
      </c>
      <c r="E35" s="15">
        <v>0</v>
      </c>
      <c r="F35" s="15">
        <v>0</v>
      </c>
      <c r="G35" s="15">
        <v>0</v>
      </c>
      <c r="H35" s="15">
        <f t="shared" ref="H35:H66" si="10">E35+F35+G35</f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5">
        <f t="shared" ref="S35:S66" si="11">H35+O35+P35+Q35+R35-(I35+J35+K35+L35+M35+N35)</f>
        <v>0</v>
      </c>
      <c r="T35" s="15">
        <f t="shared" ref="T35:T66" si="12">E35+O35-I35-L35</f>
        <v>0</v>
      </c>
      <c r="U35" s="15">
        <f t="shared" ref="U35:U66" si="13">F35+P35-J35-M35</f>
        <v>0</v>
      </c>
      <c r="V35" s="15">
        <f t="shared" ref="V35:V66" si="14">G35+Q35-K35-N35</f>
        <v>0</v>
      </c>
      <c r="W35" s="18" t="str">
        <f t="shared" ref="W35:W66" si="15">IF(MIN(T35,U35,V35)&lt;0,"NEGATIVE STOCK - CHECK ENTRIES","")</f>
        <v/>
      </c>
      <c r="X35" s="17">
        <v>0</v>
      </c>
      <c r="Y35" s="17">
        <v>0</v>
      </c>
      <c r="Z35" s="15">
        <f t="shared" ref="Z35:Z66" si="16">X35-Y35</f>
        <v>0</v>
      </c>
      <c r="AA35" s="17">
        <v>0</v>
      </c>
      <c r="AB35" s="17">
        <v>0</v>
      </c>
      <c r="AC35" s="15">
        <f t="shared" ref="AC35:AC66" si="17">AA35-AB35</f>
        <v>0</v>
      </c>
      <c r="AD35" s="17">
        <v>0</v>
      </c>
      <c r="AE35" s="17">
        <v>0</v>
      </c>
      <c r="AF35" s="15">
        <f t="shared" ref="AF35:AF66" si="18">AD35-AE35</f>
        <v>0</v>
      </c>
      <c r="AG35" s="17">
        <v>0</v>
      </c>
      <c r="AH35" s="17">
        <v>0</v>
      </c>
      <c r="AI35" s="15">
        <f t="shared" ref="AI35:AI66" si="19">AG35-AH35</f>
        <v>0</v>
      </c>
      <c r="AJ35" s="17"/>
    </row>
    <row r="36" spans="1:36" x14ac:dyDescent="0.3">
      <c r="A36" s="15" t="s">
        <v>84</v>
      </c>
      <c r="B36" s="15">
        <v>1000</v>
      </c>
      <c r="C36" s="15" t="s">
        <v>54</v>
      </c>
      <c r="D36" s="15" t="s">
        <v>55</v>
      </c>
      <c r="E36" s="17">
        <v>3</v>
      </c>
      <c r="F36" s="17">
        <v>0</v>
      </c>
      <c r="G36" s="17">
        <v>0</v>
      </c>
      <c r="H36" s="15">
        <f t="shared" si="10"/>
        <v>3</v>
      </c>
      <c r="I36" s="17">
        <v>3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5">
        <f t="shared" si="11"/>
        <v>0</v>
      </c>
      <c r="T36" s="15">
        <f t="shared" si="12"/>
        <v>0</v>
      </c>
      <c r="U36" s="15">
        <f t="shared" si="13"/>
        <v>0</v>
      </c>
      <c r="V36" s="15">
        <f t="shared" si="14"/>
        <v>0</v>
      </c>
      <c r="W36" s="18" t="str">
        <f t="shared" si="15"/>
        <v/>
      </c>
      <c r="X36" s="17">
        <v>0</v>
      </c>
      <c r="Y36" s="17">
        <v>0</v>
      </c>
      <c r="Z36" s="15">
        <f t="shared" si="16"/>
        <v>0</v>
      </c>
      <c r="AA36" s="17">
        <v>0</v>
      </c>
      <c r="AB36" s="17">
        <v>0</v>
      </c>
      <c r="AC36" s="15">
        <f t="shared" si="17"/>
        <v>0</v>
      </c>
      <c r="AD36" s="17">
        <v>0</v>
      </c>
      <c r="AE36" s="17">
        <v>0</v>
      </c>
      <c r="AF36" s="15">
        <f t="shared" si="18"/>
        <v>0</v>
      </c>
      <c r="AG36" s="17">
        <v>0</v>
      </c>
      <c r="AH36" s="17">
        <v>0</v>
      </c>
      <c r="AI36" s="15">
        <f t="shared" si="19"/>
        <v>0</v>
      </c>
      <c r="AJ36" s="17"/>
    </row>
    <row r="37" spans="1:36" x14ac:dyDescent="0.3">
      <c r="A37" s="15" t="s">
        <v>85</v>
      </c>
      <c r="B37" s="15">
        <v>1000</v>
      </c>
      <c r="C37" s="15" t="s">
        <v>54</v>
      </c>
      <c r="D37" s="15" t="s">
        <v>68</v>
      </c>
      <c r="E37" s="15">
        <v>0</v>
      </c>
      <c r="F37" s="15">
        <v>0</v>
      </c>
      <c r="G37" s="15">
        <v>0</v>
      </c>
      <c r="H37" s="15">
        <f t="shared" si="10"/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5">
        <f t="shared" si="11"/>
        <v>0</v>
      </c>
      <c r="T37" s="15">
        <f t="shared" si="12"/>
        <v>0</v>
      </c>
      <c r="U37" s="15">
        <f t="shared" si="13"/>
        <v>0</v>
      </c>
      <c r="V37" s="15">
        <f t="shared" si="14"/>
        <v>0</v>
      </c>
      <c r="W37" s="18" t="str">
        <f t="shared" si="15"/>
        <v/>
      </c>
      <c r="X37" s="17">
        <v>0</v>
      </c>
      <c r="Y37" s="17">
        <v>0</v>
      </c>
      <c r="Z37" s="15">
        <f t="shared" si="16"/>
        <v>0</v>
      </c>
      <c r="AA37" s="17">
        <v>0</v>
      </c>
      <c r="AB37" s="17">
        <v>0</v>
      </c>
      <c r="AC37" s="15">
        <f t="shared" si="17"/>
        <v>0</v>
      </c>
      <c r="AD37" s="17">
        <v>0</v>
      </c>
      <c r="AE37" s="17">
        <v>0</v>
      </c>
      <c r="AF37" s="15">
        <f t="shared" si="18"/>
        <v>0</v>
      </c>
      <c r="AG37" s="17">
        <v>0</v>
      </c>
      <c r="AH37" s="17">
        <v>0</v>
      </c>
      <c r="AI37" s="15">
        <f t="shared" si="19"/>
        <v>0</v>
      </c>
      <c r="AJ37" s="17"/>
    </row>
    <row r="38" spans="1:36" x14ac:dyDescent="0.3">
      <c r="A38" s="15" t="s">
        <v>86</v>
      </c>
      <c r="B38" s="15">
        <v>100</v>
      </c>
      <c r="C38" s="15" t="s">
        <v>54</v>
      </c>
      <c r="D38" s="15" t="s">
        <v>57</v>
      </c>
      <c r="E38" s="15">
        <v>0</v>
      </c>
      <c r="F38" s="15">
        <v>0</v>
      </c>
      <c r="G38" s="15">
        <v>0</v>
      </c>
      <c r="H38" s="15">
        <f t="shared" si="10"/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5">
        <f t="shared" si="11"/>
        <v>0</v>
      </c>
      <c r="T38" s="15">
        <f t="shared" si="12"/>
        <v>0</v>
      </c>
      <c r="U38" s="15">
        <f t="shared" si="13"/>
        <v>0</v>
      </c>
      <c r="V38" s="15">
        <f t="shared" si="14"/>
        <v>0</v>
      </c>
      <c r="W38" s="18" t="str">
        <f t="shared" si="15"/>
        <v/>
      </c>
      <c r="X38" s="17">
        <v>0</v>
      </c>
      <c r="Y38" s="17">
        <v>0</v>
      </c>
      <c r="Z38" s="15">
        <f t="shared" si="16"/>
        <v>0</v>
      </c>
      <c r="AA38" s="17">
        <v>0</v>
      </c>
      <c r="AB38" s="17">
        <v>0</v>
      </c>
      <c r="AC38" s="15">
        <f t="shared" si="17"/>
        <v>0</v>
      </c>
      <c r="AD38" s="17">
        <v>0</v>
      </c>
      <c r="AE38" s="17">
        <v>0</v>
      </c>
      <c r="AF38" s="15">
        <f t="shared" si="18"/>
        <v>0</v>
      </c>
      <c r="AG38" s="17">
        <v>0</v>
      </c>
      <c r="AH38" s="17">
        <v>0</v>
      </c>
      <c r="AI38" s="15">
        <f t="shared" si="19"/>
        <v>0</v>
      </c>
      <c r="AJ38" s="17"/>
    </row>
    <row r="39" spans="1:36" x14ac:dyDescent="0.3">
      <c r="A39" s="15" t="s">
        <v>87</v>
      </c>
      <c r="B39" s="15">
        <v>100000</v>
      </c>
      <c r="C39" s="15" t="s">
        <v>54</v>
      </c>
      <c r="D39" s="15" t="s">
        <v>68</v>
      </c>
      <c r="E39" s="15">
        <v>0</v>
      </c>
      <c r="F39" s="15">
        <v>0</v>
      </c>
      <c r="G39" s="15">
        <v>0</v>
      </c>
      <c r="H39" s="15">
        <f t="shared" si="10"/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5">
        <f t="shared" si="11"/>
        <v>0</v>
      </c>
      <c r="T39" s="15">
        <f t="shared" si="12"/>
        <v>0</v>
      </c>
      <c r="U39" s="15">
        <f t="shared" si="13"/>
        <v>0</v>
      </c>
      <c r="V39" s="15">
        <f t="shared" si="14"/>
        <v>0</v>
      </c>
      <c r="W39" s="18" t="str">
        <f t="shared" si="15"/>
        <v/>
      </c>
      <c r="X39" s="17">
        <v>0</v>
      </c>
      <c r="Y39" s="17">
        <v>0</v>
      </c>
      <c r="Z39" s="15">
        <f t="shared" si="16"/>
        <v>0</v>
      </c>
      <c r="AA39" s="17">
        <v>0</v>
      </c>
      <c r="AB39" s="17">
        <v>0</v>
      </c>
      <c r="AC39" s="15">
        <f t="shared" si="17"/>
        <v>0</v>
      </c>
      <c r="AD39" s="17">
        <v>0</v>
      </c>
      <c r="AE39" s="17">
        <v>0</v>
      </c>
      <c r="AF39" s="15">
        <f t="shared" si="18"/>
        <v>0</v>
      </c>
      <c r="AG39" s="17">
        <v>0</v>
      </c>
      <c r="AH39" s="17">
        <v>0</v>
      </c>
      <c r="AI39" s="15">
        <f t="shared" si="19"/>
        <v>0</v>
      </c>
      <c r="AJ39" s="17"/>
    </row>
    <row r="40" spans="1:36" x14ac:dyDescent="0.3">
      <c r="A40" s="15" t="s">
        <v>88</v>
      </c>
      <c r="B40" s="15">
        <v>100000</v>
      </c>
      <c r="C40" s="15" t="s">
        <v>54</v>
      </c>
      <c r="D40" s="15" t="s">
        <v>68</v>
      </c>
      <c r="E40" s="15">
        <v>0</v>
      </c>
      <c r="F40" s="15">
        <v>0</v>
      </c>
      <c r="G40" s="15">
        <v>0</v>
      </c>
      <c r="H40" s="15">
        <f t="shared" si="10"/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5">
        <f t="shared" si="11"/>
        <v>0</v>
      </c>
      <c r="T40" s="15">
        <f t="shared" si="12"/>
        <v>0</v>
      </c>
      <c r="U40" s="15">
        <f t="shared" si="13"/>
        <v>0</v>
      </c>
      <c r="V40" s="15">
        <f t="shared" si="14"/>
        <v>0</v>
      </c>
      <c r="W40" s="18" t="str">
        <f t="shared" si="15"/>
        <v/>
      </c>
      <c r="X40" s="17">
        <v>0</v>
      </c>
      <c r="Y40" s="17">
        <v>0</v>
      </c>
      <c r="Z40" s="15">
        <f t="shared" si="16"/>
        <v>0</v>
      </c>
      <c r="AA40" s="17">
        <v>0</v>
      </c>
      <c r="AB40" s="17">
        <v>0</v>
      </c>
      <c r="AC40" s="15">
        <f t="shared" si="17"/>
        <v>0</v>
      </c>
      <c r="AD40" s="17">
        <v>0</v>
      </c>
      <c r="AE40" s="17">
        <v>0</v>
      </c>
      <c r="AF40" s="15">
        <f t="shared" si="18"/>
        <v>0</v>
      </c>
      <c r="AG40" s="17">
        <v>0</v>
      </c>
      <c r="AH40" s="17">
        <v>0</v>
      </c>
      <c r="AI40" s="15">
        <f t="shared" si="19"/>
        <v>0</v>
      </c>
      <c r="AJ40" s="17"/>
    </row>
    <row r="41" spans="1:36" x14ac:dyDescent="0.3">
      <c r="A41" s="15" t="s">
        <v>89</v>
      </c>
      <c r="B41" s="15">
        <v>100</v>
      </c>
      <c r="C41" s="15" t="s">
        <v>54</v>
      </c>
      <c r="D41" s="15" t="s">
        <v>55</v>
      </c>
      <c r="E41" s="17">
        <v>9</v>
      </c>
      <c r="F41" s="17">
        <v>0</v>
      </c>
      <c r="G41" s="17">
        <v>0</v>
      </c>
      <c r="H41" s="15">
        <f t="shared" si="10"/>
        <v>9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5">
        <f t="shared" si="11"/>
        <v>9</v>
      </c>
      <c r="T41" s="15">
        <f t="shared" si="12"/>
        <v>9</v>
      </c>
      <c r="U41" s="15">
        <f t="shared" si="13"/>
        <v>0</v>
      </c>
      <c r="V41" s="15">
        <f t="shared" si="14"/>
        <v>0</v>
      </c>
      <c r="W41" s="18" t="str">
        <f t="shared" si="15"/>
        <v/>
      </c>
      <c r="X41" s="17">
        <v>0</v>
      </c>
      <c r="Y41" s="17">
        <v>0</v>
      </c>
      <c r="Z41" s="15">
        <f t="shared" si="16"/>
        <v>0</v>
      </c>
      <c r="AA41" s="17">
        <v>0</v>
      </c>
      <c r="AB41" s="17">
        <v>0</v>
      </c>
      <c r="AC41" s="15">
        <f t="shared" si="17"/>
        <v>0</v>
      </c>
      <c r="AD41" s="17">
        <v>0</v>
      </c>
      <c r="AE41" s="17">
        <v>0</v>
      </c>
      <c r="AF41" s="15">
        <f t="shared" si="18"/>
        <v>0</v>
      </c>
      <c r="AG41" s="17">
        <v>0</v>
      </c>
      <c r="AH41" s="17">
        <v>0</v>
      </c>
      <c r="AI41" s="15">
        <f t="shared" si="19"/>
        <v>0</v>
      </c>
      <c r="AJ41" s="17"/>
    </row>
    <row r="42" spans="1:36" x14ac:dyDescent="0.3">
      <c r="A42" s="15" t="s">
        <v>90</v>
      </c>
      <c r="B42" s="15">
        <v>100</v>
      </c>
      <c r="C42" s="15" t="s">
        <v>54</v>
      </c>
      <c r="D42" s="15" t="s">
        <v>57</v>
      </c>
      <c r="E42" s="15">
        <v>0</v>
      </c>
      <c r="F42" s="15">
        <v>0</v>
      </c>
      <c r="G42" s="15">
        <v>0</v>
      </c>
      <c r="H42" s="15">
        <f t="shared" si="10"/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5">
        <f t="shared" si="11"/>
        <v>0</v>
      </c>
      <c r="T42" s="15">
        <f t="shared" si="12"/>
        <v>0</v>
      </c>
      <c r="U42" s="15">
        <f t="shared" si="13"/>
        <v>0</v>
      </c>
      <c r="V42" s="15">
        <f t="shared" si="14"/>
        <v>0</v>
      </c>
      <c r="W42" s="18" t="str">
        <f t="shared" si="15"/>
        <v/>
      </c>
      <c r="X42" s="17">
        <v>0</v>
      </c>
      <c r="Y42" s="17">
        <v>0</v>
      </c>
      <c r="Z42" s="15">
        <f t="shared" si="16"/>
        <v>0</v>
      </c>
      <c r="AA42" s="17">
        <v>0</v>
      </c>
      <c r="AB42" s="17">
        <v>0</v>
      </c>
      <c r="AC42" s="15">
        <f t="shared" si="17"/>
        <v>0</v>
      </c>
      <c r="AD42" s="17">
        <v>0</v>
      </c>
      <c r="AE42" s="17">
        <v>0</v>
      </c>
      <c r="AF42" s="15">
        <f t="shared" si="18"/>
        <v>0</v>
      </c>
      <c r="AG42" s="17">
        <v>0</v>
      </c>
      <c r="AH42" s="17">
        <v>0</v>
      </c>
      <c r="AI42" s="15">
        <f t="shared" si="19"/>
        <v>0</v>
      </c>
      <c r="AJ42" s="17"/>
    </row>
    <row r="43" spans="1:36" x14ac:dyDescent="0.3">
      <c r="A43" s="15" t="s">
        <v>91</v>
      </c>
      <c r="B43" s="15">
        <v>1000</v>
      </c>
      <c r="C43" s="15" t="s">
        <v>54</v>
      </c>
      <c r="D43" s="15" t="s">
        <v>55</v>
      </c>
      <c r="E43" s="17">
        <v>76</v>
      </c>
      <c r="F43" s="17">
        <v>142</v>
      </c>
      <c r="G43" s="17">
        <v>6</v>
      </c>
      <c r="H43" s="15">
        <f t="shared" si="10"/>
        <v>224</v>
      </c>
      <c r="I43" s="17">
        <v>6</v>
      </c>
      <c r="J43" s="17">
        <v>0</v>
      </c>
      <c r="K43" s="17">
        <v>1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5">
        <f t="shared" si="11"/>
        <v>217</v>
      </c>
      <c r="T43" s="15">
        <f t="shared" si="12"/>
        <v>70</v>
      </c>
      <c r="U43" s="15">
        <f t="shared" si="13"/>
        <v>142</v>
      </c>
      <c r="V43" s="15">
        <f t="shared" si="14"/>
        <v>5</v>
      </c>
      <c r="W43" s="18" t="str">
        <f t="shared" si="15"/>
        <v/>
      </c>
      <c r="X43" s="17">
        <v>0</v>
      </c>
      <c r="Y43" s="17">
        <v>0</v>
      </c>
      <c r="Z43" s="15">
        <f t="shared" si="16"/>
        <v>0</v>
      </c>
      <c r="AA43" s="17">
        <v>0</v>
      </c>
      <c r="AB43" s="17">
        <v>0</v>
      </c>
      <c r="AC43" s="15">
        <f t="shared" si="17"/>
        <v>0</v>
      </c>
      <c r="AD43" s="17">
        <v>0</v>
      </c>
      <c r="AE43" s="17">
        <v>0</v>
      </c>
      <c r="AF43" s="15">
        <f t="shared" si="18"/>
        <v>0</v>
      </c>
      <c r="AG43" s="17">
        <v>0</v>
      </c>
      <c r="AH43" s="17">
        <v>0</v>
      </c>
      <c r="AI43" s="15">
        <f t="shared" si="19"/>
        <v>0</v>
      </c>
      <c r="AJ43" s="17"/>
    </row>
    <row r="44" spans="1:36" x14ac:dyDescent="0.3">
      <c r="A44" s="15" t="s">
        <v>92</v>
      </c>
      <c r="B44" s="15">
        <v>100</v>
      </c>
      <c r="C44" s="15" t="s">
        <v>54</v>
      </c>
      <c r="D44" s="15" t="s">
        <v>68</v>
      </c>
      <c r="E44" s="15">
        <v>0</v>
      </c>
      <c r="F44" s="15">
        <v>0</v>
      </c>
      <c r="G44" s="15">
        <v>0</v>
      </c>
      <c r="H44" s="15">
        <f t="shared" si="10"/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5">
        <f t="shared" si="11"/>
        <v>0</v>
      </c>
      <c r="T44" s="15">
        <f t="shared" si="12"/>
        <v>0</v>
      </c>
      <c r="U44" s="15">
        <f t="shared" si="13"/>
        <v>0</v>
      </c>
      <c r="V44" s="15">
        <f t="shared" si="14"/>
        <v>0</v>
      </c>
      <c r="W44" s="18" t="str">
        <f t="shared" si="15"/>
        <v/>
      </c>
      <c r="X44" s="17">
        <v>0</v>
      </c>
      <c r="Y44" s="17">
        <v>0</v>
      </c>
      <c r="Z44" s="15">
        <f t="shared" si="16"/>
        <v>0</v>
      </c>
      <c r="AA44" s="17">
        <v>0</v>
      </c>
      <c r="AB44" s="17">
        <v>0</v>
      </c>
      <c r="AC44" s="15">
        <f t="shared" si="17"/>
        <v>0</v>
      </c>
      <c r="AD44" s="17">
        <v>0</v>
      </c>
      <c r="AE44" s="17">
        <v>0</v>
      </c>
      <c r="AF44" s="15">
        <f t="shared" si="18"/>
        <v>0</v>
      </c>
      <c r="AG44" s="17">
        <v>0</v>
      </c>
      <c r="AH44" s="17">
        <v>0</v>
      </c>
      <c r="AI44" s="15">
        <f t="shared" si="19"/>
        <v>0</v>
      </c>
      <c r="AJ44" s="17"/>
    </row>
    <row r="45" spans="1:36" x14ac:dyDescent="0.3">
      <c r="A45" s="15" t="s">
        <v>93</v>
      </c>
      <c r="B45" s="15">
        <v>100000</v>
      </c>
      <c r="C45" s="15" t="s">
        <v>54</v>
      </c>
      <c r="D45" s="15" t="s">
        <v>68</v>
      </c>
      <c r="E45" s="15">
        <v>0</v>
      </c>
      <c r="F45" s="15">
        <v>0</v>
      </c>
      <c r="G45" s="15">
        <v>0</v>
      </c>
      <c r="H45" s="15">
        <f t="shared" si="10"/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5">
        <f t="shared" si="11"/>
        <v>0</v>
      </c>
      <c r="T45" s="15">
        <f t="shared" si="12"/>
        <v>0</v>
      </c>
      <c r="U45" s="15">
        <f t="shared" si="13"/>
        <v>0</v>
      </c>
      <c r="V45" s="15">
        <f t="shared" si="14"/>
        <v>0</v>
      </c>
      <c r="W45" s="18" t="str">
        <f t="shared" si="15"/>
        <v/>
      </c>
      <c r="X45" s="17">
        <v>0</v>
      </c>
      <c r="Y45" s="17">
        <v>0</v>
      </c>
      <c r="Z45" s="15">
        <f t="shared" si="16"/>
        <v>0</v>
      </c>
      <c r="AA45" s="17">
        <v>0</v>
      </c>
      <c r="AB45" s="17">
        <v>0</v>
      </c>
      <c r="AC45" s="15">
        <f t="shared" si="17"/>
        <v>0</v>
      </c>
      <c r="AD45" s="17">
        <v>0</v>
      </c>
      <c r="AE45" s="17">
        <v>0</v>
      </c>
      <c r="AF45" s="15">
        <f t="shared" si="18"/>
        <v>0</v>
      </c>
      <c r="AG45" s="17">
        <v>0</v>
      </c>
      <c r="AH45" s="17">
        <v>0</v>
      </c>
      <c r="AI45" s="15">
        <f t="shared" si="19"/>
        <v>0</v>
      </c>
      <c r="AJ45" s="17"/>
    </row>
    <row r="46" spans="1:36" x14ac:dyDescent="0.3">
      <c r="A46" s="15" t="s">
        <v>94</v>
      </c>
      <c r="B46" s="15">
        <v>100</v>
      </c>
      <c r="C46" s="15" t="s">
        <v>54</v>
      </c>
      <c r="D46" s="15" t="s">
        <v>55</v>
      </c>
      <c r="E46" s="17">
        <v>5</v>
      </c>
      <c r="F46" s="17">
        <v>0</v>
      </c>
      <c r="G46" s="17">
        <v>0</v>
      </c>
      <c r="H46" s="15">
        <f t="shared" si="10"/>
        <v>5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5">
        <f t="shared" si="11"/>
        <v>5</v>
      </c>
      <c r="T46" s="15">
        <f t="shared" si="12"/>
        <v>5</v>
      </c>
      <c r="U46" s="15">
        <f t="shared" si="13"/>
        <v>0</v>
      </c>
      <c r="V46" s="15">
        <f t="shared" si="14"/>
        <v>0</v>
      </c>
      <c r="W46" s="18" t="str">
        <f t="shared" si="15"/>
        <v/>
      </c>
      <c r="X46" s="17">
        <v>0</v>
      </c>
      <c r="Y46" s="17">
        <v>0</v>
      </c>
      <c r="Z46" s="15">
        <f t="shared" si="16"/>
        <v>0</v>
      </c>
      <c r="AA46" s="17">
        <v>0</v>
      </c>
      <c r="AB46" s="17">
        <v>0</v>
      </c>
      <c r="AC46" s="15">
        <f t="shared" si="17"/>
        <v>0</v>
      </c>
      <c r="AD46" s="17">
        <v>0</v>
      </c>
      <c r="AE46" s="17">
        <v>0</v>
      </c>
      <c r="AF46" s="15">
        <f t="shared" si="18"/>
        <v>0</v>
      </c>
      <c r="AG46" s="17">
        <v>0</v>
      </c>
      <c r="AH46" s="17">
        <v>0</v>
      </c>
      <c r="AI46" s="15">
        <f t="shared" si="19"/>
        <v>0</v>
      </c>
      <c r="AJ46" s="17"/>
    </row>
    <row r="47" spans="1:36" x14ac:dyDescent="0.3">
      <c r="A47" s="15" t="s">
        <v>94</v>
      </c>
      <c r="B47" s="15">
        <v>100</v>
      </c>
      <c r="C47" s="15" t="s">
        <v>54</v>
      </c>
      <c r="D47" s="15" t="s">
        <v>57</v>
      </c>
      <c r="E47" s="15">
        <v>0</v>
      </c>
      <c r="F47" s="15">
        <v>0</v>
      </c>
      <c r="G47" s="15">
        <v>0</v>
      </c>
      <c r="H47" s="15">
        <f t="shared" si="10"/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5">
        <f t="shared" si="11"/>
        <v>0</v>
      </c>
      <c r="T47" s="15">
        <f t="shared" si="12"/>
        <v>0</v>
      </c>
      <c r="U47" s="15">
        <f t="shared" si="13"/>
        <v>0</v>
      </c>
      <c r="V47" s="15">
        <f t="shared" si="14"/>
        <v>0</v>
      </c>
      <c r="W47" s="18" t="str">
        <f t="shared" si="15"/>
        <v/>
      </c>
      <c r="X47" s="17">
        <v>0</v>
      </c>
      <c r="Y47" s="17">
        <v>0</v>
      </c>
      <c r="Z47" s="15">
        <f t="shared" si="16"/>
        <v>0</v>
      </c>
      <c r="AA47" s="17">
        <v>0</v>
      </c>
      <c r="AB47" s="17">
        <v>0</v>
      </c>
      <c r="AC47" s="15">
        <f t="shared" si="17"/>
        <v>0</v>
      </c>
      <c r="AD47" s="17">
        <v>0</v>
      </c>
      <c r="AE47" s="17">
        <v>0</v>
      </c>
      <c r="AF47" s="15">
        <f t="shared" si="18"/>
        <v>0</v>
      </c>
      <c r="AG47" s="17">
        <v>0</v>
      </c>
      <c r="AH47" s="17">
        <v>0</v>
      </c>
      <c r="AI47" s="15">
        <f t="shared" si="19"/>
        <v>0</v>
      </c>
      <c r="AJ47" s="17"/>
    </row>
    <row r="48" spans="1:36" x14ac:dyDescent="0.3">
      <c r="A48" s="15" t="s">
        <v>95</v>
      </c>
      <c r="B48" s="15">
        <v>100</v>
      </c>
      <c r="C48" s="15" t="s">
        <v>54</v>
      </c>
      <c r="D48" s="15" t="s">
        <v>57</v>
      </c>
      <c r="E48" s="15">
        <v>0</v>
      </c>
      <c r="F48" s="15">
        <v>0</v>
      </c>
      <c r="G48" s="15">
        <v>0</v>
      </c>
      <c r="H48" s="15">
        <f t="shared" si="10"/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5">
        <f t="shared" si="11"/>
        <v>0</v>
      </c>
      <c r="T48" s="15">
        <f t="shared" si="12"/>
        <v>0</v>
      </c>
      <c r="U48" s="15">
        <f t="shared" si="13"/>
        <v>0</v>
      </c>
      <c r="V48" s="15">
        <f t="shared" si="14"/>
        <v>0</v>
      </c>
      <c r="W48" s="18" t="str">
        <f t="shared" si="15"/>
        <v/>
      </c>
      <c r="X48" s="17">
        <v>0</v>
      </c>
      <c r="Y48" s="17">
        <v>0</v>
      </c>
      <c r="Z48" s="15">
        <f t="shared" si="16"/>
        <v>0</v>
      </c>
      <c r="AA48" s="17">
        <v>0</v>
      </c>
      <c r="AB48" s="17">
        <v>0</v>
      </c>
      <c r="AC48" s="15">
        <f t="shared" si="17"/>
        <v>0</v>
      </c>
      <c r="AD48" s="17">
        <v>0</v>
      </c>
      <c r="AE48" s="17">
        <v>0</v>
      </c>
      <c r="AF48" s="15">
        <f t="shared" si="18"/>
        <v>0</v>
      </c>
      <c r="AG48" s="17">
        <v>0</v>
      </c>
      <c r="AH48" s="17">
        <v>0</v>
      </c>
      <c r="AI48" s="15">
        <f t="shared" si="19"/>
        <v>0</v>
      </c>
      <c r="AJ48" s="17"/>
    </row>
    <row r="49" spans="1:36" x14ac:dyDescent="0.3">
      <c r="A49" s="15" t="s">
        <v>96</v>
      </c>
      <c r="B49" s="15">
        <v>1000</v>
      </c>
      <c r="C49" s="15"/>
      <c r="D49" s="15" t="s">
        <v>55</v>
      </c>
      <c r="E49" s="17">
        <v>0</v>
      </c>
      <c r="F49" s="17">
        <v>0</v>
      </c>
      <c r="G49" s="17">
        <v>0</v>
      </c>
      <c r="H49" s="15">
        <f t="shared" si="10"/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5">
        <f t="shared" si="11"/>
        <v>0</v>
      </c>
      <c r="T49" s="15">
        <f t="shared" si="12"/>
        <v>0</v>
      </c>
      <c r="U49" s="15">
        <f t="shared" si="13"/>
        <v>0</v>
      </c>
      <c r="V49" s="15">
        <f t="shared" si="14"/>
        <v>0</v>
      </c>
      <c r="W49" s="18" t="str">
        <f t="shared" si="15"/>
        <v/>
      </c>
      <c r="X49" s="17">
        <v>0</v>
      </c>
      <c r="Y49" s="17">
        <v>0</v>
      </c>
      <c r="Z49" s="15">
        <f t="shared" si="16"/>
        <v>0</v>
      </c>
      <c r="AA49" s="17">
        <v>0</v>
      </c>
      <c r="AB49" s="17">
        <v>0</v>
      </c>
      <c r="AC49" s="15">
        <f t="shared" si="17"/>
        <v>0</v>
      </c>
      <c r="AD49" s="17">
        <v>0</v>
      </c>
      <c r="AE49" s="17">
        <v>0</v>
      </c>
      <c r="AF49" s="15">
        <f t="shared" si="18"/>
        <v>0</v>
      </c>
      <c r="AG49" s="17">
        <v>0</v>
      </c>
      <c r="AH49" s="17">
        <v>0</v>
      </c>
      <c r="AI49" s="15">
        <f t="shared" si="19"/>
        <v>0</v>
      </c>
      <c r="AJ49" s="17"/>
    </row>
    <row r="50" spans="1:36" x14ac:dyDescent="0.3">
      <c r="A50" s="15" t="s">
        <v>97</v>
      </c>
      <c r="B50" s="15">
        <v>1000</v>
      </c>
      <c r="C50" s="15" t="s">
        <v>54</v>
      </c>
      <c r="D50" s="15" t="s">
        <v>55</v>
      </c>
      <c r="E50" s="15">
        <v>0</v>
      </c>
      <c r="F50" s="15">
        <v>0</v>
      </c>
      <c r="G50" s="15">
        <v>0</v>
      </c>
      <c r="H50" s="15">
        <f t="shared" si="10"/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5">
        <f t="shared" si="11"/>
        <v>0</v>
      </c>
      <c r="T50" s="15">
        <f t="shared" si="12"/>
        <v>0</v>
      </c>
      <c r="U50" s="15">
        <f t="shared" si="13"/>
        <v>0</v>
      </c>
      <c r="V50" s="15">
        <f t="shared" si="14"/>
        <v>0</v>
      </c>
      <c r="W50" s="18" t="str">
        <f t="shared" si="15"/>
        <v/>
      </c>
      <c r="X50" s="17">
        <v>0</v>
      </c>
      <c r="Y50" s="17">
        <v>0</v>
      </c>
      <c r="Z50" s="15">
        <f t="shared" si="16"/>
        <v>0</v>
      </c>
      <c r="AA50" s="17">
        <v>0</v>
      </c>
      <c r="AB50" s="17">
        <v>0</v>
      </c>
      <c r="AC50" s="15">
        <f t="shared" si="17"/>
        <v>0</v>
      </c>
      <c r="AD50" s="17">
        <v>0</v>
      </c>
      <c r="AE50" s="17">
        <v>0</v>
      </c>
      <c r="AF50" s="15">
        <f t="shared" si="18"/>
        <v>0</v>
      </c>
      <c r="AG50" s="17">
        <v>0</v>
      </c>
      <c r="AH50" s="17">
        <v>0</v>
      </c>
      <c r="AI50" s="15">
        <f t="shared" si="19"/>
        <v>0</v>
      </c>
      <c r="AJ50" s="17"/>
    </row>
    <row r="51" spans="1:36" x14ac:dyDescent="0.3">
      <c r="A51" s="15" t="s">
        <v>98</v>
      </c>
      <c r="B51" s="15">
        <v>1000</v>
      </c>
      <c r="C51" s="15" t="s">
        <v>54</v>
      </c>
      <c r="D51" s="15" t="s">
        <v>55</v>
      </c>
      <c r="E51" s="17">
        <v>7</v>
      </c>
      <c r="F51" s="17">
        <v>24</v>
      </c>
      <c r="G51" s="17">
        <v>0</v>
      </c>
      <c r="H51" s="15">
        <f t="shared" si="10"/>
        <v>31</v>
      </c>
      <c r="I51" s="17">
        <v>6</v>
      </c>
      <c r="J51" s="17">
        <v>0</v>
      </c>
      <c r="K51" s="17">
        <v>0</v>
      </c>
      <c r="L51" s="17">
        <v>5</v>
      </c>
      <c r="M51" s="17">
        <v>7</v>
      </c>
      <c r="N51" s="17">
        <v>0</v>
      </c>
      <c r="O51" s="17">
        <v>7</v>
      </c>
      <c r="P51" s="17">
        <v>0</v>
      </c>
      <c r="Q51" s="17">
        <v>0</v>
      </c>
      <c r="R51" s="17">
        <v>0</v>
      </c>
      <c r="S51" s="15">
        <f t="shared" si="11"/>
        <v>20</v>
      </c>
      <c r="T51" s="15">
        <f t="shared" si="12"/>
        <v>3</v>
      </c>
      <c r="U51" s="15">
        <f t="shared" si="13"/>
        <v>17</v>
      </c>
      <c r="V51" s="15">
        <f t="shared" si="14"/>
        <v>0</v>
      </c>
      <c r="W51" s="18" t="str">
        <f t="shared" si="15"/>
        <v/>
      </c>
      <c r="X51" s="17">
        <v>0</v>
      </c>
      <c r="Y51" s="17">
        <v>0</v>
      </c>
      <c r="Z51" s="15">
        <f t="shared" si="16"/>
        <v>0</v>
      </c>
      <c r="AA51" s="17">
        <v>0</v>
      </c>
      <c r="AB51" s="17">
        <v>0</v>
      </c>
      <c r="AC51" s="15">
        <f t="shared" si="17"/>
        <v>0</v>
      </c>
      <c r="AD51" s="17">
        <v>0</v>
      </c>
      <c r="AE51" s="17">
        <v>0</v>
      </c>
      <c r="AF51" s="15">
        <f t="shared" si="18"/>
        <v>0</v>
      </c>
      <c r="AG51" s="17">
        <v>0</v>
      </c>
      <c r="AH51" s="17">
        <v>0</v>
      </c>
      <c r="AI51" s="15">
        <f t="shared" si="19"/>
        <v>0</v>
      </c>
      <c r="AJ51" s="17"/>
    </row>
    <row r="52" spans="1:36" x14ac:dyDescent="0.3">
      <c r="A52" s="15" t="s">
        <v>99</v>
      </c>
      <c r="B52" s="15">
        <v>1000</v>
      </c>
      <c r="C52" s="15" t="s">
        <v>54</v>
      </c>
      <c r="D52" s="15" t="s">
        <v>55</v>
      </c>
      <c r="E52" s="17">
        <v>5</v>
      </c>
      <c r="F52" s="17">
        <v>1</v>
      </c>
      <c r="G52" s="17">
        <v>2</v>
      </c>
      <c r="H52" s="15">
        <f t="shared" si="10"/>
        <v>8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5">
        <f t="shared" si="11"/>
        <v>8</v>
      </c>
      <c r="T52" s="15">
        <f t="shared" si="12"/>
        <v>5</v>
      </c>
      <c r="U52" s="15">
        <f t="shared" si="13"/>
        <v>1</v>
      </c>
      <c r="V52" s="15">
        <f t="shared" si="14"/>
        <v>2</v>
      </c>
      <c r="W52" s="18" t="str">
        <f t="shared" si="15"/>
        <v/>
      </c>
      <c r="X52" s="17">
        <v>0</v>
      </c>
      <c r="Y52" s="17">
        <v>0</v>
      </c>
      <c r="Z52" s="15">
        <f t="shared" si="16"/>
        <v>0</v>
      </c>
      <c r="AA52" s="17">
        <v>0</v>
      </c>
      <c r="AB52" s="17">
        <v>0</v>
      </c>
      <c r="AC52" s="15">
        <f t="shared" si="17"/>
        <v>0</v>
      </c>
      <c r="AD52" s="17">
        <v>0</v>
      </c>
      <c r="AE52" s="17">
        <v>0</v>
      </c>
      <c r="AF52" s="15">
        <f t="shared" si="18"/>
        <v>0</v>
      </c>
      <c r="AG52" s="17">
        <v>0</v>
      </c>
      <c r="AH52" s="17">
        <v>0</v>
      </c>
      <c r="AI52" s="15">
        <f t="shared" si="19"/>
        <v>0</v>
      </c>
      <c r="AJ52" s="17"/>
    </row>
    <row r="53" spans="1:36" x14ac:dyDescent="0.3">
      <c r="A53" s="15" t="s">
        <v>100</v>
      </c>
      <c r="B53" s="15">
        <v>100</v>
      </c>
      <c r="C53" s="15" t="s">
        <v>54</v>
      </c>
      <c r="D53" s="15" t="s">
        <v>68</v>
      </c>
      <c r="E53" s="15">
        <v>0</v>
      </c>
      <c r="F53" s="15">
        <v>0</v>
      </c>
      <c r="G53" s="15">
        <v>0</v>
      </c>
      <c r="H53" s="15">
        <f t="shared" si="10"/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5">
        <f t="shared" si="11"/>
        <v>0</v>
      </c>
      <c r="T53" s="15">
        <f t="shared" si="12"/>
        <v>0</v>
      </c>
      <c r="U53" s="15">
        <f t="shared" si="13"/>
        <v>0</v>
      </c>
      <c r="V53" s="15">
        <f t="shared" si="14"/>
        <v>0</v>
      </c>
      <c r="W53" s="18" t="str">
        <f t="shared" si="15"/>
        <v/>
      </c>
      <c r="X53" s="17">
        <v>0</v>
      </c>
      <c r="Y53" s="17">
        <v>0</v>
      </c>
      <c r="Z53" s="15">
        <f t="shared" si="16"/>
        <v>0</v>
      </c>
      <c r="AA53" s="17">
        <v>0</v>
      </c>
      <c r="AB53" s="17">
        <v>0</v>
      </c>
      <c r="AC53" s="15">
        <f t="shared" si="17"/>
        <v>0</v>
      </c>
      <c r="AD53" s="17">
        <v>0</v>
      </c>
      <c r="AE53" s="17">
        <v>0</v>
      </c>
      <c r="AF53" s="15">
        <f t="shared" si="18"/>
        <v>0</v>
      </c>
      <c r="AG53" s="17">
        <v>0</v>
      </c>
      <c r="AH53" s="17">
        <v>0</v>
      </c>
      <c r="AI53" s="15">
        <f t="shared" si="19"/>
        <v>0</v>
      </c>
      <c r="AJ53" s="17"/>
    </row>
    <row r="54" spans="1:36" x14ac:dyDescent="0.3">
      <c r="A54" s="15" t="s">
        <v>101</v>
      </c>
      <c r="B54" s="15">
        <v>1000</v>
      </c>
      <c r="C54" s="15" t="s">
        <v>54</v>
      </c>
      <c r="D54" s="15" t="s">
        <v>68</v>
      </c>
      <c r="E54" s="15">
        <v>0</v>
      </c>
      <c r="F54" s="15">
        <v>0</v>
      </c>
      <c r="G54" s="15">
        <v>0</v>
      </c>
      <c r="H54" s="15">
        <f t="shared" si="10"/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5">
        <f t="shared" si="11"/>
        <v>0</v>
      </c>
      <c r="T54" s="15">
        <f t="shared" si="12"/>
        <v>0</v>
      </c>
      <c r="U54" s="15">
        <f t="shared" si="13"/>
        <v>0</v>
      </c>
      <c r="V54" s="15">
        <f t="shared" si="14"/>
        <v>0</v>
      </c>
      <c r="W54" s="18" t="str">
        <f t="shared" si="15"/>
        <v/>
      </c>
      <c r="X54" s="17">
        <v>0</v>
      </c>
      <c r="Y54" s="17">
        <v>0</v>
      </c>
      <c r="Z54" s="15">
        <f t="shared" si="16"/>
        <v>0</v>
      </c>
      <c r="AA54" s="17">
        <v>0</v>
      </c>
      <c r="AB54" s="17">
        <v>0</v>
      </c>
      <c r="AC54" s="15">
        <f t="shared" si="17"/>
        <v>0</v>
      </c>
      <c r="AD54" s="17">
        <v>0</v>
      </c>
      <c r="AE54" s="17">
        <v>0</v>
      </c>
      <c r="AF54" s="15">
        <f t="shared" si="18"/>
        <v>0</v>
      </c>
      <c r="AG54" s="17">
        <v>0</v>
      </c>
      <c r="AH54" s="17">
        <v>0</v>
      </c>
      <c r="AI54" s="15">
        <f t="shared" si="19"/>
        <v>0</v>
      </c>
      <c r="AJ54" s="17"/>
    </row>
    <row r="55" spans="1:36" x14ac:dyDescent="0.3">
      <c r="A55" s="15" t="s">
        <v>102</v>
      </c>
      <c r="B55" s="15">
        <v>5000</v>
      </c>
      <c r="C55" s="15" t="s">
        <v>54</v>
      </c>
      <c r="D55" s="15" t="s">
        <v>57</v>
      </c>
      <c r="E55" s="15">
        <v>0</v>
      </c>
      <c r="F55" s="15">
        <v>0</v>
      </c>
      <c r="G55" s="15">
        <v>0</v>
      </c>
      <c r="H55" s="15">
        <f t="shared" si="10"/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5">
        <f t="shared" si="11"/>
        <v>0</v>
      </c>
      <c r="T55" s="15">
        <f t="shared" si="12"/>
        <v>0</v>
      </c>
      <c r="U55" s="15">
        <f t="shared" si="13"/>
        <v>0</v>
      </c>
      <c r="V55" s="15">
        <f t="shared" si="14"/>
        <v>0</v>
      </c>
      <c r="W55" s="18" t="str">
        <f t="shared" si="15"/>
        <v/>
      </c>
      <c r="X55" s="17">
        <v>0</v>
      </c>
      <c r="Y55" s="17">
        <v>0</v>
      </c>
      <c r="Z55" s="15">
        <f t="shared" si="16"/>
        <v>0</v>
      </c>
      <c r="AA55" s="17">
        <v>0</v>
      </c>
      <c r="AB55" s="17">
        <v>0</v>
      </c>
      <c r="AC55" s="15">
        <f t="shared" si="17"/>
        <v>0</v>
      </c>
      <c r="AD55" s="17">
        <v>0</v>
      </c>
      <c r="AE55" s="17">
        <v>0</v>
      </c>
      <c r="AF55" s="15">
        <f t="shared" si="18"/>
        <v>0</v>
      </c>
      <c r="AG55" s="17">
        <v>0</v>
      </c>
      <c r="AH55" s="17">
        <v>0</v>
      </c>
      <c r="AI55" s="15">
        <f t="shared" si="19"/>
        <v>0</v>
      </c>
      <c r="AJ55" s="17"/>
    </row>
    <row r="56" spans="1:36" x14ac:dyDescent="0.3">
      <c r="A56" s="15" t="s">
        <v>103</v>
      </c>
      <c r="B56" s="15">
        <v>1000</v>
      </c>
      <c r="C56" s="15" t="s">
        <v>54</v>
      </c>
      <c r="D56" s="15" t="s">
        <v>68</v>
      </c>
      <c r="E56" s="15">
        <v>0</v>
      </c>
      <c r="F56" s="15">
        <v>0</v>
      </c>
      <c r="G56" s="15">
        <v>0</v>
      </c>
      <c r="H56" s="15">
        <f t="shared" si="10"/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5">
        <f t="shared" si="11"/>
        <v>0</v>
      </c>
      <c r="T56" s="15">
        <f t="shared" si="12"/>
        <v>0</v>
      </c>
      <c r="U56" s="15">
        <f t="shared" si="13"/>
        <v>0</v>
      </c>
      <c r="V56" s="15">
        <f t="shared" si="14"/>
        <v>0</v>
      </c>
      <c r="W56" s="18" t="str">
        <f t="shared" si="15"/>
        <v/>
      </c>
      <c r="X56" s="17">
        <v>0</v>
      </c>
      <c r="Y56" s="17">
        <v>0</v>
      </c>
      <c r="Z56" s="15">
        <f t="shared" si="16"/>
        <v>0</v>
      </c>
      <c r="AA56" s="17">
        <v>0</v>
      </c>
      <c r="AB56" s="17">
        <v>0</v>
      </c>
      <c r="AC56" s="15">
        <f t="shared" si="17"/>
        <v>0</v>
      </c>
      <c r="AD56" s="17">
        <v>0</v>
      </c>
      <c r="AE56" s="17">
        <v>0</v>
      </c>
      <c r="AF56" s="15">
        <f t="shared" si="18"/>
        <v>0</v>
      </c>
      <c r="AG56" s="17">
        <v>0</v>
      </c>
      <c r="AH56" s="17">
        <v>0</v>
      </c>
      <c r="AI56" s="15">
        <f t="shared" si="19"/>
        <v>0</v>
      </c>
      <c r="AJ56" s="17"/>
    </row>
    <row r="57" spans="1:36" x14ac:dyDescent="0.3">
      <c r="A57" s="15" t="s">
        <v>104</v>
      </c>
      <c r="B57" s="15">
        <v>1000</v>
      </c>
      <c r="C57" s="15" t="s">
        <v>54</v>
      </c>
      <c r="D57" s="15" t="s">
        <v>55</v>
      </c>
      <c r="E57" s="17">
        <v>0</v>
      </c>
      <c r="F57" s="17">
        <v>2</v>
      </c>
      <c r="G57" s="17">
        <v>0</v>
      </c>
      <c r="H57" s="15">
        <f t="shared" si="10"/>
        <v>2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5">
        <f t="shared" si="11"/>
        <v>2</v>
      </c>
      <c r="T57" s="15">
        <f t="shared" si="12"/>
        <v>0</v>
      </c>
      <c r="U57" s="15">
        <f t="shared" si="13"/>
        <v>2</v>
      </c>
      <c r="V57" s="15">
        <f t="shared" si="14"/>
        <v>0</v>
      </c>
      <c r="W57" s="18" t="str">
        <f t="shared" si="15"/>
        <v/>
      </c>
      <c r="X57" s="17">
        <v>0</v>
      </c>
      <c r="Y57" s="17">
        <v>0</v>
      </c>
      <c r="Z57" s="15">
        <f t="shared" si="16"/>
        <v>0</v>
      </c>
      <c r="AA57" s="17">
        <v>0</v>
      </c>
      <c r="AB57" s="17">
        <v>0</v>
      </c>
      <c r="AC57" s="15">
        <f t="shared" si="17"/>
        <v>0</v>
      </c>
      <c r="AD57" s="17">
        <v>0</v>
      </c>
      <c r="AE57" s="17">
        <v>0</v>
      </c>
      <c r="AF57" s="15">
        <f t="shared" si="18"/>
        <v>0</v>
      </c>
      <c r="AG57" s="17">
        <v>0</v>
      </c>
      <c r="AH57" s="17">
        <v>0</v>
      </c>
      <c r="AI57" s="15">
        <f t="shared" si="19"/>
        <v>0</v>
      </c>
      <c r="AJ57" s="17"/>
    </row>
    <row r="58" spans="1:36" x14ac:dyDescent="0.3">
      <c r="A58" s="15" t="s">
        <v>105</v>
      </c>
      <c r="B58" s="15">
        <v>100000</v>
      </c>
      <c r="C58" s="15" t="s">
        <v>54</v>
      </c>
      <c r="D58" s="15" t="s">
        <v>68</v>
      </c>
      <c r="E58" s="15">
        <v>0</v>
      </c>
      <c r="F58" s="15">
        <v>0</v>
      </c>
      <c r="G58" s="15">
        <v>0</v>
      </c>
      <c r="H58" s="15">
        <f t="shared" si="10"/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5">
        <f t="shared" si="11"/>
        <v>0</v>
      </c>
      <c r="T58" s="15">
        <f t="shared" si="12"/>
        <v>0</v>
      </c>
      <c r="U58" s="15">
        <f t="shared" si="13"/>
        <v>0</v>
      </c>
      <c r="V58" s="15">
        <f t="shared" si="14"/>
        <v>0</v>
      </c>
      <c r="W58" s="18" t="str">
        <f t="shared" si="15"/>
        <v/>
      </c>
      <c r="X58" s="17">
        <v>0</v>
      </c>
      <c r="Y58" s="17">
        <v>0</v>
      </c>
      <c r="Z58" s="15">
        <f t="shared" si="16"/>
        <v>0</v>
      </c>
      <c r="AA58" s="17">
        <v>0</v>
      </c>
      <c r="AB58" s="17">
        <v>0</v>
      </c>
      <c r="AC58" s="15">
        <f t="shared" si="17"/>
        <v>0</v>
      </c>
      <c r="AD58" s="17">
        <v>0</v>
      </c>
      <c r="AE58" s="17">
        <v>0</v>
      </c>
      <c r="AF58" s="15">
        <f t="shared" si="18"/>
        <v>0</v>
      </c>
      <c r="AG58" s="17">
        <v>0</v>
      </c>
      <c r="AH58" s="17">
        <v>0</v>
      </c>
      <c r="AI58" s="15">
        <f t="shared" si="19"/>
        <v>0</v>
      </c>
      <c r="AJ58" s="17"/>
    </row>
    <row r="59" spans="1:36" x14ac:dyDescent="0.3">
      <c r="A59" s="15" t="s">
        <v>106</v>
      </c>
      <c r="B59" s="15">
        <v>100</v>
      </c>
      <c r="C59" s="15" t="s">
        <v>54</v>
      </c>
      <c r="D59" s="15" t="s">
        <v>55</v>
      </c>
      <c r="E59" s="17">
        <v>0</v>
      </c>
      <c r="F59" s="17">
        <v>0</v>
      </c>
      <c r="G59" s="17">
        <v>6</v>
      </c>
      <c r="H59" s="15">
        <f t="shared" si="10"/>
        <v>6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5">
        <f t="shared" si="11"/>
        <v>6</v>
      </c>
      <c r="T59" s="15">
        <f t="shared" si="12"/>
        <v>0</v>
      </c>
      <c r="U59" s="15">
        <f t="shared" si="13"/>
        <v>0</v>
      </c>
      <c r="V59" s="15">
        <f t="shared" si="14"/>
        <v>6</v>
      </c>
      <c r="W59" s="18" t="str">
        <f t="shared" si="15"/>
        <v/>
      </c>
      <c r="X59" s="17">
        <v>0</v>
      </c>
      <c r="Y59" s="17">
        <v>0</v>
      </c>
      <c r="Z59" s="15">
        <f t="shared" si="16"/>
        <v>0</v>
      </c>
      <c r="AA59" s="17">
        <v>0</v>
      </c>
      <c r="AB59" s="17">
        <v>0</v>
      </c>
      <c r="AC59" s="15">
        <f t="shared" si="17"/>
        <v>0</v>
      </c>
      <c r="AD59" s="17">
        <v>0</v>
      </c>
      <c r="AE59" s="17">
        <v>0</v>
      </c>
      <c r="AF59" s="15">
        <f t="shared" si="18"/>
        <v>0</v>
      </c>
      <c r="AG59" s="17">
        <v>0</v>
      </c>
      <c r="AH59" s="17">
        <v>0</v>
      </c>
      <c r="AI59" s="15">
        <f t="shared" si="19"/>
        <v>0</v>
      </c>
      <c r="AJ59" s="17"/>
    </row>
    <row r="60" spans="1:36" x14ac:dyDescent="0.3">
      <c r="A60" s="15" t="s">
        <v>107</v>
      </c>
      <c r="B60" s="15">
        <v>100000</v>
      </c>
      <c r="C60" s="15" t="s">
        <v>54</v>
      </c>
      <c r="D60" s="15" t="s">
        <v>68</v>
      </c>
      <c r="E60" s="15">
        <v>0</v>
      </c>
      <c r="F60" s="15">
        <v>0</v>
      </c>
      <c r="G60" s="15">
        <v>0</v>
      </c>
      <c r="H60" s="15">
        <f t="shared" si="10"/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5">
        <f t="shared" si="11"/>
        <v>0</v>
      </c>
      <c r="T60" s="15">
        <f t="shared" si="12"/>
        <v>0</v>
      </c>
      <c r="U60" s="15">
        <f t="shared" si="13"/>
        <v>0</v>
      </c>
      <c r="V60" s="15">
        <f t="shared" si="14"/>
        <v>0</v>
      </c>
      <c r="W60" s="18" t="str">
        <f t="shared" si="15"/>
        <v/>
      </c>
      <c r="X60" s="17">
        <v>0</v>
      </c>
      <c r="Y60" s="17">
        <v>0</v>
      </c>
      <c r="Z60" s="15">
        <f t="shared" si="16"/>
        <v>0</v>
      </c>
      <c r="AA60" s="17">
        <v>0</v>
      </c>
      <c r="AB60" s="17">
        <v>0</v>
      </c>
      <c r="AC60" s="15">
        <f t="shared" si="17"/>
        <v>0</v>
      </c>
      <c r="AD60" s="17">
        <v>0</v>
      </c>
      <c r="AE60" s="17">
        <v>0</v>
      </c>
      <c r="AF60" s="15">
        <f t="shared" si="18"/>
        <v>0</v>
      </c>
      <c r="AG60" s="17">
        <v>0</v>
      </c>
      <c r="AH60" s="17">
        <v>0</v>
      </c>
      <c r="AI60" s="15">
        <f t="shared" si="19"/>
        <v>0</v>
      </c>
      <c r="AJ60" s="17"/>
    </row>
    <row r="61" spans="1:36" x14ac:dyDescent="0.3">
      <c r="A61" s="15" t="s">
        <v>108</v>
      </c>
      <c r="B61" s="15">
        <v>100</v>
      </c>
      <c r="C61" s="15" t="s">
        <v>54</v>
      </c>
      <c r="D61" s="15" t="s">
        <v>68</v>
      </c>
      <c r="E61" s="15">
        <v>0</v>
      </c>
      <c r="F61" s="15">
        <v>0</v>
      </c>
      <c r="G61" s="15">
        <v>0</v>
      </c>
      <c r="H61" s="15">
        <f t="shared" si="10"/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5">
        <f t="shared" si="11"/>
        <v>0</v>
      </c>
      <c r="T61" s="15">
        <f t="shared" si="12"/>
        <v>0</v>
      </c>
      <c r="U61" s="15">
        <f t="shared" si="13"/>
        <v>0</v>
      </c>
      <c r="V61" s="15">
        <f t="shared" si="14"/>
        <v>0</v>
      </c>
      <c r="W61" s="18" t="str">
        <f t="shared" si="15"/>
        <v/>
      </c>
      <c r="X61" s="17">
        <v>0</v>
      </c>
      <c r="Y61" s="17">
        <v>0</v>
      </c>
      <c r="Z61" s="15">
        <f t="shared" si="16"/>
        <v>0</v>
      </c>
      <c r="AA61" s="17">
        <v>0</v>
      </c>
      <c r="AB61" s="17">
        <v>0</v>
      </c>
      <c r="AC61" s="15">
        <f t="shared" si="17"/>
        <v>0</v>
      </c>
      <c r="AD61" s="17">
        <v>0</v>
      </c>
      <c r="AE61" s="17">
        <v>0</v>
      </c>
      <c r="AF61" s="15">
        <f t="shared" si="18"/>
        <v>0</v>
      </c>
      <c r="AG61" s="17">
        <v>0</v>
      </c>
      <c r="AH61" s="17">
        <v>0</v>
      </c>
      <c r="AI61" s="15">
        <f t="shared" si="19"/>
        <v>0</v>
      </c>
      <c r="AJ61" s="17"/>
    </row>
    <row r="62" spans="1:36" x14ac:dyDescent="0.3">
      <c r="A62" s="15" t="s">
        <v>109</v>
      </c>
      <c r="B62" s="15">
        <v>0</v>
      </c>
      <c r="C62" s="15" t="s">
        <v>110</v>
      </c>
      <c r="D62" s="15" t="s">
        <v>55</v>
      </c>
      <c r="E62" s="15">
        <v>0</v>
      </c>
      <c r="F62" s="15">
        <v>0</v>
      </c>
      <c r="G62" s="15">
        <v>0</v>
      </c>
      <c r="H62" s="15">
        <f t="shared" si="10"/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5">
        <f t="shared" si="11"/>
        <v>0</v>
      </c>
      <c r="T62" s="15">
        <f t="shared" si="12"/>
        <v>0</v>
      </c>
      <c r="U62" s="15">
        <f t="shared" si="13"/>
        <v>0</v>
      </c>
      <c r="V62" s="15">
        <f t="shared" si="14"/>
        <v>0</v>
      </c>
      <c r="W62" s="18" t="str">
        <f t="shared" si="15"/>
        <v/>
      </c>
      <c r="X62" s="17">
        <v>0</v>
      </c>
      <c r="Y62" s="17">
        <v>0</v>
      </c>
      <c r="Z62" s="15">
        <f t="shared" si="16"/>
        <v>0</v>
      </c>
      <c r="AA62" s="17">
        <v>0</v>
      </c>
      <c r="AB62" s="17">
        <v>0</v>
      </c>
      <c r="AC62" s="15">
        <f t="shared" si="17"/>
        <v>0</v>
      </c>
      <c r="AD62" s="17">
        <v>0</v>
      </c>
      <c r="AE62" s="17">
        <v>0</v>
      </c>
      <c r="AF62" s="15">
        <f t="shared" si="18"/>
        <v>0</v>
      </c>
      <c r="AG62" s="17">
        <v>0</v>
      </c>
      <c r="AH62" s="17">
        <v>0</v>
      </c>
      <c r="AI62" s="15">
        <f t="shared" si="19"/>
        <v>0</v>
      </c>
      <c r="AJ62" s="17"/>
    </row>
    <row r="63" spans="1:36" x14ac:dyDescent="0.3">
      <c r="A63" s="15" t="s">
        <v>111</v>
      </c>
      <c r="B63" s="15">
        <v>1000</v>
      </c>
      <c r="C63" s="15" t="s">
        <v>54</v>
      </c>
      <c r="D63" s="15" t="s">
        <v>68</v>
      </c>
      <c r="E63" s="15">
        <v>0</v>
      </c>
      <c r="F63" s="15">
        <v>0</v>
      </c>
      <c r="G63" s="15">
        <v>0</v>
      </c>
      <c r="H63" s="15">
        <f t="shared" si="10"/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5">
        <f t="shared" si="11"/>
        <v>0</v>
      </c>
      <c r="T63" s="15">
        <f t="shared" si="12"/>
        <v>0</v>
      </c>
      <c r="U63" s="15">
        <f t="shared" si="13"/>
        <v>0</v>
      </c>
      <c r="V63" s="15">
        <f t="shared" si="14"/>
        <v>0</v>
      </c>
      <c r="W63" s="18" t="str">
        <f t="shared" si="15"/>
        <v/>
      </c>
      <c r="X63" s="17">
        <v>0</v>
      </c>
      <c r="Y63" s="17">
        <v>0</v>
      </c>
      <c r="Z63" s="15">
        <f t="shared" si="16"/>
        <v>0</v>
      </c>
      <c r="AA63" s="17">
        <v>0</v>
      </c>
      <c r="AB63" s="17">
        <v>0</v>
      </c>
      <c r="AC63" s="15">
        <f t="shared" si="17"/>
        <v>0</v>
      </c>
      <c r="AD63" s="17">
        <v>0</v>
      </c>
      <c r="AE63" s="17">
        <v>0</v>
      </c>
      <c r="AF63" s="15">
        <f t="shared" si="18"/>
        <v>0</v>
      </c>
      <c r="AG63" s="17">
        <v>0</v>
      </c>
      <c r="AH63" s="17">
        <v>0</v>
      </c>
      <c r="AI63" s="15">
        <f t="shared" si="19"/>
        <v>0</v>
      </c>
      <c r="AJ63" s="17"/>
    </row>
    <row r="64" spans="1:36" x14ac:dyDescent="0.3">
      <c r="A64" s="15" t="s">
        <v>112</v>
      </c>
      <c r="B64" s="15">
        <v>1000</v>
      </c>
      <c r="C64" s="15" t="s">
        <v>54</v>
      </c>
      <c r="D64" s="15" t="s">
        <v>68</v>
      </c>
      <c r="E64" s="15">
        <v>0</v>
      </c>
      <c r="F64" s="15">
        <v>0</v>
      </c>
      <c r="G64" s="15">
        <v>0</v>
      </c>
      <c r="H64" s="15">
        <f t="shared" si="10"/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5">
        <f t="shared" si="11"/>
        <v>0</v>
      </c>
      <c r="T64" s="15">
        <f t="shared" si="12"/>
        <v>0</v>
      </c>
      <c r="U64" s="15">
        <f t="shared" si="13"/>
        <v>0</v>
      </c>
      <c r="V64" s="15">
        <f t="shared" si="14"/>
        <v>0</v>
      </c>
      <c r="W64" s="18" t="str">
        <f t="shared" si="15"/>
        <v/>
      </c>
      <c r="X64" s="17">
        <v>0</v>
      </c>
      <c r="Y64" s="17">
        <v>0</v>
      </c>
      <c r="Z64" s="15">
        <f t="shared" si="16"/>
        <v>0</v>
      </c>
      <c r="AA64" s="17">
        <v>0</v>
      </c>
      <c r="AB64" s="17">
        <v>0</v>
      </c>
      <c r="AC64" s="15">
        <f t="shared" si="17"/>
        <v>0</v>
      </c>
      <c r="AD64" s="17">
        <v>0</v>
      </c>
      <c r="AE64" s="17">
        <v>0</v>
      </c>
      <c r="AF64" s="15">
        <f t="shared" si="18"/>
        <v>0</v>
      </c>
      <c r="AG64" s="17">
        <v>0</v>
      </c>
      <c r="AH64" s="17">
        <v>0</v>
      </c>
      <c r="AI64" s="15">
        <f t="shared" si="19"/>
        <v>0</v>
      </c>
      <c r="AJ64" s="17"/>
    </row>
    <row r="65" spans="1:36" x14ac:dyDescent="0.3">
      <c r="A65" s="15" t="s">
        <v>113</v>
      </c>
      <c r="B65" s="15">
        <v>1000</v>
      </c>
      <c r="C65" s="15" t="s">
        <v>54</v>
      </c>
      <c r="D65" s="15" t="s">
        <v>68</v>
      </c>
      <c r="E65" s="15">
        <v>0</v>
      </c>
      <c r="F65" s="15">
        <v>0</v>
      </c>
      <c r="G65" s="15">
        <v>0</v>
      </c>
      <c r="H65" s="15">
        <f t="shared" si="10"/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5">
        <f t="shared" si="11"/>
        <v>0</v>
      </c>
      <c r="T65" s="15">
        <f t="shared" si="12"/>
        <v>0</v>
      </c>
      <c r="U65" s="15">
        <f t="shared" si="13"/>
        <v>0</v>
      </c>
      <c r="V65" s="15">
        <f t="shared" si="14"/>
        <v>0</v>
      </c>
      <c r="W65" s="18" t="str">
        <f t="shared" si="15"/>
        <v/>
      </c>
      <c r="X65" s="17">
        <v>0</v>
      </c>
      <c r="Y65" s="17">
        <v>0</v>
      </c>
      <c r="Z65" s="15">
        <f t="shared" si="16"/>
        <v>0</v>
      </c>
      <c r="AA65" s="17">
        <v>0</v>
      </c>
      <c r="AB65" s="17">
        <v>0</v>
      </c>
      <c r="AC65" s="15">
        <f t="shared" si="17"/>
        <v>0</v>
      </c>
      <c r="AD65" s="17">
        <v>0</v>
      </c>
      <c r="AE65" s="17">
        <v>0</v>
      </c>
      <c r="AF65" s="15">
        <f t="shared" si="18"/>
        <v>0</v>
      </c>
      <c r="AG65" s="17">
        <v>0</v>
      </c>
      <c r="AH65" s="17">
        <v>0</v>
      </c>
      <c r="AI65" s="15">
        <f t="shared" si="19"/>
        <v>0</v>
      </c>
      <c r="AJ65" s="17"/>
    </row>
    <row r="66" spans="1:36" x14ac:dyDescent="0.3">
      <c r="A66" s="15" t="s">
        <v>114</v>
      </c>
      <c r="B66" s="15">
        <v>100</v>
      </c>
      <c r="C66" s="15" t="s">
        <v>54</v>
      </c>
      <c r="D66" s="15" t="s">
        <v>57</v>
      </c>
      <c r="E66" s="15">
        <v>0</v>
      </c>
      <c r="F66" s="15">
        <v>0</v>
      </c>
      <c r="G66" s="15">
        <v>0</v>
      </c>
      <c r="H66" s="15">
        <f t="shared" si="10"/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5">
        <f t="shared" si="11"/>
        <v>0</v>
      </c>
      <c r="T66" s="15">
        <f t="shared" si="12"/>
        <v>0</v>
      </c>
      <c r="U66" s="15">
        <f t="shared" si="13"/>
        <v>0</v>
      </c>
      <c r="V66" s="15">
        <f t="shared" si="14"/>
        <v>0</v>
      </c>
      <c r="W66" s="18" t="str">
        <f t="shared" si="15"/>
        <v/>
      </c>
      <c r="X66" s="17">
        <v>0</v>
      </c>
      <c r="Y66" s="17">
        <v>0</v>
      </c>
      <c r="Z66" s="15">
        <f t="shared" si="16"/>
        <v>0</v>
      </c>
      <c r="AA66" s="17">
        <v>0</v>
      </c>
      <c r="AB66" s="17">
        <v>0</v>
      </c>
      <c r="AC66" s="15">
        <f t="shared" si="17"/>
        <v>0</v>
      </c>
      <c r="AD66" s="17">
        <v>0</v>
      </c>
      <c r="AE66" s="17">
        <v>0</v>
      </c>
      <c r="AF66" s="15">
        <f t="shared" si="18"/>
        <v>0</v>
      </c>
      <c r="AG66" s="17">
        <v>0</v>
      </c>
      <c r="AH66" s="17">
        <v>0</v>
      </c>
      <c r="AI66" s="15">
        <f t="shared" si="19"/>
        <v>0</v>
      </c>
      <c r="AJ66" s="17"/>
    </row>
    <row r="67" spans="1:36" x14ac:dyDescent="0.3">
      <c r="A67" s="15" t="s">
        <v>115</v>
      </c>
      <c r="B67" s="15">
        <v>1000</v>
      </c>
      <c r="C67" s="15" t="s">
        <v>54</v>
      </c>
      <c r="D67" s="15" t="s">
        <v>55</v>
      </c>
      <c r="E67" s="17">
        <v>2</v>
      </c>
      <c r="F67" s="17">
        <v>0</v>
      </c>
      <c r="G67" s="17">
        <v>0</v>
      </c>
      <c r="H67" s="15">
        <f t="shared" ref="H67:H98" si="20">E67+F67+G67</f>
        <v>2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5">
        <f t="shared" ref="S67:S98" si="21">H67+O67+P67+Q67+R67-(I67+J67+K67+L67+M67+N67)</f>
        <v>2</v>
      </c>
      <c r="T67" s="15">
        <f t="shared" ref="T67:T98" si="22">E67+O67-I67-L67</f>
        <v>2</v>
      </c>
      <c r="U67" s="15">
        <f t="shared" ref="U67:U98" si="23">F67+P67-J67-M67</f>
        <v>0</v>
      </c>
      <c r="V67" s="15">
        <f t="shared" ref="V67:V98" si="24">G67+Q67-K67-N67</f>
        <v>0</v>
      </c>
      <c r="W67" s="18" t="str">
        <f t="shared" ref="W67:W98" si="25">IF(MIN(T67,U67,V67)&lt;0,"NEGATIVE STOCK - CHECK ENTRIES","")</f>
        <v/>
      </c>
      <c r="X67" s="17">
        <v>0</v>
      </c>
      <c r="Y67" s="17">
        <v>0</v>
      </c>
      <c r="Z67" s="15">
        <f t="shared" ref="Z67:Z98" si="26">X67-Y67</f>
        <v>0</v>
      </c>
      <c r="AA67" s="17">
        <v>0</v>
      </c>
      <c r="AB67" s="17">
        <v>0</v>
      </c>
      <c r="AC67" s="15">
        <f t="shared" ref="AC67:AC98" si="27">AA67-AB67</f>
        <v>0</v>
      </c>
      <c r="AD67" s="17">
        <v>0</v>
      </c>
      <c r="AE67" s="17">
        <v>0</v>
      </c>
      <c r="AF67" s="15">
        <f t="shared" ref="AF67:AF98" si="28">AD67-AE67</f>
        <v>0</v>
      </c>
      <c r="AG67" s="17">
        <v>0</v>
      </c>
      <c r="AH67" s="17">
        <v>0</v>
      </c>
      <c r="AI67" s="15">
        <f t="shared" ref="AI67:AI98" si="29">AG67-AH67</f>
        <v>0</v>
      </c>
      <c r="AJ67" s="17"/>
    </row>
    <row r="68" spans="1:36" x14ac:dyDescent="0.3">
      <c r="A68" s="15" t="s">
        <v>116</v>
      </c>
      <c r="B68" s="15">
        <v>5000</v>
      </c>
      <c r="C68" s="15" t="s">
        <v>54</v>
      </c>
      <c r="D68" s="15" t="s">
        <v>68</v>
      </c>
      <c r="E68" s="15">
        <v>0</v>
      </c>
      <c r="F68" s="15">
        <v>0</v>
      </c>
      <c r="G68" s="15">
        <v>0</v>
      </c>
      <c r="H68" s="15">
        <f t="shared" si="20"/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5">
        <f t="shared" si="21"/>
        <v>0</v>
      </c>
      <c r="T68" s="15">
        <f t="shared" si="22"/>
        <v>0</v>
      </c>
      <c r="U68" s="15">
        <f t="shared" si="23"/>
        <v>0</v>
      </c>
      <c r="V68" s="15">
        <f t="shared" si="24"/>
        <v>0</v>
      </c>
      <c r="W68" s="18" t="str">
        <f t="shared" si="25"/>
        <v/>
      </c>
      <c r="X68" s="17">
        <v>0</v>
      </c>
      <c r="Y68" s="17">
        <v>0</v>
      </c>
      <c r="Z68" s="15">
        <f t="shared" si="26"/>
        <v>0</v>
      </c>
      <c r="AA68" s="17">
        <v>0</v>
      </c>
      <c r="AB68" s="17">
        <v>0</v>
      </c>
      <c r="AC68" s="15">
        <f t="shared" si="27"/>
        <v>0</v>
      </c>
      <c r="AD68" s="17">
        <v>0</v>
      </c>
      <c r="AE68" s="17">
        <v>0</v>
      </c>
      <c r="AF68" s="15">
        <f t="shared" si="28"/>
        <v>0</v>
      </c>
      <c r="AG68" s="17">
        <v>0</v>
      </c>
      <c r="AH68" s="17">
        <v>0</v>
      </c>
      <c r="AI68" s="15">
        <f t="shared" si="29"/>
        <v>0</v>
      </c>
      <c r="AJ68" s="17"/>
    </row>
    <row r="69" spans="1:36" x14ac:dyDescent="0.3">
      <c r="A69" s="15" t="s">
        <v>117</v>
      </c>
      <c r="B69" s="15">
        <v>100</v>
      </c>
      <c r="C69" s="15" t="s">
        <v>54</v>
      </c>
      <c r="D69" s="15" t="s">
        <v>57</v>
      </c>
      <c r="E69" s="15">
        <v>0</v>
      </c>
      <c r="F69" s="15">
        <v>0</v>
      </c>
      <c r="G69" s="15">
        <v>0</v>
      </c>
      <c r="H69" s="15">
        <f t="shared" si="20"/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5">
        <f t="shared" si="21"/>
        <v>0</v>
      </c>
      <c r="T69" s="15">
        <f t="shared" si="22"/>
        <v>0</v>
      </c>
      <c r="U69" s="15">
        <f t="shared" si="23"/>
        <v>0</v>
      </c>
      <c r="V69" s="15">
        <f t="shared" si="24"/>
        <v>0</v>
      </c>
      <c r="W69" s="18" t="str">
        <f t="shared" si="25"/>
        <v/>
      </c>
      <c r="X69" s="17">
        <v>0</v>
      </c>
      <c r="Y69" s="17">
        <v>0</v>
      </c>
      <c r="Z69" s="15">
        <f t="shared" si="26"/>
        <v>0</v>
      </c>
      <c r="AA69" s="17">
        <v>0</v>
      </c>
      <c r="AB69" s="17">
        <v>0</v>
      </c>
      <c r="AC69" s="15">
        <f t="shared" si="27"/>
        <v>0</v>
      </c>
      <c r="AD69" s="17">
        <v>0</v>
      </c>
      <c r="AE69" s="17">
        <v>0</v>
      </c>
      <c r="AF69" s="15">
        <f t="shared" si="28"/>
        <v>0</v>
      </c>
      <c r="AG69" s="17">
        <v>0</v>
      </c>
      <c r="AH69" s="17">
        <v>0</v>
      </c>
      <c r="AI69" s="15">
        <f t="shared" si="29"/>
        <v>0</v>
      </c>
      <c r="AJ69" s="17"/>
    </row>
    <row r="70" spans="1:36" x14ac:dyDescent="0.3">
      <c r="A70" s="15" t="s">
        <v>118</v>
      </c>
      <c r="B70" s="15">
        <v>5000</v>
      </c>
      <c r="C70" s="15" t="s">
        <v>54</v>
      </c>
      <c r="D70" s="15" t="s">
        <v>68</v>
      </c>
      <c r="E70" s="15">
        <v>0</v>
      </c>
      <c r="F70" s="15">
        <v>0</v>
      </c>
      <c r="G70" s="15">
        <v>0</v>
      </c>
      <c r="H70" s="15">
        <f t="shared" si="20"/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5">
        <f t="shared" si="21"/>
        <v>0</v>
      </c>
      <c r="T70" s="15">
        <f t="shared" si="22"/>
        <v>0</v>
      </c>
      <c r="U70" s="15">
        <f t="shared" si="23"/>
        <v>0</v>
      </c>
      <c r="V70" s="15">
        <f t="shared" si="24"/>
        <v>0</v>
      </c>
      <c r="W70" s="18" t="str">
        <f t="shared" si="25"/>
        <v/>
      </c>
      <c r="X70" s="17">
        <v>0</v>
      </c>
      <c r="Y70" s="17">
        <v>0</v>
      </c>
      <c r="Z70" s="15">
        <f t="shared" si="26"/>
        <v>0</v>
      </c>
      <c r="AA70" s="17">
        <v>0</v>
      </c>
      <c r="AB70" s="17">
        <v>0</v>
      </c>
      <c r="AC70" s="15">
        <f t="shared" si="27"/>
        <v>0</v>
      </c>
      <c r="AD70" s="17">
        <v>0</v>
      </c>
      <c r="AE70" s="17">
        <v>0</v>
      </c>
      <c r="AF70" s="15">
        <f t="shared" si="28"/>
        <v>0</v>
      </c>
      <c r="AG70" s="17">
        <v>0</v>
      </c>
      <c r="AH70" s="17">
        <v>0</v>
      </c>
      <c r="AI70" s="15">
        <f t="shared" si="29"/>
        <v>0</v>
      </c>
      <c r="AJ70" s="17"/>
    </row>
    <row r="71" spans="1:36" x14ac:dyDescent="0.3">
      <c r="A71" s="15" t="s">
        <v>119</v>
      </c>
      <c r="B71" s="15">
        <v>100</v>
      </c>
      <c r="C71" s="15" t="s">
        <v>54</v>
      </c>
      <c r="D71" s="15" t="s">
        <v>68</v>
      </c>
      <c r="E71" s="15">
        <v>0</v>
      </c>
      <c r="F71" s="15">
        <v>0</v>
      </c>
      <c r="G71" s="15">
        <v>0</v>
      </c>
      <c r="H71" s="15">
        <f t="shared" si="20"/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5">
        <f t="shared" si="21"/>
        <v>0</v>
      </c>
      <c r="T71" s="15">
        <f t="shared" si="22"/>
        <v>0</v>
      </c>
      <c r="U71" s="15">
        <f t="shared" si="23"/>
        <v>0</v>
      </c>
      <c r="V71" s="15">
        <f t="shared" si="24"/>
        <v>0</v>
      </c>
      <c r="W71" s="18" t="str">
        <f t="shared" si="25"/>
        <v/>
      </c>
      <c r="X71" s="17">
        <v>0</v>
      </c>
      <c r="Y71" s="17">
        <v>0</v>
      </c>
      <c r="Z71" s="15">
        <f t="shared" si="26"/>
        <v>0</v>
      </c>
      <c r="AA71" s="17">
        <v>0</v>
      </c>
      <c r="AB71" s="17">
        <v>0</v>
      </c>
      <c r="AC71" s="15">
        <f t="shared" si="27"/>
        <v>0</v>
      </c>
      <c r="AD71" s="17">
        <v>0</v>
      </c>
      <c r="AE71" s="17">
        <v>0</v>
      </c>
      <c r="AF71" s="15">
        <f t="shared" si="28"/>
        <v>0</v>
      </c>
      <c r="AG71" s="17">
        <v>0</v>
      </c>
      <c r="AH71" s="17">
        <v>0</v>
      </c>
      <c r="AI71" s="15">
        <f t="shared" si="29"/>
        <v>0</v>
      </c>
      <c r="AJ71" s="17"/>
    </row>
    <row r="72" spans="1:36" x14ac:dyDescent="0.3">
      <c r="A72" s="15" t="s">
        <v>120</v>
      </c>
      <c r="B72" s="15">
        <v>100</v>
      </c>
      <c r="C72" s="15" t="s">
        <v>54</v>
      </c>
      <c r="D72" s="15" t="s">
        <v>57</v>
      </c>
      <c r="E72" s="15">
        <v>0</v>
      </c>
      <c r="F72" s="15">
        <v>0</v>
      </c>
      <c r="G72" s="15">
        <v>0</v>
      </c>
      <c r="H72" s="15">
        <f t="shared" si="20"/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5">
        <f t="shared" si="21"/>
        <v>0</v>
      </c>
      <c r="T72" s="15">
        <f t="shared" si="22"/>
        <v>0</v>
      </c>
      <c r="U72" s="15">
        <f t="shared" si="23"/>
        <v>0</v>
      </c>
      <c r="V72" s="15">
        <f t="shared" si="24"/>
        <v>0</v>
      </c>
      <c r="W72" s="18" t="str">
        <f t="shared" si="25"/>
        <v/>
      </c>
      <c r="X72" s="17">
        <v>0</v>
      </c>
      <c r="Y72" s="17">
        <v>0</v>
      </c>
      <c r="Z72" s="15">
        <f t="shared" si="26"/>
        <v>0</v>
      </c>
      <c r="AA72" s="17">
        <v>0</v>
      </c>
      <c r="AB72" s="17">
        <v>0</v>
      </c>
      <c r="AC72" s="15">
        <f t="shared" si="27"/>
        <v>0</v>
      </c>
      <c r="AD72" s="17">
        <v>0</v>
      </c>
      <c r="AE72" s="17">
        <v>0</v>
      </c>
      <c r="AF72" s="15">
        <f t="shared" si="28"/>
        <v>0</v>
      </c>
      <c r="AG72" s="17">
        <v>0</v>
      </c>
      <c r="AH72" s="17">
        <v>0</v>
      </c>
      <c r="AI72" s="15">
        <f t="shared" si="29"/>
        <v>0</v>
      </c>
      <c r="AJ72" s="17"/>
    </row>
    <row r="73" spans="1:36" x14ac:dyDescent="0.3">
      <c r="A73" s="15" t="s">
        <v>121</v>
      </c>
      <c r="B73" s="15">
        <v>100</v>
      </c>
      <c r="C73" s="15" t="s">
        <v>54</v>
      </c>
      <c r="D73" s="15" t="s">
        <v>68</v>
      </c>
      <c r="E73" s="15">
        <v>0</v>
      </c>
      <c r="F73" s="15">
        <v>0</v>
      </c>
      <c r="G73" s="15">
        <v>0</v>
      </c>
      <c r="H73" s="15">
        <f t="shared" si="20"/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5">
        <f t="shared" si="21"/>
        <v>0</v>
      </c>
      <c r="T73" s="15">
        <f t="shared" si="22"/>
        <v>0</v>
      </c>
      <c r="U73" s="15">
        <f t="shared" si="23"/>
        <v>0</v>
      </c>
      <c r="V73" s="15">
        <f t="shared" si="24"/>
        <v>0</v>
      </c>
      <c r="W73" s="18" t="str">
        <f t="shared" si="25"/>
        <v/>
      </c>
      <c r="X73" s="17">
        <v>0</v>
      </c>
      <c r="Y73" s="17">
        <v>0</v>
      </c>
      <c r="Z73" s="15">
        <f t="shared" si="26"/>
        <v>0</v>
      </c>
      <c r="AA73" s="17">
        <v>0</v>
      </c>
      <c r="AB73" s="17">
        <v>0</v>
      </c>
      <c r="AC73" s="15">
        <f t="shared" si="27"/>
        <v>0</v>
      </c>
      <c r="AD73" s="17">
        <v>0</v>
      </c>
      <c r="AE73" s="17">
        <v>0</v>
      </c>
      <c r="AF73" s="15">
        <f t="shared" si="28"/>
        <v>0</v>
      </c>
      <c r="AG73" s="17">
        <v>0</v>
      </c>
      <c r="AH73" s="17">
        <v>0</v>
      </c>
      <c r="AI73" s="15">
        <f t="shared" si="29"/>
        <v>0</v>
      </c>
      <c r="AJ73" s="17"/>
    </row>
    <row r="74" spans="1:36" x14ac:dyDescent="0.3">
      <c r="A74" s="15" t="s">
        <v>122</v>
      </c>
      <c r="B74" s="15">
        <v>1000</v>
      </c>
      <c r="C74" s="15" t="s">
        <v>54</v>
      </c>
      <c r="D74" s="15" t="s">
        <v>68</v>
      </c>
      <c r="E74" s="15">
        <v>0</v>
      </c>
      <c r="F74" s="15">
        <v>0</v>
      </c>
      <c r="G74" s="15">
        <v>0</v>
      </c>
      <c r="H74" s="15">
        <f t="shared" si="20"/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5">
        <f t="shared" si="21"/>
        <v>0</v>
      </c>
      <c r="T74" s="15">
        <f t="shared" si="22"/>
        <v>0</v>
      </c>
      <c r="U74" s="15">
        <f t="shared" si="23"/>
        <v>0</v>
      </c>
      <c r="V74" s="15">
        <f t="shared" si="24"/>
        <v>0</v>
      </c>
      <c r="W74" s="18" t="str">
        <f t="shared" si="25"/>
        <v/>
      </c>
      <c r="X74" s="17">
        <v>0</v>
      </c>
      <c r="Y74" s="17">
        <v>0</v>
      </c>
      <c r="Z74" s="15">
        <f t="shared" si="26"/>
        <v>0</v>
      </c>
      <c r="AA74" s="17">
        <v>0</v>
      </c>
      <c r="AB74" s="17">
        <v>0</v>
      </c>
      <c r="AC74" s="15">
        <f t="shared" si="27"/>
        <v>0</v>
      </c>
      <c r="AD74" s="17">
        <v>0</v>
      </c>
      <c r="AE74" s="17">
        <v>0</v>
      </c>
      <c r="AF74" s="15">
        <f t="shared" si="28"/>
        <v>0</v>
      </c>
      <c r="AG74" s="17">
        <v>0</v>
      </c>
      <c r="AH74" s="17">
        <v>0</v>
      </c>
      <c r="AI74" s="15">
        <f t="shared" si="29"/>
        <v>0</v>
      </c>
      <c r="AJ74" s="17"/>
    </row>
    <row r="75" spans="1:36" x14ac:dyDescent="0.3">
      <c r="A75" s="15" t="s">
        <v>123</v>
      </c>
      <c r="B75" s="15" t="s">
        <v>124</v>
      </c>
      <c r="C75" s="15" t="s">
        <v>123</v>
      </c>
      <c r="D75" s="15" t="s">
        <v>55</v>
      </c>
      <c r="E75" s="15">
        <v>0</v>
      </c>
      <c r="F75" s="15">
        <v>0</v>
      </c>
      <c r="G75" s="15">
        <v>0</v>
      </c>
      <c r="H75" s="15">
        <f t="shared" si="20"/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5">
        <f t="shared" si="21"/>
        <v>0</v>
      </c>
      <c r="T75" s="15">
        <f t="shared" si="22"/>
        <v>0</v>
      </c>
      <c r="U75" s="15">
        <f t="shared" si="23"/>
        <v>0</v>
      </c>
      <c r="V75" s="15">
        <f t="shared" si="24"/>
        <v>0</v>
      </c>
      <c r="W75" s="18" t="str">
        <f t="shared" si="25"/>
        <v/>
      </c>
      <c r="X75" s="17">
        <v>0</v>
      </c>
      <c r="Y75" s="17">
        <v>0</v>
      </c>
      <c r="Z75" s="15">
        <f t="shared" si="26"/>
        <v>0</v>
      </c>
      <c r="AA75" s="17">
        <v>0</v>
      </c>
      <c r="AB75" s="17">
        <v>0</v>
      </c>
      <c r="AC75" s="15">
        <f t="shared" si="27"/>
        <v>0</v>
      </c>
      <c r="AD75" s="17">
        <v>0</v>
      </c>
      <c r="AE75" s="17">
        <v>0</v>
      </c>
      <c r="AF75" s="15">
        <f t="shared" si="28"/>
        <v>0</v>
      </c>
      <c r="AG75" s="17">
        <v>0</v>
      </c>
      <c r="AH75" s="17">
        <v>0</v>
      </c>
      <c r="AI75" s="15">
        <f t="shared" si="29"/>
        <v>0</v>
      </c>
      <c r="AJ75" s="17"/>
    </row>
    <row r="76" spans="1:36" x14ac:dyDescent="0.3">
      <c r="A76" s="15" t="s">
        <v>125</v>
      </c>
      <c r="B76" s="15">
        <v>1000</v>
      </c>
      <c r="C76" s="15" t="s">
        <v>54</v>
      </c>
      <c r="D76" s="15" t="s">
        <v>68</v>
      </c>
      <c r="E76" s="15">
        <v>0</v>
      </c>
      <c r="F76" s="15">
        <v>0</v>
      </c>
      <c r="G76" s="15">
        <v>0</v>
      </c>
      <c r="H76" s="15">
        <f t="shared" si="20"/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5">
        <f t="shared" si="21"/>
        <v>0</v>
      </c>
      <c r="T76" s="15">
        <f t="shared" si="22"/>
        <v>0</v>
      </c>
      <c r="U76" s="15">
        <f t="shared" si="23"/>
        <v>0</v>
      </c>
      <c r="V76" s="15">
        <f t="shared" si="24"/>
        <v>0</v>
      </c>
      <c r="W76" s="18" t="str">
        <f t="shared" si="25"/>
        <v/>
      </c>
      <c r="X76" s="17">
        <v>0</v>
      </c>
      <c r="Y76" s="17">
        <v>0</v>
      </c>
      <c r="Z76" s="15">
        <f t="shared" si="26"/>
        <v>0</v>
      </c>
      <c r="AA76" s="17">
        <v>0</v>
      </c>
      <c r="AB76" s="17">
        <v>0</v>
      </c>
      <c r="AC76" s="15">
        <f t="shared" si="27"/>
        <v>0</v>
      </c>
      <c r="AD76" s="17">
        <v>0</v>
      </c>
      <c r="AE76" s="17">
        <v>0</v>
      </c>
      <c r="AF76" s="15">
        <f t="shared" si="28"/>
        <v>0</v>
      </c>
      <c r="AG76" s="17">
        <v>0</v>
      </c>
      <c r="AH76" s="17">
        <v>0</v>
      </c>
      <c r="AI76" s="15">
        <f t="shared" si="29"/>
        <v>0</v>
      </c>
      <c r="AJ76" s="17"/>
    </row>
    <row r="77" spans="1:36" x14ac:dyDescent="0.3">
      <c r="A77" s="15" t="s">
        <v>126</v>
      </c>
      <c r="B77" s="15">
        <v>1000</v>
      </c>
      <c r="C77" s="15" t="s">
        <v>54</v>
      </c>
      <c r="D77" s="15" t="s">
        <v>68</v>
      </c>
      <c r="E77" s="15">
        <v>0</v>
      </c>
      <c r="F77" s="15">
        <v>0</v>
      </c>
      <c r="G77" s="15">
        <v>0</v>
      </c>
      <c r="H77" s="15">
        <f t="shared" si="20"/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5">
        <f t="shared" si="21"/>
        <v>0</v>
      </c>
      <c r="T77" s="15">
        <f t="shared" si="22"/>
        <v>0</v>
      </c>
      <c r="U77" s="15">
        <f t="shared" si="23"/>
        <v>0</v>
      </c>
      <c r="V77" s="15">
        <f t="shared" si="24"/>
        <v>0</v>
      </c>
      <c r="W77" s="18" t="str">
        <f t="shared" si="25"/>
        <v/>
      </c>
      <c r="X77" s="17">
        <v>0</v>
      </c>
      <c r="Y77" s="17">
        <v>0</v>
      </c>
      <c r="Z77" s="15">
        <f t="shared" si="26"/>
        <v>0</v>
      </c>
      <c r="AA77" s="17">
        <v>0</v>
      </c>
      <c r="AB77" s="17">
        <v>0</v>
      </c>
      <c r="AC77" s="15">
        <f t="shared" si="27"/>
        <v>0</v>
      </c>
      <c r="AD77" s="17">
        <v>0</v>
      </c>
      <c r="AE77" s="17">
        <v>0</v>
      </c>
      <c r="AF77" s="15">
        <f t="shared" si="28"/>
        <v>0</v>
      </c>
      <c r="AG77" s="17">
        <v>0</v>
      </c>
      <c r="AH77" s="17">
        <v>0</v>
      </c>
      <c r="AI77" s="15">
        <f t="shared" si="29"/>
        <v>0</v>
      </c>
      <c r="AJ77" s="17"/>
    </row>
    <row r="78" spans="1:36" x14ac:dyDescent="0.3">
      <c r="A78" s="15" t="s">
        <v>127</v>
      </c>
      <c r="B78" s="15">
        <v>0</v>
      </c>
      <c r="C78" s="15" t="s">
        <v>128</v>
      </c>
      <c r="D78" s="15" t="s">
        <v>55</v>
      </c>
      <c r="E78" s="17">
        <v>117</v>
      </c>
      <c r="F78" s="17">
        <v>6</v>
      </c>
      <c r="G78" s="17">
        <v>16</v>
      </c>
      <c r="H78" s="15">
        <f t="shared" si="20"/>
        <v>139</v>
      </c>
      <c r="I78" s="17">
        <v>0</v>
      </c>
      <c r="J78" s="17">
        <v>0</v>
      </c>
      <c r="K78" s="17">
        <v>12</v>
      </c>
      <c r="L78" s="17">
        <v>10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5">
        <f t="shared" si="21"/>
        <v>117</v>
      </c>
      <c r="T78" s="15">
        <f t="shared" si="22"/>
        <v>107</v>
      </c>
      <c r="U78" s="15">
        <f t="shared" si="23"/>
        <v>6</v>
      </c>
      <c r="V78" s="15">
        <f t="shared" si="24"/>
        <v>4</v>
      </c>
      <c r="W78" s="18" t="str">
        <f t="shared" si="25"/>
        <v/>
      </c>
      <c r="X78" s="17">
        <v>0</v>
      </c>
      <c r="Y78" s="17">
        <v>0</v>
      </c>
      <c r="Z78" s="15">
        <f t="shared" si="26"/>
        <v>0</v>
      </c>
      <c r="AA78" s="17">
        <v>0</v>
      </c>
      <c r="AB78" s="17">
        <v>0</v>
      </c>
      <c r="AC78" s="15">
        <f t="shared" si="27"/>
        <v>0</v>
      </c>
      <c r="AD78" s="17">
        <v>0</v>
      </c>
      <c r="AE78" s="17">
        <v>0</v>
      </c>
      <c r="AF78" s="15">
        <f t="shared" si="28"/>
        <v>0</v>
      </c>
      <c r="AG78" s="17">
        <v>0</v>
      </c>
      <c r="AH78" s="17">
        <v>0</v>
      </c>
      <c r="AI78" s="15">
        <f t="shared" si="29"/>
        <v>0</v>
      </c>
      <c r="AJ78" s="17"/>
    </row>
    <row r="79" spans="1:36" x14ac:dyDescent="0.3">
      <c r="A79" s="15" t="s">
        <v>129</v>
      </c>
      <c r="B79" s="15">
        <v>0</v>
      </c>
      <c r="C79" s="15" t="s">
        <v>128</v>
      </c>
      <c r="D79" s="15" t="s">
        <v>55</v>
      </c>
      <c r="E79" s="17">
        <v>106</v>
      </c>
      <c r="F79" s="17">
        <v>4</v>
      </c>
      <c r="G79" s="17">
        <v>11</v>
      </c>
      <c r="H79" s="15">
        <f t="shared" si="20"/>
        <v>121</v>
      </c>
      <c r="I79" s="17">
        <v>0</v>
      </c>
      <c r="J79" s="17">
        <v>0</v>
      </c>
      <c r="K79" s="17">
        <v>2</v>
      </c>
      <c r="L79" s="17">
        <v>10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5">
        <f t="shared" si="21"/>
        <v>109</v>
      </c>
      <c r="T79" s="15">
        <f t="shared" si="22"/>
        <v>96</v>
      </c>
      <c r="U79" s="15">
        <f t="shared" si="23"/>
        <v>4</v>
      </c>
      <c r="V79" s="15">
        <f t="shared" si="24"/>
        <v>9</v>
      </c>
      <c r="W79" s="18" t="str">
        <f t="shared" si="25"/>
        <v/>
      </c>
      <c r="X79" s="17">
        <v>0</v>
      </c>
      <c r="Y79" s="17">
        <v>0</v>
      </c>
      <c r="Z79" s="15">
        <f t="shared" si="26"/>
        <v>0</v>
      </c>
      <c r="AA79" s="17">
        <v>0</v>
      </c>
      <c r="AB79" s="17">
        <v>0</v>
      </c>
      <c r="AC79" s="15">
        <f t="shared" si="27"/>
        <v>0</v>
      </c>
      <c r="AD79" s="17">
        <v>0</v>
      </c>
      <c r="AE79" s="17">
        <v>0</v>
      </c>
      <c r="AF79" s="15">
        <f t="shared" si="28"/>
        <v>0</v>
      </c>
      <c r="AG79" s="17">
        <v>0</v>
      </c>
      <c r="AH79" s="17">
        <v>0</v>
      </c>
      <c r="AI79" s="15">
        <f t="shared" si="29"/>
        <v>0</v>
      </c>
      <c r="AJ79" s="17"/>
    </row>
    <row r="80" spans="1:36" x14ac:dyDescent="0.3">
      <c r="A80" s="15" t="s">
        <v>130</v>
      </c>
      <c r="B80" s="15">
        <v>100</v>
      </c>
      <c r="C80" s="15" t="s">
        <v>54</v>
      </c>
      <c r="D80" s="15" t="s">
        <v>55</v>
      </c>
      <c r="E80" s="17">
        <v>48</v>
      </c>
      <c r="F80" s="17">
        <v>135</v>
      </c>
      <c r="G80" s="17">
        <v>105</v>
      </c>
      <c r="H80" s="15">
        <f t="shared" si="20"/>
        <v>288</v>
      </c>
      <c r="I80" s="17">
        <v>0</v>
      </c>
      <c r="J80" s="17">
        <v>0</v>
      </c>
      <c r="K80" s="17">
        <v>1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5">
        <f t="shared" si="21"/>
        <v>287</v>
      </c>
      <c r="T80" s="15">
        <f t="shared" si="22"/>
        <v>48</v>
      </c>
      <c r="U80" s="15">
        <f t="shared" si="23"/>
        <v>135</v>
      </c>
      <c r="V80" s="15">
        <f t="shared" si="24"/>
        <v>104</v>
      </c>
      <c r="W80" s="18" t="str">
        <f t="shared" si="25"/>
        <v/>
      </c>
      <c r="X80" s="17">
        <v>0</v>
      </c>
      <c r="Y80" s="17">
        <v>0</v>
      </c>
      <c r="Z80" s="15">
        <f t="shared" si="26"/>
        <v>0</v>
      </c>
      <c r="AA80" s="17">
        <v>0</v>
      </c>
      <c r="AB80" s="17">
        <v>0</v>
      </c>
      <c r="AC80" s="15">
        <f t="shared" si="27"/>
        <v>0</v>
      </c>
      <c r="AD80" s="17">
        <v>0</v>
      </c>
      <c r="AE80" s="17">
        <v>0</v>
      </c>
      <c r="AF80" s="15">
        <f t="shared" si="28"/>
        <v>0</v>
      </c>
      <c r="AG80" s="17">
        <v>0</v>
      </c>
      <c r="AH80" s="17">
        <v>0</v>
      </c>
      <c r="AI80" s="15">
        <f t="shared" si="29"/>
        <v>0</v>
      </c>
      <c r="AJ80" s="17"/>
    </row>
    <row r="81" spans="1:36" x14ac:dyDescent="0.3">
      <c r="A81" s="15" t="s">
        <v>131</v>
      </c>
      <c r="B81" s="15">
        <v>500</v>
      </c>
      <c r="C81" s="15" t="s">
        <v>54</v>
      </c>
      <c r="D81" s="15" t="s">
        <v>55</v>
      </c>
      <c r="E81" s="17">
        <v>7</v>
      </c>
      <c r="F81" s="17">
        <v>0</v>
      </c>
      <c r="G81" s="17">
        <v>0</v>
      </c>
      <c r="H81" s="15">
        <f t="shared" si="20"/>
        <v>7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5">
        <f t="shared" si="21"/>
        <v>7</v>
      </c>
      <c r="T81" s="15">
        <f t="shared" si="22"/>
        <v>7</v>
      </c>
      <c r="U81" s="15">
        <f t="shared" si="23"/>
        <v>0</v>
      </c>
      <c r="V81" s="15">
        <f t="shared" si="24"/>
        <v>0</v>
      </c>
      <c r="W81" s="18" t="str">
        <f t="shared" si="25"/>
        <v/>
      </c>
      <c r="X81" s="17">
        <v>0</v>
      </c>
      <c r="Y81" s="17">
        <v>0</v>
      </c>
      <c r="Z81" s="15">
        <f t="shared" si="26"/>
        <v>0</v>
      </c>
      <c r="AA81" s="17">
        <v>0</v>
      </c>
      <c r="AB81" s="17">
        <v>0</v>
      </c>
      <c r="AC81" s="15">
        <f t="shared" si="27"/>
        <v>0</v>
      </c>
      <c r="AD81" s="17">
        <v>0</v>
      </c>
      <c r="AE81" s="17">
        <v>0</v>
      </c>
      <c r="AF81" s="15">
        <f t="shared" si="28"/>
        <v>0</v>
      </c>
      <c r="AG81" s="17">
        <v>0</v>
      </c>
      <c r="AH81" s="17">
        <v>0</v>
      </c>
      <c r="AI81" s="15">
        <f t="shared" si="29"/>
        <v>0</v>
      </c>
      <c r="AJ81" s="17"/>
    </row>
    <row r="82" spans="1:36" x14ac:dyDescent="0.3">
      <c r="A82" s="15" t="s">
        <v>132</v>
      </c>
      <c r="B82" s="15">
        <v>100</v>
      </c>
      <c r="C82" s="15" t="s">
        <v>54</v>
      </c>
      <c r="D82" s="15" t="s">
        <v>55</v>
      </c>
      <c r="E82" s="17">
        <v>77</v>
      </c>
      <c r="F82" s="17">
        <v>277</v>
      </c>
      <c r="G82" s="17">
        <v>37</v>
      </c>
      <c r="H82" s="15">
        <f t="shared" si="20"/>
        <v>391</v>
      </c>
      <c r="I82" s="17">
        <v>0</v>
      </c>
      <c r="J82" s="17">
        <v>0</v>
      </c>
      <c r="K82" s="17">
        <v>2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5">
        <f t="shared" si="21"/>
        <v>389</v>
      </c>
      <c r="T82" s="15">
        <f t="shared" si="22"/>
        <v>77</v>
      </c>
      <c r="U82" s="15">
        <f t="shared" si="23"/>
        <v>277</v>
      </c>
      <c r="V82" s="15">
        <f t="shared" si="24"/>
        <v>35</v>
      </c>
      <c r="W82" s="18" t="str">
        <f t="shared" si="25"/>
        <v/>
      </c>
      <c r="X82" s="17">
        <v>0</v>
      </c>
      <c r="Y82" s="17">
        <v>0</v>
      </c>
      <c r="Z82" s="15">
        <f t="shared" si="26"/>
        <v>0</v>
      </c>
      <c r="AA82" s="17">
        <v>0</v>
      </c>
      <c r="AB82" s="17">
        <v>0</v>
      </c>
      <c r="AC82" s="15">
        <f t="shared" si="27"/>
        <v>0</v>
      </c>
      <c r="AD82" s="17">
        <v>0</v>
      </c>
      <c r="AE82" s="17">
        <v>0</v>
      </c>
      <c r="AF82" s="15">
        <f t="shared" si="28"/>
        <v>0</v>
      </c>
      <c r="AG82" s="17">
        <v>0</v>
      </c>
      <c r="AH82" s="17">
        <v>0</v>
      </c>
      <c r="AI82" s="15">
        <f t="shared" si="29"/>
        <v>0</v>
      </c>
      <c r="AJ82" s="17"/>
    </row>
    <row r="83" spans="1:36" x14ac:dyDescent="0.3">
      <c r="A83" s="15" t="s">
        <v>133</v>
      </c>
      <c r="B83" s="15">
        <v>1000</v>
      </c>
      <c r="C83" s="15" t="s">
        <v>54</v>
      </c>
      <c r="D83" s="15" t="s">
        <v>55</v>
      </c>
      <c r="E83" s="17">
        <v>0</v>
      </c>
      <c r="F83" s="17">
        <v>0</v>
      </c>
      <c r="G83" s="17">
        <v>0</v>
      </c>
      <c r="H83" s="15">
        <f t="shared" si="20"/>
        <v>0</v>
      </c>
      <c r="I83" s="17">
        <v>3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5">
        <f t="shared" si="21"/>
        <v>-3</v>
      </c>
      <c r="T83" s="15">
        <f t="shared" si="22"/>
        <v>-3</v>
      </c>
      <c r="U83" s="15">
        <f t="shared" si="23"/>
        <v>0</v>
      </c>
      <c r="V83" s="15">
        <f t="shared" si="24"/>
        <v>0</v>
      </c>
      <c r="W83" s="18" t="str">
        <f t="shared" si="25"/>
        <v>NEGATIVE STOCK - CHECK ENTRIES</v>
      </c>
      <c r="X83" s="17">
        <v>0</v>
      </c>
      <c r="Y83" s="17">
        <v>0</v>
      </c>
      <c r="Z83" s="15">
        <f t="shared" si="26"/>
        <v>0</v>
      </c>
      <c r="AA83" s="17">
        <v>0</v>
      </c>
      <c r="AB83" s="17">
        <v>0</v>
      </c>
      <c r="AC83" s="15">
        <f t="shared" si="27"/>
        <v>0</v>
      </c>
      <c r="AD83" s="17">
        <v>0</v>
      </c>
      <c r="AE83" s="17">
        <v>0</v>
      </c>
      <c r="AF83" s="15">
        <f t="shared" si="28"/>
        <v>0</v>
      </c>
      <c r="AG83" s="17">
        <v>0</v>
      </c>
      <c r="AH83" s="17">
        <v>0</v>
      </c>
      <c r="AI83" s="15">
        <f t="shared" si="29"/>
        <v>0</v>
      </c>
      <c r="AJ83" s="17"/>
    </row>
    <row r="84" spans="1:36" x14ac:dyDescent="0.3">
      <c r="A84" s="15" t="s">
        <v>134</v>
      </c>
      <c r="B84" s="15">
        <v>100</v>
      </c>
      <c r="C84" s="15" t="s">
        <v>54</v>
      </c>
      <c r="D84" s="15" t="s">
        <v>57</v>
      </c>
      <c r="E84" s="15">
        <v>0</v>
      </c>
      <c r="F84" s="15">
        <v>0</v>
      </c>
      <c r="G84" s="15">
        <v>0</v>
      </c>
      <c r="H84" s="15">
        <f t="shared" si="20"/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5">
        <f t="shared" si="21"/>
        <v>0</v>
      </c>
      <c r="T84" s="15">
        <f t="shared" si="22"/>
        <v>0</v>
      </c>
      <c r="U84" s="15">
        <f t="shared" si="23"/>
        <v>0</v>
      </c>
      <c r="V84" s="15">
        <f t="shared" si="24"/>
        <v>0</v>
      </c>
      <c r="W84" s="18" t="str">
        <f t="shared" si="25"/>
        <v/>
      </c>
      <c r="X84" s="17">
        <v>0</v>
      </c>
      <c r="Y84" s="17">
        <v>0</v>
      </c>
      <c r="Z84" s="15">
        <f t="shared" si="26"/>
        <v>0</v>
      </c>
      <c r="AA84" s="17">
        <v>0</v>
      </c>
      <c r="AB84" s="17">
        <v>0</v>
      </c>
      <c r="AC84" s="15">
        <f t="shared" si="27"/>
        <v>0</v>
      </c>
      <c r="AD84" s="17">
        <v>0</v>
      </c>
      <c r="AE84" s="17">
        <v>0</v>
      </c>
      <c r="AF84" s="15">
        <f t="shared" si="28"/>
        <v>0</v>
      </c>
      <c r="AG84" s="17">
        <v>0</v>
      </c>
      <c r="AH84" s="17">
        <v>0</v>
      </c>
      <c r="AI84" s="15">
        <f t="shared" si="29"/>
        <v>0</v>
      </c>
      <c r="AJ84" s="17"/>
    </row>
    <row r="85" spans="1:36" x14ac:dyDescent="0.3">
      <c r="A85" s="15" t="s">
        <v>135</v>
      </c>
      <c r="B85" s="15">
        <v>100</v>
      </c>
      <c r="C85" s="15" t="s">
        <v>54</v>
      </c>
      <c r="D85" s="15" t="s">
        <v>57</v>
      </c>
      <c r="E85" s="15">
        <v>0</v>
      </c>
      <c r="F85" s="15">
        <v>0</v>
      </c>
      <c r="G85" s="15">
        <v>0</v>
      </c>
      <c r="H85" s="15">
        <f t="shared" si="20"/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5">
        <f t="shared" si="21"/>
        <v>0</v>
      </c>
      <c r="T85" s="15">
        <f t="shared" si="22"/>
        <v>0</v>
      </c>
      <c r="U85" s="15">
        <f t="shared" si="23"/>
        <v>0</v>
      </c>
      <c r="V85" s="15">
        <f t="shared" si="24"/>
        <v>0</v>
      </c>
      <c r="W85" s="18" t="str">
        <f t="shared" si="25"/>
        <v/>
      </c>
      <c r="X85" s="17">
        <v>0</v>
      </c>
      <c r="Y85" s="17">
        <v>0</v>
      </c>
      <c r="Z85" s="15">
        <f t="shared" si="26"/>
        <v>0</v>
      </c>
      <c r="AA85" s="17">
        <v>0</v>
      </c>
      <c r="AB85" s="17">
        <v>0</v>
      </c>
      <c r="AC85" s="15">
        <f t="shared" si="27"/>
        <v>0</v>
      </c>
      <c r="AD85" s="17">
        <v>0</v>
      </c>
      <c r="AE85" s="17">
        <v>0</v>
      </c>
      <c r="AF85" s="15">
        <f t="shared" si="28"/>
        <v>0</v>
      </c>
      <c r="AG85" s="17">
        <v>0</v>
      </c>
      <c r="AH85" s="17">
        <v>0</v>
      </c>
      <c r="AI85" s="15">
        <f t="shared" si="29"/>
        <v>0</v>
      </c>
      <c r="AJ85" s="17"/>
    </row>
    <row r="86" spans="1:36" x14ac:dyDescent="0.3">
      <c r="A86" s="15" t="s">
        <v>135</v>
      </c>
      <c r="B86" s="15">
        <v>1000</v>
      </c>
      <c r="C86" s="15" t="s">
        <v>54</v>
      </c>
      <c r="D86" s="15" t="s">
        <v>57</v>
      </c>
      <c r="E86" s="15">
        <v>0</v>
      </c>
      <c r="F86" s="15">
        <v>0</v>
      </c>
      <c r="G86" s="15">
        <v>0</v>
      </c>
      <c r="H86" s="15">
        <f t="shared" si="20"/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5">
        <f t="shared" si="21"/>
        <v>0</v>
      </c>
      <c r="T86" s="15">
        <f t="shared" si="22"/>
        <v>0</v>
      </c>
      <c r="U86" s="15">
        <f t="shared" si="23"/>
        <v>0</v>
      </c>
      <c r="V86" s="15">
        <f t="shared" si="24"/>
        <v>0</v>
      </c>
      <c r="W86" s="18" t="str">
        <f t="shared" si="25"/>
        <v/>
      </c>
      <c r="X86" s="17">
        <v>0</v>
      </c>
      <c r="Y86" s="17">
        <v>0</v>
      </c>
      <c r="Z86" s="15">
        <f t="shared" si="26"/>
        <v>0</v>
      </c>
      <c r="AA86" s="17">
        <v>0</v>
      </c>
      <c r="AB86" s="17">
        <v>0</v>
      </c>
      <c r="AC86" s="15">
        <f t="shared" si="27"/>
        <v>0</v>
      </c>
      <c r="AD86" s="17">
        <v>0</v>
      </c>
      <c r="AE86" s="17">
        <v>0</v>
      </c>
      <c r="AF86" s="15">
        <f t="shared" si="28"/>
        <v>0</v>
      </c>
      <c r="AG86" s="17">
        <v>0</v>
      </c>
      <c r="AH86" s="17">
        <v>0</v>
      </c>
      <c r="AI86" s="15">
        <f t="shared" si="29"/>
        <v>0</v>
      </c>
      <c r="AJ86" s="17"/>
    </row>
    <row r="87" spans="1:36" x14ac:dyDescent="0.3">
      <c r="A87" s="15" t="s">
        <v>136</v>
      </c>
      <c r="B87" s="15">
        <v>100000</v>
      </c>
      <c r="C87" s="15" t="s">
        <v>54</v>
      </c>
      <c r="D87" s="15" t="s">
        <v>68</v>
      </c>
      <c r="E87" s="15">
        <v>0</v>
      </c>
      <c r="F87" s="15">
        <v>0</v>
      </c>
      <c r="G87" s="15">
        <v>0</v>
      </c>
      <c r="H87" s="15">
        <f t="shared" si="20"/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5">
        <f t="shared" si="21"/>
        <v>0</v>
      </c>
      <c r="T87" s="15">
        <f t="shared" si="22"/>
        <v>0</v>
      </c>
      <c r="U87" s="15">
        <f t="shared" si="23"/>
        <v>0</v>
      </c>
      <c r="V87" s="15">
        <f t="shared" si="24"/>
        <v>0</v>
      </c>
      <c r="W87" s="18" t="str">
        <f t="shared" si="25"/>
        <v/>
      </c>
      <c r="X87" s="17">
        <v>0</v>
      </c>
      <c r="Y87" s="17">
        <v>0</v>
      </c>
      <c r="Z87" s="15">
        <f t="shared" si="26"/>
        <v>0</v>
      </c>
      <c r="AA87" s="17">
        <v>0</v>
      </c>
      <c r="AB87" s="17">
        <v>0</v>
      </c>
      <c r="AC87" s="15">
        <f t="shared" si="27"/>
        <v>0</v>
      </c>
      <c r="AD87" s="17">
        <v>0</v>
      </c>
      <c r="AE87" s="17">
        <v>0</v>
      </c>
      <c r="AF87" s="15">
        <f t="shared" si="28"/>
        <v>0</v>
      </c>
      <c r="AG87" s="17">
        <v>0</v>
      </c>
      <c r="AH87" s="17">
        <v>0</v>
      </c>
      <c r="AI87" s="15">
        <f t="shared" si="29"/>
        <v>0</v>
      </c>
      <c r="AJ87" s="17"/>
    </row>
    <row r="88" spans="1:36" x14ac:dyDescent="0.3">
      <c r="A88" s="15" t="s">
        <v>137</v>
      </c>
      <c r="B88" s="15">
        <v>1000</v>
      </c>
      <c r="C88" s="15" t="s">
        <v>54</v>
      </c>
      <c r="D88" s="15" t="s">
        <v>68</v>
      </c>
      <c r="E88" s="15">
        <v>0</v>
      </c>
      <c r="F88" s="15">
        <v>0</v>
      </c>
      <c r="G88" s="15">
        <v>0</v>
      </c>
      <c r="H88" s="15">
        <f t="shared" si="20"/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5">
        <f t="shared" si="21"/>
        <v>0</v>
      </c>
      <c r="T88" s="15">
        <f t="shared" si="22"/>
        <v>0</v>
      </c>
      <c r="U88" s="15">
        <f t="shared" si="23"/>
        <v>0</v>
      </c>
      <c r="V88" s="15">
        <f t="shared" si="24"/>
        <v>0</v>
      </c>
      <c r="W88" s="18" t="str">
        <f t="shared" si="25"/>
        <v/>
      </c>
      <c r="X88" s="17">
        <v>0</v>
      </c>
      <c r="Y88" s="17">
        <v>0</v>
      </c>
      <c r="Z88" s="15">
        <f t="shared" si="26"/>
        <v>0</v>
      </c>
      <c r="AA88" s="17">
        <v>0</v>
      </c>
      <c r="AB88" s="17">
        <v>0</v>
      </c>
      <c r="AC88" s="15">
        <f t="shared" si="27"/>
        <v>0</v>
      </c>
      <c r="AD88" s="17">
        <v>0</v>
      </c>
      <c r="AE88" s="17">
        <v>0</v>
      </c>
      <c r="AF88" s="15">
        <f t="shared" si="28"/>
        <v>0</v>
      </c>
      <c r="AG88" s="17">
        <v>0</v>
      </c>
      <c r="AH88" s="17">
        <v>0</v>
      </c>
      <c r="AI88" s="15">
        <f t="shared" si="29"/>
        <v>0</v>
      </c>
      <c r="AJ88" s="17"/>
    </row>
    <row r="89" spans="1:36" x14ac:dyDescent="0.3">
      <c r="A89" s="15" t="s">
        <v>138</v>
      </c>
      <c r="B89" s="15">
        <v>100</v>
      </c>
      <c r="C89" s="15" t="s">
        <v>54</v>
      </c>
      <c r="D89" s="15" t="s">
        <v>57</v>
      </c>
      <c r="E89" s="15">
        <v>0</v>
      </c>
      <c r="F89" s="15">
        <v>0</v>
      </c>
      <c r="G89" s="15">
        <v>0</v>
      </c>
      <c r="H89" s="15">
        <f t="shared" si="20"/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5">
        <f t="shared" si="21"/>
        <v>0</v>
      </c>
      <c r="T89" s="15">
        <f t="shared" si="22"/>
        <v>0</v>
      </c>
      <c r="U89" s="15">
        <f t="shared" si="23"/>
        <v>0</v>
      </c>
      <c r="V89" s="15">
        <f t="shared" si="24"/>
        <v>0</v>
      </c>
      <c r="W89" s="18" t="str">
        <f t="shared" si="25"/>
        <v/>
      </c>
      <c r="X89" s="17">
        <v>0</v>
      </c>
      <c r="Y89" s="17">
        <v>0</v>
      </c>
      <c r="Z89" s="15">
        <f t="shared" si="26"/>
        <v>0</v>
      </c>
      <c r="AA89" s="17">
        <v>0</v>
      </c>
      <c r="AB89" s="17">
        <v>0</v>
      </c>
      <c r="AC89" s="15">
        <f t="shared" si="27"/>
        <v>0</v>
      </c>
      <c r="AD89" s="17">
        <v>0</v>
      </c>
      <c r="AE89" s="17">
        <v>0</v>
      </c>
      <c r="AF89" s="15">
        <f t="shared" si="28"/>
        <v>0</v>
      </c>
      <c r="AG89" s="17">
        <v>0</v>
      </c>
      <c r="AH89" s="17">
        <v>0</v>
      </c>
      <c r="AI89" s="15">
        <f t="shared" si="29"/>
        <v>0</v>
      </c>
      <c r="AJ89" s="17"/>
    </row>
    <row r="90" spans="1:36" x14ac:dyDescent="0.3">
      <c r="A90" s="15" t="s">
        <v>139</v>
      </c>
      <c r="B90" s="15">
        <v>100</v>
      </c>
      <c r="C90" s="15" t="s">
        <v>54</v>
      </c>
      <c r="D90" s="15" t="s">
        <v>68</v>
      </c>
      <c r="E90" s="15">
        <v>0</v>
      </c>
      <c r="F90" s="15">
        <v>0</v>
      </c>
      <c r="G90" s="15">
        <v>0</v>
      </c>
      <c r="H90" s="15">
        <f t="shared" si="20"/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5">
        <f t="shared" si="21"/>
        <v>0</v>
      </c>
      <c r="T90" s="15">
        <f t="shared" si="22"/>
        <v>0</v>
      </c>
      <c r="U90" s="15">
        <f t="shared" si="23"/>
        <v>0</v>
      </c>
      <c r="V90" s="15">
        <f t="shared" si="24"/>
        <v>0</v>
      </c>
      <c r="W90" s="18" t="str">
        <f t="shared" si="25"/>
        <v/>
      </c>
      <c r="X90" s="17">
        <v>0</v>
      </c>
      <c r="Y90" s="17">
        <v>0</v>
      </c>
      <c r="Z90" s="15">
        <f t="shared" si="26"/>
        <v>0</v>
      </c>
      <c r="AA90" s="17">
        <v>0</v>
      </c>
      <c r="AB90" s="17">
        <v>0</v>
      </c>
      <c r="AC90" s="15">
        <f t="shared" si="27"/>
        <v>0</v>
      </c>
      <c r="AD90" s="17">
        <v>0</v>
      </c>
      <c r="AE90" s="17">
        <v>0</v>
      </c>
      <c r="AF90" s="15">
        <f t="shared" si="28"/>
        <v>0</v>
      </c>
      <c r="AG90" s="17">
        <v>0</v>
      </c>
      <c r="AH90" s="17">
        <v>0</v>
      </c>
      <c r="AI90" s="15">
        <f t="shared" si="29"/>
        <v>0</v>
      </c>
      <c r="AJ90" s="17"/>
    </row>
    <row r="91" spans="1:36" x14ac:dyDescent="0.3">
      <c r="A91" s="15" t="s">
        <v>140</v>
      </c>
      <c r="B91" s="15">
        <v>1000</v>
      </c>
      <c r="C91" s="15" t="s">
        <v>54</v>
      </c>
      <c r="D91" s="15" t="s">
        <v>68</v>
      </c>
      <c r="E91" s="15">
        <v>0</v>
      </c>
      <c r="F91" s="15">
        <v>0</v>
      </c>
      <c r="G91" s="15">
        <v>0</v>
      </c>
      <c r="H91" s="15">
        <f t="shared" si="20"/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5">
        <f t="shared" si="21"/>
        <v>0</v>
      </c>
      <c r="T91" s="15">
        <f t="shared" si="22"/>
        <v>0</v>
      </c>
      <c r="U91" s="15">
        <f t="shared" si="23"/>
        <v>0</v>
      </c>
      <c r="V91" s="15">
        <f t="shared" si="24"/>
        <v>0</v>
      </c>
      <c r="W91" s="18" t="str">
        <f t="shared" si="25"/>
        <v/>
      </c>
      <c r="X91" s="17">
        <v>0</v>
      </c>
      <c r="Y91" s="17">
        <v>0</v>
      </c>
      <c r="Z91" s="15">
        <f t="shared" si="26"/>
        <v>0</v>
      </c>
      <c r="AA91" s="17">
        <v>0</v>
      </c>
      <c r="AB91" s="17">
        <v>0</v>
      </c>
      <c r="AC91" s="15">
        <f t="shared" si="27"/>
        <v>0</v>
      </c>
      <c r="AD91" s="17">
        <v>0</v>
      </c>
      <c r="AE91" s="17">
        <v>0</v>
      </c>
      <c r="AF91" s="15">
        <f t="shared" si="28"/>
        <v>0</v>
      </c>
      <c r="AG91" s="17">
        <v>0</v>
      </c>
      <c r="AH91" s="17">
        <v>0</v>
      </c>
      <c r="AI91" s="15">
        <f t="shared" si="29"/>
        <v>0</v>
      </c>
      <c r="AJ91" s="17"/>
    </row>
    <row r="92" spans="1:36" x14ac:dyDescent="0.3">
      <c r="A92" s="15" t="s">
        <v>141</v>
      </c>
      <c r="B92" s="15">
        <v>1000</v>
      </c>
      <c r="C92" s="15" t="s">
        <v>54</v>
      </c>
      <c r="D92" s="15" t="s">
        <v>55</v>
      </c>
      <c r="E92" s="17">
        <v>4</v>
      </c>
      <c r="F92" s="17">
        <v>0</v>
      </c>
      <c r="G92" s="17">
        <v>0</v>
      </c>
      <c r="H92" s="15">
        <f t="shared" si="20"/>
        <v>4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5">
        <f t="shared" si="21"/>
        <v>4</v>
      </c>
      <c r="T92" s="15">
        <f t="shared" si="22"/>
        <v>4</v>
      </c>
      <c r="U92" s="15">
        <f t="shared" si="23"/>
        <v>0</v>
      </c>
      <c r="V92" s="15">
        <f t="shared" si="24"/>
        <v>0</v>
      </c>
      <c r="W92" s="18" t="str">
        <f t="shared" si="25"/>
        <v/>
      </c>
      <c r="X92" s="17">
        <v>0</v>
      </c>
      <c r="Y92" s="17">
        <v>0</v>
      </c>
      <c r="Z92" s="15">
        <f t="shared" si="26"/>
        <v>0</v>
      </c>
      <c r="AA92" s="17">
        <v>0</v>
      </c>
      <c r="AB92" s="17">
        <v>0</v>
      </c>
      <c r="AC92" s="15">
        <f t="shared" si="27"/>
        <v>0</v>
      </c>
      <c r="AD92" s="17">
        <v>0</v>
      </c>
      <c r="AE92" s="17">
        <v>0</v>
      </c>
      <c r="AF92" s="15">
        <f t="shared" si="28"/>
        <v>0</v>
      </c>
      <c r="AG92" s="17">
        <v>0</v>
      </c>
      <c r="AH92" s="17">
        <v>0</v>
      </c>
      <c r="AI92" s="15">
        <f t="shared" si="29"/>
        <v>0</v>
      </c>
      <c r="AJ92" s="17"/>
    </row>
    <row r="93" spans="1:36" x14ac:dyDescent="0.3">
      <c r="A93" s="15" t="s">
        <v>142</v>
      </c>
      <c r="B93" s="15">
        <v>100</v>
      </c>
      <c r="C93" s="15" t="s">
        <v>54</v>
      </c>
      <c r="D93" s="15" t="s">
        <v>55</v>
      </c>
      <c r="E93" s="17">
        <v>1</v>
      </c>
      <c r="F93" s="17">
        <v>0</v>
      </c>
      <c r="G93" s="17">
        <v>0</v>
      </c>
      <c r="H93" s="15">
        <f t="shared" si="20"/>
        <v>1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5">
        <f t="shared" si="21"/>
        <v>1</v>
      </c>
      <c r="T93" s="15">
        <f t="shared" si="22"/>
        <v>1</v>
      </c>
      <c r="U93" s="15">
        <f t="shared" si="23"/>
        <v>0</v>
      </c>
      <c r="V93" s="15">
        <f t="shared" si="24"/>
        <v>0</v>
      </c>
      <c r="W93" s="18" t="str">
        <f t="shared" si="25"/>
        <v/>
      </c>
      <c r="X93" s="17">
        <v>0</v>
      </c>
      <c r="Y93" s="17">
        <v>0</v>
      </c>
      <c r="Z93" s="15">
        <f t="shared" si="26"/>
        <v>0</v>
      </c>
      <c r="AA93" s="17">
        <v>0</v>
      </c>
      <c r="AB93" s="17">
        <v>0</v>
      </c>
      <c r="AC93" s="15">
        <f t="shared" si="27"/>
        <v>0</v>
      </c>
      <c r="AD93" s="17">
        <v>0</v>
      </c>
      <c r="AE93" s="17">
        <v>0</v>
      </c>
      <c r="AF93" s="15">
        <f t="shared" si="28"/>
        <v>0</v>
      </c>
      <c r="AG93" s="17">
        <v>0</v>
      </c>
      <c r="AH93" s="17">
        <v>0</v>
      </c>
      <c r="AI93" s="15">
        <f t="shared" si="29"/>
        <v>0</v>
      </c>
      <c r="AJ93" s="17"/>
    </row>
    <row r="94" spans="1:36" x14ac:dyDescent="0.3">
      <c r="A94" s="15" t="s">
        <v>143</v>
      </c>
      <c r="B94" s="15">
        <v>1000</v>
      </c>
      <c r="C94" s="15" t="s">
        <v>54</v>
      </c>
      <c r="D94" s="15" t="s">
        <v>57</v>
      </c>
      <c r="E94" s="15">
        <v>0</v>
      </c>
      <c r="F94" s="15">
        <v>0</v>
      </c>
      <c r="G94" s="15">
        <v>0</v>
      </c>
      <c r="H94" s="15">
        <f t="shared" si="20"/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5">
        <f t="shared" si="21"/>
        <v>0</v>
      </c>
      <c r="T94" s="15">
        <f t="shared" si="22"/>
        <v>0</v>
      </c>
      <c r="U94" s="15">
        <f t="shared" si="23"/>
        <v>0</v>
      </c>
      <c r="V94" s="15">
        <f t="shared" si="24"/>
        <v>0</v>
      </c>
      <c r="W94" s="18" t="str">
        <f t="shared" si="25"/>
        <v/>
      </c>
      <c r="X94" s="17">
        <v>0</v>
      </c>
      <c r="Y94" s="17">
        <v>0</v>
      </c>
      <c r="Z94" s="15">
        <f t="shared" si="26"/>
        <v>0</v>
      </c>
      <c r="AA94" s="17">
        <v>0</v>
      </c>
      <c r="AB94" s="17">
        <v>0</v>
      </c>
      <c r="AC94" s="15">
        <f t="shared" si="27"/>
        <v>0</v>
      </c>
      <c r="AD94" s="17">
        <v>0</v>
      </c>
      <c r="AE94" s="17">
        <v>0</v>
      </c>
      <c r="AF94" s="15">
        <f t="shared" si="28"/>
        <v>0</v>
      </c>
      <c r="AG94" s="17">
        <v>0</v>
      </c>
      <c r="AH94" s="17">
        <v>0</v>
      </c>
      <c r="AI94" s="15">
        <f t="shared" si="29"/>
        <v>0</v>
      </c>
      <c r="AJ94" s="17"/>
    </row>
    <row r="95" spans="1:36" x14ac:dyDescent="0.3">
      <c r="A95" s="15" t="s">
        <v>144</v>
      </c>
      <c r="B95" s="15">
        <v>1000</v>
      </c>
      <c r="C95" s="15" t="s">
        <v>54</v>
      </c>
      <c r="D95" s="15" t="s">
        <v>68</v>
      </c>
      <c r="E95" s="15">
        <v>0</v>
      </c>
      <c r="F95" s="15">
        <v>0</v>
      </c>
      <c r="G95" s="15">
        <v>0</v>
      </c>
      <c r="H95" s="15">
        <f t="shared" si="20"/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5">
        <f t="shared" si="21"/>
        <v>0</v>
      </c>
      <c r="T95" s="15">
        <f t="shared" si="22"/>
        <v>0</v>
      </c>
      <c r="U95" s="15">
        <f t="shared" si="23"/>
        <v>0</v>
      </c>
      <c r="V95" s="15">
        <f t="shared" si="24"/>
        <v>0</v>
      </c>
      <c r="W95" s="18" t="str">
        <f t="shared" si="25"/>
        <v/>
      </c>
      <c r="X95" s="17">
        <v>0</v>
      </c>
      <c r="Y95" s="17">
        <v>0</v>
      </c>
      <c r="Z95" s="15">
        <f t="shared" si="26"/>
        <v>0</v>
      </c>
      <c r="AA95" s="17">
        <v>0</v>
      </c>
      <c r="AB95" s="17">
        <v>0</v>
      </c>
      <c r="AC95" s="15">
        <f t="shared" si="27"/>
        <v>0</v>
      </c>
      <c r="AD95" s="17">
        <v>0</v>
      </c>
      <c r="AE95" s="17">
        <v>0</v>
      </c>
      <c r="AF95" s="15">
        <f t="shared" si="28"/>
        <v>0</v>
      </c>
      <c r="AG95" s="17">
        <v>0</v>
      </c>
      <c r="AH95" s="17">
        <v>0</v>
      </c>
      <c r="AI95" s="15">
        <f t="shared" si="29"/>
        <v>0</v>
      </c>
      <c r="AJ95" s="17"/>
    </row>
    <row r="96" spans="1:36" x14ac:dyDescent="0.3">
      <c r="A96" s="15" t="s">
        <v>145</v>
      </c>
      <c r="B96" s="15">
        <v>1000</v>
      </c>
      <c r="C96" s="15" t="s">
        <v>54</v>
      </c>
      <c r="D96" s="15" t="s">
        <v>68</v>
      </c>
      <c r="E96" s="15">
        <v>0</v>
      </c>
      <c r="F96" s="15">
        <v>0</v>
      </c>
      <c r="G96" s="15">
        <v>0</v>
      </c>
      <c r="H96" s="15">
        <f t="shared" si="20"/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5">
        <f t="shared" si="21"/>
        <v>0</v>
      </c>
      <c r="T96" s="15">
        <f t="shared" si="22"/>
        <v>0</v>
      </c>
      <c r="U96" s="15">
        <f t="shared" si="23"/>
        <v>0</v>
      </c>
      <c r="V96" s="15">
        <f t="shared" si="24"/>
        <v>0</v>
      </c>
      <c r="W96" s="18" t="str">
        <f t="shared" si="25"/>
        <v/>
      </c>
      <c r="X96" s="17">
        <v>0</v>
      </c>
      <c r="Y96" s="17">
        <v>0</v>
      </c>
      <c r="Z96" s="15">
        <f t="shared" si="26"/>
        <v>0</v>
      </c>
      <c r="AA96" s="17">
        <v>0</v>
      </c>
      <c r="AB96" s="17">
        <v>0</v>
      </c>
      <c r="AC96" s="15">
        <f t="shared" si="27"/>
        <v>0</v>
      </c>
      <c r="AD96" s="17">
        <v>0</v>
      </c>
      <c r="AE96" s="17">
        <v>0</v>
      </c>
      <c r="AF96" s="15">
        <f t="shared" si="28"/>
        <v>0</v>
      </c>
      <c r="AG96" s="17">
        <v>0</v>
      </c>
      <c r="AH96" s="17">
        <v>0</v>
      </c>
      <c r="AI96" s="15">
        <f t="shared" si="29"/>
        <v>0</v>
      </c>
      <c r="AJ96" s="17"/>
    </row>
    <row r="97" spans="1:36" x14ac:dyDescent="0.3">
      <c r="A97" s="15" t="s">
        <v>146</v>
      </c>
      <c r="B97" s="15">
        <v>1000</v>
      </c>
      <c r="C97" s="15" t="s">
        <v>54</v>
      </c>
      <c r="D97" s="15" t="s">
        <v>68</v>
      </c>
      <c r="E97" s="15">
        <v>0</v>
      </c>
      <c r="F97" s="15">
        <v>0</v>
      </c>
      <c r="G97" s="15">
        <v>0</v>
      </c>
      <c r="H97" s="15">
        <f t="shared" si="20"/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5">
        <f t="shared" si="21"/>
        <v>0</v>
      </c>
      <c r="T97" s="15">
        <f t="shared" si="22"/>
        <v>0</v>
      </c>
      <c r="U97" s="15">
        <f t="shared" si="23"/>
        <v>0</v>
      </c>
      <c r="V97" s="15">
        <f t="shared" si="24"/>
        <v>0</v>
      </c>
      <c r="W97" s="18" t="str">
        <f t="shared" si="25"/>
        <v/>
      </c>
      <c r="X97" s="17">
        <v>0</v>
      </c>
      <c r="Y97" s="17">
        <v>0</v>
      </c>
      <c r="Z97" s="15">
        <f t="shared" si="26"/>
        <v>0</v>
      </c>
      <c r="AA97" s="17">
        <v>0</v>
      </c>
      <c r="AB97" s="17">
        <v>0</v>
      </c>
      <c r="AC97" s="15">
        <f t="shared" si="27"/>
        <v>0</v>
      </c>
      <c r="AD97" s="17">
        <v>0</v>
      </c>
      <c r="AE97" s="17">
        <v>0</v>
      </c>
      <c r="AF97" s="15">
        <f t="shared" si="28"/>
        <v>0</v>
      </c>
      <c r="AG97" s="17">
        <v>0</v>
      </c>
      <c r="AH97" s="17">
        <v>0</v>
      </c>
      <c r="AI97" s="15">
        <f t="shared" si="29"/>
        <v>0</v>
      </c>
      <c r="AJ97" s="17"/>
    </row>
    <row r="98" spans="1:36" x14ac:dyDescent="0.3">
      <c r="A98" s="15" t="s">
        <v>147</v>
      </c>
      <c r="B98" s="15">
        <v>1000</v>
      </c>
      <c r="C98" s="15" t="s">
        <v>54</v>
      </c>
      <c r="D98" s="15" t="s">
        <v>55</v>
      </c>
      <c r="E98" s="17">
        <v>0</v>
      </c>
      <c r="F98" s="17">
        <v>2</v>
      </c>
      <c r="G98" s="17">
        <v>48</v>
      </c>
      <c r="H98" s="15">
        <f t="shared" si="20"/>
        <v>50</v>
      </c>
      <c r="I98" s="17">
        <v>0</v>
      </c>
      <c r="J98" s="17">
        <v>1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5">
        <f t="shared" si="21"/>
        <v>49</v>
      </c>
      <c r="T98" s="15">
        <f t="shared" si="22"/>
        <v>0</v>
      </c>
      <c r="U98" s="15">
        <f t="shared" si="23"/>
        <v>1</v>
      </c>
      <c r="V98" s="15">
        <f t="shared" si="24"/>
        <v>48</v>
      </c>
      <c r="W98" s="18" t="str">
        <f t="shared" si="25"/>
        <v/>
      </c>
      <c r="X98" s="17">
        <v>0</v>
      </c>
      <c r="Y98" s="17">
        <v>0</v>
      </c>
      <c r="Z98" s="15">
        <f t="shared" si="26"/>
        <v>0</v>
      </c>
      <c r="AA98" s="17">
        <v>0</v>
      </c>
      <c r="AB98" s="17">
        <v>0</v>
      </c>
      <c r="AC98" s="15">
        <f t="shared" si="27"/>
        <v>0</v>
      </c>
      <c r="AD98" s="17">
        <v>0</v>
      </c>
      <c r="AE98" s="17">
        <v>0</v>
      </c>
      <c r="AF98" s="15">
        <f t="shared" si="28"/>
        <v>0</v>
      </c>
      <c r="AG98" s="17">
        <v>0</v>
      </c>
      <c r="AH98" s="17">
        <v>0</v>
      </c>
      <c r="AI98" s="15">
        <f t="shared" si="29"/>
        <v>0</v>
      </c>
      <c r="AJ98" s="17"/>
    </row>
    <row r="99" spans="1:36" x14ac:dyDescent="0.3">
      <c r="A99" s="15" t="s">
        <v>148</v>
      </c>
      <c r="B99" s="15">
        <v>100</v>
      </c>
      <c r="C99" s="15" t="s">
        <v>54</v>
      </c>
      <c r="D99" s="15" t="s">
        <v>57</v>
      </c>
      <c r="E99" s="15">
        <v>0</v>
      </c>
      <c r="F99" s="15">
        <v>0</v>
      </c>
      <c r="G99" s="15">
        <v>0</v>
      </c>
      <c r="H99" s="15">
        <f t="shared" ref="H99:H130" si="30">E99+F99+G99</f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5">
        <f t="shared" ref="S99:S130" si="31">H99+O99+P99+Q99+R99-(I99+J99+K99+L99+M99+N99)</f>
        <v>0</v>
      </c>
      <c r="T99" s="15">
        <f t="shared" ref="T99:T130" si="32">E99+O99-I99-L99</f>
        <v>0</v>
      </c>
      <c r="U99" s="15">
        <f t="shared" ref="U99:U130" si="33">F99+P99-J99-M99</f>
        <v>0</v>
      </c>
      <c r="V99" s="15">
        <f t="shared" ref="V99:V130" si="34">G99+Q99-K99-N99</f>
        <v>0</v>
      </c>
      <c r="W99" s="18" t="str">
        <f t="shared" ref="W99:W130" si="35">IF(MIN(T99,U99,V99)&lt;0,"NEGATIVE STOCK - CHECK ENTRIES","")</f>
        <v/>
      </c>
      <c r="X99" s="17">
        <v>0</v>
      </c>
      <c r="Y99" s="17">
        <v>0</v>
      </c>
      <c r="Z99" s="15">
        <f t="shared" ref="Z99:Z130" si="36">X99-Y99</f>
        <v>0</v>
      </c>
      <c r="AA99" s="17">
        <v>0</v>
      </c>
      <c r="AB99" s="17">
        <v>0</v>
      </c>
      <c r="AC99" s="15">
        <f t="shared" ref="AC99:AC130" si="37">AA99-AB99</f>
        <v>0</v>
      </c>
      <c r="AD99" s="17">
        <v>0</v>
      </c>
      <c r="AE99" s="17">
        <v>0</v>
      </c>
      <c r="AF99" s="15">
        <f t="shared" ref="AF99:AF130" si="38">AD99-AE99</f>
        <v>0</v>
      </c>
      <c r="AG99" s="17">
        <v>0</v>
      </c>
      <c r="AH99" s="17">
        <v>0</v>
      </c>
      <c r="AI99" s="15">
        <f t="shared" ref="AI99:AI130" si="39">AG99-AH99</f>
        <v>0</v>
      </c>
      <c r="AJ99" s="17"/>
    </row>
    <row r="100" spans="1:36" x14ac:dyDescent="0.3">
      <c r="A100" s="15" t="s">
        <v>149</v>
      </c>
      <c r="B100" s="15">
        <v>250</v>
      </c>
      <c r="C100" s="15" t="s">
        <v>54</v>
      </c>
      <c r="D100" s="15" t="s">
        <v>55</v>
      </c>
      <c r="E100" s="15">
        <v>0</v>
      </c>
      <c r="F100" s="15">
        <v>0</v>
      </c>
      <c r="G100" s="15">
        <v>0</v>
      </c>
      <c r="H100" s="15">
        <f t="shared" si="30"/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5">
        <f t="shared" si="31"/>
        <v>0</v>
      </c>
      <c r="T100" s="15">
        <f t="shared" si="32"/>
        <v>0</v>
      </c>
      <c r="U100" s="15">
        <f t="shared" si="33"/>
        <v>0</v>
      </c>
      <c r="V100" s="15">
        <f t="shared" si="34"/>
        <v>0</v>
      </c>
      <c r="W100" s="18" t="str">
        <f t="shared" si="35"/>
        <v/>
      </c>
      <c r="X100" s="17">
        <v>0</v>
      </c>
      <c r="Y100" s="17">
        <v>0</v>
      </c>
      <c r="Z100" s="15">
        <f t="shared" si="36"/>
        <v>0</v>
      </c>
      <c r="AA100" s="17">
        <v>0</v>
      </c>
      <c r="AB100" s="17">
        <v>0</v>
      </c>
      <c r="AC100" s="15">
        <f t="shared" si="37"/>
        <v>0</v>
      </c>
      <c r="AD100" s="17">
        <v>0</v>
      </c>
      <c r="AE100" s="17">
        <v>0</v>
      </c>
      <c r="AF100" s="15">
        <f t="shared" si="38"/>
        <v>0</v>
      </c>
      <c r="AG100" s="17">
        <v>0</v>
      </c>
      <c r="AH100" s="17">
        <v>0</v>
      </c>
      <c r="AI100" s="15">
        <f t="shared" si="39"/>
        <v>0</v>
      </c>
      <c r="AJ100" s="17"/>
    </row>
    <row r="101" spans="1:36" x14ac:dyDescent="0.3">
      <c r="A101" s="15" t="s">
        <v>150</v>
      </c>
      <c r="B101" s="15">
        <v>10000</v>
      </c>
      <c r="C101" s="15" t="s">
        <v>54</v>
      </c>
      <c r="D101" s="15" t="s">
        <v>68</v>
      </c>
      <c r="E101" s="15">
        <v>0</v>
      </c>
      <c r="F101" s="15">
        <v>0</v>
      </c>
      <c r="G101" s="15">
        <v>0</v>
      </c>
      <c r="H101" s="15">
        <f t="shared" si="30"/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5">
        <f t="shared" si="31"/>
        <v>0</v>
      </c>
      <c r="T101" s="15">
        <f t="shared" si="32"/>
        <v>0</v>
      </c>
      <c r="U101" s="15">
        <f t="shared" si="33"/>
        <v>0</v>
      </c>
      <c r="V101" s="15">
        <f t="shared" si="34"/>
        <v>0</v>
      </c>
      <c r="W101" s="18" t="str">
        <f t="shared" si="35"/>
        <v/>
      </c>
      <c r="X101" s="17">
        <v>0</v>
      </c>
      <c r="Y101" s="17">
        <v>0</v>
      </c>
      <c r="Z101" s="15">
        <f t="shared" si="36"/>
        <v>0</v>
      </c>
      <c r="AA101" s="17">
        <v>0</v>
      </c>
      <c r="AB101" s="17">
        <v>0</v>
      </c>
      <c r="AC101" s="15">
        <f t="shared" si="37"/>
        <v>0</v>
      </c>
      <c r="AD101" s="17">
        <v>0</v>
      </c>
      <c r="AE101" s="17">
        <v>0</v>
      </c>
      <c r="AF101" s="15">
        <f t="shared" si="38"/>
        <v>0</v>
      </c>
      <c r="AG101" s="17">
        <v>0</v>
      </c>
      <c r="AH101" s="17">
        <v>0</v>
      </c>
      <c r="AI101" s="15">
        <f t="shared" si="39"/>
        <v>0</v>
      </c>
      <c r="AJ101" s="17"/>
    </row>
    <row r="102" spans="1:36" x14ac:dyDescent="0.3">
      <c r="A102" s="15" t="s">
        <v>151</v>
      </c>
      <c r="B102" s="15">
        <v>100000</v>
      </c>
      <c r="C102" s="15" t="s">
        <v>54</v>
      </c>
      <c r="D102" s="15" t="s">
        <v>68</v>
      </c>
      <c r="E102" s="15">
        <v>0</v>
      </c>
      <c r="F102" s="15">
        <v>0</v>
      </c>
      <c r="G102" s="15">
        <v>0</v>
      </c>
      <c r="H102" s="15">
        <f t="shared" si="30"/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5">
        <f t="shared" si="31"/>
        <v>0</v>
      </c>
      <c r="T102" s="15">
        <f t="shared" si="32"/>
        <v>0</v>
      </c>
      <c r="U102" s="15">
        <f t="shared" si="33"/>
        <v>0</v>
      </c>
      <c r="V102" s="15">
        <f t="shared" si="34"/>
        <v>0</v>
      </c>
      <c r="W102" s="18" t="str">
        <f t="shared" si="35"/>
        <v/>
      </c>
      <c r="X102" s="17">
        <v>0</v>
      </c>
      <c r="Y102" s="17">
        <v>0</v>
      </c>
      <c r="Z102" s="15">
        <f t="shared" si="36"/>
        <v>0</v>
      </c>
      <c r="AA102" s="17">
        <v>0</v>
      </c>
      <c r="AB102" s="17">
        <v>0</v>
      </c>
      <c r="AC102" s="15">
        <f t="shared" si="37"/>
        <v>0</v>
      </c>
      <c r="AD102" s="17">
        <v>0</v>
      </c>
      <c r="AE102" s="17">
        <v>0</v>
      </c>
      <c r="AF102" s="15">
        <f t="shared" si="38"/>
        <v>0</v>
      </c>
      <c r="AG102" s="17">
        <v>0</v>
      </c>
      <c r="AH102" s="17">
        <v>0</v>
      </c>
      <c r="AI102" s="15">
        <f t="shared" si="39"/>
        <v>0</v>
      </c>
      <c r="AJ102" s="17"/>
    </row>
    <row r="103" spans="1:36" x14ac:dyDescent="0.3">
      <c r="A103" s="15" t="s">
        <v>152</v>
      </c>
      <c r="B103" s="15">
        <v>500</v>
      </c>
      <c r="C103" s="15" t="s">
        <v>54</v>
      </c>
      <c r="D103" s="15" t="s">
        <v>57</v>
      </c>
      <c r="E103" s="15">
        <v>0</v>
      </c>
      <c r="F103" s="15">
        <v>0</v>
      </c>
      <c r="G103" s="15">
        <v>0</v>
      </c>
      <c r="H103" s="15">
        <f t="shared" si="30"/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5">
        <f t="shared" si="31"/>
        <v>0</v>
      </c>
      <c r="T103" s="15">
        <f t="shared" si="32"/>
        <v>0</v>
      </c>
      <c r="U103" s="15">
        <f t="shared" si="33"/>
        <v>0</v>
      </c>
      <c r="V103" s="15">
        <f t="shared" si="34"/>
        <v>0</v>
      </c>
      <c r="W103" s="18" t="str">
        <f t="shared" si="35"/>
        <v/>
      </c>
      <c r="X103" s="17">
        <v>0</v>
      </c>
      <c r="Y103" s="17">
        <v>0</v>
      </c>
      <c r="Z103" s="15">
        <f t="shared" si="36"/>
        <v>0</v>
      </c>
      <c r="AA103" s="17">
        <v>0</v>
      </c>
      <c r="AB103" s="17">
        <v>0</v>
      </c>
      <c r="AC103" s="15">
        <f t="shared" si="37"/>
        <v>0</v>
      </c>
      <c r="AD103" s="17">
        <v>0</v>
      </c>
      <c r="AE103" s="17">
        <v>0</v>
      </c>
      <c r="AF103" s="15">
        <f t="shared" si="38"/>
        <v>0</v>
      </c>
      <c r="AG103" s="17">
        <v>0</v>
      </c>
      <c r="AH103" s="17">
        <v>0</v>
      </c>
      <c r="AI103" s="15">
        <f t="shared" si="39"/>
        <v>0</v>
      </c>
      <c r="AJ103" s="17"/>
    </row>
    <row r="104" spans="1:36" x14ac:dyDescent="0.3">
      <c r="A104" s="15" t="s">
        <v>153</v>
      </c>
      <c r="B104" s="15">
        <v>100</v>
      </c>
      <c r="C104" s="15" t="s">
        <v>54</v>
      </c>
      <c r="D104" s="15" t="s">
        <v>68</v>
      </c>
      <c r="E104" s="15">
        <v>0</v>
      </c>
      <c r="F104" s="15">
        <v>0</v>
      </c>
      <c r="G104" s="15">
        <v>0</v>
      </c>
      <c r="H104" s="15">
        <f t="shared" si="30"/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5">
        <f t="shared" si="31"/>
        <v>0</v>
      </c>
      <c r="T104" s="15">
        <f t="shared" si="32"/>
        <v>0</v>
      </c>
      <c r="U104" s="15">
        <f t="shared" si="33"/>
        <v>0</v>
      </c>
      <c r="V104" s="15">
        <f t="shared" si="34"/>
        <v>0</v>
      </c>
      <c r="W104" s="18" t="str">
        <f t="shared" si="35"/>
        <v/>
      </c>
      <c r="X104" s="17">
        <v>0</v>
      </c>
      <c r="Y104" s="17">
        <v>0</v>
      </c>
      <c r="Z104" s="15">
        <f t="shared" si="36"/>
        <v>0</v>
      </c>
      <c r="AA104" s="17">
        <v>0</v>
      </c>
      <c r="AB104" s="17">
        <v>0</v>
      </c>
      <c r="AC104" s="15">
        <f t="shared" si="37"/>
        <v>0</v>
      </c>
      <c r="AD104" s="17">
        <v>0</v>
      </c>
      <c r="AE104" s="17">
        <v>0</v>
      </c>
      <c r="AF104" s="15">
        <f t="shared" si="38"/>
        <v>0</v>
      </c>
      <c r="AG104" s="17">
        <v>0</v>
      </c>
      <c r="AH104" s="17">
        <v>0</v>
      </c>
      <c r="AI104" s="15">
        <f t="shared" si="39"/>
        <v>0</v>
      </c>
      <c r="AJ104" s="17"/>
    </row>
    <row r="105" spans="1:36" x14ac:dyDescent="0.3">
      <c r="A105" s="15" t="s">
        <v>154</v>
      </c>
      <c r="B105" s="15">
        <v>100</v>
      </c>
      <c r="C105" s="15" t="s">
        <v>54</v>
      </c>
      <c r="D105" s="15" t="s">
        <v>55</v>
      </c>
      <c r="E105" s="17">
        <v>26</v>
      </c>
      <c r="F105" s="17">
        <v>7</v>
      </c>
      <c r="G105" s="17">
        <v>0</v>
      </c>
      <c r="H105" s="15">
        <f t="shared" si="30"/>
        <v>33</v>
      </c>
      <c r="I105" s="17">
        <v>0</v>
      </c>
      <c r="J105" s="17">
        <v>1</v>
      </c>
      <c r="K105" s="17">
        <v>10</v>
      </c>
      <c r="L105" s="17">
        <v>11</v>
      </c>
      <c r="M105" s="17">
        <v>0</v>
      </c>
      <c r="N105" s="17">
        <v>0</v>
      </c>
      <c r="O105" s="17">
        <v>0</v>
      </c>
      <c r="P105" s="17">
        <v>0</v>
      </c>
      <c r="Q105" s="17">
        <v>10</v>
      </c>
      <c r="R105" s="17">
        <v>0</v>
      </c>
      <c r="S105" s="15">
        <f t="shared" si="31"/>
        <v>21</v>
      </c>
      <c r="T105" s="15">
        <f t="shared" si="32"/>
        <v>15</v>
      </c>
      <c r="U105" s="15">
        <f t="shared" si="33"/>
        <v>6</v>
      </c>
      <c r="V105" s="15">
        <f t="shared" si="34"/>
        <v>0</v>
      </c>
      <c r="W105" s="18" t="str">
        <f t="shared" si="35"/>
        <v/>
      </c>
      <c r="X105" s="17">
        <v>0</v>
      </c>
      <c r="Y105" s="17">
        <v>0</v>
      </c>
      <c r="Z105" s="15">
        <f t="shared" si="36"/>
        <v>0</v>
      </c>
      <c r="AA105" s="17">
        <v>0</v>
      </c>
      <c r="AB105" s="17">
        <v>0</v>
      </c>
      <c r="AC105" s="15">
        <f t="shared" si="37"/>
        <v>0</v>
      </c>
      <c r="AD105" s="17">
        <v>0</v>
      </c>
      <c r="AE105" s="17">
        <v>0</v>
      </c>
      <c r="AF105" s="15">
        <f t="shared" si="38"/>
        <v>0</v>
      </c>
      <c r="AG105" s="17">
        <v>0</v>
      </c>
      <c r="AH105" s="17">
        <v>0</v>
      </c>
      <c r="AI105" s="15">
        <f t="shared" si="39"/>
        <v>0</v>
      </c>
      <c r="AJ105" s="17"/>
    </row>
    <row r="106" spans="1:36" x14ac:dyDescent="0.3">
      <c r="A106" s="15" t="s">
        <v>155</v>
      </c>
      <c r="B106" s="15">
        <v>100</v>
      </c>
      <c r="C106" s="15" t="s">
        <v>54</v>
      </c>
      <c r="D106" s="15" t="s">
        <v>68</v>
      </c>
      <c r="E106" s="15">
        <v>0</v>
      </c>
      <c r="F106" s="15">
        <v>0</v>
      </c>
      <c r="G106" s="15">
        <v>0</v>
      </c>
      <c r="H106" s="15">
        <f t="shared" si="30"/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5">
        <f t="shared" si="31"/>
        <v>0</v>
      </c>
      <c r="T106" s="15">
        <f t="shared" si="32"/>
        <v>0</v>
      </c>
      <c r="U106" s="15">
        <f t="shared" si="33"/>
        <v>0</v>
      </c>
      <c r="V106" s="15">
        <f t="shared" si="34"/>
        <v>0</v>
      </c>
      <c r="W106" s="18" t="str">
        <f t="shared" si="35"/>
        <v/>
      </c>
      <c r="X106" s="17">
        <v>0</v>
      </c>
      <c r="Y106" s="17">
        <v>0</v>
      </c>
      <c r="Z106" s="15">
        <f t="shared" si="36"/>
        <v>0</v>
      </c>
      <c r="AA106" s="17">
        <v>0</v>
      </c>
      <c r="AB106" s="17">
        <v>0</v>
      </c>
      <c r="AC106" s="15">
        <f t="shared" si="37"/>
        <v>0</v>
      </c>
      <c r="AD106" s="17">
        <v>0</v>
      </c>
      <c r="AE106" s="17">
        <v>0</v>
      </c>
      <c r="AF106" s="15">
        <f t="shared" si="38"/>
        <v>0</v>
      </c>
      <c r="AG106" s="17">
        <v>0</v>
      </c>
      <c r="AH106" s="17">
        <v>0</v>
      </c>
      <c r="AI106" s="15">
        <f t="shared" si="39"/>
        <v>0</v>
      </c>
      <c r="AJ106" s="17"/>
    </row>
    <row r="107" spans="1:36" x14ac:dyDescent="0.3">
      <c r="A107" s="15" t="s">
        <v>156</v>
      </c>
      <c r="B107" s="15">
        <v>2500</v>
      </c>
      <c r="C107" s="15" t="s">
        <v>54</v>
      </c>
      <c r="D107" s="15" t="s">
        <v>68</v>
      </c>
      <c r="E107" s="15">
        <v>0</v>
      </c>
      <c r="F107" s="15">
        <v>0</v>
      </c>
      <c r="G107" s="15">
        <v>0</v>
      </c>
      <c r="H107" s="15">
        <f t="shared" si="30"/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5">
        <f t="shared" si="31"/>
        <v>0</v>
      </c>
      <c r="T107" s="15">
        <f t="shared" si="32"/>
        <v>0</v>
      </c>
      <c r="U107" s="15">
        <f t="shared" si="33"/>
        <v>0</v>
      </c>
      <c r="V107" s="15">
        <f t="shared" si="34"/>
        <v>0</v>
      </c>
      <c r="W107" s="18" t="str">
        <f t="shared" si="35"/>
        <v/>
      </c>
      <c r="X107" s="17">
        <v>0</v>
      </c>
      <c r="Y107" s="17">
        <v>0</v>
      </c>
      <c r="Z107" s="15">
        <f t="shared" si="36"/>
        <v>0</v>
      </c>
      <c r="AA107" s="17">
        <v>0</v>
      </c>
      <c r="AB107" s="17">
        <v>0</v>
      </c>
      <c r="AC107" s="15">
        <f t="shared" si="37"/>
        <v>0</v>
      </c>
      <c r="AD107" s="17">
        <v>0</v>
      </c>
      <c r="AE107" s="17">
        <v>0</v>
      </c>
      <c r="AF107" s="15">
        <f t="shared" si="38"/>
        <v>0</v>
      </c>
      <c r="AG107" s="17">
        <v>0</v>
      </c>
      <c r="AH107" s="17">
        <v>0</v>
      </c>
      <c r="AI107" s="15">
        <f t="shared" si="39"/>
        <v>0</v>
      </c>
      <c r="AJ107" s="17"/>
    </row>
    <row r="108" spans="1:36" x14ac:dyDescent="0.3">
      <c r="A108" s="15" t="s">
        <v>157</v>
      </c>
      <c r="B108" s="15">
        <v>100</v>
      </c>
      <c r="C108" s="15" t="s">
        <v>54</v>
      </c>
      <c r="D108" s="15" t="s">
        <v>57</v>
      </c>
      <c r="E108" s="15">
        <v>0</v>
      </c>
      <c r="F108" s="15">
        <v>0</v>
      </c>
      <c r="G108" s="15">
        <v>0</v>
      </c>
      <c r="H108" s="15">
        <f t="shared" si="30"/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5">
        <f t="shared" si="31"/>
        <v>0</v>
      </c>
      <c r="T108" s="15">
        <f t="shared" si="32"/>
        <v>0</v>
      </c>
      <c r="U108" s="15">
        <f t="shared" si="33"/>
        <v>0</v>
      </c>
      <c r="V108" s="15">
        <f t="shared" si="34"/>
        <v>0</v>
      </c>
      <c r="W108" s="18" t="str">
        <f t="shared" si="35"/>
        <v/>
      </c>
      <c r="X108" s="17">
        <v>0</v>
      </c>
      <c r="Y108" s="17">
        <v>0</v>
      </c>
      <c r="Z108" s="15">
        <f t="shared" si="36"/>
        <v>0</v>
      </c>
      <c r="AA108" s="17">
        <v>0</v>
      </c>
      <c r="AB108" s="17">
        <v>0</v>
      </c>
      <c r="AC108" s="15">
        <f t="shared" si="37"/>
        <v>0</v>
      </c>
      <c r="AD108" s="17">
        <v>0</v>
      </c>
      <c r="AE108" s="17">
        <v>0</v>
      </c>
      <c r="AF108" s="15">
        <f t="shared" si="38"/>
        <v>0</v>
      </c>
      <c r="AG108" s="17">
        <v>0</v>
      </c>
      <c r="AH108" s="17">
        <v>0</v>
      </c>
      <c r="AI108" s="15">
        <f t="shared" si="39"/>
        <v>0</v>
      </c>
      <c r="AJ108" s="17"/>
    </row>
    <row r="109" spans="1:36" x14ac:dyDescent="0.3">
      <c r="A109" s="15" t="s">
        <v>158</v>
      </c>
      <c r="B109" s="15">
        <v>100</v>
      </c>
      <c r="C109" s="15" t="s">
        <v>54</v>
      </c>
      <c r="D109" s="15" t="s">
        <v>55</v>
      </c>
      <c r="E109" s="17">
        <v>28</v>
      </c>
      <c r="F109" s="17">
        <v>0</v>
      </c>
      <c r="G109" s="17">
        <v>0</v>
      </c>
      <c r="H109" s="15">
        <f t="shared" si="30"/>
        <v>28</v>
      </c>
      <c r="I109" s="17">
        <v>0</v>
      </c>
      <c r="J109" s="17">
        <v>0</v>
      </c>
      <c r="K109" s="17">
        <v>0</v>
      </c>
      <c r="L109" s="17">
        <v>1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5">
        <f t="shared" si="31"/>
        <v>27</v>
      </c>
      <c r="T109" s="15">
        <f t="shared" si="32"/>
        <v>27</v>
      </c>
      <c r="U109" s="15">
        <f t="shared" si="33"/>
        <v>0</v>
      </c>
      <c r="V109" s="15">
        <f t="shared" si="34"/>
        <v>0</v>
      </c>
      <c r="W109" s="18" t="str">
        <f t="shared" si="35"/>
        <v/>
      </c>
      <c r="X109" s="17">
        <v>0</v>
      </c>
      <c r="Y109" s="17">
        <v>0</v>
      </c>
      <c r="Z109" s="15">
        <f t="shared" si="36"/>
        <v>0</v>
      </c>
      <c r="AA109" s="17">
        <v>0</v>
      </c>
      <c r="AB109" s="17">
        <v>0</v>
      </c>
      <c r="AC109" s="15">
        <f t="shared" si="37"/>
        <v>0</v>
      </c>
      <c r="AD109" s="17">
        <v>0</v>
      </c>
      <c r="AE109" s="17">
        <v>0</v>
      </c>
      <c r="AF109" s="15">
        <f t="shared" si="38"/>
        <v>0</v>
      </c>
      <c r="AG109" s="17">
        <v>0</v>
      </c>
      <c r="AH109" s="17">
        <v>0</v>
      </c>
      <c r="AI109" s="15">
        <f t="shared" si="39"/>
        <v>0</v>
      </c>
      <c r="AJ109" s="17"/>
    </row>
    <row r="110" spans="1:36" x14ac:dyDescent="0.3">
      <c r="A110" s="15" t="s">
        <v>159</v>
      </c>
      <c r="B110" s="15">
        <v>100</v>
      </c>
      <c r="C110" s="15" t="s">
        <v>54</v>
      </c>
      <c r="D110" s="15" t="s">
        <v>55</v>
      </c>
      <c r="E110" s="17">
        <v>91</v>
      </c>
      <c r="F110" s="17">
        <v>0</v>
      </c>
      <c r="G110" s="17">
        <v>0</v>
      </c>
      <c r="H110" s="15">
        <f t="shared" si="30"/>
        <v>91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5">
        <f t="shared" si="31"/>
        <v>91</v>
      </c>
      <c r="T110" s="15">
        <f t="shared" si="32"/>
        <v>91</v>
      </c>
      <c r="U110" s="15">
        <f t="shared" si="33"/>
        <v>0</v>
      </c>
      <c r="V110" s="15">
        <f t="shared" si="34"/>
        <v>0</v>
      </c>
      <c r="W110" s="18" t="str">
        <f t="shared" si="35"/>
        <v/>
      </c>
      <c r="X110" s="17">
        <v>0</v>
      </c>
      <c r="Y110" s="17">
        <v>0</v>
      </c>
      <c r="Z110" s="15">
        <f t="shared" si="36"/>
        <v>0</v>
      </c>
      <c r="AA110" s="17">
        <v>0</v>
      </c>
      <c r="AB110" s="17">
        <v>0</v>
      </c>
      <c r="AC110" s="15">
        <f t="shared" si="37"/>
        <v>0</v>
      </c>
      <c r="AD110" s="17">
        <v>0</v>
      </c>
      <c r="AE110" s="17">
        <v>0</v>
      </c>
      <c r="AF110" s="15">
        <f t="shared" si="38"/>
        <v>0</v>
      </c>
      <c r="AG110" s="17">
        <v>0</v>
      </c>
      <c r="AH110" s="17">
        <v>0</v>
      </c>
      <c r="AI110" s="15">
        <f t="shared" si="39"/>
        <v>0</v>
      </c>
      <c r="AJ110" s="17"/>
    </row>
    <row r="111" spans="1:36" x14ac:dyDescent="0.3">
      <c r="A111" s="15" t="s">
        <v>160</v>
      </c>
      <c r="B111" s="15">
        <v>100</v>
      </c>
      <c r="C111" s="15" t="s">
        <v>54</v>
      </c>
      <c r="D111" s="15" t="s">
        <v>55</v>
      </c>
      <c r="E111" s="17">
        <v>134</v>
      </c>
      <c r="F111" s="17">
        <v>4</v>
      </c>
      <c r="G111" s="17">
        <v>16</v>
      </c>
      <c r="H111" s="15">
        <f t="shared" si="30"/>
        <v>154</v>
      </c>
      <c r="I111" s="17">
        <v>0</v>
      </c>
      <c r="J111" s="17">
        <v>0</v>
      </c>
      <c r="K111" s="17">
        <v>3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5">
        <f t="shared" si="31"/>
        <v>151</v>
      </c>
      <c r="T111" s="15">
        <f t="shared" si="32"/>
        <v>134</v>
      </c>
      <c r="U111" s="15">
        <f t="shared" si="33"/>
        <v>4</v>
      </c>
      <c r="V111" s="15">
        <f t="shared" si="34"/>
        <v>13</v>
      </c>
      <c r="W111" s="18" t="str">
        <f t="shared" si="35"/>
        <v/>
      </c>
      <c r="X111" s="17">
        <v>0</v>
      </c>
      <c r="Y111" s="17">
        <v>0</v>
      </c>
      <c r="Z111" s="15">
        <f t="shared" si="36"/>
        <v>0</v>
      </c>
      <c r="AA111" s="17">
        <v>0</v>
      </c>
      <c r="AB111" s="17">
        <v>0</v>
      </c>
      <c r="AC111" s="15">
        <f t="shared" si="37"/>
        <v>0</v>
      </c>
      <c r="AD111" s="17">
        <v>0</v>
      </c>
      <c r="AE111" s="17">
        <v>0</v>
      </c>
      <c r="AF111" s="15">
        <f t="shared" si="38"/>
        <v>0</v>
      </c>
      <c r="AG111" s="17">
        <v>0</v>
      </c>
      <c r="AH111" s="17">
        <v>0</v>
      </c>
      <c r="AI111" s="15">
        <f t="shared" si="39"/>
        <v>0</v>
      </c>
      <c r="AJ111" s="17"/>
    </row>
    <row r="112" spans="1:36" x14ac:dyDescent="0.3">
      <c r="A112" s="15" t="s">
        <v>161</v>
      </c>
      <c r="B112" s="15">
        <v>100</v>
      </c>
      <c r="C112" s="15" t="s">
        <v>54</v>
      </c>
      <c r="D112" s="15" t="s">
        <v>55</v>
      </c>
      <c r="E112" s="17">
        <v>297</v>
      </c>
      <c r="F112" s="17">
        <v>66</v>
      </c>
      <c r="G112" s="17">
        <v>65</v>
      </c>
      <c r="H112" s="15">
        <f t="shared" si="30"/>
        <v>428</v>
      </c>
      <c r="I112" s="17">
        <v>0</v>
      </c>
      <c r="J112" s="17">
        <v>6</v>
      </c>
      <c r="K112" s="17">
        <v>3</v>
      </c>
      <c r="L112" s="17">
        <v>14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5">
        <f t="shared" si="31"/>
        <v>405</v>
      </c>
      <c r="T112" s="15">
        <f t="shared" si="32"/>
        <v>283</v>
      </c>
      <c r="U112" s="15">
        <f t="shared" si="33"/>
        <v>60</v>
      </c>
      <c r="V112" s="15">
        <f t="shared" si="34"/>
        <v>62</v>
      </c>
      <c r="W112" s="18" t="str">
        <f t="shared" si="35"/>
        <v/>
      </c>
      <c r="X112" s="17">
        <v>0</v>
      </c>
      <c r="Y112" s="17">
        <v>0</v>
      </c>
      <c r="Z112" s="15">
        <f t="shared" si="36"/>
        <v>0</v>
      </c>
      <c r="AA112" s="17">
        <v>0</v>
      </c>
      <c r="AB112" s="17">
        <v>0</v>
      </c>
      <c r="AC112" s="15">
        <f t="shared" si="37"/>
        <v>0</v>
      </c>
      <c r="AD112" s="17">
        <v>0</v>
      </c>
      <c r="AE112" s="17">
        <v>0</v>
      </c>
      <c r="AF112" s="15">
        <f t="shared" si="38"/>
        <v>0</v>
      </c>
      <c r="AG112" s="17">
        <v>0</v>
      </c>
      <c r="AH112" s="17">
        <v>0</v>
      </c>
      <c r="AI112" s="15">
        <f t="shared" si="39"/>
        <v>0</v>
      </c>
      <c r="AJ112" s="17"/>
    </row>
    <row r="113" spans="1:36" x14ac:dyDescent="0.3">
      <c r="A113" s="15" t="s">
        <v>162</v>
      </c>
      <c r="B113" s="15">
        <v>1000</v>
      </c>
      <c r="C113" s="15" t="s">
        <v>54</v>
      </c>
      <c r="D113" s="15" t="s">
        <v>55</v>
      </c>
      <c r="E113" s="17">
        <v>0</v>
      </c>
      <c r="F113" s="17">
        <v>7</v>
      </c>
      <c r="G113" s="17">
        <v>5</v>
      </c>
      <c r="H113" s="15">
        <f t="shared" si="30"/>
        <v>12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5">
        <f t="shared" si="31"/>
        <v>12</v>
      </c>
      <c r="T113" s="15">
        <f t="shared" si="32"/>
        <v>0</v>
      </c>
      <c r="U113" s="15">
        <f t="shared" si="33"/>
        <v>7</v>
      </c>
      <c r="V113" s="15">
        <f t="shared" si="34"/>
        <v>5</v>
      </c>
      <c r="W113" s="18" t="str">
        <f t="shared" si="35"/>
        <v/>
      </c>
      <c r="X113" s="17">
        <v>0</v>
      </c>
      <c r="Y113" s="17">
        <v>0</v>
      </c>
      <c r="Z113" s="15">
        <f t="shared" si="36"/>
        <v>0</v>
      </c>
      <c r="AA113" s="17">
        <v>0</v>
      </c>
      <c r="AB113" s="17">
        <v>0</v>
      </c>
      <c r="AC113" s="15">
        <f t="shared" si="37"/>
        <v>0</v>
      </c>
      <c r="AD113" s="17">
        <v>0</v>
      </c>
      <c r="AE113" s="17">
        <v>0</v>
      </c>
      <c r="AF113" s="15">
        <f t="shared" si="38"/>
        <v>0</v>
      </c>
      <c r="AG113" s="17">
        <v>0</v>
      </c>
      <c r="AH113" s="17">
        <v>0</v>
      </c>
      <c r="AI113" s="15">
        <f t="shared" si="39"/>
        <v>0</v>
      </c>
      <c r="AJ113" s="17"/>
    </row>
    <row r="114" spans="1:36" x14ac:dyDescent="0.3">
      <c r="A114" s="15" t="s">
        <v>163</v>
      </c>
      <c r="B114" s="15">
        <v>500</v>
      </c>
      <c r="C114" s="15" t="s">
        <v>54</v>
      </c>
      <c r="D114" s="15" t="s">
        <v>55</v>
      </c>
      <c r="E114" s="17">
        <v>0</v>
      </c>
      <c r="F114" s="17">
        <v>2</v>
      </c>
      <c r="G114" s="17">
        <v>2</v>
      </c>
      <c r="H114" s="15">
        <f t="shared" si="30"/>
        <v>4</v>
      </c>
      <c r="I114" s="17">
        <v>0</v>
      </c>
      <c r="J114" s="17">
        <v>0</v>
      </c>
      <c r="K114" s="17">
        <v>1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5">
        <f t="shared" si="31"/>
        <v>3</v>
      </c>
      <c r="T114" s="15">
        <f t="shared" si="32"/>
        <v>0</v>
      </c>
      <c r="U114" s="15">
        <f t="shared" si="33"/>
        <v>2</v>
      </c>
      <c r="V114" s="15">
        <f t="shared" si="34"/>
        <v>1</v>
      </c>
      <c r="W114" s="18" t="str">
        <f t="shared" si="35"/>
        <v/>
      </c>
      <c r="X114" s="17">
        <v>0</v>
      </c>
      <c r="Y114" s="17">
        <v>0</v>
      </c>
      <c r="Z114" s="15">
        <f t="shared" si="36"/>
        <v>0</v>
      </c>
      <c r="AA114" s="17">
        <v>0</v>
      </c>
      <c r="AB114" s="17">
        <v>0</v>
      </c>
      <c r="AC114" s="15">
        <f t="shared" si="37"/>
        <v>0</v>
      </c>
      <c r="AD114" s="17">
        <v>0</v>
      </c>
      <c r="AE114" s="17">
        <v>0</v>
      </c>
      <c r="AF114" s="15">
        <f t="shared" si="38"/>
        <v>0</v>
      </c>
      <c r="AG114" s="17">
        <v>0</v>
      </c>
      <c r="AH114" s="17">
        <v>0</v>
      </c>
      <c r="AI114" s="15">
        <f t="shared" si="39"/>
        <v>0</v>
      </c>
      <c r="AJ114" s="17"/>
    </row>
    <row r="115" spans="1:36" x14ac:dyDescent="0.3">
      <c r="A115" s="15" t="s">
        <v>164</v>
      </c>
      <c r="B115" s="15">
        <v>100</v>
      </c>
      <c r="C115" s="15" t="s">
        <v>54</v>
      </c>
      <c r="D115" s="15" t="s">
        <v>68</v>
      </c>
      <c r="E115" s="15">
        <v>0</v>
      </c>
      <c r="F115" s="15">
        <v>0</v>
      </c>
      <c r="G115" s="15">
        <v>0</v>
      </c>
      <c r="H115" s="15">
        <f t="shared" si="30"/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5">
        <f t="shared" si="31"/>
        <v>0</v>
      </c>
      <c r="T115" s="15">
        <f t="shared" si="32"/>
        <v>0</v>
      </c>
      <c r="U115" s="15">
        <f t="shared" si="33"/>
        <v>0</v>
      </c>
      <c r="V115" s="15">
        <f t="shared" si="34"/>
        <v>0</v>
      </c>
      <c r="W115" s="18" t="str">
        <f t="shared" si="35"/>
        <v/>
      </c>
      <c r="X115" s="17">
        <v>0</v>
      </c>
      <c r="Y115" s="17">
        <v>0</v>
      </c>
      <c r="Z115" s="15">
        <f t="shared" si="36"/>
        <v>0</v>
      </c>
      <c r="AA115" s="17">
        <v>0</v>
      </c>
      <c r="AB115" s="17">
        <v>0</v>
      </c>
      <c r="AC115" s="15">
        <f t="shared" si="37"/>
        <v>0</v>
      </c>
      <c r="AD115" s="17">
        <v>0</v>
      </c>
      <c r="AE115" s="17">
        <v>0</v>
      </c>
      <c r="AF115" s="15">
        <f t="shared" si="38"/>
        <v>0</v>
      </c>
      <c r="AG115" s="17">
        <v>0</v>
      </c>
      <c r="AH115" s="17">
        <v>0</v>
      </c>
      <c r="AI115" s="15">
        <f t="shared" si="39"/>
        <v>0</v>
      </c>
      <c r="AJ115" s="17"/>
    </row>
    <row r="116" spans="1:36" x14ac:dyDescent="0.3">
      <c r="A116" s="15" t="s">
        <v>165</v>
      </c>
      <c r="B116" s="15">
        <v>100000</v>
      </c>
      <c r="C116" s="15" t="s">
        <v>54</v>
      </c>
      <c r="D116" s="15" t="s">
        <v>68</v>
      </c>
      <c r="E116" s="15">
        <v>0</v>
      </c>
      <c r="F116" s="15">
        <v>0</v>
      </c>
      <c r="G116" s="15">
        <v>0</v>
      </c>
      <c r="H116" s="15">
        <f t="shared" si="30"/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5">
        <f t="shared" si="31"/>
        <v>0</v>
      </c>
      <c r="T116" s="15">
        <f t="shared" si="32"/>
        <v>0</v>
      </c>
      <c r="U116" s="15">
        <f t="shared" si="33"/>
        <v>0</v>
      </c>
      <c r="V116" s="15">
        <f t="shared" si="34"/>
        <v>0</v>
      </c>
      <c r="W116" s="18" t="str">
        <f t="shared" si="35"/>
        <v/>
      </c>
      <c r="X116" s="17">
        <v>0</v>
      </c>
      <c r="Y116" s="17">
        <v>0</v>
      </c>
      <c r="Z116" s="15">
        <f t="shared" si="36"/>
        <v>0</v>
      </c>
      <c r="AA116" s="17">
        <v>0</v>
      </c>
      <c r="AB116" s="17">
        <v>0</v>
      </c>
      <c r="AC116" s="15">
        <f t="shared" si="37"/>
        <v>0</v>
      </c>
      <c r="AD116" s="17">
        <v>0</v>
      </c>
      <c r="AE116" s="17">
        <v>0</v>
      </c>
      <c r="AF116" s="15">
        <f t="shared" si="38"/>
        <v>0</v>
      </c>
      <c r="AG116" s="17">
        <v>0</v>
      </c>
      <c r="AH116" s="17">
        <v>0</v>
      </c>
      <c r="AI116" s="15">
        <f t="shared" si="39"/>
        <v>0</v>
      </c>
      <c r="AJ116" s="17"/>
    </row>
    <row r="117" spans="1:36" x14ac:dyDescent="0.3">
      <c r="A117" s="15" t="s">
        <v>165</v>
      </c>
      <c r="B117" s="15">
        <v>25000</v>
      </c>
      <c r="C117" s="15" t="s">
        <v>54</v>
      </c>
      <c r="D117" s="15" t="s">
        <v>68</v>
      </c>
      <c r="E117" s="15">
        <v>0</v>
      </c>
      <c r="F117" s="15">
        <v>0</v>
      </c>
      <c r="G117" s="15">
        <v>0</v>
      </c>
      <c r="H117" s="15">
        <f t="shared" si="30"/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5">
        <f t="shared" si="31"/>
        <v>0</v>
      </c>
      <c r="T117" s="15">
        <f t="shared" si="32"/>
        <v>0</v>
      </c>
      <c r="U117" s="15">
        <f t="shared" si="33"/>
        <v>0</v>
      </c>
      <c r="V117" s="15">
        <f t="shared" si="34"/>
        <v>0</v>
      </c>
      <c r="W117" s="18" t="str">
        <f t="shared" si="35"/>
        <v/>
      </c>
      <c r="X117" s="17">
        <v>0</v>
      </c>
      <c r="Y117" s="17">
        <v>0</v>
      </c>
      <c r="Z117" s="15">
        <f t="shared" si="36"/>
        <v>0</v>
      </c>
      <c r="AA117" s="17">
        <v>0</v>
      </c>
      <c r="AB117" s="17">
        <v>0</v>
      </c>
      <c r="AC117" s="15">
        <f t="shared" si="37"/>
        <v>0</v>
      </c>
      <c r="AD117" s="17">
        <v>0</v>
      </c>
      <c r="AE117" s="17">
        <v>0</v>
      </c>
      <c r="AF117" s="15">
        <f t="shared" si="38"/>
        <v>0</v>
      </c>
      <c r="AG117" s="17">
        <v>0</v>
      </c>
      <c r="AH117" s="17">
        <v>0</v>
      </c>
      <c r="AI117" s="15">
        <f t="shared" si="39"/>
        <v>0</v>
      </c>
      <c r="AJ117" s="17"/>
    </row>
    <row r="118" spans="1:36" x14ac:dyDescent="0.3">
      <c r="A118" s="15" t="s">
        <v>166</v>
      </c>
      <c r="B118" s="15">
        <v>100000</v>
      </c>
      <c r="C118" s="15" t="s">
        <v>54</v>
      </c>
      <c r="D118" s="15" t="s">
        <v>68</v>
      </c>
      <c r="E118" s="15">
        <v>0</v>
      </c>
      <c r="F118" s="15">
        <v>0</v>
      </c>
      <c r="G118" s="15">
        <v>0</v>
      </c>
      <c r="H118" s="15">
        <f t="shared" si="30"/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5">
        <f t="shared" si="31"/>
        <v>0</v>
      </c>
      <c r="T118" s="15">
        <f t="shared" si="32"/>
        <v>0</v>
      </c>
      <c r="U118" s="15">
        <f t="shared" si="33"/>
        <v>0</v>
      </c>
      <c r="V118" s="15">
        <f t="shared" si="34"/>
        <v>0</v>
      </c>
      <c r="W118" s="18" t="str">
        <f t="shared" si="35"/>
        <v/>
      </c>
      <c r="X118" s="17">
        <v>0</v>
      </c>
      <c r="Y118" s="17">
        <v>0</v>
      </c>
      <c r="Z118" s="15">
        <f t="shared" si="36"/>
        <v>0</v>
      </c>
      <c r="AA118" s="17">
        <v>0</v>
      </c>
      <c r="AB118" s="17">
        <v>0</v>
      </c>
      <c r="AC118" s="15">
        <f t="shared" si="37"/>
        <v>0</v>
      </c>
      <c r="AD118" s="17">
        <v>0</v>
      </c>
      <c r="AE118" s="17">
        <v>0</v>
      </c>
      <c r="AF118" s="15">
        <f t="shared" si="38"/>
        <v>0</v>
      </c>
      <c r="AG118" s="17">
        <v>0</v>
      </c>
      <c r="AH118" s="17">
        <v>0</v>
      </c>
      <c r="AI118" s="15">
        <f t="shared" si="39"/>
        <v>0</v>
      </c>
      <c r="AJ118" s="17"/>
    </row>
    <row r="119" spans="1:36" x14ac:dyDescent="0.3">
      <c r="A119" s="15" t="s">
        <v>167</v>
      </c>
      <c r="B119" s="15">
        <v>100</v>
      </c>
      <c r="C119" s="15" t="s">
        <v>54</v>
      </c>
      <c r="D119" s="15" t="s">
        <v>55</v>
      </c>
      <c r="E119" s="17">
        <v>104</v>
      </c>
      <c r="F119" s="17">
        <v>0</v>
      </c>
      <c r="G119" s="17">
        <v>0</v>
      </c>
      <c r="H119" s="15">
        <f t="shared" si="30"/>
        <v>104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5">
        <f t="shared" si="31"/>
        <v>104</v>
      </c>
      <c r="T119" s="15">
        <f t="shared" si="32"/>
        <v>104</v>
      </c>
      <c r="U119" s="15">
        <f t="shared" si="33"/>
        <v>0</v>
      </c>
      <c r="V119" s="15">
        <f t="shared" si="34"/>
        <v>0</v>
      </c>
      <c r="W119" s="18" t="str">
        <f t="shared" si="35"/>
        <v/>
      </c>
      <c r="X119" s="17">
        <v>0</v>
      </c>
      <c r="Y119" s="17">
        <v>0</v>
      </c>
      <c r="Z119" s="15">
        <f t="shared" si="36"/>
        <v>0</v>
      </c>
      <c r="AA119" s="17">
        <v>0</v>
      </c>
      <c r="AB119" s="17">
        <v>0</v>
      </c>
      <c r="AC119" s="15">
        <f t="shared" si="37"/>
        <v>0</v>
      </c>
      <c r="AD119" s="17">
        <v>0</v>
      </c>
      <c r="AE119" s="17">
        <v>0</v>
      </c>
      <c r="AF119" s="15">
        <f t="shared" si="38"/>
        <v>0</v>
      </c>
      <c r="AG119" s="17">
        <v>0</v>
      </c>
      <c r="AH119" s="17">
        <v>0</v>
      </c>
      <c r="AI119" s="15">
        <f t="shared" si="39"/>
        <v>0</v>
      </c>
      <c r="AJ119" s="17"/>
    </row>
    <row r="120" spans="1:36" x14ac:dyDescent="0.3">
      <c r="A120" s="15" t="s">
        <v>168</v>
      </c>
      <c r="B120" s="15">
        <v>100</v>
      </c>
      <c r="C120" s="15" t="s">
        <v>54</v>
      </c>
      <c r="D120" s="15" t="s">
        <v>68</v>
      </c>
      <c r="E120" s="15">
        <v>0</v>
      </c>
      <c r="F120" s="15">
        <v>0</v>
      </c>
      <c r="G120" s="15">
        <v>0</v>
      </c>
      <c r="H120" s="15">
        <f t="shared" si="30"/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5">
        <f t="shared" si="31"/>
        <v>0</v>
      </c>
      <c r="T120" s="15">
        <f t="shared" si="32"/>
        <v>0</v>
      </c>
      <c r="U120" s="15">
        <f t="shared" si="33"/>
        <v>0</v>
      </c>
      <c r="V120" s="15">
        <f t="shared" si="34"/>
        <v>0</v>
      </c>
      <c r="W120" s="18" t="str">
        <f t="shared" si="35"/>
        <v/>
      </c>
      <c r="X120" s="17">
        <v>0</v>
      </c>
      <c r="Y120" s="17">
        <v>0</v>
      </c>
      <c r="Z120" s="15">
        <f t="shared" si="36"/>
        <v>0</v>
      </c>
      <c r="AA120" s="17">
        <v>0</v>
      </c>
      <c r="AB120" s="17">
        <v>0</v>
      </c>
      <c r="AC120" s="15">
        <f t="shared" si="37"/>
        <v>0</v>
      </c>
      <c r="AD120" s="17">
        <v>0</v>
      </c>
      <c r="AE120" s="17">
        <v>0</v>
      </c>
      <c r="AF120" s="15">
        <f t="shared" si="38"/>
        <v>0</v>
      </c>
      <c r="AG120" s="17">
        <v>0</v>
      </c>
      <c r="AH120" s="17">
        <v>0</v>
      </c>
      <c r="AI120" s="15">
        <f t="shared" si="39"/>
        <v>0</v>
      </c>
      <c r="AJ120" s="17"/>
    </row>
    <row r="121" spans="1:36" x14ac:dyDescent="0.3">
      <c r="A121" s="15" t="s">
        <v>169</v>
      </c>
      <c r="B121" s="15">
        <v>1000</v>
      </c>
      <c r="C121" s="15" t="s">
        <v>54</v>
      </c>
      <c r="D121" s="15" t="s">
        <v>68</v>
      </c>
      <c r="E121" s="15">
        <v>0</v>
      </c>
      <c r="F121" s="15">
        <v>0</v>
      </c>
      <c r="G121" s="15">
        <v>0</v>
      </c>
      <c r="H121" s="15">
        <f t="shared" si="30"/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5">
        <f t="shared" si="31"/>
        <v>0</v>
      </c>
      <c r="T121" s="15">
        <f t="shared" si="32"/>
        <v>0</v>
      </c>
      <c r="U121" s="15">
        <f t="shared" si="33"/>
        <v>0</v>
      </c>
      <c r="V121" s="15">
        <f t="shared" si="34"/>
        <v>0</v>
      </c>
      <c r="W121" s="18" t="str">
        <f t="shared" si="35"/>
        <v/>
      </c>
      <c r="X121" s="17">
        <v>0</v>
      </c>
      <c r="Y121" s="17">
        <v>0</v>
      </c>
      <c r="Z121" s="15">
        <f t="shared" si="36"/>
        <v>0</v>
      </c>
      <c r="AA121" s="17">
        <v>0</v>
      </c>
      <c r="AB121" s="17">
        <v>0</v>
      </c>
      <c r="AC121" s="15">
        <f t="shared" si="37"/>
        <v>0</v>
      </c>
      <c r="AD121" s="17">
        <v>0</v>
      </c>
      <c r="AE121" s="17">
        <v>0</v>
      </c>
      <c r="AF121" s="15">
        <f t="shared" si="38"/>
        <v>0</v>
      </c>
      <c r="AG121" s="17">
        <v>0</v>
      </c>
      <c r="AH121" s="17">
        <v>0</v>
      </c>
      <c r="AI121" s="15">
        <f t="shared" si="39"/>
        <v>0</v>
      </c>
      <c r="AJ121" s="17"/>
    </row>
    <row r="122" spans="1:36" x14ac:dyDescent="0.3">
      <c r="A122" s="15" t="s">
        <v>170</v>
      </c>
      <c r="B122" s="15">
        <v>1000</v>
      </c>
      <c r="C122" s="15" t="s">
        <v>54</v>
      </c>
      <c r="D122" s="15" t="s">
        <v>55</v>
      </c>
      <c r="E122" s="17">
        <v>19</v>
      </c>
      <c r="F122" s="17">
        <v>0</v>
      </c>
      <c r="G122" s="17">
        <v>38</v>
      </c>
      <c r="H122" s="15">
        <f t="shared" si="30"/>
        <v>57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5">
        <f t="shared" si="31"/>
        <v>57</v>
      </c>
      <c r="T122" s="15">
        <f t="shared" si="32"/>
        <v>19</v>
      </c>
      <c r="U122" s="15">
        <f t="shared" si="33"/>
        <v>0</v>
      </c>
      <c r="V122" s="15">
        <f t="shared" si="34"/>
        <v>38</v>
      </c>
      <c r="W122" s="18" t="str">
        <f t="shared" si="35"/>
        <v/>
      </c>
      <c r="X122" s="17">
        <v>0</v>
      </c>
      <c r="Y122" s="17">
        <v>0</v>
      </c>
      <c r="Z122" s="15">
        <f t="shared" si="36"/>
        <v>0</v>
      </c>
      <c r="AA122" s="17">
        <v>0</v>
      </c>
      <c r="AB122" s="17">
        <v>0</v>
      </c>
      <c r="AC122" s="15">
        <f t="shared" si="37"/>
        <v>0</v>
      </c>
      <c r="AD122" s="17">
        <v>0</v>
      </c>
      <c r="AE122" s="17">
        <v>0</v>
      </c>
      <c r="AF122" s="15">
        <f t="shared" si="38"/>
        <v>0</v>
      </c>
      <c r="AG122" s="17">
        <v>0</v>
      </c>
      <c r="AH122" s="17">
        <v>0</v>
      </c>
      <c r="AI122" s="15">
        <f t="shared" si="39"/>
        <v>0</v>
      </c>
      <c r="AJ122" s="17"/>
    </row>
    <row r="123" spans="1:36" x14ac:dyDescent="0.3">
      <c r="A123" s="15" t="s">
        <v>171</v>
      </c>
      <c r="B123" s="15">
        <v>1000</v>
      </c>
      <c r="C123" s="15" t="s">
        <v>54</v>
      </c>
      <c r="D123" s="15" t="s">
        <v>55</v>
      </c>
      <c r="E123" s="17">
        <v>1</v>
      </c>
      <c r="F123" s="17">
        <v>9</v>
      </c>
      <c r="G123" s="17">
        <v>11</v>
      </c>
      <c r="H123" s="15">
        <f t="shared" si="30"/>
        <v>21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5">
        <f t="shared" si="31"/>
        <v>21</v>
      </c>
      <c r="T123" s="15">
        <f t="shared" si="32"/>
        <v>1</v>
      </c>
      <c r="U123" s="15">
        <f t="shared" si="33"/>
        <v>9</v>
      </c>
      <c r="V123" s="15">
        <f t="shared" si="34"/>
        <v>11</v>
      </c>
      <c r="W123" s="18" t="str">
        <f t="shared" si="35"/>
        <v/>
      </c>
      <c r="X123" s="17">
        <v>0</v>
      </c>
      <c r="Y123" s="17">
        <v>0</v>
      </c>
      <c r="Z123" s="15">
        <f t="shared" si="36"/>
        <v>0</v>
      </c>
      <c r="AA123" s="17">
        <v>0</v>
      </c>
      <c r="AB123" s="17">
        <v>0</v>
      </c>
      <c r="AC123" s="15">
        <f t="shared" si="37"/>
        <v>0</v>
      </c>
      <c r="AD123" s="17">
        <v>0</v>
      </c>
      <c r="AE123" s="17">
        <v>0</v>
      </c>
      <c r="AF123" s="15">
        <f t="shared" si="38"/>
        <v>0</v>
      </c>
      <c r="AG123" s="17">
        <v>0</v>
      </c>
      <c r="AH123" s="17">
        <v>0</v>
      </c>
      <c r="AI123" s="15">
        <f t="shared" si="39"/>
        <v>0</v>
      </c>
      <c r="AJ123" s="17"/>
    </row>
    <row r="124" spans="1:36" x14ac:dyDescent="0.3">
      <c r="A124" s="15" t="s">
        <v>172</v>
      </c>
      <c r="B124" s="15">
        <v>100</v>
      </c>
      <c r="C124" s="15" t="s">
        <v>54</v>
      </c>
      <c r="D124" s="15" t="s">
        <v>68</v>
      </c>
      <c r="E124" s="15">
        <v>0</v>
      </c>
      <c r="F124" s="15">
        <v>0</v>
      </c>
      <c r="G124" s="15">
        <v>0</v>
      </c>
      <c r="H124" s="15">
        <f t="shared" si="30"/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5">
        <f t="shared" si="31"/>
        <v>0</v>
      </c>
      <c r="T124" s="15">
        <f t="shared" si="32"/>
        <v>0</v>
      </c>
      <c r="U124" s="15">
        <f t="shared" si="33"/>
        <v>0</v>
      </c>
      <c r="V124" s="15">
        <f t="shared" si="34"/>
        <v>0</v>
      </c>
      <c r="W124" s="18" t="str">
        <f t="shared" si="35"/>
        <v/>
      </c>
      <c r="X124" s="17">
        <v>0</v>
      </c>
      <c r="Y124" s="17">
        <v>0</v>
      </c>
      <c r="Z124" s="15">
        <f t="shared" si="36"/>
        <v>0</v>
      </c>
      <c r="AA124" s="17">
        <v>0</v>
      </c>
      <c r="AB124" s="17">
        <v>0</v>
      </c>
      <c r="AC124" s="15">
        <f t="shared" si="37"/>
        <v>0</v>
      </c>
      <c r="AD124" s="17">
        <v>0</v>
      </c>
      <c r="AE124" s="17">
        <v>0</v>
      </c>
      <c r="AF124" s="15">
        <f t="shared" si="38"/>
        <v>0</v>
      </c>
      <c r="AG124" s="17">
        <v>0</v>
      </c>
      <c r="AH124" s="17">
        <v>0</v>
      </c>
      <c r="AI124" s="15">
        <f t="shared" si="39"/>
        <v>0</v>
      </c>
      <c r="AJ124" s="17"/>
    </row>
    <row r="125" spans="1:36" x14ac:dyDescent="0.3">
      <c r="A125" s="15" t="s">
        <v>173</v>
      </c>
      <c r="B125" s="15">
        <v>100</v>
      </c>
      <c r="C125" s="15" t="s">
        <v>54</v>
      </c>
      <c r="D125" s="15" t="s">
        <v>68</v>
      </c>
      <c r="E125" s="15">
        <v>0</v>
      </c>
      <c r="F125" s="15">
        <v>0</v>
      </c>
      <c r="G125" s="15">
        <v>0</v>
      </c>
      <c r="H125" s="15">
        <f t="shared" si="30"/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5">
        <f t="shared" si="31"/>
        <v>0</v>
      </c>
      <c r="T125" s="15">
        <f t="shared" si="32"/>
        <v>0</v>
      </c>
      <c r="U125" s="15">
        <f t="shared" si="33"/>
        <v>0</v>
      </c>
      <c r="V125" s="15">
        <f t="shared" si="34"/>
        <v>0</v>
      </c>
      <c r="W125" s="18" t="str">
        <f t="shared" si="35"/>
        <v/>
      </c>
      <c r="X125" s="17">
        <v>0</v>
      </c>
      <c r="Y125" s="17">
        <v>0</v>
      </c>
      <c r="Z125" s="15">
        <f t="shared" si="36"/>
        <v>0</v>
      </c>
      <c r="AA125" s="17">
        <v>0</v>
      </c>
      <c r="AB125" s="17">
        <v>0</v>
      </c>
      <c r="AC125" s="15">
        <f t="shared" si="37"/>
        <v>0</v>
      </c>
      <c r="AD125" s="17">
        <v>0</v>
      </c>
      <c r="AE125" s="17">
        <v>0</v>
      </c>
      <c r="AF125" s="15">
        <f t="shared" si="38"/>
        <v>0</v>
      </c>
      <c r="AG125" s="17">
        <v>0</v>
      </c>
      <c r="AH125" s="17">
        <v>0</v>
      </c>
      <c r="AI125" s="15">
        <f t="shared" si="39"/>
        <v>0</v>
      </c>
      <c r="AJ125" s="17"/>
    </row>
    <row r="126" spans="1:36" x14ac:dyDescent="0.3">
      <c r="A126" s="15" t="s">
        <v>174</v>
      </c>
      <c r="B126" s="15">
        <v>100</v>
      </c>
      <c r="C126" s="15" t="s">
        <v>54</v>
      </c>
      <c r="D126" s="15" t="s">
        <v>68</v>
      </c>
      <c r="E126" s="15">
        <v>0</v>
      </c>
      <c r="F126" s="15">
        <v>0</v>
      </c>
      <c r="G126" s="15">
        <v>0</v>
      </c>
      <c r="H126" s="15">
        <f t="shared" si="30"/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5">
        <f t="shared" si="31"/>
        <v>0</v>
      </c>
      <c r="T126" s="15">
        <f t="shared" si="32"/>
        <v>0</v>
      </c>
      <c r="U126" s="15">
        <f t="shared" si="33"/>
        <v>0</v>
      </c>
      <c r="V126" s="15">
        <f t="shared" si="34"/>
        <v>0</v>
      </c>
      <c r="W126" s="18" t="str">
        <f t="shared" si="35"/>
        <v/>
      </c>
      <c r="X126" s="17">
        <v>0</v>
      </c>
      <c r="Y126" s="17">
        <v>0</v>
      </c>
      <c r="Z126" s="15">
        <f t="shared" si="36"/>
        <v>0</v>
      </c>
      <c r="AA126" s="17">
        <v>0</v>
      </c>
      <c r="AB126" s="17">
        <v>0</v>
      </c>
      <c r="AC126" s="15">
        <f t="shared" si="37"/>
        <v>0</v>
      </c>
      <c r="AD126" s="17">
        <v>0</v>
      </c>
      <c r="AE126" s="17">
        <v>0</v>
      </c>
      <c r="AF126" s="15">
        <f t="shared" si="38"/>
        <v>0</v>
      </c>
      <c r="AG126" s="17">
        <v>0</v>
      </c>
      <c r="AH126" s="17">
        <v>0</v>
      </c>
      <c r="AI126" s="15">
        <f t="shared" si="39"/>
        <v>0</v>
      </c>
      <c r="AJ126" s="17"/>
    </row>
    <row r="127" spans="1:36" x14ac:dyDescent="0.3">
      <c r="A127" s="15" t="s">
        <v>175</v>
      </c>
      <c r="B127" s="15">
        <v>100</v>
      </c>
      <c r="C127" s="15" t="s">
        <v>54</v>
      </c>
      <c r="D127" s="15" t="s">
        <v>57</v>
      </c>
      <c r="E127" s="15">
        <v>0</v>
      </c>
      <c r="F127" s="15">
        <v>0</v>
      </c>
      <c r="G127" s="15">
        <v>0</v>
      </c>
      <c r="H127" s="15">
        <f t="shared" si="30"/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5">
        <f t="shared" si="31"/>
        <v>0</v>
      </c>
      <c r="T127" s="15">
        <f t="shared" si="32"/>
        <v>0</v>
      </c>
      <c r="U127" s="15">
        <f t="shared" si="33"/>
        <v>0</v>
      </c>
      <c r="V127" s="15">
        <f t="shared" si="34"/>
        <v>0</v>
      </c>
      <c r="W127" s="18" t="str">
        <f t="shared" si="35"/>
        <v/>
      </c>
      <c r="X127" s="17">
        <v>0</v>
      </c>
      <c r="Y127" s="17">
        <v>0</v>
      </c>
      <c r="Z127" s="15">
        <f t="shared" si="36"/>
        <v>0</v>
      </c>
      <c r="AA127" s="17">
        <v>0</v>
      </c>
      <c r="AB127" s="17">
        <v>0</v>
      </c>
      <c r="AC127" s="15">
        <f t="shared" si="37"/>
        <v>0</v>
      </c>
      <c r="AD127" s="17">
        <v>0</v>
      </c>
      <c r="AE127" s="17">
        <v>0</v>
      </c>
      <c r="AF127" s="15">
        <f t="shared" si="38"/>
        <v>0</v>
      </c>
      <c r="AG127" s="17">
        <v>0</v>
      </c>
      <c r="AH127" s="17">
        <v>0</v>
      </c>
      <c r="AI127" s="15">
        <f t="shared" si="39"/>
        <v>0</v>
      </c>
      <c r="AJ127" s="17"/>
    </row>
    <row r="128" spans="1:36" x14ac:dyDescent="0.3">
      <c r="A128" s="15" t="s">
        <v>176</v>
      </c>
      <c r="B128" s="15" t="s">
        <v>177</v>
      </c>
      <c r="C128" s="15" t="s">
        <v>178</v>
      </c>
      <c r="D128" s="15" t="s">
        <v>55</v>
      </c>
      <c r="E128" s="15">
        <v>0</v>
      </c>
      <c r="F128" s="15">
        <v>0</v>
      </c>
      <c r="G128" s="15">
        <v>0</v>
      </c>
      <c r="H128" s="15">
        <f t="shared" si="30"/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5">
        <f t="shared" si="31"/>
        <v>0</v>
      </c>
      <c r="T128" s="15">
        <f t="shared" si="32"/>
        <v>0</v>
      </c>
      <c r="U128" s="15">
        <f t="shared" si="33"/>
        <v>0</v>
      </c>
      <c r="V128" s="15">
        <f t="shared" si="34"/>
        <v>0</v>
      </c>
      <c r="W128" s="18" t="str">
        <f t="shared" si="35"/>
        <v/>
      </c>
      <c r="X128" s="17">
        <v>0</v>
      </c>
      <c r="Y128" s="17">
        <v>0</v>
      </c>
      <c r="Z128" s="15">
        <f t="shared" si="36"/>
        <v>0</v>
      </c>
      <c r="AA128" s="17">
        <v>0</v>
      </c>
      <c r="AB128" s="17">
        <v>0</v>
      </c>
      <c r="AC128" s="15">
        <f t="shared" si="37"/>
        <v>0</v>
      </c>
      <c r="AD128" s="17">
        <v>0</v>
      </c>
      <c r="AE128" s="17">
        <v>0</v>
      </c>
      <c r="AF128" s="15">
        <f t="shared" si="38"/>
        <v>0</v>
      </c>
      <c r="AG128" s="17">
        <v>0</v>
      </c>
      <c r="AH128" s="17">
        <v>0</v>
      </c>
      <c r="AI128" s="15">
        <f t="shared" si="39"/>
        <v>0</v>
      </c>
      <c r="AJ128" s="17"/>
    </row>
    <row r="129" spans="1:36" x14ac:dyDescent="0.3">
      <c r="A129" s="15" t="s">
        <v>179</v>
      </c>
      <c r="B129" s="15">
        <v>2500</v>
      </c>
      <c r="C129" s="15" t="s">
        <v>54</v>
      </c>
      <c r="D129" s="15" t="s">
        <v>68</v>
      </c>
      <c r="E129" s="15">
        <v>0</v>
      </c>
      <c r="F129" s="15">
        <v>0</v>
      </c>
      <c r="G129" s="15">
        <v>0</v>
      </c>
      <c r="H129" s="15">
        <f t="shared" si="30"/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5">
        <f t="shared" si="31"/>
        <v>0</v>
      </c>
      <c r="T129" s="15">
        <f t="shared" si="32"/>
        <v>0</v>
      </c>
      <c r="U129" s="15">
        <f t="shared" si="33"/>
        <v>0</v>
      </c>
      <c r="V129" s="15">
        <f t="shared" si="34"/>
        <v>0</v>
      </c>
      <c r="W129" s="18" t="str">
        <f t="shared" si="35"/>
        <v/>
      </c>
      <c r="X129" s="17">
        <v>0</v>
      </c>
      <c r="Y129" s="17">
        <v>0</v>
      </c>
      <c r="Z129" s="15">
        <f t="shared" si="36"/>
        <v>0</v>
      </c>
      <c r="AA129" s="17">
        <v>0</v>
      </c>
      <c r="AB129" s="17">
        <v>0</v>
      </c>
      <c r="AC129" s="15">
        <f t="shared" si="37"/>
        <v>0</v>
      </c>
      <c r="AD129" s="17">
        <v>0</v>
      </c>
      <c r="AE129" s="17">
        <v>0</v>
      </c>
      <c r="AF129" s="15">
        <f t="shared" si="38"/>
        <v>0</v>
      </c>
      <c r="AG129" s="17">
        <v>0</v>
      </c>
      <c r="AH129" s="17">
        <v>0</v>
      </c>
      <c r="AI129" s="15">
        <f t="shared" si="39"/>
        <v>0</v>
      </c>
      <c r="AJ129" s="17"/>
    </row>
    <row r="130" spans="1:36" x14ac:dyDescent="0.3">
      <c r="A130" s="15" t="s">
        <v>180</v>
      </c>
      <c r="B130" s="15">
        <v>1000</v>
      </c>
      <c r="C130" s="15" t="s">
        <v>54</v>
      </c>
      <c r="D130" s="15" t="s">
        <v>68</v>
      </c>
      <c r="E130" s="15">
        <v>0</v>
      </c>
      <c r="F130" s="15">
        <v>0</v>
      </c>
      <c r="G130" s="15">
        <v>0</v>
      </c>
      <c r="H130" s="15">
        <f t="shared" si="30"/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5">
        <f t="shared" si="31"/>
        <v>0</v>
      </c>
      <c r="T130" s="15">
        <f t="shared" si="32"/>
        <v>0</v>
      </c>
      <c r="U130" s="15">
        <f t="shared" si="33"/>
        <v>0</v>
      </c>
      <c r="V130" s="15">
        <f t="shared" si="34"/>
        <v>0</v>
      </c>
      <c r="W130" s="18" t="str">
        <f t="shared" si="35"/>
        <v/>
      </c>
      <c r="X130" s="17">
        <v>0</v>
      </c>
      <c r="Y130" s="17">
        <v>0</v>
      </c>
      <c r="Z130" s="15">
        <f t="shared" si="36"/>
        <v>0</v>
      </c>
      <c r="AA130" s="17">
        <v>0</v>
      </c>
      <c r="AB130" s="17">
        <v>0</v>
      </c>
      <c r="AC130" s="15">
        <f t="shared" si="37"/>
        <v>0</v>
      </c>
      <c r="AD130" s="17">
        <v>0</v>
      </c>
      <c r="AE130" s="17">
        <v>0</v>
      </c>
      <c r="AF130" s="15">
        <f t="shared" si="38"/>
        <v>0</v>
      </c>
      <c r="AG130" s="17">
        <v>0</v>
      </c>
      <c r="AH130" s="17">
        <v>0</v>
      </c>
      <c r="AI130" s="15">
        <f t="shared" si="39"/>
        <v>0</v>
      </c>
      <c r="AJ130" s="17"/>
    </row>
    <row r="131" spans="1:36" x14ac:dyDescent="0.3">
      <c r="A131" s="15" t="s">
        <v>181</v>
      </c>
      <c r="B131" s="15">
        <v>100</v>
      </c>
      <c r="C131" s="15" t="s">
        <v>54</v>
      </c>
      <c r="D131" s="15" t="s">
        <v>57</v>
      </c>
      <c r="E131" s="15">
        <v>0</v>
      </c>
      <c r="F131" s="15">
        <v>0</v>
      </c>
      <c r="G131" s="15">
        <v>0</v>
      </c>
      <c r="H131" s="15">
        <f t="shared" ref="H131:H162" si="40">E131+F131+G131</f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5">
        <f t="shared" ref="S131:S162" si="41">H131+O131+P131+Q131+R131-(I131+J131+K131+L131+M131+N131)</f>
        <v>0</v>
      </c>
      <c r="T131" s="15">
        <f t="shared" ref="T131:T162" si="42">E131+O131-I131-L131</f>
        <v>0</v>
      </c>
      <c r="U131" s="15">
        <f t="shared" ref="U131:U162" si="43">F131+P131-J131-M131</f>
        <v>0</v>
      </c>
      <c r="V131" s="15">
        <f t="shared" ref="V131:V162" si="44">G131+Q131-K131-N131</f>
        <v>0</v>
      </c>
      <c r="W131" s="18" t="str">
        <f t="shared" ref="W131:W162" si="45">IF(MIN(T131,U131,V131)&lt;0,"NEGATIVE STOCK - CHECK ENTRIES","")</f>
        <v/>
      </c>
      <c r="X131" s="17">
        <v>0</v>
      </c>
      <c r="Y131" s="17">
        <v>0</v>
      </c>
      <c r="Z131" s="15">
        <f t="shared" ref="Z131:Z162" si="46">X131-Y131</f>
        <v>0</v>
      </c>
      <c r="AA131" s="17">
        <v>0</v>
      </c>
      <c r="AB131" s="17">
        <v>0</v>
      </c>
      <c r="AC131" s="15">
        <f t="shared" ref="AC131:AC162" si="47">AA131-AB131</f>
        <v>0</v>
      </c>
      <c r="AD131" s="17">
        <v>0</v>
      </c>
      <c r="AE131" s="17">
        <v>0</v>
      </c>
      <c r="AF131" s="15">
        <f t="shared" ref="AF131:AF162" si="48">AD131-AE131</f>
        <v>0</v>
      </c>
      <c r="AG131" s="17">
        <v>0</v>
      </c>
      <c r="AH131" s="17">
        <v>0</v>
      </c>
      <c r="AI131" s="15">
        <f t="shared" ref="AI131:AI162" si="49">AG131-AH131</f>
        <v>0</v>
      </c>
      <c r="AJ131" s="17"/>
    </row>
    <row r="132" spans="1:36" x14ac:dyDescent="0.3">
      <c r="A132" s="15" t="s">
        <v>182</v>
      </c>
      <c r="B132" s="15">
        <v>1000</v>
      </c>
      <c r="C132" s="15" t="s">
        <v>54</v>
      </c>
      <c r="D132" s="15" t="s">
        <v>68</v>
      </c>
      <c r="E132" s="15">
        <v>0</v>
      </c>
      <c r="F132" s="15">
        <v>0</v>
      </c>
      <c r="G132" s="15">
        <v>0</v>
      </c>
      <c r="H132" s="15">
        <f t="shared" si="40"/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5">
        <f t="shared" si="41"/>
        <v>0</v>
      </c>
      <c r="T132" s="15">
        <f t="shared" si="42"/>
        <v>0</v>
      </c>
      <c r="U132" s="15">
        <f t="shared" si="43"/>
        <v>0</v>
      </c>
      <c r="V132" s="15">
        <f t="shared" si="44"/>
        <v>0</v>
      </c>
      <c r="W132" s="18" t="str">
        <f t="shared" si="45"/>
        <v/>
      </c>
      <c r="X132" s="17">
        <v>0</v>
      </c>
      <c r="Y132" s="17">
        <v>0</v>
      </c>
      <c r="Z132" s="15">
        <f t="shared" si="46"/>
        <v>0</v>
      </c>
      <c r="AA132" s="17">
        <v>0</v>
      </c>
      <c r="AB132" s="17">
        <v>0</v>
      </c>
      <c r="AC132" s="15">
        <f t="shared" si="47"/>
        <v>0</v>
      </c>
      <c r="AD132" s="17">
        <v>0</v>
      </c>
      <c r="AE132" s="17">
        <v>0</v>
      </c>
      <c r="AF132" s="15">
        <f t="shared" si="48"/>
        <v>0</v>
      </c>
      <c r="AG132" s="17">
        <v>0</v>
      </c>
      <c r="AH132" s="17">
        <v>0</v>
      </c>
      <c r="AI132" s="15">
        <f t="shared" si="49"/>
        <v>0</v>
      </c>
      <c r="AJ132" s="17"/>
    </row>
    <row r="133" spans="1:36" x14ac:dyDescent="0.3">
      <c r="A133" s="15" t="s">
        <v>183</v>
      </c>
      <c r="B133" s="15">
        <v>100</v>
      </c>
      <c r="C133" s="15" t="s">
        <v>54</v>
      </c>
      <c r="D133" s="15" t="s">
        <v>68</v>
      </c>
      <c r="E133" s="15">
        <v>0</v>
      </c>
      <c r="F133" s="15">
        <v>0</v>
      </c>
      <c r="G133" s="15">
        <v>0</v>
      </c>
      <c r="H133" s="15">
        <f t="shared" si="40"/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5">
        <f t="shared" si="41"/>
        <v>0</v>
      </c>
      <c r="T133" s="15">
        <f t="shared" si="42"/>
        <v>0</v>
      </c>
      <c r="U133" s="15">
        <f t="shared" si="43"/>
        <v>0</v>
      </c>
      <c r="V133" s="15">
        <f t="shared" si="44"/>
        <v>0</v>
      </c>
      <c r="W133" s="18" t="str">
        <f t="shared" si="45"/>
        <v/>
      </c>
      <c r="X133" s="17">
        <v>0</v>
      </c>
      <c r="Y133" s="17">
        <v>0</v>
      </c>
      <c r="Z133" s="15">
        <f t="shared" si="46"/>
        <v>0</v>
      </c>
      <c r="AA133" s="17">
        <v>0</v>
      </c>
      <c r="AB133" s="17">
        <v>0</v>
      </c>
      <c r="AC133" s="15">
        <f t="shared" si="47"/>
        <v>0</v>
      </c>
      <c r="AD133" s="17">
        <v>0</v>
      </c>
      <c r="AE133" s="17">
        <v>0</v>
      </c>
      <c r="AF133" s="15">
        <f t="shared" si="48"/>
        <v>0</v>
      </c>
      <c r="AG133" s="17">
        <v>0</v>
      </c>
      <c r="AH133" s="17">
        <v>0</v>
      </c>
      <c r="AI133" s="15">
        <f t="shared" si="49"/>
        <v>0</v>
      </c>
      <c r="AJ133" s="17"/>
    </row>
    <row r="134" spans="1:36" x14ac:dyDescent="0.3">
      <c r="A134" s="15" t="s">
        <v>184</v>
      </c>
      <c r="B134" s="15">
        <v>1000</v>
      </c>
      <c r="C134" s="15" t="s">
        <v>54</v>
      </c>
      <c r="D134" s="15" t="s">
        <v>55</v>
      </c>
      <c r="E134" s="15">
        <v>0</v>
      </c>
      <c r="F134" s="15">
        <v>0</v>
      </c>
      <c r="G134" s="15">
        <v>0</v>
      </c>
      <c r="H134" s="15">
        <f t="shared" si="40"/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5">
        <f t="shared" si="41"/>
        <v>0</v>
      </c>
      <c r="T134" s="15">
        <f t="shared" si="42"/>
        <v>0</v>
      </c>
      <c r="U134" s="15">
        <f t="shared" si="43"/>
        <v>0</v>
      </c>
      <c r="V134" s="15">
        <f t="shared" si="44"/>
        <v>0</v>
      </c>
      <c r="W134" s="18" t="str">
        <f t="shared" si="45"/>
        <v/>
      </c>
      <c r="X134" s="17">
        <v>0</v>
      </c>
      <c r="Y134" s="17">
        <v>0</v>
      </c>
      <c r="Z134" s="15">
        <f t="shared" si="46"/>
        <v>0</v>
      </c>
      <c r="AA134" s="17">
        <v>0</v>
      </c>
      <c r="AB134" s="17">
        <v>0</v>
      </c>
      <c r="AC134" s="15">
        <f t="shared" si="47"/>
        <v>0</v>
      </c>
      <c r="AD134" s="17">
        <v>0</v>
      </c>
      <c r="AE134" s="17">
        <v>0</v>
      </c>
      <c r="AF134" s="15">
        <f t="shared" si="48"/>
        <v>0</v>
      </c>
      <c r="AG134" s="17">
        <v>0</v>
      </c>
      <c r="AH134" s="17">
        <v>0</v>
      </c>
      <c r="AI134" s="15">
        <f t="shared" si="49"/>
        <v>0</v>
      </c>
      <c r="AJ134" s="17"/>
    </row>
    <row r="135" spans="1:36" x14ac:dyDescent="0.3">
      <c r="A135" s="15" t="s">
        <v>185</v>
      </c>
      <c r="B135" s="15">
        <v>100</v>
      </c>
      <c r="C135" s="15" t="s">
        <v>54</v>
      </c>
      <c r="D135" s="15" t="s">
        <v>68</v>
      </c>
      <c r="E135" s="15">
        <v>0</v>
      </c>
      <c r="F135" s="15">
        <v>0</v>
      </c>
      <c r="G135" s="15">
        <v>0</v>
      </c>
      <c r="H135" s="15">
        <f t="shared" si="40"/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5">
        <f t="shared" si="41"/>
        <v>0</v>
      </c>
      <c r="T135" s="15">
        <f t="shared" si="42"/>
        <v>0</v>
      </c>
      <c r="U135" s="15">
        <f t="shared" si="43"/>
        <v>0</v>
      </c>
      <c r="V135" s="15">
        <f t="shared" si="44"/>
        <v>0</v>
      </c>
      <c r="W135" s="18" t="str">
        <f t="shared" si="45"/>
        <v/>
      </c>
      <c r="X135" s="17">
        <v>0</v>
      </c>
      <c r="Y135" s="17">
        <v>0</v>
      </c>
      <c r="Z135" s="15">
        <f t="shared" si="46"/>
        <v>0</v>
      </c>
      <c r="AA135" s="17">
        <v>0</v>
      </c>
      <c r="AB135" s="17">
        <v>0</v>
      </c>
      <c r="AC135" s="15">
        <f t="shared" si="47"/>
        <v>0</v>
      </c>
      <c r="AD135" s="17">
        <v>0</v>
      </c>
      <c r="AE135" s="17">
        <v>0</v>
      </c>
      <c r="AF135" s="15">
        <f t="shared" si="48"/>
        <v>0</v>
      </c>
      <c r="AG135" s="17">
        <v>0</v>
      </c>
      <c r="AH135" s="17">
        <v>0</v>
      </c>
      <c r="AI135" s="15">
        <f t="shared" si="49"/>
        <v>0</v>
      </c>
      <c r="AJ135" s="17"/>
    </row>
    <row r="136" spans="1:36" x14ac:dyDescent="0.3">
      <c r="A136" s="15" t="s">
        <v>186</v>
      </c>
      <c r="B136" s="15">
        <v>100</v>
      </c>
      <c r="C136" s="15" t="s">
        <v>54</v>
      </c>
      <c r="D136" s="15" t="s">
        <v>57</v>
      </c>
      <c r="E136" s="15">
        <v>0</v>
      </c>
      <c r="F136" s="15">
        <v>0</v>
      </c>
      <c r="G136" s="15">
        <v>0</v>
      </c>
      <c r="H136" s="15">
        <f t="shared" si="40"/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5">
        <f t="shared" si="41"/>
        <v>0</v>
      </c>
      <c r="T136" s="15">
        <f t="shared" si="42"/>
        <v>0</v>
      </c>
      <c r="U136" s="15">
        <f t="shared" si="43"/>
        <v>0</v>
      </c>
      <c r="V136" s="15">
        <f t="shared" si="44"/>
        <v>0</v>
      </c>
      <c r="W136" s="18" t="str">
        <f t="shared" si="45"/>
        <v/>
      </c>
      <c r="X136" s="17">
        <v>0</v>
      </c>
      <c r="Y136" s="17">
        <v>0</v>
      </c>
      <c r="Z136" s="15">
        <f t="shared" si="46"/>
        <v>0</v>
      </c>
      <c r="AA136" s="17">
        <v>0</v>
      </c>
      <c r="AB136" s="17">
        <v>0</v>
      </c>
      <c r="AC136" s="15">
        <f t="shared" si="47"/>
        <v>0</v>
      </c>
      <c r="AD136" s="17">
        <v>0</v>
      </c>
      <c r="AE136" s="17">
        <v>0</v>
      </c>
      <c r="AF136" s="15">
        <f t="shared" si="48"/>
        <v>0</v>
      </c>
      <c r="AG136" s="17">
        <v>0</v>
      </c>
      <c r="AH136" s="17">
        <v>0</v>
      </c>
      <c r="AI136" s="15">
        <f t="shared" si="49"/>
        <v>0</v>
      </c>
      <c r="AJ136" s="17"/>
    </row>
    <row r="137" spans="1:36" x14ac:dyDescent="0.3">
      <c r="A137" s="15" t="s">
        <v>187</v>
      </c>
      <c r="B137" s="15">
        <v>1000</v>
      </c>
      <c r="C137" s="15" t="s">
        <v>54</v>
      </c>
      <c r="D137" s="15" t="s">
        <v>68</v>
      </c>
      <c r="E137" s="15">
        <v>0</v>
      </c>
      <c r="F137" s="15">
        <v>0</v>
      </c>
      <c r="G137" s="15">
        <v>0</v>
      </c>
      <c r="H137" s="15">
        <f t="shared" si="40"/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5">
        <f t="shared" si="41"/>
        <v>0</v>
      </c>
      <c r="T137" s="15">
        <f t="shared" si="42"/>
        <v>0</v>
      </c>
      <c r="U137" s="15">
        <f t="shared" si="43"/>
        <v>0</v>
      </c>
      <c r="V137" s="15">
        <f t="shared" si="44"/>
        <v>0</v>
      </c>
      <c r="W137" s="18" t="str">
        <f t="shared" si="45"/>
        <v/>
      </c>
      <c r="X137" s="17">
        <v>0</v>
      </c>
      <c r="Y137" s="17">
        <v>0</v>
      </c>
      <c r="Z137" s="15">
        <f t="shared" si="46"/>
        <v>0</v>
      </c>
      <c r="AA137" s="17">
        <v>0</v>
      </c>
      <c r="AB137" s="17">
        <v>0</v>
      </c>
      <c r="AC137" s="15">
        <f t="shared" si="47"/>
        <v>0</v>
      </c>
      <c r="AD137" s="17">
        <v>0</v>
      </c>
      <c r="AE137" s="17">
        <v>0</v>
      </c>
      <c r="AF137" s="15">
        <f t="shared" si="48"/>
        <v>0</v>
      </c>
      <c r="AG137" s="17">
        <v>0</v>
      </c>
      <c r="AH137" s="17">
        <v>0</v>
      </c>
      <c r="AI137" s="15">
        <f t="shared" si="49"/>
        <v>0</v>
      </c>
      <c r="AJ137" s="17"/>
    </row>
    <row r="138" spans="1:36" x14ac:dyDescent="0.3">
      <c r="A138" s="15" t="s">
        <v>188</v>
      </c>
      <c r="B138" s="15">
        <v>100</v>
      </c>
      <c r="C138" s="15" t="s">
        <v>54</v>
      </c>
      <c r="D138" s="15" t="s">
        <v>57</v>
      </c>
      <c r="E138" s="15">
        <v>0</v>
      </c>
      <c r="F138" s="15">
        <v>0</v>
      </c>
      <c r="G138" s="15">
        <v>0</v>
      </c>
      <c r="H138" s="15">
        <f t="shared" si="40"/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5">
        <f t="shared" si="41"/>
        <v>0</v>
      </c>
      <c r="T138" s="15">
        <f t="shared" si="42"/>
        <v>0</v>
      </c>
      <c r="U138" s="15">
        <f t="shared" si="43"/>
        <v>0</v>
      </c>
      <c r="V138" s="15">
        <f t="shared" si="44"/>
        <v>0</v>
      </c>
      <c r="W138" s="18" t="str">
        <f t="shared" si="45"/>
        <v/>
      </c>
      <c r="X138" s="17">
        <v>0</v>
      </c>
      <c r="Y138" s="17">
        <v>0</v>
      </c>
      <c r="Z138" s="15">
        <f t="shared" si="46"/>
        <v>0</v>
      </c>
      <c r="AA138" s="17">
        <v>0</v>
      </c>
      <c r="AB138" s="17">
        <v>0</v>
      </c>
      <c r="AC138" s="15">
        <f t="shared" si="47"/>
        <v>0</v>
      </c>
      <c r="AD138" s="17">
        <v>0</v>
      </c>
      <c r="AE138" s="17">
        <v>0</v>
      </c>
      <c r="AF138" s="15">
        <f t="shared" si="48"/>
        <v>0</v>
      </c>
      <c r="AG138" s="17">
        <v>0</v>
      </c>
      <c r="AH138" s="17">
        <v>0</v>
      </c>
      <c r="AI138" s="15">
        <f t="shared" si="49"/>
        <v>0</v>
      </c>
      <c r="AJ138" s="17"/>
    </row>
    <row r="139" spans="1:36" x14ac:dyDescent="0.3">
      <c r="A139" s="15" t="s">
        <v>189</v>
      </c>
      <c r="B139" s="15">
        <v>100</v>
      </c>
      <c r="C139" s="15" t="s">
        <v>54</v>
      </c>
      <c r="D139" s="15" t="s">
        <v>68</v>
      </c>
      <c r="E139" s="15">
        <v>0</v>
      </c>
      <c r="F139" s="15">
        <v>0</v>
      </c>
      <c r="G139" s="15">
        <v>0</v>
      </c>
      <c r="H139" s="15">
        <f t="shared" si="40"/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5">
        <f t="shared" si="41"/>
        <v>0</v>
      </c>
      <c r="T139" s="15">
        <f t="shared" si="42"/>
        <v>0</v>
      </c>
      <c r="U139" s="15">
        <f t="shared" si="43"/>
        <v>0</v>
      </c>
      <c r="V139" s="15">
        <f t="shared" si="44"/>
        <v>0</v>
      </c>
      <c r="W139" s="18" t="str">
        <f t="shared" si="45"/>
        <v/>
      </c>
      <c r="X139" s="17">
        <v>0</v>
      </c>
      <c r="Y139" s="17">
        <v>0</v>
      </c>
      <c r="Z139" s="15">
        <f t="shared" si="46"/>
        <v>0</v>
      </c>
      <c r="AA139" s="17">
        <v>0</v>
      </c>
      <c r="AB139" s="17">
        <v>0</v>
      </c>
      <c r="AC139" s="15">
        <f t="shared" si="47"/>
        <v>0</v>
      </c>
      <c r="AD139" s="17">
        <v>0</v>
      </c>
      <c r="AE139" s="17">
        <v>0</v>
      </c>
      <c r="AF139" s="15">
        <f t="shared" si="48"/>
        <v>0</v>
      </c>
      <c r="AG139" s="17">
        <v>0</v>
      </c>
      <c r="AH139" s="17">
        <v>0</v>
      </c>
      <c r="AI139" s="15">
        <f t="shared" si="49"/>
        <v>0</v>
      </c>
      <c r="AJ139" s="17"/>
    </row>
    <row r="140" spans="1:36" x14ac:dyDescent="0.3">
      <c r="A140" s="15" t="s">
        <v>190</v>
      </c>
      <c r="B140" s="15">
        <v>100</v>
      </c>
      <c r="C140" s="15" t="s">
        <v>54</v>
      </c>
      <c r="D140" s="15" t="s">
        <v>57</v>
      </c>
      <c r="E140" s="15">
        <v>0</v>
      </c>
      <c r="F140" s="15">
        <v>0</v>
      </c>
      <c r="G140" s="15">
        <v>0</v>
      </c>
      <c r="H140" s="15">
        <f t="shared" si="40"/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5">
        <f t="shared" si="41"/>
        <v>0</v>
      </c>
      <c r="T140" s="15">
        <f t="shared" si="42"/>
        <v>0</v>
      </c>
      <c r="U140" s="15">
        <f t="shared" si="43"/>
        <v>0</v>
      </c>
      <c r="V140" s="15">
        <f t="shared" si="44"/>
        <v>0</v>
      </c>
      <c r="W140" s="18" t="str">
        <f t="shared" si="45"/>
        <v/>
      </c>
      <c r="X140" s="17">
        <v>0</v>
      </c>
      <c r="Y140" s="17">
        <v>0</v>
      </c>
      <c r="Z140" s="15">
        <f t="shared" si="46"/>
        <v>0</v>
      </c>
      <c r="AA140" s="17">
        <v>0</v>
      </c>
      <c r="AB140" s="17">
        <v>0</v>
      </c>
      <c r="AC140" s="15">
        <f t="shared" si="47"/>
        <v>0</v>
      </c>
      <c r="AD140" s="17">
        <v>0</v>
      </c>
      <c r="AE140" s="17">
        <v>0</v>
      </c>
      <c r="AF140" s="15">
        <f t="shared" si="48"/>
        <v>0</v>
      </c>
      <c r="AG140" s="17">
        <v>0</v>
      </c>
      <c r="AH140" s="17">
        <v>0</v>
      </c>
      <c r="AI140" s="15">
        <f t="shared" si="49"/>
        <v>0</v>
      </c>
      <c r="AJ140" s="17"/>
    </row>
    <row r="141" spans="1:36" x14ac:dyDescent="0.3">
      <c r="A141" s="15" t="s">
        <v>191</v>
      </c>
      <c r="B141" s="15">
        <v>100</v>
      </c>
      <c r="C141" s="15" t="s">
        <v>54</v>
      </c>
      <c r="D141" s="15" t="s">
        <v>68</v>
      </c>
      <c r="E141" s="15">
        <v>0</v>
      </c>
      <c r="F141" s="15">
        <v>0</v>
      </c>
      <c r="G141" s="15">
        <v>0</v>
      </c>
      <c r="H141" s="15">
        <f t="shared" si="40"/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5">
        <f t="shared" si="41"/>
        <v>0</v>
      </c>
      <c r="T141" s="15">
        <f t="shared" si="42"/>
        <v>0</v>
      </c>
      <c r="U141" s="15">
        <f t="shared" si="43"/>
        <v>0</v>
      </c>
      <c r="V141" s="15">
        <f t="shared" si="44"/>
        <v>0</v>
      </c>
      <c r="W141" s="18" t="str">
        <f t="shared" si="45"/>
        <v/>
      </c>
      <c r="X141" s="17">
        <v>0</v>
      </c>
      <c r="Y141" s="17">
        <v>0</v>
      </c>
      <c r="Z141" s="15">
        <f t="shared" si="46"/>
        <v>0</v>
      </c>
      <c r="AA141" s="17">
        <v>0</v>
      </c>
      <c r="AB141" s="17">
        <v>0</v>
      </c>
      <c r="AC141" s="15">
        <f t="shared" si="47"/>
        <v>0</v>
      </c>
      <c r="AD141" s="17">
        <v>0</v>
      </c>
      <c r="AE141" s="17">
        <v>0</v>
      </c>
      <c r="AF141" s="15">
        <f t="shared" si="48"/>
        <v>0</v>
      </c>
      <c r="AG141" s="17">
        <v>0</v>
      </c>
      <c r="AH141" s="17">
        <v>0</v>
      </c>
      <c r="AI141" s="15">
        <f t="shared" si="49"/>
        <v>0</v>
      </c>
      <c r="AJ141" s="17"/>
    </row>
    <row r="142" spans="1:36" x14ac:dyDescent="0.3">
      <c r="A142" s="15" t="s">
        <v>192</v>
      </c>
      <c r="B142" s="15">
        <v>100</v>
      </c>
      <c r="C142" s="15" t="s">
        <v>54</v>
      </c>
      <c r="D142" s="15" t="s">
        <v>55</v>
      </c>
      <c r="E142" s="17">
        <v>1</v>
      </c>
      <c r="F142" s="17">
        <v>5</v>
      </c>
      <c r="G142" s="17">
        <v>191</v>
      </c>
      <c r="H142" s="15">
        <f t="shared" si="40"/>
        <v>197</v>
      </c>
      <c r="I142" s="17">
        <v>14</v>
      </c>
      <c r="J142" s="17">
        <v>90</v>
      </c>
      <c r="K142" s="17">
        <v>1</v>
      </c>
      <c r="L142" s="17">
        <v>6</v>
      </c>
      <c r="M142" s="17">
        <v>0</v>
      </c>
      <c r="N142" s="17">
        <v>150</v>
      </c>
      <c r="O142" s="17">
        <v>20</v>
      </c>
      <c r="P142" s="17">
        <v>100</v>
      </c>
      <c r="Q142" s="17">
        <v>0</v>
      </c>
      <c r="R142" s="17">
        <v>0</v>
      </c>
      <c r="S142" s="15">
        <f t="shared" si="41"/>
        <v>56</v>
      </c>
      <c r="T142" s="15">
        <f t="shared" si="42"/>
        <v>1</v>
      </c>
      <c r="U142" s="15">
        <f t="shared" si="43"/>
        <v>15</v>
      </c>
      <c r="V142" s="15">
        <f t="shared" si="44"/>
        <v>40</v>
      </c>
      <c r="W142" s="18" t="str">
        <f t="shared" si="45"/>
        <v/>
      </c>
      <c r="X142" s="17">
        <v>0</v>
      </c>
      <c r="Y142" s="17">
        <v>0</v>
      </c>
      <c r="Z142" s="15">
        <f t="shared" si="46"/>
        <v>0</v>
      </c>
      <c r="AA142" s="17">
        <v>0</v>
      </c>
      <c r="AB142" s="17">
        <v>0</v>
      </c>
      <c r="AC142" s="15">
        <f t="shared" si="47"/>
        <v>0</v>
      </c>
      <c r="AD142" s="17">
        <v>0</v>
      </c>
      <c r="AE142" s="17">
        <v>0</v>
      </c>
      <c r="AF142" s="15">
        <f t="shared" si="48"/>
        <v>0</v>
      </c>
      <c r="AG142" s="17">
        <v>0</v>
      </c>
      <c r="AH142" s="17">
        <v>0</v>
      </c>
      <c r="AI142" s="15">
        <f t="shared" si="49"/>
        <v>0</v>
      </c>
      <c r="AJ142" s="17"/>
    </row>
    <row r="143" spans="1:36" x14ac:dyDescent="0.3">
      <c r="A143" s="15" t="s">
        <v>192</v>
      </c>
      <c r="B143" s="15">
        <v>500</v>
      </c>
      <c r="C143" s="15" t="s">
        <v>54</v>
      </c>
      <c r="D143" s="15" t="s">
        <v>55</v>
      </c>
      <c r="E143" s="17">
        <v>0</v>
      </c>
      <c r="F143" s="17">
        <v>0</v>
      </c>
      <c r="G143" s="17">
        <v>7</v>
      </c>
      <c r="H143" s="15">
        <f t="shared" si="40"/>
        <v>7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5">
        <f t="shared" si="41"/>
        <v>7</v>
      </c>
      <c r="T143" s="15">
        <f t="shared" si="42"/>
        <v>0</v>
      </c>
      <c r="U143" s="15">
        <f t="shared" si="43"/>
        <v>0</v>
      </c>
      <c r="V143" s="15">
        <f t="shared" si="44"/>
        <v>7</v>
      </c>
      <c r="W143" s="18" t="str">
        <f t="shared" si="45"/>
        <v/>
      </c>
      <c r="X143" s="17">
        <v>0</v>
      </c>
      <c r="Y143" s="17">
        <v>0</v>
      </c>
      <c r="Z143" s="15">
        <f t="shared" si="46"/>
        <v>0</v>
      </c>
      <c r="AA143" s="17">
        <v>0</v>
      </c>
      <c r="AB143" s="17">
        <v>0</v>
      </c>
      <c r="AC143" s="15">
        <f t="shared" si="47"/>
        <v>0</v>
      </c>
      <c r="AD143" s="17">
        <v>0</v>
      </c>
      <c r="AE143" s="17">
        <v>0</v>
      </c>
      <c r="AF143" s="15">
        <f t="shared" si="48"/>
        <v>0</v>
      </c>
      <c r="AG143" s="17">
        <v>0</v>
      </c>
      <c r="AH143" s="17">
        <v>0</v>
      </c>
      <c r="AI143" s="15">
        <f t="shared" si="49"/>
        <v>0</v>
      </c>
      <c r="AJ143" s="17"/>
    </row>
    <row r="144" spans="1:36" x14ac:dyDescent="0.3">
      <c r="A144" s="15" t="s">
        <v>193</v>
      </c>
      <c r="B144" s="15">
        <v>100</v>
      </c>
      <c r="C144" s="15" t="s">
        <v>54</v>
      </c>
      <c r="D144" s="15" t="s">
        <v>57</v>
      </c>
      <c r="E144" s="15">
        <v>0</v>
      </c>
      <c r="F144" s="15">
        <v>0</v>
      </c>
      <c r="G144" s="15">
        <v>0</v>
      </c>
      <c r="H144" s="15">
        <f t="shared" si="40"/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5">
        <f t="shared" si="41"/>
        <v>0</v>
      </c>
      <c r="T144" s="15">
        <f t="shared" si="42"/>
        <v>0</v>
      </c>
      <c r="U144" s="15">
        <f t="shared" si="43"/>
        <v>0</v>
      </c>
      <c r="V144" s="15">
        <f t="shared" si="44"/>
        <v>0</v>
      </c>
      <c r="W144" s="18" t="str">
        <f t="shared" si="45"/>
        <v/>
      </c>
      <c r="X144" s="17">
        <v>0</v>
      </c>
      <c r="Y144" s="17">
        <v>0</v>
      </c>
      <c r="Z144" s="15">
        <f t="shared" si="46"/>
        <v>0</v>
      </c>
      <c r="AA144" s="17">
        <v>0</v>
      </c>
      <c r="AB144" s="17">
        <v>0</v>
      </c>
      <c r="AC144" s="15">
        <f t="shared" si="47"/>
        <v>0</v>
      </c>
      <c r="AD144" s="17">
        <v>0</v>
      </c>
      <c r="AE144" s="17">
        <v>0</v>
      </c>
      <c r="AF144" s="15">
        <f t="shared" si="48"/>
        <v>0</v>
      </c>
      <c r="AG144" s="17">
        <v>0</v>
      </c>
      <c r="AH144" s="17">
        <v>0</v>
      </c>
      <c r="AI144" s="15">
        <f t="shared" si="49"/>
        <v>0</v>
      </c>
      <c r="AJ144" s="17"/>
    </row>
    <row r="145" spans="1:36" x14ac:dyDescent="0.3">
      <c r="A145" s="15" t="s">
        <v>194</v>
      </c>
      <c r="B145" s="15">
        <v>1000</v>
      </c>
      <c r="C145" s="15"/>
      <c r="D145" s="15" t="s">
        <v>55</v>
      </c>
      <c r="E145" s="17">
        <v>0</v>
      </c>
      <c r="F145" s="17">
        <v>0</v>
      </c>
      <c r="G145" s="17">
        <v>0</v>
      </c>
      <c r="H145" s="15">
        <f t="shared" si="40"/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5">
        <f t="shared" si="41"/>
        <v>0</v>
      </c>
      <c r="T145" s="15">
        <f t="shared" si="42"/>
        <v>0</v>
      </c>
      <c r="U145" s="15">
        <f t="shared" si="43"/>
        <v>0</v>
      </c>
      <c r="V145" s="15">
        <f t="shared" si="44"/>
        <v>0</v>
      </c>
      <c r="W145" s="18" t="str">
        <f t="shared" si="45"/>
        <v/>
      </c>
      <c r="X145" s="17">
        <v>0</v>
      </c>
      <c r="Y145" s="17">
        <v>0</v>
      </c>
      <c r="Z145" s="15">
        <f t="shared" si="46"/>
        <v>0</v>
      </c>
      <c r="AA145" s="17">
        <v>0</v>
      </c>
      <c r="AB145" s="17">
        <v>0</v>
      </c>
      <c r="AC145" s="15">
        <f t="shared" si="47"/>
        <v>0</v>
      </c>
      <c r="AD145" s="17">
        <v>0</v>
      </c>
      <c r="AE145" s="17">
        <v>0</v>
      </c>
      <c r="AF145" s="15">
        <f t="shared" si="48"/>
        <v>0</v>
      </c>
      <c r="AG145" s="17">
        <v>0</v>
      </c>
      <c r="AH145" s="17">
        <v>0</v>
      </c>
      <c r="AI145" s="15">
        <f t="shared" si="49"/>
        <v>0</v>
      </c>
      <c r="AJ145" s="17"/>
    </row>
    <row r="146" spans="1:36" x14ac:dyDescent="0.3">
      <c r="A146" s="15" t="s">
        <v>195</v>
      </c>
      <c r="B146" s="15">
        <v>1000</v>
      </c>
      <c r="C146" s="15" t="s">
        <v>54</v>
      </c>
      <c r="D146" s="15" t="s">
        <v>68</v>
      </c>
      <c r="E146" s="15">
        <v>0</v>
      </c>
      <c r="F146" s="15">
        <v>0</v>
      </c>
      <c r="G146" s="15">
        <v>0</v>
      </c>
      <c r="H146" s="15">
        <f t="shared" si="40"/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5">
        <f t="shared" si="41"/>
        <v>0</v>
      </c>
      <c r="T146" s="15">
        <f t="shared" si="42"/>
        <v>0</v>
      </c>
      <c r="U146" s="15">
        <f t="shared" si="43"/>
        <v>0</v>
      </c>
      <c r="V146" s="15">
        <f t="shared" si="44"/>
        <v>0</v>
      </c>
      <c r="W146" s="18" t="str">
        <f t="shared" si="45"/>
        <v/>
      </c>
      <c r="X146" s="17">
        <v>0</v>
      </c>
      <c r="Y146" s="17">
        <v>0</v>
      </c>
      <c r="Z146" s="15">
        <f t="shared" si="46"/>
        <v>0</v>
      </c>
      <c r="AA146" s="17">
        <v>0</v>
      </c>
      <c r="AB146" s="17">
        <v>0</v>
      </c>
      <c r="AC146" s="15">
        <f t="shared" si="47"/>
        <v>0</v>
      </c>
      <c r="AD146" s="17">
        <v>0</v>
      </c>
      <c r="AE146" s="17">
        <v>0</v>
      </c>
      <c r="AF146" s="15">
        <f t="shared" si="48"/>
        <v>0</v>
      </c>
      <c r="AG146" s="17">
        <v>0</v>
      </c>
      <c r="AH146" s="17">
        <v>0</v>
      </c>
      <c r="AI146" s="15">
        <f t="shared" si="49"/>
        <v>0</v>
      </c>
      <c r="AJ146" s="17"/>
    </row>
    <row r="147" spans="1:36" x14ac:dyDescent="0.3">
      <c r="A147" s="15" t="s">
        <v>196</v>
      </c>
      <c r="B147" s="15">
        <v>100</v>
      </c>
      <c r="C147" s="15" t="s">
        <v>54</v>
      </c>
      <c r="D147" s="15" t="s">
        <v>55</v>
      </c>
      <c r="E147" s="17">
        <v>639</v>
      </c>
      <c r="F147" s="17">
        <v>114</v>
      </c>
      <c r="G147" s="17">
        <v>6</v>
      </c>
      <c r="H147" s="15">
        <f t="shared" si="40"/>
        <v>759</v>
      </c>
      <c r="I147" s="17">
        <v>8</v>
      </c>
      <c r="J147" s="17">
        <v>20</v>
      </c>
      <c r="K147" s="17">
        <v>0</v>
      </c>
      <c r="L147" s="17">
        <v>4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5">
        <f t="shared" si="41"/>
        <v>727</v>
      </c>
      <c r="T147" s="15">
        <f t="shared" si="42"/>
        <v>627</v>
      </c>
      <c r="U147" s="15">
        <f t="shared" si="43"/>
        <v>94</v>
      </c>
      <c r="V147" s="15">
        <f t="shared" si="44"/>
        <v>6</v>
      </c>
      <c r="W147" s="18" t="str">
        <f t="shared" si="45"/>
        <v/>
      </c>
      <c r="X147" s="17">
        <v>0</v>
      </c>
      <c r="Y147" s="17">
        <v>0</v>
      </c>
      <c r="Z147" s="15">
        <f t="shared" si="46"/>
        <v>0</v>
      </c>
      <c r="AA147" s="17">
        <v>0</v>
      </c>
      <c r="AB147" s="17">
        <v>0</v>
      </c>
      <c r="AC147" s="15">
        <f t="shared" si="47"/>
        <v>0</v>
      </c>
      <c r="AD147" s="17">
        <v>0</v>
      </c>
      <c r="AE147" s="17">
        <v>0</v>
      </c>
      <c r="AF147" s="15">
        <f t="shared" si="48"/>
        <v>0</v>
      </c>
      <c r="AG147" s="17">
        <v>0</v>
      </c>
      <c r="AH147" s="17">
        <v>0</v>
      </c>
      <c r="AI147" s="15">
        <f t="shared" si="49"/>
        <v>0</v>
      </c>
      <c r="AJ147" s="17"/>
    </row>
    <row r="148" spans="1:36" x14ac:dyDescent="0.3">
      <c r="A148" s="15" t="s">
        <v>197</v>
      </c>
      <c r="B148" s="15">
        <v>100</v>
      </c>
      <c r="C148" s="15" t="s">
        <v>54</v>
      </c>
      <c r="D148" s="15" t="s">
        <v>55</v>
      </c>
      <c r="E148" s="17">
        <v>0</v>
      </c>
      <c r="F148" s="17">
        <v>0</v>
      </c>
      <c r="G148" s="17">
        <v>0</v>
      </c>
      <c r="H148" s="15">
        <f t="shared" si="40"/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5">
        <f t="shared" si="41"/>
        <v>0</v>
      </c>
      <c r="T148" s="15">
        <f t="shared" si="42"/>
        <v>0</v>
      </c>
      <c r="U148" s="15">
        <f t="shared" si="43"/>
        <v>0</v>
      </c>
      <c r="V148" s="15">
        <f t="shared" si="44"/>
        <v>0</v>
      </c>
      <c r="W148" s="18" t="str">
        <f t="shared" si="45"/>
        <v/>
      </c>
      <c r="X148" s="17">
        <v>0</v>
      </c>
      <c r="Y148" s="17">
        <v>0</v>
      </c>
      <c r="Z148" s="15">
        <f t="shared" si="46"/>
        <v>0</v>
      </c>
      <c r="AA148" s="17">
        <v>0</v>
      </c>
      <c r="AB148" s="17">
        <v>0</v>
      </c>
      <c r="AC148" s="15">
        <f t="shared" si="47"/>
        <v>0</v>
      </c>
      <c r="AD148" s="17">
        <v>0</v>
      </c>
      <c r="AE148" s="17">
        <v>0</v>
      </c>
      <c r="AF148" s="15">
        <f t="shared" si="48"/>
        <v>0</v>
      </c>
      <c r="AG148" s="17">
        <v>0</v>
      </c>
      <c r="AH148" s="17">
        <v>0</v>
      </c>
      <c r="AI148" s="15">
        <f t="shared" si="49"/>
        <v>0</v>
      </c>
      <c r="AJ148" s="17"/>
    </row>
    <row r="149" spans="1:36" x14ac:dyDescent="0.3">
      <c r="A149" s="15" t="s">
        <v>198</v>
      </c>
      <c r="B149" s="15">
        <v>100</v>
      </c>
      <c r="C149" s="15" t="s">
        <v>54</v>
      </c>
      <c r="D149" s="15" t="s">
        <v>55</v>
      </c>
      <c r="E149" s="17">
        <v>343</v>
      </c>
      <c r="F149" s="17">
        <v>118</v>
      </c>
      <c r="G149" s="17">
        <v>54</v>
      </c>
      <c r="H149" s="15">
        <f t="shared" si="40"/>
        <v>515</v>
      </c>
      <c r="I149" s="17">
        <v>23</v>
      </c>
      <c r="J149" s="17">
        <v>56</v>
      </c>
      <c r="K149" s="17">
        <v>7</v>
      </c>
      <c r="L149" s="17">
        <v>4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5">
        <f t="shared" si="41"/>
        <v>425</v>
      </c>
      <c r="T149" s="15">
        <f t="shared" si="42"/>
        <v>316</v>
      </c>
      <c r="U149" s="15">
        <f t="shared" si="43"/>
        <v>62</v>
      </c>
      <c r="V149" s="15">
        <f t="shared" si="44"/>
        <v>47</v>
      </c>
      <c r="W149" s="18" t="str">
        <f t="shared" si="45"/>
        <v/>
      </c>
      <c r="X149" s="17">
        <v>0</v>
      </c>
      <c r="Y149" s="17">
        <v>0</v>
      </c>
      <c r="Z149" s="15">
        <f t="shared" si="46"/>
        <v>0</v>
      </c>
      <c r="AA149" s="17">
        <v>0</v>
      </c>
      <c r="AB149" s="17">
        <v>0</v>
      </c>
      <c r="AC149" s="15">
        <f t="shared" si="47"/>
        <v>0</v>
      </c>
      <c r="AD149" s="17">
        <v>0</v>
      </c>
      <c r="AE149" s="17">
        <v>0</v>
      </c>
      <c r="AF149" s="15">
        <f t="shared" si="48"/>
        <v>0</v>
      </c>
      <c r="AG149" s="17">
        <v>0</v>
      </c>
      <c r="AH149" s="17">
        <v>0</v>
      </c>
      <c r="AI149" s="15">
        <f t="shared" si="49"/>
        <v>0</v>
      </c>
      <c r="AJ149" s="17"/>
    </row>
    <row r="150" spans="1:36" x14ac:dyDescent="0.3">
      <c r="A150" s="15" t="s">
        <v>199</v>
      </c>
      <c r="B150" s="15">
        <v>500</v>
      </c>
      <c r="C150" s="15" t="s">
        <v>54</v>
      </c>
      <c r="D150" s="15" t="s">
        <v>55</v>
      </c>
      <c r="E150" s="17">
        <v>10</v>
      </c>
      <c r="F150" s="17">
        <v>1</v>
      </c>
      <c r="G150" s="17">
        <v>0</v>
      </c>
      <c r="H150" s="15">
        <f t="shared" si="40"/>
        <v>11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5">
        <f t="shared" si="41"/>
        <v>11</v>
      </c>
      <c r="T150" s="15">
        <f t="shared" si="42"/>
        <v>10</v>
      </c>
      <c r="U150" s="15">
        <f t="shared" si="43"/>
        <v>1</v>
      </c>
      <c r="V150" s="15">
        <f t="shared" si="44"/>
        <v>0</v>
      </c>
      <c r="W150" s="18" t="str">
        <f t="shared" si="45"/>
        <v/>
      </c>
      <c r="X150" s="17">
        <v>0</v>
      </c>
      <c r="Y150" s="17">
        <v>0</v>
      </c>
      <c r="Z150" s="15">
        <f t="shared" si="46"/>
        <v>0</v>
      </c>
      <c r="AA150" s="17">
        <v>0</v>
      </c>
      <c r="AB150" s="17">
        <v>0</v>
      </c>
      <c r="AC150" s="15">
        <f t="shared" si="47"/>
        <v>0</v>
      </c>
      <c r="AD150" s="17">
        <v>0</v>
      </c>
      <c r="AE150" s="17">
        <v>0</v>
      </c>
      <c r="AF150" s="15">
        <f t="shared" si="48"/>
        <v>0</v>
      </c>
      <c r="AG150" s="17">
        <v>0</v>
      </c>
      <c r="AH150" s="17">
        <v>0</v>
      </c>
      <c r="AI150" s="15">
        <f t="shared" si="49"/>
        <v>0</v>
      </c>
      <c r="AJ150" s="17"/>
    </row>
    <row r="151" spans="1:36" x14ac:dyDescent="0.3">
      <c r="A151" s="15" t="s">
        <v>200</v>
      </c>
      <c r="B151" s="15">
        <v>100</v>
      </c>
      <c r="C151" s="15" t="s">
        <v>54</v>
      </c>
      <c r="D151" s="15" t="s">
        <v>55</v>
      </c>
      <c r="E151" s="17">
        <v>5</v>
      </c>
      <c r="F151" s="17">
        <v>179</v>
      </c>
      <c r="G151" s="17">
        <v>2</v>
      </c>
      <c r="H151" s="15">
        <f t="shared" si="40"/>
        <v>186</v>
      </c>
      <c r="I151" s="17">
        <v>0</v>
      </c>
      <c r="J151" s="17">
        <v>2</v>
      </c>
      <c r="K151" s="17">
        <v>0</v>
      </c>
      <c r="L151" s="17">
        <v>1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5">
        <f t="shared" si="41"/>
        <v>183</v>
      </c>
      <c r="T151" s="15">
        <f t="shared" si="42"/>
        <v>4</v>
      </c>
      <c r="U151" s="15">
        <f t="shared" si="43"/>
        <v>177</v>
      </c>
      <c r="V151" s="15">
        <f t="shared" si="44"/>
        <v>2</v>
      </c>
      <c r="W151" s="18" t="str">
        <f t="shared" si="45"/>
        <v/>
      </c>
      <c r="X151" s="17">
        <v>0</v>
      </c>
      <c r="Y151" s="17">
        <v>0</v>
      </c>
      <c r="Z151" s="15">
        <f t="shared" si="46"/>
        <v>0</v>
      </c>
      <c r="AA151" s="17">
        <v>0</v>
      </c>
      <c r="AB151" s="17">
        <v>0</v>
      </c>
      <c r="AC151" s="15">
        <f t="shared" si="47"/>
        <v>0</v>
      </c>
      <c r="AD151" s="17">
        <v>0</v>
      </c>
      <c r="AE151" s="17">
        <v>0</v>
      </c>
      <c r="AF151" s="15">
        <f t="shared" si="48"/>
        <v>0</v>
      </c>
      <c r="AG151" s="17">
        <v>0</v>
      </c>
      <c r="AH151" s="17">
        <v>0</v>
      </c>
      <c r="AI151" s="15">
        <f t="shared" si="49"/>
        <v>0</v>
      </c>
      <c r="AJ151" s="17"/>
    </row>
    <row r="152" spans="1:36" x14ac:dyDescent="0.3">
      <c r="A152" s="15" t="s">
        <v>201</v>
      </c>
      <c r="B152" s="15">
        <v>100</v>
      </c>
      <c r="C152" s="15" t="s">
        <v>54</v>
      </c>
      <c r="D152" s="15" t="s">
        <v>55</v>
      </c>
      <c r="E152" s="17">
        <v>311</v>
      </c>
      <c r="F152" s="17">
        <v>98</v>
      </c>
      <c r="G152" s="17">
        <v>67</v>
      </c>
      <c r="H152" s="15">
        <f t="shared" si="40"/>
        <v>476</v>
      </c>
      <c r="I152" s="17">
        <v>13</v>
      </c>
      <c r="J152" s="17">
        <v>35</v>
      </c>
      <c r="K152" s="17">
        <v>1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5">
        <f t="shared" si="41"/>
        <v>427</v>
      </c>
      <c r="T152" s="15">
        <f t="shared" si="42"/>
        <v>298</v>
      </c>
      <c r="U152" s="15">
        <f t="shared" si="43"/>
        <v>63</v>
      </c>
      <c r="V152" s="15">
        <f t="shared" si="44"/>
        <v>66</v>
      </c>
      <c r="W152" s="18" t="str">
        <f t="shared" si="45"/>
        <v/>
      </c>
      <c r="X152" s="17">
        <v>0</v>
      </c>
      <c r="Y152" s="17">
        <v>0</v>
      </c>
      <c r="Z152" s="15">
        <f t="shared" si="46"/>
        <v>0</v>
      </c>
      <c r="AA152" s="17">
        <v>0</v>
      </c>
      <c r="AB152" s="17">
        <v>0</v>
      </c>
      <c r="AC152" s="15">
        <f t="shared" si="47"/>
        <v>0</v>
      </c>
      <c r="AD152" s="17">
        <v>0</v>
      </c>
      <c r="AE152" s="17">
        <v>0</v>
      </c>
      <c r="AF152" s="15">
        <f t="shared" si="48"/>
        <v>0</v>
      </c>
      <c r="AG152" s="17">
        <v>0</v>
      </c>
      <c r="AH152" s="17">
        <v>0</v>
      </c>
      <c r="AI152" s="15">
        <f t="shared" si="49"/>
        <v>0</v>
      </c>
      <c r="AJ152" s="17"/>
    </row>
    <row r="153" spans="1:36" x14ac:dyDescent="0.3">
      <c r="A153" s="15" t="s">
        <v>202</v>
      </c>
      <c r="B153" s="15">
        <v>100</v>
      </c>
      <c r="C153" s="15" t="s">
        <v>54</v>
      </c>
      <c r="D153" s="15" t="s">
        <v>55</v>
      </c>
      <c r="E153" s="17">
        <v>13</v>
      </c>
      <c r="F153" s="17">
        <v>0</v>
      </c>
      <c r="G153" s="17">
        <v>0</v>
      </c>
      <c r="H153" s="15">
        <f t="shared" si="40"/>
        <v>13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5">
        <f t="shared" si="41"/>
        <v>13</v>
      </c>
      <c r="T153" s="15">
        <f t="shared" si="42"/>
        <v>13</v>
      </c>
      <c r="U153" s="15">
        <f t="shared" si="43"/>
        <v>0</v>
      </c>
      <c r="V153" s="15">
        <f t="shared" si="44"/>
        <v>0</v>
      </c>
      <c r="W153" s="18" t="str">
        <f t="shared" si="45"/>
        <v/>
      </c>
      <c r="X153" s="17">
        <v>0</v>
      </c>
      <c r="Y153" s="17">
        <v>0</v>
      </c>
      <c r="Z153" s="15">
        <f t="shared" si="46"/>
        <v>0</v>
      </c>
      <c r="AA153" s="17">
        <v>0</v>
      </c>
      <c r="AB153" s="17">
        <v>0</v>
      </c>
      <c r="AC153" s="15">
        <f t="shared" si="47"/>
        <v>0</v>
      </c>
      <c r="AD153" s="17">
        <v>0</v>
      </c>
      <c r="AE153" s="17">
        <v>0</v>
      </c>
      <c r="AF153" s="15">
        <f t="shared" si="48"/>
        <v>0</v>
      </c>
      <c r="AG153" s="17">
        <v>0</v>
      </c>
      <c r="AH153" s="17">
        <v>0</v>
      </c>
      <c r="AI153" s="15">
        <f t="shared" si="49"/>
        <v>0</v>
      </c>
      <c r="AJ153" s="17"/>
    </row>
    <row r="154" spans="1:36" x14ac:dyDescent="0.3">
      <c r="A154" s="15" t="s">
        <v>203</v>
      </c>
      <c r="B154" s="15">
        <v>100</v>
      </c>
      <c r="C154" s="15" t="s">
        <v>54</v>
      </c>
      <c r="D154" s="15" t="s">
        <v>55</v>
      </c>
      <c r="E154" s="17">
        <v>13</v>
      </c>
      <c r="F154" s="17">
        <v>0</v>
      </c>
      <c r="G154" s="17">
        <v>0</v>
      </c>
      <c r="H154" s="15">
        <f t="shared" si="40"/>
        <v>13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5">
        <f t="shared" si="41"/>
        <v>13</v>
      </c>
      <c r="T154" s="15">
        <f t="shared" si="42"/>
        <v>13</v>
      </c>
      <c r="U154" s="15">
        <f t="shared" si="43"/>
        <v>0</v>
      </c>
      <c r="V154" s="15">
        <f t="shared" si="44"/>
        <v>0</v>
      </c>
      <c r="W154" s="18" t="str">
        <f t="shared" si="45"/>
        <v/>
      </c>
      <c r="X154" s="17">
        <v>0</v>
      </c>
      <c r="Y154" s="17">
        <v>0</v>
      </c>
      <c r="Z154" s="15">
        <f t="shared" si="46"/>
        <v>0</v>
      </c>
      <c r="AA154" s="17">
        <v>0</v>
      </c>
      <c r="AB154" s="17">
        <v>0</v>
      </c>
      <c r="AC154" s="15">
        <f t="shared" si="47"/>
        <v>0</v>
      </c>
      <c r="AD154" s="17">
        <v>0</v>
      </c>
      <c r="AE154" s="17">
        <v>0</v>
      </c>
      <c r="AF154" s="15">
        <f t="shared" si="48"/>
        <v>0</v>
      </c>
      <c r="AG154" s="17">
        <v>0</v>
      </c>
      <c r="AH154" s="17">
        <v>0</v>
      </c>
      <c r="AI154" s="15">
        <f t="shared" si="49"/>
        <v>0</v>
      </c>
      <c r="AJ154" s="17"/>
    </row>
    <row r="155" spans="1:36" x14ac:dyDescent="0.3">
      <c r="A155" s="15" t="s">
        <v>204</v>
      </c>
      <c r="B155" s="15">
        <v>10000</v>
      </c>
      <c r="C155" s="15" t="s">
        <v>54</v>
      </c>
      <c r="D155" s="15" t="s">
        <v>55</v>
      </c>
      <c r="E155" s="15">
        <v>0</v>
      </c>
      <c r="F155" s="15">
        <v>0</v>
      </c>
      <c r="G155" s="15">
        <v>0</v>
      </c>
      <c r="H155" s="15">
        <f t="shared" si="40"/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5">
        <f t="shared" si="41"/>
        <v>0</v>
      </c>
      <c r="T155" s="15">
        <f t="shared" si="42"/>
        <v>0</v>
      </c>
      <c r="U155" s="15">
        <f t="shared" si="43"/>
        <v>0</v>
      </c>
      <c r="V155" s="15">
        <f t="shared" si="44"/>
        <v>0</v>
      </c>
      <c r="W155" s="18" t="str">
        <f t="shared" si="45"/>
        <v/>
      </c>
      <c r="X155" s="17">
        <v>0</v>
      </c>
      <c r="Y155" s="17">
        <v>0</v>
      </c>
      <c r="Z155" s="15">
        <f t="shared" si="46"/>
        <v>0</v>
      </c>
      <c r="AA155" s="17">
        <v>0</v>
      </c>
      <c r="AB155" s="17">
        <v>0</v>
      </c>
      <c r="AC155" s="15">
        <f t="shared" si="47"/>
        <v>0</v>
      </c>
      <c r="AD155" s="17">
        <v>0</v>
      </c>
      <c r="AE155" s="17">
        <v>0</v>
      </c>
      <c r="AF155" s="15">
        <f t="shared" si="48"/>
        <v>0</v>
      </c>
      <c r="AG155" s="17">
        <v>0</v>
      </c>
      <c r="AH155" s="17">
        <v>0</v>
      </c>
      <c r="AI155" s="15">
        <f t="shared" si="49"/>
        <v>0</v>
      </c>
      <c r="AJ155" s="17"/>
    </row>
    <row r="156" spans="1:36" x14ac:dyDescent="0.3">
      <c r="A156" s="15" t="s">
        <v>205</v>
      </c>
      <c r="B156" s="15">
        <v>1000</v>
      </c>
      <c r="C156" s="15" t="s">
        <v>54</v>
      </c>
      <c r="D156" s="15" t="s">
        <v>57</v>
      </c>
      <c r="E156" s="15">
        <v>0</v>
      </c>
      <c r="F156" s="15">
        <v>0</v>
      </c>
      <c r="G156" s="15">
        <v>0</v>
      </c>
      <c r="H156" s="15">
        <f t="shared" si="40"/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5">
        <f t="shared" si="41"/>
        <v>0</v>
      </c>
      <c r="T156" s="15">
        <f t="shared" si="42"/>
        <v>0</v>
      </c>
      <c r="U156" s="15">
        <f t="shared" si="43"/>
        <v>0</v>
      </c>
      <c r="V156" s="15">
        <f t="shared" si="44"/>
        <v>0</v>
      </c>
      <c r="W156" s="18" t="str">
        <f t="shared" si="45"/>
        <v/>
      </c>
      <c r="X156" s="17">
        <v>0</v>
      </c>
      <c r="Y156" s="17">
        <v>0</v>
      </c>
      <c r="Z156" s="15">
        <f t="shared" si="46"/>
        <v>0</v>
      </c>
      <c r="AA156" s="17">
        <v>0</v>
      </c>
      <c r="AB156" s="17">
        <v>0</v>
      </c>
      <c r="AC156" s="15">
        <f t="shared" si="47"/>
        <v>0</v>
      </c>
      <c r="AD156" s="17">
        <v>0</v>
      </c>
      <c r="AE156" s="17">
        <v>0</v>
      </c>
      <c r="AF156" s="15">
        <f t="shared" si="48"/>
        <v>0</v>
      </c>
      <c r="AG156" s="17">
        <v>0</v>
      </c>
      <c r="AH156" s="17">
        <v>0</v>
      </c>
      <c r="AI156" s="15">
        <f t="shared" si="49"/>
        <v>0</v>
      </c>
      <c r="AJ156" s="17"/>
    </row>
    <row r="157" spans="1:36" x14ac:dyDescent="0.3">
      <c r="A157" s="15" t="s">
        <v>206</v>
      </c>
      <c r="B157" s="15">
        <v>1000</v>
      </c>
      <c r="C157" s="15" t="s">
        <v>54</v>
      </c>
      <c r="D157" s="15" t="s">
        <v>57</v>
      </c>
      <c r="E157" s="15">
        <v>0</v>
      </c>
      <c r="F157" s="15">
        <v>0</v>
      </c>
      <c r="G157" s="15">
        <v>0</v>
      </c>
      <c r="H157" s="15">
        <f t="shared" si="40"/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5">
        <f t="shared" si="41"/>
        <v>0</v>
      </c>
      <c r="T157" s="15">
        <f t="shared" si="42"/>
        <v>0</v>
      </c>
      <c r="U157" s="15">
        <f t="shared" si="43"/>
        <v>0</v>
      </c>
      <c r="V157" s="15">
        <f t="shared" si="44"/>
        <v>0</v>
      </c>
      <c r="W157" s="18" t="str">
        <f t="shared" si="45"/>
        <v/>
      </c>
      <c r="X157" s="17">
        <v>0</v>
      </c>
      <c r="Y157" s="17">
        <v>0</v>
      </c>
      <c r="Z157" s="15">
        <f t="shared" si="46"/>
        <v>0</v>
      </c>
      <c r="AA157" s="17">
        <v>0</v>
      </c>
      <c r="AB157" s="17">
        <v>0</v>
      </c>
      <c r="AC157" s="15">
        <f t="shared" si="47"/>
        <v>0</v>
      </c>
      <c r="AD157" s="17">
        <v>0</v>
      </c>
      <c r="AE157" s="17">
        <v>0</v>
      </c>
      <c r="AF157" s="15">
        <f t="shared" si="48"/>
        <v>0</v>
      </c>
      <c r="AG157" s="17">
        <v>0</v>
      </c>
      <c r="AH157" s="17">
        <v>0</v>
      </c>
      <c r="AI157" s="15">
        <f t="shared" si="49"/>
        <v>0</v>
      </c>
      <c r="AJ157" s="17"/>
    </row>
    <row r="158" spans="1:36" x14ac:dyDescent="0.3">
      <c r="A158" s="15" t="s">
        <v>207</v>
      </c>
      <c r="B158" s="15">
        <v>1000</v>
      </c>
      <c r="C158" s="15" t="s">
        <v>54</v>
      </c>
      <c r="D158" s="15" t="s">
        <v>68</v>
      </c>
      <c r="E158" s="15">
        <v>0</v>
      </c>
      <c r="F158" s="15">
        <v>0</v>
      </c>
      <c r="G158" s="15">
        <v>0</v>
      </c>
      <c r="H158" s="15">
        <f t="shared" si="40"/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5">
        <f t="shared" si="41"/>
        <v>0</v>
      </c>
      <c r="T158" s="15">
        <f t="shared" si="42"/>
        <v>0</v>
      </c>
      <c r="U158" s="15">
        <f t="shared" si="43"/>
        <v>0</v>
      </c>
      <c r="V158" s="15">
        <f t="shared" si="44"/>
        <v>0</v>
      </c>
      <c r="W158" s="18" t="str">
        <f t="shared" si="45"/>
        <v/>
      </c>
      <c r="X158" s="17">
        <v>0</v>
      </c>
      <c r="Y158" s="17">
        <v>0</v>
      </c>
      <c r="Z158" s="15">
        <f t="shared" si="46"/>
        <v>0</v>
      </c>
      <c r="AA158" s="17">
        <v>0</v>
      </c>
      <c r="AB158" s="17">
        <v>0</v>
      </c>
      <c r="AC158" s="15">
        <f t="shared" si="47"/>
        <v>0</v>
      </c>
      <c r="AD158" s="17">
        <v>0</v>
      </c>
      <c r="AE158" s="17">
        <v>0</v>
      </c>
      <c r="AF158" s="15">
        <f t="shared" si="48"/>
        <v>0</v>
      </c>
      <c r="AG158" s="17">
        <v>0</v>
      </c>
      <c r="AH158" s="17">
        <v>0</v>
      </c>
      <c r="AI158" s="15">
        <f t="shared" si="49"/>
        <v>0</v>
      </c>
      <c r="AJ158" s="17"/>
    </row>
    <row r="159" spans="1:36" x14ac:dyDescent="0.3">
      <c r="A159" s="15" t="s">
        <v>208</v>
      </c>
      <c r="B159" s="15">
        <v>1000</v>
      </c>
      <c r="C159" s="15" t="s">
        <v>54</v>
      </c>
      <c r="D159" s="15" t="s">
        <v>68</v>
      </c>
      <c r="E159" s="15">
        <v>0</v>
      </c>
      <c r="F159" s="15">
        <v>0</v>
      </c>
      <c r="G159" s="15">
        <v>0</v>
      </c>
      <c r="H159" s="15">
        <f t="shared" si="40"/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5">
        <f t="shared" si="41"/>
        <v>0</v>
      </c>
      <c r="T159" s="15">
        <f t="shared" si="42"/>
        <v>0</v>
      </c>
      <c r="U159" s="15">
        <f t="shared" si="43"/>
        <v>0</v>
      </c>
      <c r="V159" s="15">
        <f t="shared" si="44"/>
        <v>0</v>
      </c>
      <c r="W159" s="18" t="str">
        <f t="shared" si="45"/>
        <v/>
      </c>
      <c r="X159" s="17">
        <v>0</v>
      </c>
      <c r="Y159" s="17">
        <v>0</v>
      </c>
      <c r="Z159" s="15">
        <f t="shared" si="46"/>
        <v>0</v>
      </c>
      <c r="AA159" s="17">
        <v>0</v>
      </c>
      <c r="AB159" s="17">
        <v>0</v>
      </c>
      <c r="AC159" s="15">
        <f t="shared" si="47"/>
        <v>0</v>
      </c>
      <c r="AD159" s="17">
        <v>0</v>
      </c>
      <c r="AE159" s="17">
        <v>0</v>
      </c>
      <c r="AF159" s="15">
        <f t="shared" si="48"/>
        <v>0</v>
      </c>
      <c r="AG159" s="17">
        <v>0</v>
      </c>
      <c r="AH159" s="17">
        <v>0</v>
      </c>
      <c r="AI159" s="15">
        <f t="shared" si="49"/>
        <v>0</v>
      </c>
      <c r="AJ159" s="17"/>
    </row>
    <row r="160" spans="1:36" x14ac:dyDescent="0.3">
      <c r="A160" s="15" t="s">
        <v>209</v>
      </c>
      <c r="B160" s="15">
        <v>100</v>
      </c>
      <c r="C160" s="15" t="s">
        <v>54</v>
      </c>
      <c r="D160" s="15" t="s">
        <v>57</v>
      </c>
      <c r="E160" s="15">
        <v>0</v>
      </c>
      <c r="F160" s="15">
        <v>0</v>
      </c>
      <c r="G160" s="15">
        <v>0</v>
      </c>
      <c r="H160" s="15">
        <f t="shared" si="40"/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5">
        <f t="shared" si="41"/>
        <v>0</v>
      </c>
      <c r="T160" s="15">
        <f t="shared" si="42"/>
        <v>0</v>
      </c>
      <c r="U160" s="15">
        <f t="shared" si="43"/>
        <v>0</v>
      </c>
      <c r="V160" s="15">
        <f t="shared" si="44"/>
        <v>0</v>
      </c>
      <c r="W160" s="18" t="str">
        <f t="shared" si="45"/>
        <v/>
      </c>
      <c r="X160" s="17">
        <v>0</v>
      </c>
      <c r="Y160" s="17">
        <v>0</v>
      </c>
      <c r="Z160" s="15">
        <f t="shared" si="46"/>
        <v>0</v>
      </c>
      <c r="AA160" s="17">
        <v>0</v>
      </c>
      <c r="AB160" s="17">
        <v>0</v>
      </c>
      <c r="AC160" s="15">
        <f t="shared" si="47"/>
        <v>0</v>
      </c>
      <c r="AD160" s="17">
        <v>0</v>
      </c>
      <c r="AE160" s="17">
        <v>0</v>
      </c>
      <c r="AF160" s="15">
        <f t="shared" si="48"/>
        <v>0</v>
      </c>
      <c r="AG160" s="17">
        <v>0</v>
      </c>
      <c r="AH160" s="17">
        <v>0</v>
      </c>
      <c r="AI160" s="15">
        <f t="shared" si="49"/>
        <v>0</v>
      </c>
      <c r="AJ160" s="17"/>
    </row>
    <row r="161" spans="1:36" x14ac:dyDescent="0.3">
      <c r="A161" s="15" t="s">
        <v>210</v>
      </c>
      <c r="B161" s="15">
        <v>1000</v>
      </c>
      <c r="C161" s="15" t="s">
        <v>54</v>
      </c>
      <c r="D161" s="15" t="s">
        <v>68</v>
      </c>
      <c r="E161" s="15">
        <v>0</v>
      </c>
      <c r="F161" s="15">
        <v>0</v>
      </c>
      <c r="G161" s="15">
        <v>0</v>
      </c>
      <c r="H161" s="15">
        <f t="shared" si="40"/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5">
        <f t="shared" si="41"/>
        <v>0</v>
      </c>
      <c r="T161" s="15">
        <f t="shared" si="42"/>
        <v>0</v>
      </c>
      <c r="U161" s="15">
        <f t="shared" si="43"/>
        <v>0</v>
      </c>
      <c r="V161" s="15">
        <f t="shared" si="44"/>
        <v>0</v>
      </c>
      <c r="W161" s="18" t="str">
        <f t="shared" si="45"/>
        <v/>
      </c>
      <c r="X161" s="17">
        <v>0</v>
      </c>
      <c r="Y161" s="17">
        <v>0</v>
      </c>
      <c r="Z161" s="15">
        <f t="shared" si="46"/>
        <v>0</v>
      </c>
      <c r="AA161" s="17">
        <v>0</v>
      </c>
      <c r="AB161" s="17">
        <v>0</v>
      </c>
      <c r="AC161" s="15">
        <f t="shared" si="47"/>
        <v>0</v>
      </c>
      <c r="AD161" s="17">
        <v>0</v>
      </c>
      <c r="AE161" s="17">
        <v>0</v>
      </c>
      <c r="AF161" s="15">
        <f t="shared" si="48"/>
        <v>0</v>
      </c>
      <c r="AG161" s="17">
        <v>0</v>
      </c>
      <c r="AH161" s="17">
        <v>0</v>
      </c>
      <c r="AI161" s="15">
        <f t="shared" si="49"/>
        <v>0</v>
      </c>
      <c r="AJ161" s="17"/>
    </row>
    <row r="162" spans="1:36" x14ac:dyDescent="0.3">
      <c r="A162" s="15" t="s">
        <v>211</v>
      </c>
      <c r="B162" s="15">
        <v>100</v>
      </c>
      <c r="C162" s="15" t="s">
        <v>54</v>
      </c>
      <c r="D162" s="15" t="s">
        <v>55</v>
      </c>
      <c r="E162" s="17">
        <v>106</v>
      </c>
      <c r="F162" s="17">
        <v>180</v>
      </c>
      <c r="G162" s="17">
        <v>99</v>
      </c>
      <c r="H162" s="15">
        <f t="shared" si="40"/>
        <v>385</v>
      </c>
      <c r="I162" s="17">
        <v>0</v>
      </c>
      <c r="J162" s="17">
        <v>15</v>
      </c>
      <c r="K162" s="17">
        <v>15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5">
        <f t="shared" si="41"/>
        <v>355</v>
      </c>
      <c r="T162" s="15">
        <f t="shared" si="42"/>
        <v>106</v>
      </c>
      <c r="U162" s="15">
        <f t="shared" si="43"/>
        <v>165</v>
      </c>
      <c r="V162" s="15">
        <f t="shared" si="44"/>
        <v>84</v>
      </c>
      <c r="W162" s="18" t="str">
        <f t="shared" si="45"/>
        <v/>
      </c>
      <c r="X162" s="17">
        <v>0</v>
      </c>
      <c r="Y162" s="17">
        <v>0</v>
      </c>
      <c r="Z162" s="15">
        <f t="shared" si="46"/>
        <v>0</v>
      </c>
      <c r="AA162" s="17">
        <v>0</v>
      </c>
      <c r="AB162" s="17">
        <v>0</v>
      </c>
      <c r="AC162" s="15">
        <f t="shared" si="47"/>
        <v>0</v>
      </c>
      <c r="AD162" s="17">
        <v>0</v>
      </c>
      <c r="AE162" s="17">
        <v>0</v>
      </c>
      <c r="AF162" s="15">
        <f t="shared" si="48"/>
        <v>0</v>
      </c>
      <c r="AG162" s="17">
        <v>0</v>
      </c>
      <c r="AH162" s="17">
        <v>0</v>
      </c>
      <c r="AI162" s="15">
        <f t="shared" si="49"/>
        <v>0</v>
      </c>
      <c r="AJ162" s="17"/>
    </row>
    <row r="163" spans="1:36" x14ac:dyDescent="0.3">
      <c r="A163" s="15" t="s">
        <v>212</v>
      </c>
      <c r="B163" s="15">
        <v>100</v>
      </c>
      <c r="C163" s="15" t="s">
        <v>54</v>
      </c>
      <c r="D163" s="15" t="s">
        <v>55</v>
      </c>
      <c r="E163" s="17">
        <v>20</v>
      </c>
      <c r="F163" s="17">
        <v>6</v>
      </c>
      <c r="G163" s="17">
        <v>0</v>
      </c>
      <c r="H163" s="15">
        <f t="shared" ref="H163:H194" si="50">E163+F163+G163</f>
        <v>26</v>
      </c>
      <c r="I163" s="17">
        <v>1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5">
        <f t="shared" ref="S163:S194" si="51">H163+O163+P163+Q163+R163-(I163+J163+K163+L163+M163+N163)</f>
        <v>25</v>
      </c>
      <c r="T163" s="15">
        <f t="shared" ref="T163:T199" si="52">E163+O163-I163-L163</f>
        <v>19</v>
      </c>
      <c r="U163" s="15">
        <f t="shared" ref="U163:U199" si="53">F163+P163-J163-M163</f>
        <v>6</v>
      </c>
      <c r="V163" s="15">
        <f t="shared" ref="V163:V199" si="54">G163+Q163-K163-N163</f>
        <v>0</v>
      </c>
      <c r="W163" s="18" t="str">
        <f t="shared" ref="W163:W194" si="55">IF(MIN(T163,U163,V163)&lt;0,"NEGATIVE STOCK - CHECK ENTRIES","")</f>
        <v/>
      </c>
      <c r="X163" s="17">
        <v>0</v>
      </c>
      <c r="Y163" s="17">
        <v>0</v>
      </c>
      <c r="Z163" s="15">
        <f t="shared" ref="Z163:Z194" si="56">X163-Y163</f>
        <v>0</v>
      </c>
      <c r="AA163" s="17">
        <v>0</v>
      </c>
      <c r="AB163" s="17">
        <v>0</v>
      </c>
      <c r="AC163" s="15">
        <f t="shared" ref="AC163:AC194" si="57">AA163-AB163</f>
        <v>0</v>
      </c>
      <c r="AD163" s="17">
        <v>0</v>
      </c>
      <c r="AE163" s="17">
        <v>0</v>
      </c>
      <c r="AF163" s="15">
        <f t="shared" ref="AF163:AF194" si="58">AD163-AE163</f>
        <v>0</v>
      </c>
      <c r="AG163" s="17">
        <v>0</v>
      </c>
      <c r="AH163" s="17">
        <v>0</v>
      </c>
      <c r="AI163" s="15">
        <f t="shared" ref="AI163:AI194" si="59">AG163-AH163</f>
        <v>0</v>
      </c>
      <c r="AJ163" s="17"/>
    </row>
    <row r="164" spans="1:36" x14ac:dyDescent="0.3">
      <c r="A164" s="15" t="s">
        <v>213</v>
      </c>
      <c r="B164" s="15">
        <v>100</v>
      </c>
      <c r="C164" s="15" t="s">
        <v>54</v>
      </c>
      <c r="D164" s="15" t="s">
        <v>55</v>
      </c>
      <c r="E164" s="17">
        <v>814</v>
      </c>
      <c r="F164" s="17">
        <v>0</v>
      </c>
      <c r="G164" s="17">
        <v>79</v>
      </c>
      <c r="H164" s="15">
        <f t="shared" si="50"/>
        <v>893</v>
      </c>
      <c r="I164" s="17">
        <v>0</v>
      </c>
      <c r="J164" s="17">
        <v>0</v>
      </c>
      <c r="K164" s="17">
        <v>41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5">
        <f t="shared" si="51"/>
        <v>852</v>
      </c>
      <c r="T164" s="15">
        <f t="shared" si="52"/>
        <v>814</v>
      </c>
      <c r="U164" s="15">
        <f t="shared" si="53"/>
        <v>0</v>
      </c>
      <c r="V164" s="15">
        <f t="shared" si="54"/>
        <v>38</v>
      </c>
      <c r="W164" s="18" t="str">
        <f t="shared" si="55"/>
        <v/>
      </c>
      <c r="X164" s="17">
        <v>0</v>
      </c>
      <c r="Y164" s="17">
        <v>0</v>
      </c>
      <c r="Z164" s="15">
        <f t="shared" si="56"/>
        <v>0</v>
      </c>
      <c r="AA164" s="17">
        <v>0</v>
      </c>
      <c r="AB164" s="17">
        <v>0</v>
      </c>
      <c r="AC164" s="15">
        <f t="shared" si="57"/>
        <v>0</v>
      </c>
      <c r="AD164" s="17">
        <v>0</v>
      </c>
      <c r="AE164" s="17">
        <v>0</v>
      </c>
      <c r="AF164" s="15">
        <f t="shared" si="58"/>
        <v>0</v>
      </c>
      <c r="AG164" s="17">
        <v>0</v>
      </c>
      <c r="AH164" s="17">
        <v>0</v>
      </c>
      <c r="AI164" s="15">
        <f t="shared" si="59"/>
        <v>0</v>
      </c>
      <c r="AJ164" s="17"/>
    </row>
    <row r="165" spans="1:36" x14ac:dyDescent="0.3">
      <c r="A165" s="15" t="s">
        <v>213</v>
      </c>
      <c r="B165" s="15">
        <v>1000</v>
      </c>
      <c r="C165" s="15" t="s">
        <v>54</v>
      </c>
      <c r="D165" s="15" t="s">
        <v>55</v>
      </c>
      <c r="E165" s="17">
        <v>480</v>
      </c>
      <c r="F165" s="17">
        <v>168</v>
      </c>
      <c r="G165" s="17">
        <v>7</v>
      </c>
      <c r="H165" s="15">
        <f t="shared" si="50"/>
        <v>655</v>
      </c>
      <c r="I165" s="17">
        <v>0</v>
      </c>
      <c r="J165" s="17">
        <v>21</v>
      </c>
      <c r="K165" s="17">
        <v>0</v>
      </c>
      <c r="L165" s="17">
        <v>0</v>
      </c>
      <c r="M165" s="17">
        <v>6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5">
        <f t="shared" si="51"/>
        <v>628</v>
      </c>
      <c r="T165" s="15">
        <f t="shared" si="52"/>
        <v>480</v>
      </c>
      <c r="U165" s="15">
        <f t="shared" si="53"/>
        <v>141</v>
      </c>
      <c r="V165" s="15">
        <f t="shared" si="54"/>
        <v>7</v>
      </c>
      <c r="W165" s="18" t="str">
        <f t="shared" si="55"/>
        <v/>
      </c>
      <c r="X165" s="17">
        <v>0</v>
      </c>
      <c r="Y165" s="17">
        <v>0</v>
      </c>
      <c r="Z165" s="15">
        <f t="shared" si="56"/>
        <v>0</v>
      </c>
      <c r="AA165" s="17">
        <v>0</v>
      </c>
      <c r="AB165" s="17">
        <v>0</v>
      </c>
      <c r="AC165" s="15">
        <f t="shared" si="57"/>
        <v>0</v>
      </c>
      <c r="AD165" s="17">
        <v>0</v>
      </c>
      <c r="AE165" s="17">
        <v>0</v>
      </c>
      <c r="AF165" s="15">
        <f t="shared" si="58"/>
        <v>0</v>
      </c>
      <c r="AG165" s="17">
        <v>0</v>
      </c>
      <c r="AH165" s="17">
        <v>0</v>
      </c>
      <c r="AI165" s="15">
        <f t="shared" si="59"/>
        <v>0</v>
      </c>
      <c r="AJ165" s="17" t="s">
        <v>285</v>
      </c>
    </row>
    <row r="166" spans="1:36" x14ac:dyDescent="0.3">
      <c r="A166" s="15" t="s">
        <v>213</v>
      </c>
      <c r="B166" s="15">
        <v>500</v>
      </c>
      <c r="C166" s="15" t="s">
        <v>54</v>
      </c>
      <c r="D166" s="15" t="s">
        <v>55</v>
      </c>
      <c r="E166" s="17">
        <v>110</v>
      </c>
      <c r="F166" s="17">
        <v>0</v>
      </c>
      <c r="G166" s="17">
        <v>0</v>
      </c>
      <c r="H166" s="15">
        <f t="shared" si="50"/>
        <v>110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5">
        <f t="shared" si="51"/>
        <v>110</v>
      </c>
      <c r="T166" s="15">
        <f t="shared" si="52"/>
        <v>110</v>
      </c>
      <c r="U166" s="15">
        <f t="shared" si="53"/>
        <v>0</v>
      </c>
      <c r="V166" s="15">
        <f t="shared" si="54"/>
        <v>0</v>
      </c>
      <c r="W166" s="18" t="str">
        <f t="shared" si="55"/>
        <v/>
      </c>
      <c r="X166" s="17">
        <v>0</v>
      </c>
      <c r="Y166" s="17">
        <v>0</v>
      </c>
      <c r="Z166" s="15">
        <f t="shared" si="56"/>
        <v>0</v>
      </c>
      <c r="AA166" s="17">
        <v>0</v>
      </c>
      <c r="AB166" s="17">
        <v>0</v>
      </c>
      <c r="AC166" s="15">
        <f t="shared" si="57"/>
        <v>0</v>
      </c>
      <c r="AD166" s="17">
        <v>0</v>
      </c>
      <c r="AE166" s="17">
        <v>0</v>
      </c>
      <c r="AF166" s="15">
        <f t="shared" si="58"/>
        <v>0</v>
      </c>
      <c r="AG166" s="17">
        <v>0</v>
      </c>
      <c r="AH166" s="17">
        <v>0</v>
      </c>
      <c r="AI166" s="15">
        <f t="shared" si="59"/>
        <v>0</v>
      </c>
      <c r="AJ166" s="17"/>
    </row>
    <row r="167" spans="1:36" x14ac:dyDescent="0.3">
      <c r="A167" s="15" t="s">
        <v>214</v>
      </c>
      <c r="B167" s="15">
        <v>1000</v>
      </c>
      <c r="C167" s="15" t="s">
        <v>54</v>
      </c>
      <c r="D167" s="15" t="s">
        <v>55</v>
      </c>
      <c r="E167" s="17">
        <v>5</v>
      </c>
      <c r="F167" s="17">
        <v>0</v>
      </c>
      <c r="G167" s="17">
        <v>22</v>
      </c>
      <c r="H167" s="15">
        <f t="shared" si="50"/>
        <v>27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5">
        <f t="shared" si="51"/>
        <v>27</v>
      </c>
      <c r="T167" s="15">
        <f t="shared" si="52"/>
        <v>5</v>
      </c>
      <c r="U167" s="15">
        <f t="shared" si="53"/>
        <v>0</v>
      </c>
      <c r="V167" s="15">
        <f t="shared" si="54"/>
        <v>22</v>
      </c>
      <c r="W167" s="18" t="str">
        <f t="shared" si="55"/>
        <v/>
      </c>
      <c r="X167" s="17">
        <v>0</v>
      </c>
      <c r="Y167" s="17">
        <v>0</v>
      </c>
      <c r="Z167" s="15">
        <f t="shared" si="56"/>
        <v>0</v>
      </c>
      <c r="AA167" s="17">
        <v>0</v>
      </c>
      <c r="AB167" s="17">
        <v>0</v>
      </c>
      <c r="AC167" s="15">
        <f t="shared" si="57"/>
        <v>0</v>
      </c>
      <c r="AD167" s="17">
        <v>0</v>
      </c>
      <c r="AE167" s="17">
        <v>0</v>
      </c>
      <c r="AF167" s="15">
        <f t="shared" si="58"/>
        <v>0</v>
      </c>
      <c r="AG167" s="17">
        <v>0</v>
      </c>
      <c r="AH167" s="17">
        <v>0</v>
      </c>
      <c r="AI167" s="15">
        <f t="shared" si="59"/>
        <v>0</v>
      </c>
      <c r="AJ167" s="17"/>
    </row>
    <row r="168" spans="1:36" x14ac:dyDescent="0.3">
      <c r="A168" s="15" t="s">
        <v>215</v>
      </c>
      <c r="B168" s="15">
        <v>100</v>
      </c>
      <c r="C168" s="15" t="s">
        <v>54</v>
      </c>
      <c r="D168" s="15" t="s">
        <v>55</v>
      </c>
      <c r="E168" s="17">
        <v>353</v>
      </c>
      <c r="F168" s="17">
        <v>642</v>
      </c>
      <c r="G168" s="17">
        <v>215</v>
      </c>
      <c r="H168" s="15">
        <f t="shared" si="50"/>
        <v>1210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5">
        <f t="shared" si="51"/>
        <v>1210</v>
      </c>
      <c r="T168" s="15">
        <f t="shared" si="52"/>
        <v>353</v>
      </c>
      <c r="U168" s="15">
        <f t="shared" si="53"/>
        <v>642</v>
      </c>
      <c r="V168" s="15">
        <f t="shared" si="54"/>
        <v>215</v>
      </c>
      <c r="W168" s="18" t="str">
        <f t="shared" si="55"/>
        <v/>
      </c>
      <c r="X168" s="17">
        <v>0</v>
      </c>
      <c r="Y168" s="17">
        <v>0</v>
      </c>
      <c r="Z168" s="15">
        <f t="shared" si="56"/>
        <v>0</v>
      </c>
      <c r="AA168" s="17">
        <v>0</v>
      </c>
      <c r="AB168" s="17">
        <v>0</v>
      </c>
      <c r="AC168" s="15">
        <f t="shared" si="57"/>
        <v>0</v>
      </c>
      <c r="AD168" s="17">
        <v>0</v>
      </c>
      <c r="AE168" s="17">
        <v>0</v>
      </c>
      <c r="AF168" s="15">
        <f t="shared" si="58"/>
        <v>0</v>
      </c>
      <c r="AG168" s="17">
        <v>0</v>
      </c>
      <c r="AH168" s="17">
        <v>0</v>
      </c>
      <c r="AI168" s="15">
        <f t="shared" si="59"/>
        <v>0</v>
      </c>
      <c r="AJ168" s="17"/>
    </row>
    <row r="169" spans="1:36" x14ac:dyDescent="0.3">
      <c r="A169" s="15" t="s">
        <v>216</v>
      </c>
      <c r="B169" s="15">
        <v>100</v>
      </c>
      <c r="C169" s="15" t="s">
        <v>54</v>
      </c>
      <c r="D169" s="15" t="s">
        <v>55</v>
      </c>
      <c r="E169" s="17">
        <v>0</v>
      </c>
      <c r="F169" s="17">
        <v>9</v>
      </c>
      <c r="G169" s="17">
        <v>0</v>
      </c>
      <c r="H169" s="15">
        <f t="shared" si="50"/>
        <v>9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5">
        <f t="shared" si="51"/>
        <v>9</v>
      </c>
      <c r="T169" s="15">
        <f t="shared" si="52"/>
        <v>0</v>
      </c>
      <c r="U169" s="15">
        <f t="shared" si="53"/>
        <v>9</v>
      </c>
      <c r="V169" s="15">
        <f t="shared" si="54"/>
        <v>0</v>
      </c>
      <c r="W169" s="18" t="str">
        <f t="shared" si="55"/>
        <v/>
      </c>
      <c r="X169" s="17">
        <v>0</v>
      </c>
      <c r="Y169" s="17">
        <v>0</v>
      </c>
      <c r="Z169" s="15">
        <f t="shared" si="56"/>
        <v>0</v>
      </c>
      <c r="AA169" s="17">
        <v>0</v>
      </c>
      <c r="AB169" s="17">
        <v>0</v>
      </c>
      <c r="AC169" s="15">
        <f t="shared" si="57"/>
        <v>0</v>
      </c>
      <c r="AD169" s="17">
        <v>0</v>
      </c>
      <c r="AE169" s="17">
        <v>0</v>
      </c>
      <c r="AF169" s="15">
        <f t="shared" si="58"/>
        <v>0</v>
      </c>
      <c r="AG169" s="17">
        <v>0</v>
      </c>
      <c r="AH169" s="17">
        <v>0</v>
      </c>
      <c r="AI169" s="15">
        <f t="shared" si="59"/>
        <v>0</v>
      </c>
      <c r="AJ169" s="17"/>
    </row>
    <row r="170" spans="1:36" x14ac:dyDescent="0.3">
      <c r="A170" s="15" t="s">
        <v>217</v>
      </c>
      <c r="B170" s="15">
        <v>100</v>
      </c>
      <c r="C170" s="15" t="s">
        <v>54</v>
      </c>
      <c r="D170" s="15" t="s">
        <v>55</v>
      </c>
      <c r="E170" s="17">
        <v>41</v>
      </c>
      <c r="F170" s="17">
        <v>5</v>
      </c>
      <c r="G170" s="17">
        <v>4</v>
      </c>
      <c r="H170" s="15">
        <f t="shared" si="50"/>
        <v>50</v>
      </c>
      <c r="I170" s="17">
        <v>0</v>
      </c>
      <c r="J170" s="17">
        <v>0</v>
      </c>
      <c r="K170" s="17">
        <v>3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5">
        <f t="shared" si="51"/>
        <v>47</v>
      </c>
      <c r="T170" s="15">
        <f t="shared" si="52"/>
        <v>41</v>
      </c>
      <c r="U170" s="15">
        <f t="shared" si="53"/>
        <v>5</v>
      </c>
      <c r="V170" s="15">
        <f t="shared" si="54"/>
        <v>1</v>
      </c>
      <c r="W170" s="18" t="str">
        <f t="shared" si="55"/>
        <v/>
      </c>
      <c r="X170" s="17">
        <v>0</v>
      </c>
      <c r="Y170" s="17">
        <v>0</v>
      </c>
      <c r="Z170" s="15">
        <f t="shared" si="56"/>
        <v>0</v>
      </c>
      <c r="AA170" s="17">
        <v>0</v>
      </c>
      <c r="AB170" s="17">
        <v>0</v>
      </c>
      <c r="AC170" s="15">
        <f t="shared" si="57"/>
        <v>0</v>
      </c>
      <c r="AD170" s="17">
        <v>0</v>
      </c>
      <c r="AE170" s="17">
        <v>0</v>
      </c>
      <c r="AF170" s="15">
        <f t="shared" si="58"/>
        <v>0</v>
      </c>
      <c r="AG170" s="17">
        <v>0</v>
      </c>
      <c r="AH170" s="17">
        <v>0</v>
      </c>
      <c r="AI170" s="15">
        <f t="shared" si="59"/>
        <v>0</v>
      </c>
      <c r="AJ170" s="17"/>
    </row>
    <row r="171" spans="1:36" x14ac:dyDescent="0.3">
      <c r="A171" s="15" t="s">
        <v>218</v>
      </c>
      <c r="B171" s="15">
        <v>100</v>
      </c>
      <c r="C171" s="15" t="s">
        <v>54</v>
      </c>
      <c r="D171" s="15" t="s">
        <v>55</v>
      </c>
      <c r="E171" s="17">
        <v>318</v>
      </c>
      <c r="F171" s="17">
        <v>48</v>
      </c>
      <c r="G171" s="17">
        <v>48</v>
      </c>
      <c r="H171" s="15">
        <f t="shared" si="50"/>
        <v>414</v>
      </c>
      <c r="I171" s="17">
        <v>0</v>
      </c>
      <c r="J171" s="17">
        <v>1</v>
      </c>
      <c r="K171" s="17">
        <v>6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5">
        <f t="shared" si="51"/>
        <v>407</v>
      </c>
      <c r="T171" s="15">
        <f t="shared" si="52"/>
        <v>318</v>
      </c>
      <c r="U171" s="15">
        <f t="shared" si="53"/>
        <v>47</v>
      </c>
      <c r="V171" s="15">
        <f t="shared" si="54"/>
        <v>42</v>
      </c>
      <c r="W171" s="18" t="str">
        <f t="shared" si="55"/>
        <v/>
      </c>
      <c r="X171" s="17">
        <v>0</v>
      </c>
      <c r="Y171" s="17">
        <v>0</v>
      </c>
      <c r="Z171" s="15">
        <f t="shared" si="56"/>
        <v>0</v>
      </c>
      <c r="AA171" s="17">
        <v>0</v>
      </c>
      <c r="AB171" s="17">
        <v>0</v>
      </c>
      <c r="AC171" s="15">
        <f t="shared" si="57"/>
        <v>0</v>
      </c>
      <c r="AD171" s="17">
        <v>0</v>
      </c>
      <c r="AE171" s="17">
        <v>0</v>
      </c>
      <c r="AF171" s="15">
        <f t="shared" si="58"/>
        <v>0</v>
      </c>
      <c r="AG171" s="17">
        <v>0</v>
      </c>
      <c r="AH171" s="17">
        <v>0</v>
      </c>
      <c r="AI171" s="15">
        <f t="shared" si="59"/>
        <v>0</v>
      </c>
      <c r="AJ171" s="17"/>
    </row>
    <row r="172" spans="1:36" x14ac:dyDescent="0.3">
      <c r="A172" s="15" t="s">
        <v>219</v>
      </c>
      <c r="B172" s="15">
        <v>100</v>
      </c>
      <c r="C172" s="15" t="s">
        <v>54</v>
      </c>
      <c r="D172" s="15" t="s">
        <v>55</v>
      </c>
      <c r="E172" s="17">
        <v>37</v>
      </c>
      <c r="F172" s="17">
        <v>1</v>
      </c>
      <c r="G172" s="17">
        <v>0</v>
      </c>
      <c r="H172" s="15">
        <f t="shared" si="50"/>
        <v>38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5">
        <f t="shared" si="51"/>
        <v>38</v>
      </c>
      <c r="T172" s="15">
        <f t="shared" si="52"/>
        <v>37</v>
      </c>
      <c r="U172" s="15">
        <f t="shared" si="53"/>
        <v>1</v>
      </c>
      <c r="V172" s="15">
        <f t="shared" si="54"/>
        <v>0</v>
      </c>
      <c r="W172" s="18" t="str">
        <f t="shared" si="55"/>
        <v/>
      </c>
      <c r="X172" s="17">
        <v>0</v>
      </c>
      <c r="Y172" s="17">
        <v>0</v>
      </c>
      <c r="Z172" s="15">
        <f t="shared" si="56"/>
        <v>0</v>
      </c>
      <c r="AA172" s="17">
        <v>0</v>
      </c>
      <c r="AB172" s="17">
        <v>0</v>
      </c>
      <c r="AC172" s="15">
        <f t="shared" si="57"/>
        <v>0</v>
      </c>
      <c r="AD172" s="17">
        <v>0</v>
      </c>
      <c r="AE172" s="17">
        <v>0</v>
      </c>
      <c r="AF172" s="15">
        <f t="shared" si="58"/>
        <v>0</v>
      </c>
      <c r="AG172" s="17">
        <v>0</v>
      </c>
      <c r="AH172" s="17">
        <v>0</v>
      </c>
      <c r="AI172" s="15">
        <f t="shared" si="59"/>
        <v>0</v>
      </c>
      <c r="AJ172" s="17"/>
    </row>
    <row r="173" spans="1:36" x14ac:dyDescent="0.3">
      <c r="A173" s="15" t="s">
        <v>220</v>
      </c>
      <c r="B173" s="15">
        <v>1000</v>
      </c>
      <c r="C173" s="15" t="s">
        <v>54</v>
      </c>
      <c r="D173" s="15" t="s">
        <v>57</v>
      </c>
      <c r="E173" s="15">
        <v>0</v>
      </c>
      <c r="F173" s="15">
        <v>0</v>
      </c>
      <c r="G173" s="15">
        <v>0</v>
      </c>
      <c r="H173" s="15">
        <f t="shared" si="50"/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5">
        <f t="shared" si="51"/>
        <v>0</v>
      </c>
      <c r="T173" s="15">
        <f t="shared" si="52"/>
        <v>0</v>
      </c>
      <c r="U173" s="15">
        <f t="shared" si="53"/>
        <v>0</v>
      </c>
      <c r="V173" s="15">
        <f t="shared" si="54"/>
        <v>0</v>
      </c>
      <c r="W173" s="18" t="str">
        <f t="shared" si="55"/>
        <v/>
      </c>
      <c r="X173" s="17">
        <v>0</v>
      </c>
      <c r="Y173" s="17">
        <v>0</v>
      </c>
      <c r="Z173" s="15">
        <f t="shared" si="56"/>
        <v>0</v>
      </c>
      <c r="AA173" s="17">
        <v>0</v>
      </c>
      <c r="AB173" s="17">
        <v>0</v>
      </c>
      <c r="AC173" s="15">
        <f t="shared" si="57"/>
        <v>0</v>
      </c>
      <c r="AD173" s="17">
        <v>0</v>
      </c>
      <c r="AE173" s="17">
        <v>0</v>
      </c>
      <c r="AF173" s="15">
        <f t="shared" si="58"/>
        <v>0</v>
      </c>
      <c r="AG173" s="17">
        <v>0</v>
      </c>
      <c r="AH173" s="17">
        <v>0</v>
      </c>
      <c r="AI173" s="15">
        <f t="shared" si="59"/>
        <v>0</v>
      </c>
      <c r="AJ173" s="17"/>
    </row>
    <row r="174" spans="1:36" x14ac:dyDescent="0.3">
      <c r="A174" s="15" t="s">
        <v>221</v>
      </c>
      <c r="B174" s="15">
        <v>1000</v>
      </c>
      <c r="C174" s="15" t="s">
        <v>54</v>
      </c>
      <c r="D174" s="15" t="s">
        <v>68</v>
      </c>
      <c r="E174" s="15">
        <v>0</v>
      </c>
      <c r="F174" s="15">
        <v>0</v>
      </c>
      <c r="G174" s="15">
        <v>0</v>
      </c>
      <c r="H174" s="15">
        <f t="shared" si="50"/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5">
        <f t="shared" si="51"/>
        <v>0</v>
      </c>
      <c r="T174" s="15">
        <f t="shared" si="52"/>
        <v>0</v>
      </c>
      <c r="U174" s="15">
        <f t="shared" si="53"/>
        <v>0</v>
      </c>
      <c r="V174" s="15">
        <f t="shared" si="54"/>
        <v>0</v>
      </c>
      <c r="W174" s="18" t="str">
        <f t="shared" si="55"/>
        <v/>
      </c>
      <c r="X174" s="17">
        <v>0</v>
      </c>
      <c r="Y174" s="17">
        <v>0</v>
      </c>
      <c r="Z174" s="15">
        <f t="shared" si="56"/>
        <v>0</v>
      </c>
      <c r="AA174" s="17">
        <v>0</v>
      </c>
      <c r="AB174" s="17">
        <v>0</v>
      </c>
      <c r="AC174" s="15">
        <f t="shared" si="57"/>
        <v>0</v>
      </c>
      <c r="AD174" s="17">
        <v>0</v>
      </c>
      <c r="AE174" s="17">
        <v>0</v>
      </c>
      <c r="AF174" s="15">
        <f t="shared" si="58"/>
        <v>0</v>
      </c>
      <c r="AG174" s="17">
        <v>0</v>
      </c>
      <c r="AH174" s="17">
        <v>0</v>
      </c>
      <c r="AI174" s="15">
        <f t="shared" si="59"/>
        <v>0</v>
      </c>
      <c r="AJ174" s="17"/>
    </row>
    <row r="175" spans="1:36" x14ac:dyDescent="0.3">
      <c r="A175" s="15" t="s">
        <v>222</v>
      </c>
      <c r="B175" s="15">
        <v>1000</v>
      </c>
      <c r="C175" s="15" t="s">
        <v>54</v>
      </c>
      <c r="D175" s="15" t="s">
        <v>68</v>
      </c>
      <c r="E175" s="15">
        <v>0</v>
      </c>
      <c r="F175" s="15">
        <v>0</v>
      </c>
      <c r="G175" s="15">
        <v>0</v>
      </c>
      <c r="H175" s="15">
        <f t="shared" si="50"/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5">
        <f t="shared" si="51"/>
        <v>0</v>
      </c>
      <c r="T175" s="15">
        <f t="shared" si="52"/>
        <v>0</v>
      </c>
      <c r="U175" s="15">
        <f t="shared" si="53"/>
        <v>0</v>
      </c>
      <c r="V175" s="15">
        <f t="shared" si="54"/>
        <v>0</v>
      </c>
      <c r="W175" s="18" t="str">
        <f t="shared" si="55"/>
        <v/>
      </c>
      <c r="X175" s="17">
        <v>0</v>
      </c>
      <c r="Y175" s="17">
        <v>0</v>
      </c>
      <c r="Z175" s="15">
        <f t="shared" si="56"/>
        <v>0</v>
      </c>
      <c r="AA175" s="17">
        <v>0</v>
      </c>
      <c r="AB175" s="17">
        <v>0</v>
      </c>
      <c r="AC175" s="15">
        <f t="shared" si="57"/>
        <v>0</v>
      </c>
      <c r="AD175" s="17">
        <v>0</v>
      </c>
      <c r="AE175" s="17">
        <v>0</v>
      </c>
      <c r="AF175" s="15">
        <f t="shared" si="58"/>
        <v>0</v>
      </c>
      <c r="AG175" s="17">
        <v>0</v>
      </c>
      <c r="AH175" s="17">
        <v>0</v>
      </c>
      <c r="AI175" s="15">
        <f t="shared" si="59"/>
        <v>0</v>
      </c>
      <c r="AJ175" s="17"/>
    </row>
    <row r="176" spans="1:36" x14ac:dyDescent="0.3">
      <c r="A176" s="15" t="s">
        <v>223</v>
      </c>
      <c r="B176" s="15">
        <v>100</v>
      </c>
      <c r="C176" s="15" t="s">
        <v>54</v>
      </c>
      <c r="D176" s="15" t="s">
        <v>57</v>
      </c>
      <c r="E176" s="15">
        <v>0</v>
      </c>
      <c r="F176" s="15">
        <v>0</v>
      </c>
      <c r="G176" s="15">
        <v>0</v>
      </c>
      <c r="H176" s="15">
        <f t="shared" si="50"/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5">
        <f t="shared" si="51"/>
        <v>0</v>
      </c>
      <c r="T176" s="15">
        <f t="shared" si="52"/>
        <v>0</v>
      </c>
      <c r="U176" s="15">
        <f t="shared" si="53"/>
        <v>0</v>
      </c>
      <c r="V176" s="15">
        <f t="shared" si="54"/>
        <v>0</v>
      </c>
      <c r="W176" s="18" t="str">
        <f t="shared" si="55"/>
        <v/>
      </c>
      <c r="X176" s="17">
        <v>0</v>
      </c>
      <c r="Y176" s="17">
        <v>0</v>
      </c>
      <c r="Z176" s="15">
        <f t="shared" si="56"/>
        <v>0</v>
      </c>
      <c r="AA176" s="17">
        <v>0</v>
      </c>
      <c r="AB176" s="17">
        <v>0</v>
      </c>
      <c r="AC176" s="15">
        <f t="shared" si="57"/>
        <v>0</v>
      </c>
      <c r="AD176" s="17">
        <v>0</v>
      </c>
      <c r="AE176" s="17">
        <v>0</v>
      </c>
      <c r="AF176" s="15">
        <f t="shared" si="58"/>
        <v>0</v>
      </c>
      <c r="AG176" s="17">
        <v>0</v>
      </c>
      <c r="AH176" s="17">
        <v>0</v>
      </c>
      <c r="AI176" s="15">
        <f t="shared" si="59"/>
        <v>0</v>
      </c>
      <c r="AJ176" s="17"/>
    </row>
    <row r="177" spans="1:36" x14ac:dyDescent="0.3">
      <c r="A177" s="15" t="s">
        <v>224</v>
      </c>
      <c r="B177" s="15" t="s">
        <v>225</v>
      </c>
      <c r="C177" s="15" t="s">
        <v>54</v>
      </c>
      <c r="D177" s="15" t="s">
        <v>55</v>
      </c>
      <c r="E177" s="17">
        <v>4</v>
      </c>
      <c r="F177" s="17">
        <v>0</v>
      </c>
      <c r="G177" s="17">
        <v>0</v>
      </c>
      <c r="H177" s="15">
        <f t="shared" si="50"/>
        <v>4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5">
        <f t="shared" si="51"/>
        <v>4</v>
      </c>
      <c r="T177" s="15">
        <f t="shared" si="52"/>
        <v>4</v>
      </c>
      <c r="U177" s="15">
        <f t="shared" si="53"/>
        <v>0</v>
      </c>
      <c r="V177" s="15">
        <f t="shared" si="54"/>
        <v>0</v>
      </c>
      <c r="W177" s="18" t="str">
        <f t="shared" si="55"/>
        <v/>
      </c>
      <c r="X177" s="17">
        <v>0</v>
      </c>
      <c r="Y177" s="17">
        <v>0</v>
      </c>
      <c r="Z177" s="15">
        <f t="shared" si="56"/>
        <v>0</v>
      </c>
      <c r="AA177" s="17">
        <v>0</v>
      </c>
      <c r="AB177" s="17">
        <v>0</v>
      </c>
      <c r="AC177" s="15">
        <f t="shared" si="57"/>
        <v>0</v>
      </c>
      <c r="AD177" s="17">
        <v>0</v>
      </c>
      <c r="AE177" s="17">
        <v>0</v>
      </c>
      <c r="AF177" s="15">
        <f t="shared" si="58"/>
        <v>0</v>
      </c>
      <c r="AG177" s="17">
        <v>0</v>
      </c>
      <c r="AH177" s="17">
        <v>0</v>
      </c>
      <c r="AI177" s="15">
        <f t="shared" si="59"/>
        <v>0</v>
      </c>
      <c r="AJ177" s="17"/>
    </row>
    <row r="178" spans="1:36" x14ac:dyDescent="0.3">
      <c r="A178" s="15" t="s">
        <v>226</v>
      </c>
      <c r="B178" s="15">
        <v>100</v>
      </c>
      <c r="C178" s="15" t="s">
        <v>54</v>
      </c>
      <c r="D178" s="15" t="s">
        <v>68</v>
      </c>
      <c r="E178" s="15">
        <v>0</v>
      </c>
      <c r="F178" s="15">
        <v>0</v>
      </c>
      <c r="G178" s="15">
        <v>0</v>
      </c>
      <c r="H178" s="15">
        <f t="shared" si="50"/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5">
        <f t="shared" si="51"/>
        <v>0</v>
      </c>
      <c r="T178" s="15">
        <f t="shared" si="52"/>
        <v>0</v>
      </c>
      <c r="U178" s="15">
        <f t="shared" si="53"/>
        <v>0</v>
      </c>
      <c r="V178" s="15">
        <f t="shared" si="54"/>
        <v>0</v>
      </c>
      <c r="W178" s="18" t="str">
        <f t="shared" si="55"/>
        <v/>
      </c>
      <c r="X178" s="17">
        <v>0</v>
      </c>
      <c r="Y178" s="17">
        <v>0</v>
      </c>
      <c r="Z178" s="15">
        <f t="shared" si="56"/>
        <v>0</v>
      </c>
      <c r="AA178" s="17">
        <v>0</v>
      </c>
      <c r="AB178" s="17">
        <v>0</v>
      </c>
      <c r="AC178" s="15">
        <f t="shared" si="57"/>
        <v>0</v>
      </c>
      <c r="AD178" s="17">
        <v>0</v>
      </c>
      <c r="AE178" s="17">
        <v>0</v>
      </c>
      <c r="AF178" s="15">
        <f t="shared" si="58"/>
        <v>0</v>
      </c>
      <c r="AG178" s="17">
        <v>0</v>
      </c>
      <c r="AH178" s="17">
        <v>0</v>
      </c>
      <c r="AI178" s="15">
        <f t="shared" si="59"/>
        <v>0</v>
      </c>
      <c r="AJ178" s="17"/>
    </row>
    <row r="179" spans="1:36" x14ac:dyDescent="0.3">
      <c r="A179" s="15" t="s">
        <v>227</v>
      </c>
      <c r="B179" s="15">
        <v>100</v>
      </c>
      <c r="C179" s="15" t="s">
        <v>54</v>
      </c>
      <c r="D179" s="15" t="s">
        <v>55</v>
      </c>
      <c r="E179" s="17">
        <v>81</v>
      </c>
      <c r="F179" s="17">
        <v>0</v>
      </c>
      <c r="G179" s="17">
        <v>0</v>
      </c>
      <c r="H179" s="15">
        <f t="shared" si="50"/>
        <v>81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5">
        <f t="shared" si="51"/>
        <v>81</v>
      </c>
      <c r="T179" s="15">
        <f t="shared" si="52"/>
        <v>81</v>
      </c>
      <c r="U179" s="15">
        <f t="shared" si="53"/>
        <v>0</v>
      </c>
      <c r="V179" s="15">
        <f t="shared" si="54"/>
        <v>0</v>
      </c>
      <c r="W179" s="18" t="str">
        <f t="shared" si="55"/>
        <v/>
      </c>
      <c r="X179" s="17">
        <v>0</v>
      </c>
      <c r="Y179" s="17">
        <v>0</v>
      </c>
      <c r="Z179" s="15">
        <f t="shared" si="56"/>
        <v>0</v>
      </c>
      <c r="AA179" s="17">
        <v>0</v>
      </c>
      <c r="AB179" s="17">
        <v>0</v>
      </c>
      <c r="AC179" s="15">
        <f t="shared" si="57"/>
        <v>0</v>
      </c>
      <c r="AD179" s="17">
        <v>0</v>
      </c>
      <c r="AE179" s="17">
        <v>0</v>
      </c>
      <c r="AF179" s="15">
        <f t="shared" si="58"/>
        <v>0</v>
      </c>
      <c r="AG179" s="17">
        <v>0</v>
      </c>
      <c r="AH179" s="17">
        <v>0</v>
      </c>
      <c r="AI179" s="15">
        <f t="shared" si="59"/>
        <v>0</v>
      </c>
      <c r="AJ179" s="17"/>
    </row>
    <row r="180" spans="1:36" x14ac:dyDescent="0.3">
      <c r="A180" s="15" t="s">
        <v>228</v>
      </c>
      <c r="B180" s="15">
        <v>1000</v>
      </c>
      <c r="C180" s="15" t="s">
        <v>54</v>
      </c>
      <c r="D180" s="15" t="s">
        <v>57</v>
      </c>
      <c r="E180" s="15">
        <v>0</v>
      </c>
      <c r="F180" s="15">
        <v>0</v>
      </c>
      <c r="G180" s="15">
        <v>0</v>
      </c>
      <c r="H180" s="15">
        <f t="shared" si="50"/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5">
        <f t="shared" si="51"/>
        <v>0</v>
      </c>
      <c r="T180" s="15">
        <f t="shared" si="52"/>
        <v>0</v>
      </c>
      <c r="U180" s="15">
        <f t="shared" si="53"/>
        <v>0</v>
      </c>
      <c r="V180" s="15">
        <f t="shared" si="54"/>
        <v>0</v>
      </c>
      <c r="W180" s="18" t="str">
        <f t="shared" si="55"/>
        <v/>
      </c>
      <c r="X180" s="17">
        <v>0</v>
      </c>
      <c r="Y180" s="17">
        <v>0</v>
      </c>
      <c r="Z180" s="15">
        <f t="shared" si="56"/>
        <v>0</v>
      </c>
      <c r="AA180" s="17">
        <v>0</v>
      </c>
      <c r="AB180" s="17">
        <v>0</v>
      </c>
      <c r="AC180" s="15">
        <f t="shared" si="57"/>
        <v>0</v>
      </c>
      <c r="AD180" s="17">
        <v>0</v>
      </c>
      <c r="AE180" s="17">
        <v>0</v>
      </c>
      <c r="AF180" s="15">
        <f t="shared" si="58"/>
        <v>0</v>
      </c>
      <c r="AG180" s="17">
        <v>0</v>
      </c>
      <c r="AH180" s="17">
        <v>0</v>
      </c>
      <c r="AI180" s="15">
        <f t="shared" si="59"/>
        <v>0</v>
      </c>
      <c r="AJ180" s="17"/>
    </row>
    <row r="181" spans="1:36" x14ac:dyDescent="0.3">
      <c r="A181" s="15" t="s">
        <v>229</v>
      </c>
      <c r="B181" s="15">
        <v>100</v>
      </c>
      <c r="C181" s="15" t="s">
        <v>54</v>
      </c>
      <c r="D181" s="15" t="s">
        <v>68</v>
      </c>
      <c r="E181" s="15">
        <v>0</v>
      </c>
      <c r="F181" s="15">
        <v>0</v>
      </c>
      <c r="G181" s="15">
        <v>0</v>
      </c>
      <c r="H181" s="15">
        <f t="shared" si="50"/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5">
        <f t="shared" si="51"/>
        <v>0</v>
      </c>
      <c r="T181" s="15">
        <f t="shared" si="52"/>
        <v>0</v>
      </c>
      <c r="U181" s="15">
        <f t="shared" si="53"/>
        <v>0</v>
      </c>
      <c r="V181" s="15">
        <f t="shared" si="54"/>
        <v>0</v>
      </c>
      <c r="W181" s="18" t="str">
        <f t="shared" si="55"/>
        <v/>
      </c>
      <c r="X181" s="17">
        <v>0</v>
      </c>
      <c r="Y181" s="17">
        <v>0</v>
      </c>
      <c r="Z181" s="15">
        <f t="shared" si="56"/>
        <v>0</v>
      </c>
      <c r="AA181" s="17">
        <v>0</v>
      </c>
      <c r="AB181" s="17">
        <v>0</v>
      </c>
      <c r="AC181" s="15">
        <f t="shared" si="57"/>
        <v>0</v>
      </c>
      <c r="AD181" s="17">
        <v>0</v>
      </c>
      <c r="AE181" s="17">
        <v>0</v>
      </c>
      <c r="AF181" s="15">
        <f t="shared" si="58"/>
        <v>0</v>
      </c>
      <c r="AG181" s="17">
        <v>0</v>
      </c>
      <c r="AH181" s="17">
        <v>0</v>
      </c>
      <c r="AI181" s="15">
        <f t="shared" si="59"/>
        <v>0</v>
      </c>
      <c r="AJ181" s="17"/>
    </row>
    <row r="182" spans="1:36" x14ac:dyDescent="0.3">
      <c r="A182" s="15" t="s">
        <v>230</v>
      </c>
      <c r="B182" s="15">
        <v>1000</v>
      </c>
      <c r="C182" s="15" t="s">
        <v>54</v>
      </c>
      <c r="D182" s="15" t="s">
        <v>68</v>
      </c>
      <c r="E182" s="15">
        <v>0</v>
      </c>
      <c r="F182" s="15">
        <v>0</v>
      </c>
      <c r="G182" s="15">
        <v>0</v>
      </c>
      <c r="H182" s="15">
        <f t="shared" si="50"/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5">
        <f t="shared" si="51"/>
        <v>0</v>
      </c>
      <c r="T182" s="15">
        <f t="shared" si="52"/>
        <v>0</v>
      </c>
      <c r="U182" s="15">
        <f t="shared" si="53"/>
        <v>0</v>
      </c>
      <c r="V182" s="15">
        <f t="shared" si="54"/>
        <v>0</v>
      </c>
      <c r="W182" s="18" t="str">
        <f t="shared" si="55"/>
        <v/>
      </c>
      <c r="X182" s="17">
        <v>0</v>
      </c>
      <c r="Y182" s="17">
        <v>0</v>
      </c>
      <c r="Z182" s="15">
        <f t="shared" si="56"/>
        <v>0</v>
      </c>
      <c r="AA182" s="17">
        <v>0</v>
      </c>
      <c r="AB182" s="17">
        <v>0</v>
      </c>
      <c r="AC182" s="15">
        <f t="shared" si="57"/>
        <v>0</v>
      </c>
      <c r="AD182" s="17">
        <v>0</v>
      </c>
      <c r="AE182" s="17">
        <v>0</v>
      </c>
      <c r="AF182" s="15">
        <f t="shared" si="58"/>
        <v>0</v>
      </c>
      <c r="AG182" s="17">
        <v>0</v>
      </c>
      <c r="AH182" s="17">
        <v>0</v>
      </c>
      <c r="AI182" s="15">
        <f t="shared" si="59"/>
        <v>0</v>
      </c>
      <c r="AJ182" s="17"/>
    </row>
    <row r="183" spans="1:36" x14ac:dyDescent="0.3">
      <c r="A183" s="15" t="s">
        <v>231</v>
      </c>
      <c r="B183" s="15">
        <v>100</v>
      </c>
      <c r="C183" s="15" t="s">
        <v>54</v>
      </c>
      <c r="D183" s="15" t="s">
        <v>57</v>
      </c>
      <c r="E183" s="15">
        <v>0</v>
      </c>
      <c r="F183" s="15">
        <v>0</v>
      </c>
      <c r="G183" s="15">
        <v>0</v>
      </c>
      <c r="H183" s="15">
        <f t="shared" si="50"/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5">
        <f t="shared" si="51"/>
        <v>0</v>
      </c>
      <c r="T183" s="15">
        <f t="shared" si="52"/>
        <v>0</v>
      </c>
      <c r="U183" s="15">
        <f t="shared" si="53"/>
        <v>0</v>
      </c>
      <c r="V183" s="15">
        <f t="shared" si="54"/>
        <v>0</v>
      </c>
      <c r="W183" s="18" t="str">
        <f t="shared" si="55"/>
        <v/>
      </c>
      <c r="X183" s="17">
        <v>0</v>
      </c>
      <c r="Y183" s="17">
        <v>0</v>
      </c>
      <c r="Z183" s="15">
        <f t="shared" si="56"/>
        <v>0</v>
      </c>
      <c r="AA183" s="17">
        <v>0</v>
      </c>
      <c r="AB183" s="17">
        <v>0</v>
      </c>
      <c r="AC183" s="15">
        <f t="shared" si="57"/>
        <v>0</v>
      </c>
      <c r="AD183" s="17">
        <v>0</v>
      </c>
      <c r="AE183" s="17">
        <v>0</v>
      </c>
      <c r="AF183" s="15">
        <f t="shared" si="58"/>
        <v>0</v>
      </c>
      <c r="AG183" s="17">
        <v>0</v>
      </c>
      <c r="AH183" s="17">
        <v>0</v>
      </c>
      <c r="AI183" s="15">
        <f t="shared" si="59"/>
        <v>0</v>
      </c>
      <c r="AJ183" s="17"/>
    </row>
    <row r="184" spans="1:36" x14ac:dyDescent="0.3">
      <c r="A184" s="15" t="s">
        <v>232</v>
      </c>
      <c r="B184" s="15">
        <v>100000</v>
      </c>
      <c r="C184" s="15" t="s">
        <v>54</v>
      </c>
      <c r="D184" s="15" t="s">
        <v>68</v>
      </c>
      <c r="E184" s="15">
        <v>0</v>
      </c>
      <c r="F184" s="15">
        <v>0</v>
      </c>
      <c r="G184" s="15">
        <v>0</v>
      </c>
      <c r="H184" s="15">
        <f t="shared" si="50"/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5">
        <f t="shared" si="51"/>
        <v>0</v>
      </c>
      <c r="T184" s="15">
        <f t="shared" si="52"/>
        <v>0</v>
      </c>
      <c r="U184" s="15">
        <f t="shared" si="53"/>
        <v>0</v>
      </c>
      <c r="V184" s="15">
        <f t="shared" si="54"/>
        <v>0</v>
      </c>
      <c r="W184" s="18" t="str">
        <f t="shared" si="55"/>
        <v/>
      </c>
      <c r="X184" s="17">
        <v>0</v>
      </c>
      <c r="Y184" s="17">
        <v>0</v>
      </c>
      <c r="Z184" s="15">
        <f t="shared" si="56"/>
        <v>0</v>
      </c>
      <c r="AA184" s="17">
        <v>0</v>
      </c>
      <c r="AB184" s="17">
        <v>0</v>
      </c>
      <c r="AC184" s="15">
        <f t="shared" si="57"/>
        <v>0</v>
      </c>
      <c r="AD184" s="17">
        <v>0</v>
      </c>
      <c r="AE184" s="17">
        <v>0</v>
      </c>
      <c r="AF184" s="15">
        <f t="shared" si="58"/>
        <v>0</v>
      </c>
      <c r="AG184" s="17">
        <v>0</v>
      </c>
      <c r="AH184" s="17">
        <v>0</v>
      </c>
      <c r="AI184" s="15">
        <f t="shared" si="59"/>
        <v>0</v>
      </c>
      <c r="AJ184" s="17"/>
    </row>
    <row r="185" spans="1:36" x14ac:dyDescent="0.3">
      <c r="A185" s="15" t="s">
        <v>233</v>
      </c>
      <c r="B185" s="15">
        <v>100</v>
      </c>
      <c r="C185" s="15" t="s">
        <v>54</v>
      </c>
      <c r="D185" s="15" t="s">
        <v>57</v>
      </c>
      <c r="E185" s="15">
        <v>0</v>
      </c>
      <c r="F185" s="15">
        <v>0</v>
      </c>
      <c r="G185" s="15">
        <v>0</v>
      </c>
      <c r="H185" s="15">
        <f t="shared" si="50"/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5">
        <f t="shared" si="51"/>
        <v>0</v>
      </c>
      <c r="T185" s="15">
        <f t="shared" si="52"/>
        <v>0</v>
      </c>
      <c r="U185" s="15">
        <f t="shared" si="53"/>
        <v>0</v>
      </c>
      <c r="V185" s="15">
        <f t="shared" si="54"/>
        <v>0</v>
      </c>
      <c r="W185" s="18" t="str">
        <f t="shared" si="55"/>
        <v/>
      </c>
      <c r="X185" s="17">
        <v>0</v>
      </c>
      <c r="Y185" s="17">
        <v>0</v>
      </c>
      <c r="Z185" s="15">
        <f t="shared" si="56"/>
        <v>0</v>
      </c>
      <c r="AA185" s="17">
        <v>0</v>
      </c>
      <c r="AB185" s="17">
        <v>0</v>
      </c>
      <c r="AC185" s="15">
        <f t="shared" si="57"/>
        <v>0</v>
      </c>
      <c r="AD185" s="17">
        <v>0</v>
      </c>
      <c r="AE185" s="17">
        <v>0</v>
      </c>
      <c r="AF185" s="15">
        <f t="shared" si="58"/>
        <v>0</v>
      </c>
      <c r="AG185" s="17">
        <v>0</v>
      </c>
      <c r="AH185" s="17">
        <v>0</v>
      </c>
      <c r="AI185" s="15">
        <f t="shared" si="59"/>
        <v>0</v>
      </c>
      <c r="AJ185" s="17"/>
    </row>
    <row r="186" spans="1:36" x14ac:dyDescent="0.3">
      <c r="A186" s="15" t="s">
        <v>234</v>
      </c>
      <c r="B186" s="15">
        <v>1000</v>
      </c>
      <c r="C186" s="15" t="s">
        <v>54</v>
      </c>
      <c r="D186" s="15" t="s">
        <v>68</v>
      </c>
      <c r="E186" s="15">
        <v>0</v>
      </c>
      <c r="F186" s="15">
        <v>0</v>
      </c>
      <c r="G186" s="15">
        <v>0</v>
      </c>
      <c r="H186" s="15">
        <f t="shared" si="50"/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5">
        <f t="shared" si="51"/>
        <v>0</v>
      </c>
      <c r="T186" s="15">
        <f t="shared" si="52"/>
        <v>0</v>
      </c>
      <c r="U186" s="15">
        <f t="shared" si="53"/>
        <v>0</v>
      </c>
      <c r="V186" s="15">
        <f t="shared" si="54"/>
        <v>0</v>
      </c>
      <c r="W186" s="18" t="str">
        <f t="shared" si="55"/>
        <v/>
      </c>
      <c r="X186" s="17">
        <v>0</v>
      </c>
      <c r="Y186" s="17">
        <v>0</v>
      </c>
      <c r="Z186" s="15">
        <f t="shared" si="56"/>
        <v>0</v>
      </c>
      <c r="AA186" s="17">
        <v>0</v>
      </c>
      <c r="AB186" s="17">
        <v>0</v>
      </c>
      <c r="AC186" s="15">
        <f t="shared" si="57"/>
        <v>0</v>
      </c>
      <c r="AD186" s="17">
        <v>0</v>
      </c>
      <c r="AE186" s="17">
        <v>0</v>
      </c>
      <c r="AF186" s="15">
        <f t="shared" si="58"/>
        <v>0</v>
      </c>
      <c r="AG186" s="17">
        <v>0</v>
      </c>
      <c r="AH186" s="17">
        <v>0</v>
      </c>
      <c r="AI186" s="15">
        <f t="shared" si="59"/>
        <v>0</v>
      </c>
      <c r="AJ186" s="17"/>
    </row>
    <row r="187" spans="1:36" x14ac:dyDescent="0.3">
      <c r="A187" s="15" t="s">
        <v>235</v>
      </c>
      <c r="B187" s="15">
        <v>100000</v>
      </c>
      <c r="C187" s="15" t="s">
        <v>54</v>
      </c>
      <c r="D187" s="15" t="s">
        <v>68</v>
      </c>
      <c r="E187" s="15">
        <v>0</v>
      </c>
      <c r="F187" s="15">
        <v>0</v>
      </c>
      <c r="G187" s="15">
        <v>0</v>
      </c>
      <c r="H187" s="15">
        <f t="shared" si="50"/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5">
        <f t="shared" si="51"/>
        <v>0</v>
      </c>
      <c r="T187" s="15">
        <f t="shared" si="52"/>
        <v>0</v>
      </c>
      <c r="U187" s="15">
        <f t="shared" si="53"/>
        <v>0</v>
      </c>
      <c r="V187" s="15">
        <f t="shared" si="54"/>
        <v>0</v>
      </c>
      <c r="W187" s="18" t="str">
        <f t="shared" si="55"/>
        <v/>
      </c>
      <c r="X187" s="17">
        <v>0</v>
      </c>
      <c r="Y187" s="17">
        <v>0</v>
      </c>
      <c r="Z187" s="15">
        <f t="shared" si="56"/>
        <v>0</v>
      </c>
      <c r="AA187" s="17">
        <v>0</v>
      </c>
      <c r="AB187" s="17">
        <v>0</v>
      </c>
      <c r="AC187" s="15">
        <f t="shared" si="57"/>
        <v>0</v>
      </c>
      <c r="AD187" s="17">
        <v>0</v>
      </c>
      <c r="AE187" s="17">
        <v>0</v>
      </c>
      <c r="AF187" s="15">
        <f t="shared" si="58"/>
        <v>0</v>
      </c>
      <c r="AG187" s="17">
        <v>0</v>
      </c>
      <c r="AH187" s="17">
        <v>0</v>
      </c>
      <c r="AI187" s="15">
        <f t="shared" si="59"/>
        <v>0</v>
      </c>
      <c r="AJ187" s="17"/>
    </row>
    <row r="188" spans="1:36" x14ac:dyDescent="0.3">
      <c r="A188" s="15" t="s">
        <v>236</v>
      </c>
      <c r="B188" s="15">
        <v>1000</v>
      </c>
      <c r="C188" s="15" t="s">
        <v>54</v>
      </c>
      <c r="D188" s="15" t="s">
        <v>55</v>
      </c>
      <c r="E188" s="17">
        <v>14</v>
      </c>
      <c r="F188" s="17">
        <v>0</v>
      </c>
      <c r="G188" s="17">
        <v>0</v>
      </c>
      <c r="H188" s="15">
        <f t="shared" si="50"/>
        <v>14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5">
        <f t="shared" si="51"/>
        <v>14</v>
      </c>
      <c r="T188" s="15">
        <f t="shared" si="52"/>
        <v>14</v>
      </c>
      <c r="U188" s="15">
        <f t="shared" si="53"/>
        <v>0</v>
      </c>
      <c r="V188" s="15">
        <f t="shared" si="54"/>
        <v>0</v>
      </c>
      <c r="W188" s="18" t="str">
        <f t="shared" si="55"/>
        <v/>
      </c>
      <c r="X188" s="17">
        <v>0</v>
      </c>
      <c r="Y188" s="17">
        <v>0</v>
      </c>
      <c r="Z188" s="15">
        <f t="shared" si="56"/>
        <v>0</v>
      </c>
      <c r="AA188" s="17">
        <v>0</v>
      </c>
      <c r="AB188" s="17">
        <v>0</v>
      </c>
      <c r="AC188" s="15">
        <f t="shared" si="57"/>
        <v>0</v>
      </c>
      <c r="AD188" s="17">
        <v>0</v>
      </c>
      <c r="AE188" s="17">
        <v>0</v>
      </c>
      <c r="AF188" s="15">
        <f t="shared" si="58"/>
        <v>0</v>
      </c>
      <c r="AG188" s="17">
        <v>0</v>
      </c>
      <c r="AH188" s="17">
        <v>0</v>
      </c>
      <c r="AI188" s="15">
        <f t="shared" si="59"/>
        <v>0</v>
      </c>
      <c r="AJ188" s="17"/>
    </row>
    <row r="189" spans="1:36" x14ac:dyDescent="0.3">
      <c r="A189" s="15" t="s">
        <v>237</v>
      </c>
      <c r="B189" s="15">
        <v>1000</v>
      </c>
      <c r="C189" s="15" t="s">
        <v>54</v>
      </c>
      <c r="D189" s="15" t="s">
        <v>55</v>
      </c>
      <c r="E189" s="17">
        <v>0</v>
      </c>
      <c r="F189" s="17">
        <v>29</v>
      </c>
      <c r="G189" s="17">
        <v>1</v>
      </c>
      <c r="H189" s="15">
        <f t="shared" si="50"/>
        <v>30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5">
        <f t="shared" si="51"/>
        <v>30</v>
      </c>
      <c r="T189" s="15">
        <f t="shared" si="52"/>
        <v>0</v>
      </c>
      <c r="U189" s="15">
        <f t="shared" si="53"/>
        <v>29</v>
      </c>
      <c r="V189" s="15">
        <f t="shared" si="54"/>
        <v>1</v>
      </c>
      <c r="W189" s="18" t="str">
        <f t="shared" si="55"/>
        <v/>
      </c>
      <c r="X189" s="17">
        <v>0</v>
      </c>
      <c r="Y189" s="17">
        <v>0</v>
      </c>
      <c r="Z189" s="15">
        <f t="shared" si="56"/>
        <v>0</v>
      </c>
      <c r="AA189" s="17">
        <v>0</v>
      </c>
      <c r="AB189" s="17">
        <v>0</v>
      </c>
      <c r="AC189" s="15">
        <f t="shared" si="57"/>
        <v>0</v>
      </c>
      <c r="AD189" s="17">
        <v>0</v>
      </c>
      <c r="AE189" s="17">
        <v>0</v>
      </c>
      <c r="AF189" s="15">
        <f t="shared" si="58"/>
        <v>0</v>
      </c>
      <c r="AG189" s="17">
        <v>0</v>
      </c>
      <c r="AH189" s="17">
        <v>0</v>
      </c>
      <c r="AI189" s="15">
        <f t="shared" si="59"/>
        <v>0</v>
      </c>
      <c r="AJ189" s="17"/>
    </row>
    <row r="190" spans="1:36" x14ac:dyDescent="0.3">
      <c r="A190" s="15" t="s">
        <v>238</v>
      </c>
      <c r="B190" s="15">
        <v>1000</v>
      </c>
      <c r="C190" s="15" t="s">
        <v>54</v>
      </c>
      <c r="D190" s="15" t="s">
        <v>55</v>
      </c>
      <c r="E190" s="17">
        <v>1</v>
      </c>
      <c r="F190" s="17">
        <v>0</v>
      </c>
      <c r="G190" s="17">
        <v>3</v>
      </c>
      <c r="H190" s="15">
        <f t="shared" si="50"/>
        <v>4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5">
        <f t="shared" si="51"/>
        <v>4</v>
      </c>
      <c r="T190" s="15">
        <f t="shared" si="52"/>
        <v>1</v>
      </c>
      <c r="U190" s="15">
        <f t="shared" si="53"/>
        <v>0</v>
      </c>
      <c r="V190" s="15">
        <f t="shared" si="54"/>
        <v>3</v>
      </c>
      <c r="W190" s="18" t="str">
        <f t="shared" si="55"/>
        <v/>
      </c>
      <c r="X190" s="17">
        <v>0</v>
      </c>
      <c r="Y190" s="17">
        <v>0</v>
      </c>
      <c r="Z190" s="15">
        <f t="shared" si="56"/>
        <v>0</v>
      </c>
      <c r="AA190" s="17">
        <v>0</v>
      </c>
      <c r="AB190" s="17">
        <v>0</v>
      </c>
      <c r="AC190" s="15">
        <f t="shared" si="57"/>
        <v>0</v>
      </c>
      <c r="AD190" s="17">
        <v>0</v>
      </c>
      <c r="AE190" s="17">
        <v>0</v>
      </c>
      <c r="AF190" s="15">
        <f t="shared" si="58"/>
        <v>0</v>
      </c>
      <c r="AG190" s="17">
        <v>0</v>
      </c>
      <c r="AH190" s="17">
        <v>0</v>
      </c>
      <c r="AI190" s="15">
        <f t="shared" si="59"/>
        <v>0</v>
      </c>
      <c r="AJ190" s="17"/>
    </row>
    <row r="191" spans="1:36" x14ac:dyDescent="0.3">
      <c r="A191" s="15" t="s">
        <v>239</v>
      </c>
      <c r="B191" s="15">
        <v>1000</v>
      </c>
      <c r="C191" s="15" t="s">
        <v>54</v>
      </c>
      <c r="D191" s="15" t="s">
        <v>55</v>
      </c>
      <c r="E191" s="15">
        <v>0</v>
      </c>
      <c r="F191" s="15">
        <v>0</v>
      </c>
      <c r="G191" s="15">
        <v>0</v>
      </c>
      <c r="H191" s="15">
        <f t="shared" si="50"/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5">
        <f t="shared" si="51"/>
        <v>0</v>
      </c>
      <c r="T191" s="15">
        <f t="shared" si="52"/>
        <v>0</v>
      </c>
      <c r="U191" s="15">
        <f t="shared" si="53"/>
        <v>0</v>
      </c>
      <c r="V191" s="15">
        <f t="shared" si="54"/>
        <v>0</v>
      </c>
      <c r="W191" s="18" t="str">
        <f t="shared" si="55"/>
        <v/>
      </c>
      <c r="X191" s="17">
        <v>0</v>
      </c>
      <c r="Y191" s="17">
        <v>0</v>
      </c>
      <c r="Z191" s="15">
        <f t="shared" si="56"/>
        <v>0</v>
      </c>
      <c r="AA191" s="17">
        <v>0</v>
      </c>
      <c r="AB191" s="17">
        <v>0</v>
      </c>
      <c r="AC191" s="15">
        <f t="shared" si="57"/>
        <v>0</v>
      </c>
      <c r="AD191" s="17">
        <v>0</v>
      </c>
      <c r="AE191" s="17">
        <v>0</v>
      </c>
      <c r="AF191" s="15">
        <f t="shared" si="58"/>
        <v>0</v>
      </c>
      <c r="AG191" s="17">
        <v>0</v>
      </c>
      <c r="AH191" s="17">
        <v>0</v>
      </c>
      <c r="AI191" s="15">
        <f t="shared" si="59"/>
        <v>0</v>
      </c>
      <c r="AJ191" s="17"/>
    </row>
    <row r="192" spans="1:36" x14ac:dyDescent="0.3">
      <c r="A192" s="15" t="s">
        <v>239</v>
      </c>
      <c r="B192" s="15">
        <v>2500</v>
      </c>
      <c r="C192" s="15" t="s">
        <v>54</v>
      </c>
      <c r="D192" s="15" t="s">
        <v>55</v>
      </c>
      <c r="E192" s="17">
        <v>0</v>
      </c>
      <c r="F192" s="17">
        <v>0</v>
      </c>
      <c r="G192" s="17">
        <v>0</v>
      </c>
      <c r="H192" s="15">
        <f t="shared" si="50"/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5">
        <f t="shared" si="51"/>
        <v>0</v>
      </c>
      <c r="T192" s="15">
        <f t="shared" si="52"/>
        <v>0</v>
      </c>
      <c r="U192" s="15">
        <f t="shared" si="53"/>
        <v>0</v>
      </c>
      <c r="V192" s="15">
        <f t="shared" si="54"/>
        <v>0</v>
      </c>
      <c r="W192" s="18" t="str">
        <f t="shared" si="55"/>
        <v/>
      </c>
      <c r="X192" s="17">
        <v>0</v>
      </c>
      <c r="Y192" s="17">
        <v>0</v>
      </c>
      <c r="Z192" s="15">
        <f t="shared" si="56"/>
        <v>0</v>
      </c>
      <c r="AA192" s="17">
        <v>0</v>
      </c>
      <c r="AB192" s="17">
        <v>0</v>
      </c>
      <c r="AC192" s="15">
        <f t="shared" si="57"/>
        <v>0</v>
      </c>
      <c r="AD192" s="17">
        <v>0</v>
      </c>
      <c r="AE192" s="17">
        <v>0</v>
      </c>
      <c r="AF192" s="15">
        <f t="shared" si="58"/>
        <v>0</v>
      </c>
      <c r="AG192" s="17">
        <v>0</v>
      </c>
      <c r="AH192" s="17">
        <v>0</v>
      </c>
      <c r="AI192" s="15">
        <f t="shared" si="59"/>
        <v>0</v>
      </c>
      <c r="AJ192" s="17"/>
    </row>
    <row r="193" spans="1:36" x14ac:dyDescent="0.3">
      <c r="A193" s="15" t="s">
        <v>240</v>
      </c>
      <c r="B193" s="15">
        <v>100</v>
      </c>
      <c r="C193" s="15" t="s">
        <v>54</v>
      </c>
      <c r="D193" s="15" t="s">
        <v>55</v>
      </c>
      <c r="E193" s="17">
        <v>34</v>
      </c>
      <c r="F193" s="17">
        <v>0</v>
      </c>
      <c r="G193" s="17">
        <v>0</v>
      </c>
      <c r="H193" s="15">
        <f t="shared" si="50"/>
        <v>34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5">
        <f t="shared" si="51"/>
        <v>34</v>
      </c>
      <c r="T193" s="15">
        <f t="shared" si="52"/>
        <v>34</v>
      </c>
      <c r="U193" s="15">
        <f t="shared" si="53"/>
        <v>0</v>
      </c>
      <c r="V193" s="15">
        <f t="shared" si="54"/>
        <v>0</v>
      </c>
      <c r="W193" s="18" t="str">
        <f t="shared" si="55"/>
        <v/>
      </c>
      <c r="X193" s="17">
        <v>0</v>
      </c>
      <c r="Y193" s="17">
        <v>0</v>
      </c>
      <c r="Z193" s="15">
        <f t="shared" si="56"/>
        <v>0</v>
      </c>
      <c r="AA193" s="17">
        <v>0</v>
      </c>
      <c r="AB193" s="17">
        <v>0</v>
      </c>
      <c r="AC193" s="15">
        <f t="shared" si="57"/>
        <v>0</v>
      </c>
      <c r="AD193" s="17">
        <v>0</v>
      </c>
      <c r="AE193" s="17">
        <v>0</v>
      </c>
      <c r="AF193" s="15">
        <f t="shared" si="58"/>
        <v>0</v>
      </c>
      <c r="AG193" s="17">
        <v>0</v>
      </c>
      <c r="AH193" s="17">
        <v>0</v>
      </c>
      <c r="AI193" s="15">
        <f t="shared" si="59"/>
        <v>0</v>
      </c>
      <c r="AJ193" s="17"/>
    </row>
    <row r="194" spans="1:36" x14ac:dyDescent="0.3">
      <c r="A194" s="15" t="s">
        <v>240</v>
      </c>
      <c r="B194" s="15">
        <v>1000</v>
      </c>
      <c r="C194" s="15" t="s">
        <v>54</v>
      </c>
      <c r="D194" s="15" t="s">
        <v>55</v>
      </c>
      <c r="E194" s="15">
        <v>0</v>
      </c>
      <c r="F194" s="15">
        <v>0</v>
      </c>
      <c r="G194" s="15">
        <v>0</v>
      </c>
      <c r="H194" s="15">
        <f t="shared" si="50"/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5">
        <f t="shared" si="51"/>
        <v>0</v>
      </c>
      <c r="T194" s="15">
        <f t="shared" si="52"/>
        <v>0</v>
      </c>
      <c r="U194" s="15">
        <f t="shared" si="53"/>
        <v>0</v>
      </c>
      <c r="V194" s="15">
        <f t="shared" si="54"/>
        <v>0</v>
      </c>
      <c r="W194" s="18" t="str">
        <f t="shared" si="55"/>
        <v/>
      </c>
      <c r="X194" s="17">
        <v>0</v>
      </c>
      <c r="Y194" s="17">
        <v>0</v>
      </c>
      <c r="Z194" s="15">
        <f t="shared" si="56"/>
        <v>0</v>
      </c>
      <c r="AA194" s="17">
        <v>0</v>
      </c>
      <c r="AB194" s="17">
        <v>0</v>
      </c>
      <c r="AC194" s="15">
        <f t="shared" si="57"/>
        <v>0</v>
      </c>
      <c r="AD194" s="17">
        <v>0</v>
      </c>
      <c r="AE194" s="17">
        <v>0</v>
      </c>
      <c r="AF194" s="15">
        <f t="shared" si="58"/>
        <v>0</v>
      </c>
      <c r="AG194" s="17">
        <v>0</v>
      </c>
      <c r="AH194" s="17">
        <v>0</v>
      </c>
      <c r="AI194" s="15">
        <f t="shared" si="59"/>
        <v>0</v>
      </c>
      <c r="AJ194" s="17"/>
    </row>
    <row r="195" spans="1:36" x14ac:dyDescent="0.3">
      <c r="A195" s="15" t="s">
        <v>241</v>
      </c>
      <c r="B195" s="15">
        <v>25000</v>
      </c>
      <c r="C195" s="15" t="s">
        <v>54</v>
      </c>
      <c r="D195" s="15" t="s">
        <v>68</v>
      </c>
      <c r="E195" s="15">
        <v>0</v>
      </c>
      <c r="F195" s="15">
        <v>0</v>
      </c>
      <c r="G195" s="15">
        <v>0</v>
      </c>
      <c r="H195" s="15">
        <f t="shared" ref="H195:H199" si="60">E195+F195+G195</f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5">
        <f t="shared" ref="S195:S199" si="61">H195+O195+P195+Q195+R195-(I195+J195+K195+L195+M195+N195)</f>
        <v>0</v>
      </c>
      <c r="T195" s="15">
        <f t="shared" si="52"/>
        <v>0</v>
      </c>
      <c r="U195" s="15">
        <f t="shared" si="53"/>
        <v>0</v>
      </c>
      <c r="V195" s="15">
        <f t="shared" si="54"/>
        <v>0</v>
      </c>
      <c r="W195" s="18" t="str">
        <f t="shared" ref="W195:W199" si="62">IF(MIN(T195,U195,V195)&lt;0,"NEGATIVE STOCK - CHECK ENTRIES","")</f>
        <v/>
      </c>
      <c r="X195" s="17">
        <v>0</v>
      </c>
      <c r="Y195" s="17">
        <v>0</v>
      </c>
      <c r="Z195" s="15">
        <f t="shared" ref="Z195:Z199" si="63">X195-Y195</f>
        <v>0</v>
      </c>
      <c r="AA195" s="17">
        <v>0</v>
      </c>
      <c r="AB195" s="17">
        <v>0</v>
      </c>
      <c r="AC195" s="15">
        <f t="shared" ref="AC195:AC199" si="64">AA195-AB195</f>
        <v>0</v>
      </c>
      <c r="AD195" s="17">
        <v>0</v>
      </c>
      <c r="AE195" s="17">
        <v>0</v>
      </c>
      <c r="AF195" s="15">
        <f t="shared" ref="AF195:AF199" si="65">AD195-AE195</f>
        <v>0</v>
      </c>
      <c r="AG195" s="17">
        <v>0</v>
      </c>
      <c r="AH195" s="17">
        <v>0</v>
      </c>
      <c r="AI195" s="15">
        <f t="shared" ref="AI195:AI199" si="66">AG195-AH195</f>
        <v>0</v>
      </c>
      <c r="AJ195" s="17"/>
    </row>
    <row r="196" spans="1:36" x14ac:dyDescent="0.3">
      <c r="A196" s="15" t="s">
        <v>242</v>
      </c>
      <c r="B196" s="15">
        <v>100</v>
      </c>
      <c r="C196" s="15" t="s">
        <v>54</v>
      </c>
      <c r="D196" s="15" t="s">
        <v>68</v>
      </c>
      <c r="E196" s="15">
        <v>0</v>
      </c>
      <c r="F196" s="15">
        <v>0</v>
      </c>
      <c r="G196" s="15">
        <v>0</v>
      </c>
      <c r="H196" s="15">
        <f t="shared" si="60"/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5">
        <f t="shared" si="61"/>
        <v>0</v>
      </c>
      <c r="T196" s="15">
        <f t="shared" si="52"/>
        <v>0</v>
      </c>
      <c r="U196" s="15">
        <f t="shared" si="53"/>
        <v>0</v>
      </c>
      <c r="V196" s="15">
        <f t="shared" si="54"/>
        <v>0</v>
      </c>
      <c r="W196" s="18" t="str">
        <f t="shared" si="62"/>
        <v/>
      </c>
      <c r="X196" s="17">
        <v>0</v>
      </c>
      <c r="Y196" s="17">
        <v>0</v>
      </c>
      <c r="Z196" s="15">
        <f t="shared" si="63"/>
        <v>0</v>
      </c>
      <c r="AA196" s="17">
        <v>0</v>
      </c>
      <c r="AB196" s="17">
        <v>0</v>
      </c>
      <c r="AC196" s="15">
        <f t="shared" si="64"/>
        <v>0</v>
      </c>
      <c r="AD196" s="17">
        <v>0</v>
      </c>
      <c r="AE196" s="17">
        <v>0</v>
      </c>
      <c r="AF196" s="15">
        <f t="shared" si="65"/>
        <v>0</v>
      </c>
      <c r="AG196" s="17">
        <v>0</v>
      </c>
      <c r="AH196" s="17">
        <v>0</v>
      </c>
      <c r="AI196" s="15">
        <f t="shared" si="66"/>
        <v>0</v>
      </c>
      <c r="AJ196" s="17"/>
    </row>
    <row r="197" spans="1:36" x14ac:dyDescent="0.3">
      <c r="A197" s="15" t="s">
        <v>243</v>
      </c>
      <c r="B197" s="15">
        <v>100000</v>
      </c>
      <c r="C197" s="15" t="s">
        <v>54</v>
      </c>
      <c r="D197" s="15" t="s">
        <v>57</v>
      </c>
      <c r="E197" s="15">
        <v>0</v>
      </c>
      <c r="F197" s="15">
        <v>0</v>
      </c>
      <c r="G197" s="15">
        <v>0</v>
      </c>
      <c r="H197" s="15">
        <f t="shared" si="60"/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5">
        <f t="shared" si="61"/>
        <v>0</v>
      </c>
      <c r="T197" s="15">
        <f t="shared" si="52"/>
        <v>0</v>
      </c>
      <c r="U197" s="15">
        <f t="shared" si="53"/>
        <v>0</v>
      </c>
      <c r="V197" s="15">
        <f t="shared" si="54"/>
        <v>0</v>
      </c>
      <c r="W197" s="18" t="str">
        <f t="shared" si="62"/>
        <v/>
      </c>
      <c r="X197" s="17">
        <v>0</v>
      </c>
      <c r="Y197" s="17">
        <v>0</v>
      </c>
      <c r="Z197" s="15">
        <f t="shared" si="63"/>
        <v>0</v>
      </c>
      <c r="AA197" s="17">
        <v>0</v>
      </c>
      <c r="AB197" s="17">
        <v>0</v>
      </c>
      <c r="AC197" s="15">
        <f t="shared" si="64"/>
        <v>0</v>
      </c>
      <c r="AD197" s="17">
        <v>0</v>
      </c>
      <c r="AE197" s="17">
        <v>0</v>
      </c>
      <c r="AF197" s="15">
        <f t="shared" si="65"/>
        <v>0</v>
      </c>
      <c r="AG197" s="17">
        <v>0</v>
      </c>
      <c r="AH197" s="17">
        <v>0</v>
      </c>
      <c r="AI197" s="15">
        <f t="shared" si="66"/>
        <v>0</v>
      </c>
      <c r="AJ197" s="17"/>
    </row>
    <row r="198" spans="1:36" x14ac:dyDescent="0.3">
      <c r="A198" s="15" t="s">
        <v>244</v>
      </c>
      <c r="B198" s="15">
        <v>100000</v>
      </c>
      <c r="C198" s="15"/>
      <c r="D198" s="15" t="s">
        <v>55</v>
      </c>
      <c r="E198" s="17">
        <v>0</v>
      </c>
      <c r="F198" s="17">
        <v>0</v>
      </c>
      <c r="G198" s="17">
        <v>0</v>
      </c>
      <c r="H198" s="15">
        <f t="shared" si="60"/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5">
        <f t="shared" si="61"/>
        <v>0</v>
      </c>
      <c r="T198" s="15">
        <f t="shared" si="52"/>
        <v>0</v>
      </c>
      <c r="U198" s="15">
        <f t="shared" si="53"/>
        <v>0</v>
      </c>
      <c r="V198" s="15">
        <f t="shared" si="54"/>
        <v>0</v>
      </c>
      <c r="W198" s="18" t="str">
        <f t="shared" si="62"/>
        <v/>
      </c>
      <c r="X198" s="17">
        <v>0</v>
      </c>
      <c r="Y198" s="17">
        <v>0</v>
      </c>
      <c r="Z198" s="15">
        <f t="shared" si="63"/>
        <v>0</v>
      </c>
      <c r="AA198" s="17">
        <v>0</v>
      </c>
      <c r="AB198" s="17">
        <v>0</v>
      </c>
      <c r="AC198" s="15">
        <f t="shared" si="64"/>
        <v>0</v>
      </c>
      <c r="AD198" s="17">
        <v>0</v>
      </c>
      <c r="AE198" s="17">
        <v>0</v>
      </c>
      <c r="AF198" s="15">
        <f t="shared" si="65"/>
        <v>0</v>
      </c>
      <c r="AG198" s="17">
        <v>0</v>
      </c>
      <c r="AH198" s="17">
        <v>0</v>
      </c>
      <c r="AI198" s="15">
        <f t="shared" si="66"/>
        <v>0</v>
      </c>
      <c r="AJ198" s="17"/>
    </row>
    <row r="199" spans="1:36" x14ac:dyDescent="0.3">
      <c r="A199" s="15" t="s">
        <v>245</v>
      </c>
      <c r="B199" s="15">
        <v>25000</v>
      </c>
      <c r="C199" s="15" t="s">
        <v>54</v>
      </c>
      <c r="D199" s="15" t="s">
        <v>57</v>
      </c>
      <c r="E199" s="15">
        <v>0</v>
      </c>
      <c r="F199" s="15">
        <v>0</v>
      </c>
      <c r="G199" s="15">
        <v>0</v>
      </c>
      <c r="H199" s="15">
        <f t="shared" si="60"/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5">
        <f t="shared" si="61"/>
        <v>0</v>
      </c>
      <c r="T199" s="15">
        <f t="shared" si="52"/>
        <v>0</v>
      </c>
      <c r="U199" s="15">
        <f t="shared" si="53"/>
        <v>0</v>
      </c>
      <c r="V199" s="15">
        <f t="shared" si="54"/>
        <v>0</v>
      </c>
      <c r="W199" s="18" t="str">
        <f t="shared" si="62"/>
        <v/>
      </c>
      <c r="X199" s="17">
        <v>0</v>
      </c>
      <c r="Y199" s="17">
        <v>0</v>
      </c>
      <c r="Z199" s="15">
        <f t="shared" si="63"/>
        <v>0</v>
      </c>
      <c r="AA199" s="17">
        <v>0</v>
      </c>
      <c r="AB199" s="17">
        <v>0</v>
      </c>
      <c r="AC199" s="15">
        <f t="shared" si="64"/>
        <v>0</v>
      </c>
      <c r="AD199" s="17">
        <v>0</v>
      </c>
      <c r="AE199" s="17">
        <v>0</v>
      </c>
      <c r="AF199" s="15">
        <f t="shared" si="65"/>
        <v>0</v>
      </c>
      <c r="AG199" s="17">
        <v>0</v>
      </c>
      <c r="AH199" s="17">
        <v>0</v>
      </c>
      <c r="AI199" s="15">
        <f t="shared" si="66"/>
        <v>0</v>
      </c>
      <c r="AJ199" s="17"/>
    </row>
  </sheetData>
  <mergeCells count="5">
    <mergeCell ref="A1:D1"/>
    <mergeCell ref="E1:H1"/>
    <mergeCell ref="I1:R1"/>
    <mergeCell ref="S1:V1"/>
    <mergeCell ref="X1:AI1"/>
  </mergeCells>
  <conditionalFormatting sqref="T3:V199">
    <cfRule type="expression" dxfId="27" priority="3">
      <formula>T3&lt;0</formula>
    </cfRule>
  </conditionalFormatting>
  <conditionalFormatting sqref="W3:W199">
    <cfRule type="expression" dxfId="26" priority="2">
      <formula>W3&lt;&gt;""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199"/>
  <sheetViews>
    <sheetView showGridLines="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2" sqref="D2"/>
    </sheetView>
  </sheetViews>
  <sheetFormatPr defaultColWidth="8.6640625" defaultRowHeight="14.4" x14ac:dyDescent="0.3"/>
  <cols>
    <col min="1" max="1" width="30" customWidth="1"/>
    <col min="2" max="2" width="10" customWidth="1"/>
    <col min="3" max="3" width="12" customWidth="1"/>
    <col min="4" max="4" width="14" customWidth="1"/>
    <col min="5" max="35" width="11" customWidth="1"/>
    <col min="36" max="36" width="22" customWidth="1"/>
  </cols>
  <sheetData>
    <row r="1" spans="1:36" ht="19.5" customHeight="1" x14ac:dyDescent="0.3">
      <c r="A1" s="40" t="s">
        <v>246</v>
      </c>
      <c r="B1" s="40"/>
      <c r="C1" s="40"/>
      <c r="D1" s="40"/>
      <c r="E1" s="41" t="s">
        <v>247</v>
      </c>
      <c r="F1" s="41"/>
      <c r="G1" s="41"/>
      <c r="H1" s="41"/>
      <c r="I1" s="42" t="s">
        <v>248</v>
      </c>
      <c r="J1" s="42"/>
      <c r="K1" s="42"/>
      <c r="L1" s="42"/>
      <c r="M1" s="42"/>
      <c r="N1" s="42"/>
      <c r="O1" s="42"/>
      <c r="P1" s="42"/>
      <c r="Q1" s="42"/>
      <c r="R1" s="42"/>
      <c r="S1" s="41" t="s">
        <v>249</v>
      </c>
      <c r="T1" s="41"/>
      <c r="U1" s="41"/>
      <c r="V1" s="41"/>
      <c r="W1" s="3" t="s">
        <v>250</v>
      </c>
      <c r="X1" s="43" t="s">
        <v>251</v>
      </c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" t="s">
        <v>252</v>
      </c>
    </row>
    <row r="2" spans="1:36" ht="33.75" customHeight="1" x14ac:dyDescent="0.3">
      <c r="A2" s="4" t="s">
        <v>45</v>
      </c>
      <c r="B2" s="4" t="s">
        <v>46</v>
      </c>
      <c r="C2" s="4" t="s">
        <v>47</v>
      </c>
      <c r="D2" s="4" t="s">
        <v>48</v>
      </c>
      <c r="E2" s="3" t="s">
        <v>253</v>
      </c>
      <c r="F2" s="3" t="s">
        <v>254</v>
      </c>
      <c r="G2" s="3" t="s">
        <v>255</v>
      </c>
      <c r="H2" s="3" t="s">
        <v>256</v>
      </c>
      <c r="I2" s="2" t="s">
        <v>257</v>
      </c>
      <c r="J2" s="2" t="s">
        <v>258</v>
      </c>
      <c r="K2" s="2" t="s">
        <v>259</v>
      </c>
      <c r="L2" s="2" t="s">
        <v>260</v>
      </c>
      <c r="M2" s="2" t="s">
        <v>261</v>
      </c>
      <c r="N2" s="2" t="s">
        <v>262</v>
      </c>
      <c r="O2" s="2" t="s">
        <v>263</v>
      </c>
      <c r="P2" s="2" t="s">
        <v>264</v>
      </c>
      <c r="Q2" s="2" t="s">
        <v>265</v>
      </c>
      <c r="R2" s="2" t="s">
        <v>266</v>
      </c>
      <c r="S2" s="3" t="s">
        <v>267</v>
      </c>
      <c r="T2" s="3" t="s">
        <v>268</v>
      </c>
      <c r="U2" s="3" t="s">
        <v>269</v>
      </c>
      <c r="V2" s="3" t="s">
        <v>270</v>
      </c>
      <c r="W2" s="3" t="s">
        <v>271</v>
      </c>
      <c r="X2" s="1" t="s">
        <v>272</v>
      </c>
      <c r="Y2" s="1" t="s">
        <v>273</v>
      </c>
      <c r="Z2" s="1" t="s">
        <v>274</v>
      </c>
      <c r="AA2" s="1" t="s">
        <v>275</v>
      </c>
      <c r="AB2" s="1" t="s">
        <v>276</v>
      </c>
      <c r="AC2" s="1" t="s">
        <v>277</v>
      </c>
      <c r="AD2" s="1" t="s">
        <v>278</v>
      </c>
      <c r="AE2" s="1" t="s">
        <v>279</v>
      </c>
      <c r="AF2" s="1" t="s">
        <v>280</v>
      </c>
      <c r="AG2" s="1" t="s">
        <v>281</v>
      </c>
      <c r="AH2" s="1" t="s">
        <v>282</v>
      </c>
      <c r="AI2" s="1" t="s">
        <v>283</v>
      </c>
      <c r="AJ2" s="4" t="s">
        <v>284</v>
      </c>
    </row>
    <row r="3" spans="1:36" hidden="1" x14ac:dyDescent="0.3">
      <c r="A3" s="15" t="s">
        <v>53</v>
      </c>
      <c r="B3" s="15">
        <v>1000</v>
      </c>
      <c r="C3" s="15" t="s">
        <v>54</v>
      </c>
      <c r="D3" s="15" t="s">
        <v>55</v>
      </c>
      <c r="E3" s="15">
        <v>0</v>
      </c>
      <c r="F3" s="15">
        <v>0</v>
      </c>
      <c r="G3" s="15">
        <v>0</v>
      </c>
      <c r="H3" s="15">
        <f t="shared" ref="H3:H34" si="0">E3+F3+G3</f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5">
        <f t="shared" ref="S3:S34" si="1">H3+O3+P3+Q3+R3-(I3+J3+K3+L3+M3+N3)</f>
        <v>0</v>
      </c>
      <c r="T3" s="15">
        <f t="shared" ref="T3:T34" si="2">E3+O3-I3-L3</f>
        <v>0</v>
      </c>
      <c r="U3" s="15">
        <f t="shared" ref="U3:U34" si="3">F3+P3-J3-M3</f>
        <v>0</v>
      </c>
      <c r="V3" s="15">
        <f t="shared" ref="V3:V34" si="4">G3+Q3-K3-N3</f>
        <v>0</v>
      </c>
      <c r="W3" s="18" t="str">
        <f t="shared" ref="W3:W34" si="5">IF(MIN(T3,U3,V3)&lt;0,"NEGATIVE STOCK - CHECK ENTRIES","")</f>
        <v/>
      </c>
      <c r="X3" s="17">
        <v>0</v>
      </c>
      <c r="Y3" s="17">
        <v>0</v>
      </c>
      <c r="Z3" s="15">
        <f t="shared" ref="Z3:Z34" si="6">X3-Y3</f>
        <v>0</v>
      </c>
      <c r="AA3" s="17">
        <v>0</v>
      </c>
      <c r="AB3" s="17">
        <v>0</v>
      </c>
      <c r="AC3" s="15">
        <f t="shared" ref="AC3:AC34" si="7">AA3-AB3</f>
        <v>0</v>
      </c>
      <c r="AD3" s="17">
        <v>0</v>
      </c>
      <c r="AE3" s="17">
        <v>0</v>
      </c>
      <c r="AF3" s="15">
        <f t="shared" ref="AF3:AF34" si="8">AD3-AE3</f>
        <v>0</v>
      </c>
      <c r="AG3" s="17">
        <v>0</v>
      </c>
      <c r="AH3" s="17">
        <v>0</v>
      </c>
      <c r="AI3" s="15">
        <f t="shared" ref="AI3:AI34" si="9">AG3-AH3</f>
        <v>0</v>
      </c>
      <c r="AJ3" s="17"/>
    </row>
    <row r="4" spans="1:36" x14ac:dyDescent="0.3">
      <c r="A4" s="15" t="s">
        <v>56</v>
      </c>
      <c r="B4" s="15">
        <v>500</v>
      </c>
      <c r="C4" s="15" t="s">
        <v>54</v>
      </c>
      <c r="D4" s="15" t="s">
        <v>57</v>
      </c>
      <c r="E4" s="15">
        <v>0</v>
      </c>
      <c r="F4" s="15">
        <v>0</v>
      </c>
      <c r="G4" s="15">
        <v>0</v>
      </c>
      <c r="H4" s="15">
        <f t="shared" si="0"/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5">
        <f t="shared" si="1"/>
        <v>0</v>
      </c>
      <c r="T4" s="15">
        <f t="shared" si="2"/>
        <v>0</v>
      </c>
      <c r="U4" s="15">
        <f t="shared" si="3"/>
        <v>0</v>
      </c>
      <c r="V4" s="15">
        <f t="shared" si="4"/>
        <v>0</v>
      </c>
      <c r="W4" s="18" t="str">
        <f t="shared" si="5"/>
        <v/>
      </c>
      <c r="X4" s="17">
        <v>0</v>
      </c>
      <c r="Y4" s="17">
        <v>0</v>
      </c>
      <c r="Z4" s="15">
        <f t="shared" si="6"/>
        <v>0</v>
      </c>
      <c r="AA4" s="17">
        <v>0</v>
      </c>
      <c r="AB4" s="17">
        <v>0</v>
      </c>
      <c r="AC4" s="15">
        <f t="shared" si="7"/>
        <v>0</v>
      </c>
      <c r="AD4" s="17">
        <v>0</v>
      </c>
      <c r="AE4" s="17">
        <v>0</v>
      </c>
      <c r="AF4" s="15">
        <f t="shared" si="8"/>
        <v>0</v>
      </c>
      <c r="AG4" s="17">
        <v>0</v>
      </c>
      <c r="AH4" s="17">
        <v>0</v>
      </c>
      <c r="AI4" s="15">
        <f t="shared" si="9"/>
        <v>0</v>
      </c>
      <c r="AJ4" s="17"/>
    </row>
    <row r="5" spans="1:36" hidden="1" x14ac:dyDescent="0.3">
      <c r="A5" s="15" t="s">
        <v>58</v>
      </c>
      <c r="B5" s="15">
        <v>100</v>
      </c>
      <c r="C5" s="15" t="s">
        <v>54</v>
      </c>
      <c r="D5" s="15" t="s">
        <v>55</v>
      </c>
      <c r="E5" s="15">
        <f>'26 june'!T5</f>
        <v>236</v>
      </c>
      <c r="F5" s="15">
        <f>'26 june'!U5</f>
        <v>69</v>
      </c>
      <c r="G5" s="15">
        <f>'26 june'!V5</f>
        <v>190</v>
      </c>
      <c r="H5" s="15">
        <f t="shared" si="0"/>
        <v>495</v>
      </c>
      <c r="I5" s="17">
        <v>0</v>
      </c>
      <c r="J5" s="17">
        <v>0</v>
      </c>
      <c r="K5" s="17">
        <v>4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5">
        <f t="shared" si="1"/>
        <v>491</v>
      </c>
      <c r="T5" s="15">
        <f t="shared" si="2"/>
        <v>236</v>
      </c>
      <c r="U5" s="15">
        <f t="shared" si="3"/>
        <v>69</v>
      </c>
      <c r="V5" s="15">
        <f t="shared" si="4"/>
        <v>186</v>
      </c>
      <c r="W5" s="18" t="str">
        <f t="shared" si="5"/>
        <v/>
      </c>
      <c r="X5" s="17">
        <v>0</v>
      </c>
      <c r="Y5" s="17">
        <v>0</v>
      </c>
      <c r="Z5" s="15">
        <f t="shared" si="6"/>
        <v>0</v>
      </c>
      <c r="AA5" s="17">
        <v>0</v>
      </c>
      <c r="AB5" s="17">
        <v>0</v>
      </c>
      <c r="AC5" s="15">
        <f t="shared" si="7"/>
        <v>0</v>
      </c>
      <c r="AD5" s="17">
        <v>0</v>
      </c>
      <c r="AE5" s="17">
        <v>0</v>
      </c>
      <c r="AF5" s="15">
        <f t="shared" si="8"/>
        <v>0</v>
      </c>
      <c r="AG5" s="17">
        <v>0</v>
      </c>
      <c r="AH5" s="17">
        <v>0</v>
      </c>
      <c r="AI5" s="15">
        <f t="shared" si="9"/>
        <v>0</v>
      </c>
      <c r="AJ5" s="17"/>
    </row>
    <row r="6" spans="1:36" hidden="1" x14ac:dyDescent="0.3">
      <c r="A6" s="15" t="s">
        <v>59</v>
      </c>
      <c r="B6" s="15">
        <v>100</v>
      </c>
      <c r="C6" s="15" t="s">
        <v>54</v>
      </c>
      <c r="D6" s="15" t="s">
        <v>55</v>
      </c>
      <c r="E6" s="15">
        <f>'26 june'!T6</f>
        <v>233</v>
      </c>
      <c r="F6" s="15">
        <f>'26 june'!U6</f>
        <v>38</v>
      </c>
      <c r="G6" s="15">
        <f>'26 june'!V6</f>
        <v>52</v>
      </c>
      <c r="H6" s="15">
        <f t="shared" si="0"/>
        <v>323</v>
      </c>
      <c r="I6" s="17">
        <v>0</v>
      </c>
      <c r="J6" s="17">
        <v>0</v>
      </c>
      <c r="K6" s="17">
        <v>3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5">
        <f t="shared" si="1"/>
        <v>320</v>
      </c>
      <c r="T6" s="15">
        <f t="shared" si="2"/>
        <v>233</v>
      </c>
      <c r="U6" s="15">
        <f t="shared" si="3"/>
        <v>38</v>
      </c>
      <c r="V6" s="15">
        <f t="shared" si="4"/>
        <v>49</v>
      </c>
      <c r="W6" s="18" t="str">
        <f t="shared" si="5"/>
        <v/>
      </c>
      <c r="X6" s="17">
        <v>0</v>
      </c>
      <c r="Y6" s="17">
        <v>0</v>
      </c>
      <c r="Z6" s="15">
        <f t="shared" si="6"/>
        <v>0</v>
      </c>
      <c r="AA6" s="17">
        <v>0</v>
      </c>
      <c r="AB6" s="17">
        <v>0</v>
      </c>
      <c r="AC6" s="15">
        <f t="shared" si="7"/>
        <v>0</v>
      </c>
      <c r="AD6" s="17">
        <v>0</v>
      </c>
      <c r="AE6" s="17">
        <v>0</v>
      </c>
      <c r="AF6" s="15">
        <f t="shared" si="8"/>
        <v>0</v>
      </c>
      <c r="AG6" s="17">
        <v>0</v>
      </c>
      <c r="AH6" s="17">
        <v>0</v>
      </c>
      <c r="AI6" s="15">
        <f t="shared" si="9"/>
        <v>0</v>
      </c>
      <c r="AJ6" s="17"/>
    </row>
    <row r="7" spans="1:36" hidden="1" x14ac:dyDescent="0.3">
      <c r="A7" s="15" t="s">
        <v>60</v>
      </c>
      <c r="B7" s="15">
        <v>100</v>
      </c>
      <c r="C7" s="15" t="s">
        <v>54</v>
      </c>
      <c r="D7" s="15" t="s">
        <v>55</v>
      </c>
      <c r="E7" s="15">
        <f>'26 june'!T7</f>
        <v>0</v>
      </c>
      <c r="F7" s="15">
        <f>'26 june'!U7</f>
        <v>20</v>
      </c>
      <c r="G7" s="15">
        <f>'26 june'!V7</f>
        <v>0</v>
      </c>
      <c r="H7" s="15">
        <f t="shared" si="0"/>
        <v>20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5">
        <f t="shared" si="1"/>
        <v>20</v>
      </c>
      <c r="T7" s="15">
        <f t="shared" si="2"/>
        <v>0</v>
      </c>
      <c r="U7" s="15">
        <f t="shared" si="3"/>
        <v>20</v>
      </c>
      <c r="V7" s="15">
        <f t="shared" si="4"/>
        <v>0</v>
      </c>
      <c r="W7" s="18" t="str">
        <f t="shared" si="5"/>
        <v/>
      </c>
      <c r="X7" s="17">
        <v>0</v>
      </c>
      <c r="Y7" s="17">
        <v>0</v>
      </c>
      <c r="Z7" s="15">
        <f t="shared" si="6"/>
        <v>0</v>
      </c>
      <c r="AA7" s="17">
        <v>0</v>
      </c>
      <c r="AB7" s="17">
        <v>0</v>
      </c>
      <c r="AC7" s="15">
        <f t="shared" si="7"/>
        <v>0</v>
      </c>
      <c r="AD7" s="17">
        <v>0</v>
      </c>
      <c r="AE7" s="17">
        <v>0</v>
      </c>
      <c r="AF7" s="15">
        <f t="shared" si="8"/>
        <v>0</v>
      </c>
      <c r="AG7" s="17">
        <v>0</v>
      </c>
      <c r="AH7" s="17">
        <v>0</v>
      </c>
      <c r="AI7" s="15">
        <f t="shared" si="9"/>
        <v>0</v>
      </c>
      <c r="AJ7" s="17"/>
    </row>
    <row r="8" spans="1:36" hidden="1" x14ac:dyDescent="0.3">
      <c r="A8" s="15" t="s">
        <v>61</v>
      </c>
      <c r="B8" s="15">
        <v>100</v>
      </c>
      <c r="C8" s="15" t="s">
        <v>54</v>
      </c>
      <c r="D8" s="15" t="s">
        <v>55</v>
      </c>
      <c r="E8" s="15">
        <f>'26 june'!T8</f>
        <v>0</v>
      </c>
      <c r="F8" s="15">
        <f>'26 june'!U8</f>
        <v>17</v>
      </c>
      <c r="G8" s="15">
        <f>'26 june'!V8</f>
        <v>20</v>
      </c>
      <c r="H8" s="15">
        <f t="shared" si="0"/>
        <v>37</v>
      </c>
      <c r="I8" s="17">
        <v>0</v>
      </c>
      <c r="J8" s="17">
        <v>0</v>
      </c>
      <c r="K8" s="17">
        <v>1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5">
        <f t="shared" si="1"/>
        <v>36</v>
      </c>
      <c r="T8" s="15">
        <f t="shared" si="2"/>
        <v>0</v>
      </c>
      <c r="U8" s="15">
        <f t="shared" si="3"/>
        <v>17</v>
      </c>
      <c r="V8" s="15">
        <f t="shared" si="4"/>
        <v>19</v>
      </c>
      <c r="W8" s="18" t="str">
        <f t="shared" si="5"/>
        <v/>
      </c>
      <c r="X8" s="17">
        <v>0</v>
      </c>
      <c r="Y8" s="17">
        <v>0</v>
      </c>
      <c r="Z8" s="15">
        <f t="shared" si="6"/>
        <v>0</v>
      </c>
      <c r="AA8" s="17">
        <v>0</v>
      </c>
      <c r="AB8" s="17">
        <v>0</v>
      </c>
      <c r="AC8" s="15">
        <f t="shared" si="7"/>
        <v>0</v>
      </c>
      <c r="AD8" s="17">
        <v>0</v>
      </c>
      <c r="AE8" s="17">
        <v>0</v>
      </c>
      <c r="AF8" s="15">
        <f t="shared" si="8"/>
        <v>0</v>
      </c>
      <c r="AG8" s="17">
        <v>0</v>
      </c>
      <c r="AH8" s="17">
        <v>0</v>
      </c>
      <c r="AI8" s="15">
        <f t="shared" si="9"/>
        <v>0</v>
      </c>
      <c r="AJ8" s="17"/>
    </row>
    <row r="9" spans="1:36" hidden="1" x14ac:dyDescent="0.3">
      <c r="A9" s="15" t="s">
        <v>62</v>
      </c>
      <c r="B9" s="15">
        <v>100</v>
      </c>
      <c r="C9" s="15" t="s">
        <v>54</v>
      </c>
      <c r="D9" s="15" t="s">
        <v>55</v>
      </c>
      <c r="E9" s="15">
        <f>'26 june'!T9</f>
        <v>0</v>
      </c>
      <c r="F9" s="15">
        <f>'26 june'!U9</f>
        <v>0</v>
      </c>
      <c r="G9" s="15">
        <f>'26 june'!V9</f>
        <v>1</v>
      </c>
      <c r="H9" s="15">
        <f t="shared" si="0"/>
        <v>1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5">
        <f t="shared" si="1"/>
        <v>1</v>
      </c>
      <c r="T9" s="15">
        <f t="shared" si="2"/>
        <v>0</v>
      </c>
      <c r="U9" s="15">
        <f t="shared" si="3"/>
        <v>0</v>
      </c>
      <c r="V9" s="15">
        <f t="shared" si="4"/>
        <v>1</v>
      </c>
      <c r="W9" s="18" t="str">
        <f t="shared" si="5"/>
        <v/>
      </c>
      <c r="X9" s="17">
        <v>0</v>
      </c>
      <c r="Y9" s="17">
        <v>0</v>
      </c>
      <c r="Z9" s="15">
        <f t="shared" si="6"/>
        <v>0</v>
      </c>
      <c r="AA9" s="17">
        <v>0</v>
      </c>
      <c r="AB9" s="17">
        <v>0</v>
      </c>
      <c r="AC9" s="15">
        <f t="shared" si="7"/>
        <v>0</v>
      </c>
      <c r="AD9" s="17">
        <v>0</v>
      </c>
      <c r="AE9" s="17">
        <v>0</v>
      </c>
      <c r="AF9" s="15">
        <f t="shared" si="8"/>
        <v>0</v>
      </c>
      <c r="AG9" s="17">
        <v>0</v>
      </c>
      <c r="AH9" s="17">
        <v>0</v>
      </c>
      <c r="AI9" s="15">
        <f t="shared" si="9"/>
        <v>0</v>
      </c>
      <c r="AJ9" s="17"/>
    </row>
    <row r="10" spans="1:36" hidden="1" x14ac:dyDescent="0.3">
      <c r="A10" s="15" t="s">
        <v>62</v>
      </c>
      <c r="B10" s="15">
        <v>500</v>
      </c>
      <c r="C10" s="15" t="s">
        <v>54</v>
      </c>
      <c r="D10" s="15" t="s">
        <v>55</v>
      </c>
      <c r="E10" s="15">
        <f>'26 june'!T10</f>
        <v>0</v>
      </c>
      <c r="F10" s="15">
        <f>'26 june'!U10</f>
        <v>0</v>
      </c>
      <c r="G10" s="15">
        <f>'26 june'!V10</f>
        <v>0</v>
      </c>
      <c r="H10" s="15">
        <f t="shared" si="0"/>
        <v>0</v>
      </c>
      <c r="I10" s="17">
        <v>0</v>
      </c>
      <c r="J10" s="17">
        <v>0</v>
      </c>
      <c r="K10" s="17">
        <v>0</v>
      </c>
      <c r="L10" s="17">
        <v>2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5">
        <f t="shared" si="1"/>
        <v>-2</v>
      </c>
      <c r="T10" s="15">
        <f t="shared" si="2"/>
        <v>-2</v>
      </c>
      <c r="U10" s="15">
        <f t="shared" si="3"/>
        <v>0</v>
      </c>
      <c r="V10" s="15">
        <f t="shared" si="4"/>
        <v>0</v>
      </c>
      <c r="W10" s="18" t="str">
        <f t="shared" si="5"/>
        <v>NEGATIVE STOCK - CHECK ENTRIES</v>
      </c>
      <c r="X10" s="17">
        <v>0</v>
      </c>
      <c r="Y10" s="17">
        <v>0</v>
      </c>
      <c r="Z10" s="15">
        <f t="shared" si="6"/>
        <v>0</v>
      </c>
      <c r="AA10" s="17">
        <v>0</v>
      </c>
      <c r="AB10" s="17">
        <v>0</v>
      </c>
      <c r="AC10" s="15">
        <f t="shared" si="7"/>
        <v>0</v>
      </c>
      <c r="AD10" s="17">
        <v>0</v>
      </c>
      <c r="AE10" s="17">
        <v>0</v>
      </c>
      <c r="AF10" s="15">
        <f t="shared" si="8"/>
        <v>0</v>
      </c>
      <c r="AG10" s="17">
        <v>0</v>
      </c>
      <c r="AH10" s="17">
        <v>0</v>
      </c>
      <c r="AI10" s="15">
        <f t="shared" si="9"/>
        <v>0</v>
      </c>
      <c r="AJ10" s="17"/>
    </row>
    <row r="11" spans="1:36" hidden="1" x14ac:dyDescent="0.3">
      <c r="A11" s="15" t="s">
        <v>63</v>
      </c>
      <c r="B11" s="15">
        <v>100</v>
      </c>
      <c r="C11" s="15" t="s">
        <v>54</v>
      </c>
      <c r="D11" s="15" t="s">
        <v>55</v>
      </c>
      <c r="E11" s="15">
        <f>'26 june'!T11</f>
        <v>329</v>
      </c>
      <c r="F11" s="15">
        <f>'26 june'!U11</f>
        <v>195</v>
      </c>
      <c r="G11" s="15">
        <f>'26 june'!V11</f>
        <v>16</v>
      </c>
      <c r="H11" s="15">
        <f t="shared" si="0"/>
        <v>540</v>
      </c>
      <c r="I11" s="17">
        <v>0</v>
      </c>
      <c r="J11" s="17">
        <v>0</v>
      </c>
      <c r="K11" s="17">
        <v>0</v>
      </c>
      <c r="L11" s="17">
        <v>7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5">
        <f t="shared" si="1"/>
        <v>533</v>
      </c>
      <c r="T11" s="15">
        <f t="shared" si="2"/>
        <v>322</v>
      </c>
      <c r="U11" s="15">
        <f t="shared" si="3"/>
        <v>195</v>
      </c>
      <c r="V11" s="15">
        <f t="shared" si="4"/>
        <v>16</v>
      </c>
      <c r="W11" s="18" t="str">
        <f t="shared" si="5"/>
        <v/>
      </c>
      <c r="X11" s="17">
        <v>0</v>
      </c>
      <c r="Y11" s="17">
        <v>0</v>
      </c>
      <c r="Z11" s="15">
        <f t="shared" si="6"/>
        <v>0</v>
      </c>
      <c r="AA11" s="17">
        <v>0</v>
      </c>
      <c r="AB11" s="17">
        <v>0</v>
      </c>
      <c r="AC11" s="15">
        <f t="shared" si="7"/>
        <v>0</v>
      </c>
      <c r="AD11" s="17">
        <v>0</v>
      </c>
      <c r="AE11" s="17">
        <v>0</v>
      </c>
      <c r="AF11" s="15">
        <f t="shared" si="8"/>
        <v>0</v>
      </c>
      <c r="AG11" s="17">
        <v>0</v>
      </c>
      <c r="AH11" s="17">
        <v>0</v>
      </c>
      <c r="AI11" s="15">
        <f t="shared" si="9"/>
        <v>0</v>
      </c>
      <c r="AJ11" s="17"/>
    </row>
    <row r="12" spans="1:36" hidden="1" x14ac:dyDescent="0.3">
      <c r="A12" s="15" t="s">
        <v>64</v>
      </c>
      <c r="B12" s="15">
        <v>500</v>
      </c>
      <c r="C12" s="15" t="s">
        <v>54</v>
      </c>
      <c r="D12" s="15" t="s">
        <v>55</v>
      </c>
      <c r="E12" s="15">
        <f>'26 june'!T12</f>
        <v>8</v>
      </c>
      <c r="F12" s="15">
        <f>'26 june'!U12</f>
        <v>0</v>
      </c>
      <c r="G12" s="15">
        <f>'26 june'!V12</f>
        <v>0</v>
      </c>
      <c r="H12" s="15">
        <f t="shared" si="0"/>
        <v>8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5">
        <f t="shared" si="1"/>
        <v>8</v>
      </c>
      <c r="T12" s="15">
        <f t="shared" si="2"/>
        <v>8</v>
      </c>
      <c r="U12" s="15">
        <f t="shared" si="3"/>
        <v>0</v>
      </c>
      <c r="V12" s="15">
        <f t="shared" si="4"/>
        <v>0</v>
      </c>
      <c r="W12" s="18" t="str">
        <f t="shared" si="5"/>
        <v/>
      </c>
      <c r="X12" s="17">
        <v>0</v>
      </c>
      <c r="Y12" s="17">
        <v>0</v>
      </c>
      <c r="Z12" s="15">
        <f t="shared" si="6"/>
        <v>0</v>
      </c>
      <c r="AA12" s="17">
        <v>0</v>
      </c>
      <c r="AB12" s="17">
        <v>0</v>
      </c>
      <c r="AC12" s="15">
        <f t="shared" si="7"/>
        <v>0</v>
      </c>
      <c r="AD12" s="17">
        <v>0</v>
      </c>
      <c r="AE12" s="17">
        <v>0</v>
      </c>
      <c r="AF12" s="15">
        <f t="shared" si="8"/>
        <v>0</v>
      </c>
      <c r="AG12" s="17">
        <v>0</v>
      </c>
      <c r="AH12" s="17">
        <v>0</v>
      </c>
      <c r="AI12" s="15">
        <f t="shared" si="9"/>
        <v>0</v>
      </c>
      <c r="AJ12" s="17"/>
    </row>
    <row r="13" spans="1:36" hidden="1" x14ac:dyDescent="0.3">
      <c r="A13" s="15" t="s">
        <v>65</v>
      </c>
      <c r="B13" s="15">
        <v>100</v>
      </c>
      <c r="C13" s="15" t="s">
        <v>54</v>
      </c>
      <c r="D13" s="15" t="s">
        <v>55</v>
      </c>
      <c r="E13" s="15">
        <f>'26 june'!T13</f>
        <v>1504</v>
      </c>
      <c r="F13" s="15">
        <f>'26 june'!U13</f>
        <v>297</v>
      </c>
      <c r="G13" s="15">
        <f>'26 june'!V13</f>
        <v>150</v>
      </c>
      <c r="H13" s="15">
        <f t="shared" si="0"/>
        <v>1951</v>
      </c>
      <c r="I13" s="17">
        <v>20</v>
      </c>
      <c r="J13" s="17">
        <v>200</v>
      </c>
      <c r="K13" s="17">
        <v>31</v>
      </c>
      <c r="L13" s="17">
        <v>232</v>
      </c>
      <c r="M13" s="17">
        <v>0</v>
      </c>
      <c r="N13" s="17">
        <v>0</v>
      </c>
      <c r="O13" s="17">
        <v>0</v>
      </c>
      <c r="P13" s="17">
        <v>200</v>
      </c>
      <c r="Q13" s="17">
        <v>0</v>
      </c>
      <c r="R13" s="17">
        <v>0</v>
      </c>
      <c r="S13" s="15">
        <f t="shared" si="1"/>
        <v>1668</v>
      </c>
      <c r="T13" s="15">
        <f t="shared" si="2"/>
        <v>1252</v>
      </c>
      <c r="U13" s="15">
        <f t="shared" si="3"/>
        <v>297</v>
      </c>
      <c r="V13" s="15">
        <f t="shared" si="4"/>
        <v>119</v>
      </c>
      <c r="W13" s="18" t="str">
        <f t="shared" si="5"/>
        <v/>
      </c>
      <c r="X13" s="17">
        <v>0</v>
      </c>
      <c r="Y13" s="17">
        <v>0</v>
      </c>
      <c r="Z13" s="15">
        <f t="shared" si="6"/>
        <v>0</v>
      </c>
      <c r="AA13" s="17">
        <v>0</v>
      </c>
      <c r="AB13" s="17">
        <v>0</v>
      </c>
      <c r="AC13" s="15">
        <f t="shared" si="7"/>
        <v>0</v>
      </c>
      <c r="AD13" s="17">
        <v>0</v>
      </c>
      <c r="AE13" s="17">
        <v>0</v>
      </c>
      <c r="AF13" s="15">
        <f t="shared" si="8"/>
        <v>0</v>
      </c>
      <c r="AG13" s="17">
        <v>0</v>
      </c>
      <c r="AH13" s="17">
        <v>0</v>
      </c>
      <c r="AI13" s="15">
        <f t="shared" si="9"/>
        <v>0</v>
      </c>
      <c r="AJ13" s="17"/>
    </row>
    <row r="14" spans="1:36" hidden="1" x14ac:dyDescent="0.3">
      <c r="A14" s="15" t="s">
        <v>65</v>
      </c>
      <c r="B14" s="15">
        <v>500</v>
      </c>
      <c r="C14" s="15" t="s">
        <v>54</v>
      </c>
      <c r="D14" s="15" t="s">
        <v>55</v>
      </c>
      <c r="E14" s="15">
        <f>'26 june'!T14</f>
        <v>170</v>
      </c>
      <c r="F14" s="15">
        <f>'26 june'!U14</f>
        <v>20</v>
      </c>
      <c r="G14" s="15">
        <f>'26 june'!V14</f>
        <v>15</v>
      </c>
      <c r="H14" s="15">
        <f t="shared" si="0"/>
        <v>205</v>
      </c>
      <c r="I14" s="17">
        <v>0</v>
      </c>
      <c r="J14" s="17">
        <v>20</v>
      </c>
      <c r="K14" s="17">
        <v>0</v>
      </c>
      <c r="L14" s="17">
        <v>69</v>
      </c>
      <c r="M14" s="17">
        <v>0</v>
      </c>
      <c r="N14" s="17">
        <v>0</v>
      </c>
      <c r="O14" s="17">
        <v>0</v>
      </c>
      <c r="P14" s="17">
        <v>60</v>
      </c>
      <c r="Q14" s="17">
        <v>0</v>
      </c>
      <c r="R14" s="17">
        <v>0</v>
      </c>
      <c r="S14" s="15">
        <f t="shared" si="1"/>
        <v>176</v>
      </c>
      <c r="T14" s="15">
        <f t="shared" si="2"/>
        <v>101</v>
      </c>
      <c r="U14" s="15">
        <f t="shared" si="3"/>
        <v>60</v>
      </c>
      <c r="V14" s="15">
        <f t="shared" si="4"/>
        <v>15</v>
      </c>
      <c r="W14" s="18" t="str">
        <f t="shared" si="5"/>
        <v/>
      </c>
      <c r="X14" s="17">
        <v>0</v>
      </c>
      <c r="Y14" s="17">
        <v>0</v>
      </c>
      <c r="Z14" s="15">
        <f t="shared" si="6"/>
        <v>0</v>
      </c>
      <c r="AA14" s="17">
        <v>0</v>
      </c>
      <c r="AB14" s="17">
        <v>0</v>
      </c>
      <c r="AC14" s="15">
        <f t="shared" si="7"/>
        <v>0</v>
      </c>
      <c r="AD14" s="17">
        <v>0</v>
      </c>
      <c r="AE14" s="17">
        <v>0</v>
      </c>
      <c r="AF14" s="15">
        <f t="shared" si="8"/>
        <v>0</v>
      </c>
      <c r="AG14" s="17">
        <v>0</v>
      </c>
      <c r="AH14" s="17">
        <v>0</v>
      </c>
      <c r="AI14" s="15">
        <f t="shared" si="9"/>
        <v>0</v>
      </c>
      <c r="AJ14" s="17"/>
    </row>
    <row r="15" spans="1:36" hidden="1" x14ac:dyDescent="0.3">
      <c r="A15" s="15" t="s">
        <v>66</v>
      </c>
      <c r="B15" s="15">
        <v>100</v>
      </c>
      <c r="C15" s="15" t="s">
        <v>54</v>
      </c>
      <c r="D15" s="15" t="s">
        <v>55</v>
      </c>
      <c r="E15" s="15">
        <f>'26 june'!T15</f>
        <v>302</v>
      </c>
      <c r="F15" s="15">
        <f>'26 june'!U15</f>
        <v>41</v>
      </c>
      <c r="G15" s="15">
        <f>'26 june'!V15</f>
        <v>11</v>
      </c>
      <c r="H15" s="15">
        <f t="shared" si="0"/>
        <v>354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5">
        <f t="shared" si="1"/>
        <v>354</v>
      </c>
      <c r="T15" s="15">
        <f t="shared" si="2"/>
        <v>302</v>
      </c>
      <c r="U15" s="15">
        <f t="shared" si="3"/>
        <v>41</v>
      </c>
      <c r="V15" s="15">
        <f t="shared" si="4"/>
        <v>11</v>
      </c>
      <c r="W15" s="18" t="str">
        <f t="shared" si="5"/>
        <v/>
      </c>
      <c r="X15" s="17">
        <v>0</v>
      </c>
      <c r="Y15" s="17">
        <v>0</v>
      </c>
      <c r="Z15" s="15">
        <f t="shared" si="6"/>
        <v>0</v>
      </c>
      <c r="AA15" s="17">
        <v>0</v>
      </c>
      <c r="AB15" s="17">
        <v>0</v>
      </c>
      <c r="AC15" s="15">
        <f t="shared" si="7"/>
        <v>0</v>
      </c>
      <c r="AD15" s="17">
        <v>0</v>
      </c>
      <c r="AE15" s="17">
        <v>0</v>
      </c>
      <c r="AF15" s="15">
        <f t="shared" si="8"/>
        <v>0</v>
      </c>
      <c r="AG15" s="17">
        <v>0</v>
      </c>
      <c r="AH15" s="17">
        <v>0</v>
      </c>
      <c r="AI15" s="15">
        <f t="shared" si="9"/>
        <v>0</v>
      </c>
      <c r="AJ15" s="17"/>
    </row>
    <row r="16" spans="1:36" hidden="1" x14ac:dyDescent="0.3">
      <c r="A16" s="15" t="s">
        <v>66</v>
      </c>
      <c r="B16" s="15">
        <v>1000</v>
      </c>
      <c r="C16" s="15" t="s">
        <v>54</v>
      </c>
      <c r="D16" s="15" t="s">
        <v>55</v>
      </c>
      <c r="E16" s="15">
        <f>'26 june'!T16</f>
        <v>2</v>
      </c>
      <c r="F16" s="15">
        <f>'26 june'!U16</f>
        <v>0</v>
      </c>
      <c r="G16" s="15">
        <f>'26 june'!V16</f>
        <v>0</v>
      </c>
      <c r="H16" s="15">
        <f t="shared" si="0"/>
        <v>2</v>
      </c>
      <c r="I16" s="17">
        <v>1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5">
        <f t="shared" si="1"/>
        <v>1</v>
      </c>
      <c r="T16" s="15">
        <f t="shared" si="2"/>
        <v>1</v>
      </c>
      <c r="U16" s="15">
        <f t="shared" si="3"/>
        <v>0</v>
      </c>
      <c r="V16" s="15">
        <f t="shared" si="4"/>
        <v>0</v>
      </c>
      <c r="W16" s="18" t="str">
        <f t="shared" si="5"/>
        <v/>
      </c>
      <c r="X16" s="17">
        <v>0</v>
      </c>
      <c r="Y16" s="17">
        <v>0</v>
      </c>
      <c r="Z16" s="15">
        <f t="shared" si="6"/>
        <v>0</v>
      </c>
      <c r="AA16" s="17">
        <v>0</v>
      </c>
      <c r="AB16" s="17">
        <v>0</v>
      </c>
      <c r="AC16" s="15">
        <f t="shared" si="7"/>
        <v>0</v>
      </c>
      <c r="AD16" s="17">
        <v>0</v>
      </c>
      <c r="AE16" s="17">
        <v>0</v>
      </c>
      <c r="AF16" s="15">
        <f t="shared" si="8"/>
        <v>0</v>
      </c>
      <c r="AG16" s="17">
        <v>0</v>
      </c>
      <c r="AH16" s="17">
        <v>0</v>
      </c>
      <c r="AI16" s="15">
        <f t="shared" si="9"/>
        <v>0</v>
      </c>
      <c r="AJ16" s="17"/>
    </row>
    <row r="17" spans="1:36" x14ac:dyDescent="0.3">
      <c r="A17" s="15" t="s">
        <v>67</v>
      </c>
      <c r="B17" s="15">
        <v>1000</v>
      </c>
      <c r="C17" s="15" t="s">
        <v>54</v>
      </c>
      <c r="D17" s="15" t="s">
        <v>68</v>
      </c>
      <c r="E17" s="15">
        <v>0</v>
      </c>
      <c r="F17" s="15">
        <v>0</v>
      </c>
      <c r="G17" s="15">
        <v>0</v>
      </c>
      <c r="H17" s="15">
        <f t="shared" si="0"/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5">
        <f t="shared" si="1"/>
        <v>0</v>
      </c>
      <c r="T17" s="15">
        <f t="shared" si="2"/>
        <v>0</v>
      </c>
      <c r="U17" s="15">
        <f t="shared" si="3"/>
        <v>0</v>
      </c>
      <c r="V17" s="15">
        <f t="shared" si="4"/>
        <v>0</v>
      </c>
      <c r="W17" s="18" t="str">
        <f t="shared" si="5"/>
        <v/>
      </c>
      <c r="X17" s="17">
        <v>0</v>
      </c>
      <c r="Y17" s="17">
        <v>0</v>
      </c>
      <c r="Z17" s="15">
        <f t="shared" si="6"/>
        <v>0</v>
      </c>
      <c r="AA17" s="17">
        <v>0</v>
      </c>
      <c r="AB17" s="17">
        <v>0</v>
      </c>
      <c r="AC17" s="15">
        <f t="shared" si="7"/>
        <v>0</v>
      </c>
      <c r="AD17" s="17">
        <v>0</v>
      </c>
      <c r="AE17" s="17">
        <v>0</v>
      </c>
      <c r="AF17" s="15">
        <f t="shared" si="8"/>
        <v>0</v>
      </c>
      <c r="AG17" s="17">
        <v>0</v>
      </c>
      <c r="AH17" s="17">
        <v>0</v>
      </c>
      <c r="AI17" s="15">
        <f t="shared" si="9"/>
        <v>0</v>
      </c>
      <c r="AJ17" s="17"/>
    </row>
    <row r="18" spans="1:36" x14ac:dyDescent="0.3">
      <c r="A18" s="15" t="s">
        <v>69</v>
      </c>
      <c r="B18" s="15">
        <v>100000</v>
      </c>
      <c r="C18" s="15" t="s">
        <v>54</v>
      </c>
      <c r="D18" s="15" t="s">
        <v>68</v>
      </c>
      <c r="E18" s="15">
        <v>0</v>
      </c>
      <c r="F18" s="15">
        <v>0</v>
      </c>
      <c r="G18" s="15">
        <v>0</v>
      </c>
      <c r="H18" s="15">
        <f t="shared" si="0"/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5">
        <f t="shared" si="1"/>
        <v>0</v>
      </c>
      <c r="T18" s="15">
        <f t="shared" si="2"/>
        <v>0</v>
      </c>
      <c r="U18" s="15">
        <f t="shared" si="3"/>
        <v>0</v>
      </c>
      <c r="V18" s="15">
        <f t="shared" si="4"/>
        <v>0</v>
      </c>
      <c r="W18" s="18" t="str">
        <f t="shared" si="5"/>
        <v/>
      </c>
      <c r="X18" s="17">
        <v>0</v>
      </c>
      <c r="Y18" s="17">
        <v>0</v>
      </c>
      <c r="Z18" s="15">
        <f t="shared" si="6"/>
        <v>0</v>
      </c>
      <c r="AA18" s="17">
        <v>0</v>
      </c>
      <c r="AB18" s="17">
        <v>0</v>
      </c>
      <c r="AC18" s="15">
        <f t="shared" si="7"/>
        <v>0</v>
      </c>
      <c r="AD18" s="17">
        <v>0</v>
      </c>
      <c r="AE18" s="17">
        <v>0</v>
      </c>
      <c r="AF18" s="15">
        <f t="shared" si="8"/>
        <v>0</v>
      </c>
      <c r="AG18" s="17">
        <v>0</v>
      </c>
      <c r="AH18" s="17">
        <v>0</v>
      </c>
      <c r="AI18" s="15">
        <f t="shared" si="9"/>
        <v>0</v>
      </c>
      <c r="AJ18" s="17"/>
    </row>
    <row r="19" spans="1:36" hidden="1" x14ac:dyDescent="0.3">
      <c r="A19" s="15" t="s">
        <v>70</v>
      </c>
      <c r="B19" s="15">
        <v>1000</v>
      </c>
      <c r="C19" s="15" t="s">
        <v>54</v>
      </c>
      <c r="D19" s="15" t="s">
        <v>55</v>
      </c>
      <c r="E19" s="15">
        <f>'26 june'!T19</f>
        <v>8</v>
      </c>
      <c r="F19" s="15">
        <f>'26 june'!U19</f>
        <v>0</v>
      </c>
      <c r="G19" s="15">
        <f>'26 june'!V19</f>
        <v>0</v>
      </c>
      <c r="H19" s="15">
        <f t="shared" si="0"/>
        <v>8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5">
        <f t="shared" si="1"/>
        <v>8</v>
      </c>
      <c r="T19" s="15">
        <f t="shared" si="2"/>
        <v>8</v>
      </c>
      <c r="U19" s="15">
        <f t="shared" si="3"/>
        <v>0</v>
      </c>
      <c r="V19" s="15">
        <f t="shared" si="4"/>
        <v>0</v>
      </c>
      <c r="W19" s="18" t="str">
        <f t="shared" si="5"/>
        <v/>
      </c>
      <c r="X19" s="17">
        <v>0</v>
      </c>
      <c r="Y19" s="17">
        <v>0</v>
      </c>
      <c r="Z19" s="15">
        <f t="shared" si="6"/>
        <v>0</v>
      </c>
      <c r="AA19" s="17">
        <v>0</v>
      </c>
      <c r="AB19" s="17">
        <v>0</v>
      </c>
      <c r="AC19" s="15">
        <f t="shared" si="7"/>
        <v>0</v>
      </c>
      <c r="AD19" s="17">
        <v>0</v>
      </c>
      <c r="AE19" s="17">
        <v>0</v>
      </c>
      <c r="AF19" s="15">
        <f t="shared" si="8"/>
        <v>0</v>
      </c>
      <c r="AG19" s="17">
        <v>0</v>
      </c>
      <c r="AH19" s="17">
        <v>0</v>
      </c>
      <c r="AI19" s="15">
        <f t="shared" si="9"/>
        <v>0</v>
      </c>
      <c r="AJ19" s="17"/>
    </row>
    <row r="20" spans="1:36" x14ac:dyDescent="0.3">
      <c r="A20" s="15" t="s">
        <v>70</v>
      </c>
      <c r="B20" s="15">
        <v>1000</v>
      </c>
      <c r="C20" s="15" t="s">
        <v>54</v>
      </c>
      <c r="D20" s="15" t="s">
        <v>57</v>
      </c>
      <c r="E20" s="15">
        <v>0</v>
      </c>
      <c r="F20" s="15">
        <v>0</v>
      </c>
      <c r="G20" s="15">
        <v>0</v>
      </c>
      <c r="H20" s="15">
        <f t="shared" si="0"/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5">
        <f t="shared" si="1"/>
        <v>0</v>
      </c>
      <c r="T20" s="15">
        <f t="shared" si="2"/>
        <v>0</v>
      </c>
      <c r="U20" s="15">
        <f t="shared" si="3"/>
        <v>0</v>
      </c>
      <c r="V20" s="15">
        <f t="shared" si="4"/>
        <v>0</v>
      </c>
      <c r="W20" s="18" t="str">
        <f t="shared" si="5"/>
        <v/>
      </c>
      <c r="X20" s="17">
        <v>0</v>
      </c>
      <c r="Y20" s="17">
        <v>0</v>
      </c>
      <c r="Z20" s="15">
        <f t="shared" si="6"/>
        <v>0</v>
      </c>
      <c r="AA20" s="17">
        <v>0</v>
      </c>
      <c r="AB20" s="17">
        <v>0</v>
      </c>
      <c r="AC20" s="15">
        <f t="shared" si="7"/>
        <v>0</v>
      </c>
      <c r="AD20" s="17">
        <v>0</v>
      </c>
      <c r="AE20" s="17">
        <v>0</v>
      </c>
      <c r="AF20" s="15">
        <f t="shared" si="8"/>
        <v>0</v>
      </c>
      <c r="AG20" s="17">
        <v>0</v>
      </c>
      <c r="AH20" s="17">
        <v>0</v>
      </c>
      <c r="AI20" s="15">
        <f t="shared" si="9"/>
        <v>0</v>
      </c>
      <c r="AJ20" s="17"/>
    </row>
    <row r="21" spans="1:36" hidden="1" x14ac:dyDescent="0.3">
      <c r="A21" s="15" t="s">
        <v>71</v>
      </c>
      <c r="B21" s="15">
        <v>100</v>
      </c>
      <c r="C21" s="15" t="s">
        <v>54</v>
      </c>
      <c r="D21" s="15" t="s">
        <v>55</v>
      </c>
      <c r="E21" s="15">
        <f>'26 june'!T21</f>
        <v>4</v>
      </c>
      <c r="F21" s="15">
        <f>'26 june'!U21</f>
        <v>0</v>
      </c>
      <c r="G21" s="15">
        <f>'26 june'!V21</f>
        <v>0</v>
      </c>
      <c r="H21" s="15">
        <f t="shared" si="0"/>
        <v>4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5">
        <f t="shared" si="1"/>
        <v>4</v>
      </c>
      <c r="T21" s="15">
        <f t="shared" si="2"/>
        <v>4</v>
      </c>
      <c r="U21" s="15">
        <f t="shared" si="3"/>
        <v>0</v>
      </c>
      <c r="V21" s="15">
        <f t="shared" si="4"/>
        <v>0</v>
      </c>
      <c r="W21" s="18" t="str">
        <f t="shared" si="5"/>
        <v/>
      </c>
      <c r="X21" s="17">
        <v>0</v>
      </c>
      <c r="Y21" s="17">
        <v>0</v>
      </c>
      <c r="Z21" s="15">
        <f t="shared" si="6"/>
        <v>0</v>
      </c>
      <c r="AA21" s="17">
        <v>0</v>
      </c>
      <c r="AB21" s="17">
        <v>0</v>
      </c>
      <c r="AC21" s="15">
        <f t="shared" si="7"/>
        <v>0</v>
      </c>
      <c r="AD21" s="17">
        <v>0</v>
      </c>
      <c r="AE21" s="17">
        <v>0</v>
      </c>
      <c r="AF21" s="15">
        <f t="shared" si="8"/>
        <v>0</v>
      </c>
      <c r="AG21" s="17">
        <v>0</v>
      </c>
      <c r="AH21" s="17">
        <v>0</v>
      </c>
      <c r="AI21" s="15">
        <f t="shared" si="9"/>
        <v>0</v>
      </c>
      <c r="AJ21" s="17"/>
    </row>
    <row r="22" spans="1:36" hidden="1" x14ac:dyDescent="0.3">
      <c r="A22" s="15" t="s">
        <v>71</v>
      </c>
      <c r="B22" s="15">
        <v>1000</v>
      </c>
      <c r="C22" s="15" t="s">
        <v>54</v>
      </c>
      <c r="D22" s="15" t="s">
        <v>55</v>
      </c>
      <c r="E22" s="15">
        <f>'26 june'!T22</f>
        <v>8</v>
      </c>
      <c r="F22" s="15">
        <f>'26 june'!U22</f>
        <v>0</v>
      </c>
      <c r="G22" s="15">
        <f>'26 june'!V22</f>
        <v>0</v>
      </c>
      <c r="H22" s="15">
        <f t="shared" si="0"/>
        <v>8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5">
        <f t="shared" si="1"/>
        <v>8</v>
      </c>
      <c r="T22" s="15">
        <f t="shared" si="2"/>
        <v>8</v>
      </c>
      <c r="U22" s="15">
        <f t="shared" si="3"/>
        <v>0</v>
      </c>
      <c r="V22" s="15">
        <f t="shared" si="4"/>
        <v>0</v>
      </c>
      <c r="W22" s="18" t="str">
        <f t="shared" si="5"/>
        <v/>
      </c>
      <c r="X22" s="17">
        <v>0</v>
      </c>
      <c r="Y22" s="17">
        <v>0</v>
      </c>
      <c r="Z22" s="15">
        <f t="shared" si="6"/>
        <v>0</v>
      </c>
      <c r="AA22" s="17">
        <v>0</v>
      </c>
      <c r="AB22" s="17">
        <v>0</v>
      </c>
      <c r="AC22" s="15">
        <f t="shared" si="7"/>
        <v>0</v>
      </c>
      <c r="AD22" s="17">
        <v>0</v>
      </c>
      <c r="AE22" s="17">
        <v>0</v>
      </c>
      <c r="AF22" s="15">
        <f t="shared" si="8"/>
        <v>0</v>
      </c>
      <c r="AG22" s="17">
        <v>0</v>
      </c>
      <c r="AH22" s="17">
        <v>0</v>
      </c>
      <c r="AI22" s="15">
        <f t="shared" si="9"/>
        <v>0</v>
      </c>
      <c r="AJ22" s="17"/>
    </row>
    <row r="23" spans="1:36" x14ac:dyDescent="0.3">
      <c r="A23" s="15" t="s">
        <v>72</v>
      </c>
      <c r="B23" s="15">
        <v>100</v>
      </c>
      <c r="C23" s="15" t="s">
        <v>54</v>
      </c>
      <c r="D23" s="15" t="s">
        <v>57</v>
      </c>
      <c r="E23" s="15">
        <v>0</v>
      </c>
      <c r="F23" s="15">
        <v>0</v>
      </c>
      <c r="G23" s="15">
        <v>0</v>
      </c>
      <c r="H23" s="15">
        <f t="shared" si="0"/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5">
        <f t="shared" si="1"/>
        <v>0</v>
      </c>
      <c r="T23" s="15">
        <f t="shared" si="2"/>
        <v>0</v>
      </c>
      <c r="U23" s="15">
        <f t="shared" si="3"/>
        <v>0</v>
      </c>
      <c r="V23" s="15">
        <f t="shared" si="4"/>
        <v>0</v>
      </c>
      <c r="W23" s="18" t="str">
        <f t="shared" si="5"/>
        <v/>
      </c>
      <c r="X23" s="17">
        <v>0</v>
      </c>
      <c r="Y23" s="17">
        <v>0</v>
      </c>
      <c r="Z23" s="15">
        <f t="shared" si="6"/>
        <v>0</v>
      </c>
      <c r="AA23" s="17">
        <v>0</v>
      </c>
      <c r="AB23" s="17">
        <v>0</v>
      </c>
      <c r="AC23" s="15">
        <f t="shared" si="7"/>
        <v>0</v>
      </c>
      <c r="AD23" s="17">
        <v>0</v>
      </c>
      <c r="AE23" s="17">
        <v>0</v>
      </c>
      <c r="AF23" s="15">
        <f t="shared" si="8"/>
        <v>0</v>
      </c>
      <c r="AG23" s="17">
        <v>0</v>
      </c>
      <c r="AH23" s="17">
        <v>0</v>
      </c>
      <c r="AI23" s="15">
        <f t="shared" si="9"/>
        <v>0</v>
      </c>
      <c r="AJ23" s="17"/>
    </row>
    <row r="24" spans="1:36" x14ac:dyDescent="0.3">
      <c r="A24" s="15" t="s">
        <v>72</v>
      </c>
      <c r="B24" s="15">
        <v>500</v>
      </c>
      <c r="C24" s="15" t="s">
        <v>54</v>
      </c>
      <c r="D24" s="15" t="s">
        <v>57</v>
      </c>
      <c r="E24" s="15">
        <v>0</v>
      </c>
      <c r="F24" s="15">
        <v>0</v>
      </c>
      <c r="G24" s="15">
        <v>0</v>
      </c>
      <c r="H24" s="15">
        <f t="shared" si="0"/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5">
        <f t="shared" si="1"/>
        <v>0</v>
      </c>
      <c r="T24" s="15">
        <f t="shared" si="2"/>
        <v>0</v>
      </c>
      <c r="U24" s="15">
        <f t="shared" si="3"/>
        <v>0</v>
      </c>
      <c r="V24" s="15">
        <f t="shared" si="4"/>
        <v>0</v>
      </c>
      <c r="W24" s="18" t="str">
        <f t="shared" si="5"/>
        <v/>
      </c>
      <c r="X24" s="17">
        <v>0</v>
      </c>
      <c r="Y24" s="17">
        <v>0</v>
      </c>
      <c r="Z24" s="15">
        <f t="shared" si="6"/>
        <v>0</v>
      </c>
      <c r="AA24" s="17">
        <v>0</v>
      </c>
      <c r="AB24" s="17">
        <v>0</v>
      </c>
      <c r="AC24" s="15">
        <f t="shared" si="7"/>
        <v>0</v>
      </c>
      <c r="AD24" s="17">
        <v>0</v>
      </c>
      <c r="AE24" s="17">
        <v>0</v>
      </c>
      <c r="AF24" s="15">
        <f t="shared" si="8"/>
        <v>0</v>
      </c>
      <c r="AG24" s="17">
        <v>0</v>
      </c>
      <c r="AH24" s="17">
        <v>0</v>
      </c>
      <c r="AI24" s="15">
        <f t="shared" si="9"/>
        <v>0</v>
      </c>
      <c r="AJ24" s="17"/>
    </row>
    <row r="25" spans="1:36" hidden="1" x14ac:dyDescent="0.3">
      <c r="A25" s="15" t="s">
        <v>73</v>
      </c>
      <c r="B25" s="15">
        <v>100</v>
      </c>
      <c r="C25" s="15" t="s">
        <v>54</v>
      </c>
      <c r="D25" s="15" t="s">
        <v>55</v>
      </c>
      <c r="E25" s="15">
        <f>'26 june'!T25</f>
        <v>1</v>
      </c>
      <c r="F25" s="15">
        <f>'26 june'!U25</f>
        <v>151</v>
      </c>
      <c r="G25" s="15">
        <f>'26 june'!V25</f>
        <v>0</v>
      </c>
      <c r="H25" s="15">
        <f t="shared" si="0"/>
        <v>152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5">
        <f t="shared" si="1"/>
        <v>152</v>
      </c>
      <c r="T25" s="15">
        <f t="shared" si="2"/>
        <v>1</v>
      </c>
      <c r="U25" s="15">
        <f t="shared" si="3"/>
        <v>151</v>
      </c>
      <c r="V25" s="15">
        <f t="shared" si="4"/>
        <v>0</v>
      </c>
      <c r="W25" s="18" t="str">
        <f t="shared" si="5"/>
        <v/>
      </c>
      <c r="X25" s="17">
        <v>0</v>
      </c>
      <c r="Y25" s="17">
        <v>0</v>
      </c>
      <c r="Z25" s="15">
        <f t="shared" si="6"/>
        <v>0</v>
      </c>
      <c r="AA25" s="17">
        <v>0</v>
      </c>
      <c r="AB25" s="17">
        <v>0</v>
      </c>
      <c r="AC25" s="15">
        <f t="shared" si="7"/>
        <v>0</v>
      </c>
      <c r="AD25" s="17">
        <v>0</v>
      </c>
      <c r="AE25" s="17">
        <v>0</v>
      </c>
      <c r="AF25" s="15">
        <f t="shared" si="8"/>
        <v>0</v>
      </c>
      <c r="AG25" s="17">
        <v>0</v>
      </c>
      <c r="AH25" s="17">
        <v>0</v>
      </c>
      <c r="AI25" s="15">
        <f t="shared" si="9"/>
        <v>0</v>
      </c>
      <c r="AJ25" s="17"/>
    </row>
    <row r="26" spans="1:36" hidden="1" x14ac:dyDescent="0.3">
      <c r="A26" s="15" t="s">
        <v>74</v>
      </c>
      <c r="B26" s="15">
        <v>100</v>
      </c>
      <c r="C26" s="15" t="s">
        <v>54</v>
      </c>
      <c r="D26" s="15" t="s">
        <v>55</v>
      </c>
      <c r="E26" s="15">
        <f>'26 june'!T26</f>
        <v>89</v>
      </c>
      <c r="F26" s="15">
        <f>'26 june'!U26</f>
        <v>28</v>
      </c>
      <c r="G26" s="15">
        <f>'26 june'!V26</f>
        <v>4</v>
      </c>
      <c r="H26" s="15">
        <f t="shared" si="0"/>
        <v>121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5">
        <f t="shared" si="1"/>
        <v>121</v>
      </c>
      <c r="T26" s="15">
        <f t="shared" si="2"/>
        <v>89</v>
      </c>
      <c r="U26" s="15">
        <f t="shared" si="3"/>
        <v>28</v>
      </c>
      <c r="V26" s="15">
        <f t="shared" si="4"/>
        <v>4</v>
      </c>
      <c r="W26" s="18" t="str">
        <f t="shared" si="5"/>
        <v/>
      </c>
      <c r="X26" s="17">
        <v>0</v>
      </c>
      <c r="Y26" s="17">
        <v>0</v>
      </c>
      <c r="Z26" s="15">
        <f t="shared" si="6"/>
        <v>0</v>
      </c>
      <c r="AA26" s="17">
        <v>0</v>
      </c>
      <c r="AB26" s="17">
        <v>0</v>
      </c>
      <c r="AC26" s="15">
        <f t="shared" si="7"/>
        <v>0</v>
      </c>
      <c r="AD26" s="17">
        <v>0</v>
      </c>
      <c r="AE26" s="17">
        <v>0</v>
      </c>
      <c r="AF26" s="15">
        <f t="shared" si="8"/>
        <v>0</v>
      </c>
      <c r="AG26" s="17">
        <v>0</v>
      </c>
      <c r="AH26" s="17">
        <v>0</v>
      </c>
      <c r="AI26" s="15">
        <f t="shared" si="9"/>
        <v>0</v>
      </c>
      <c r="AJ26" s="17"/>
    </row>
    <row r="27" spans="1:36" x14ac:dyDescent="0.3">
      <c r="A27" s="15" t="s">
        <v>75</v>
      </c>
      <c r="B27" s="15">
        <v>1000</v>
      </c>
      <c r="C27" s="15" t="s">
        <v>54</v>
      </c>
      <c r="D27" s="15" t="s">
        <v>68</v>
      </c>
      <c r="E27" s="15">
        <v>0</v>
      </c>
      <c r="F27" s="15">
        <v>0</v>
      </c>
      <c r="G27" s="15">
        <v>0</v>
      </c>
      <c r="H27" s="15">
        <f t="shared" si="0"/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5">
        <f t="shared" si="1"/>
        <v>0</v>
      </c>
      <c r="T27" s="15">
        <f t="shared" si="2"/>
        <v>0</v>
      </c>
      <c r="U27" s="15">
        <f t="shared" si="3"/>
        <v>0</v>
      </c>
      <c r="V27" s="15">
        <f t="shared" si="4"/>
        <v>0</v>
      </c>
      <c r="W27" s="18" t="str">
        <f t="shared" si="5"/>
        <v/>
      </c>
      <c r="X27" s="17">
        <v>0</v>
      </c>
      <c r="Y27" s="17">
        <v>0</v>
      </c>
      <c r="Z27" s="15">
        <f t="shared" si="6"/>
        <v>0</v>
      </c>
      <c r="AA27" s="17">
        <v>0</v>
      </c>
      <c r="AB27" s="17">
        <v>0</v>
      </c>
      <c r="AC27" s="15">
        <f t="shared" si="7"/>
        <v>0</v>
      </c>
      <c r="AD27" s="17">
        <v>0</v>
      </c>
      <c r="AE27" s="17">
        <v>0</v>
      </c>
      <c r="AF27" s="15">
        <f t="shared" si="8"/>
        <v>0</v>
      </c>
      <c r="AG27" s="17">
        <v>0</v>
      </c>
      <c r="AH27" s="17">
        <v>0</v>
      </c>
      <c r="AI27" s="15">
        <f t="shared" si="9"/>
        <v>0</v>
      </c>
      <c r="AJ27" s="17"/>
    </row>
    <row r="28" spans="1:36" x14ac:dyDescent="0.3">
      <c r="A28" s="15" t="s">
        <v>76</v>
      </c>
      <c r="B28" s="15">
        <v>100</v>
      </c>
      <c r="C28" s="15" t="s">
        <v>54</v>
      </c>
      <c r="D28" s="15" t="s">
        <v>68</v>
      </c>
      <c r="E28" s="15">
        <v>0</v>
      </c>
      <c r="F28" s="15">
        <v>0</v>
      </c>
      <c r="G28" s="15">
        <v>0</v>
      </c>
      <c r="H28" s="15">
        <f t="shared" si="0"/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5">
        <f t="shared" si="1"/>
        <v>0</v>
      </c>
      <c r="T28" s="15">
        <f t="shared" si="2"/>
        <v>0</v>
      </c>
      <c r="U28" s="15">
        <f t="shared" si="3"/>
        <v>0</v>
      </c>
      <c r="V28" s="15">
        <f t="shared" si="4"/>
        <v>0</v>
      </c>
      <c r="W28" s="18" t="str">
        <f t="shared" si="5"/>
        <v/>
      </c>
      <c r="X28" s="17">
        <v>0</v>
      </c>
      <c r="Y28" s="17">
        <v>0</v>
      </c>
      <c r="Z28" s="15">
        <f t="shared" si="6"/>
        <v>0</v>
      </c>
      <c r="AA28" s="17">
        <v>0</v>
      </c>
      <c r="AB28" s="17">
        <v>0</v>
      </c>
      <c r="AC28" s="15">
        <f t="shared" si="7"/>
        <v>0</v>
      </c>
      <c r="AD28" s="17">
        <v>0</v>
      </c>
      <c r="AE28" s="17">
        <v>0</v>
      </c>
      <c r="AF28" s="15">
        <f t="shared" si="8"/>
        <v>0</v>
      </c>
      <c r="AG28" s="17">
        <v>0</v>
      </c>
      <c r="AH28" s="17">
        <v>0</v>
      </c>
      <c r="AI28" s="15">
        <f t="shared" si="9"/>
        <v>0</v>
      </c>
      <c r="AJ28" s="17"/>
    </row>
    <row r="29" spans="1:36" hidden="1" x14ac:dyDescent="0.3">
      <c r="A29" s="15" t="s">
        <v>77</v>
      </c>
      <c r="B29" s="15">
        <v>100</v>
      </c>
      <c r="C29" s="15" t="s">
        <v>54</v>
      </c>
      <c r="D29" s="15" t="s">
        <v>55</v>
      </c>
      <c r="E29" s="15">
        <f>'26 june'!T29</f>
        <v>34</v>
      </c>
      <c r="F29" s="15">
        <f>'26 june'!U29</f>
        <v>0</v>
      </c>
      <c r="G29" s="15">
        <f>'26 june'!V29</f>
        <v>0</v>
      </c>
      <c r="H29" s="15">
        <f t="shared" si="0"/>
        <v>34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5">
        <f t="shared" si="1"/>
        <v>34</v>
      </c>
      <c r="T29" s="15">
        <f t="shared" si="2"/>
        <v>34</v>
      </c>
      <c r="U29" s="15">
        <f t="shared" si="3"/>
        <v>0</v>
      </c>
      <c r="V29" s="15">
        <f t="shared" si="4"/>
        <v>0</v>
      </c>
      <c r="W29" s="18" t="str">
        <f t="shared" si="5"/>
        <v/>
      </c>
      <c r="X29" s="17">
        <v>0</v>
      </c>
      <c r="Y29" s="17">
        <v>0</v>
      </c>
      <c r="Z29" s="15">
        <f t="shared" si="6"/>
        <v>0</v>
      </c>
      <c r="AA29" s="17">
        <v>0</v>
      </c>
      <c r="AB29" s="17">
        <v>0</v>
      </c>
      <c r="AC29" s="15">
        <f t="shared" si="7"/>
        <v>0</v>
      </c>
      <c r="AD29" s="17">
        <v>0</v>
      </c>
      <c r="AE29" s="17">
        <v>0</v>
      </c>
      <c r="AF29" s="15">
        <f t="shared" si="8"/>
        <v>0</v>
      </c>
      <c r="AG29" s="17">
        <v>0</v>
      </c>
      <c r="AH29" s="17">
        <v>0</v>
      </c>
      <c r="AI29" s="15">
        <f t="shared" si="9"/>
        <v>0</v>
      </c>
      <c r="AJ29" s="17"/>
    </row>
    <row r="30" spans="1:36" hidden="1" x14ac:dyDescent="0.3">
      <c r="A30" s="15" t="s">
        <v>78</v>
      </c>
      <c r="B30" s="15">
        <v>1000</v>
      </c>
      <c r="C30" s="15" t="s">
        <v>54</v>
      </c>
      <c r="D30" s="15" t="s">
        <v>55</v>
      </c>
      <c r="E30" s="15">
        <f>'26 june'!T30</f>
        <v>4</v>
      </c>
      <c r="F30" s="15">
        <f>'26 june'!U30</f>
        <v>7</v>
      </c>
      <c r="G30" s="15">
        <f>'26 june'!V30</f>
        <v>35</v>
      </c>
      <c r="H30" s="15">
        <f t="shared" si="0"/>
        <v>46</v>
      </c>
      <c r="I30" s="17">
        <v>4</v>
      </c>
      <c r="J30" s="17">
        <v>0</v>
      </c>
      <c r="K30" s="17">
        <v>10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5">
        <f t="shared" si="1"/>
        <v>32</v>
      </c>
      <c r="T30" s="15">
        <f t="shared" si="2"/>
        <v>0</v>
      </c>
      <c r="U30" s="15">
        <f t="shared" si="3"/>
        <v>7</v>
      </c>
      <c r="V30" s="15">
        <f t="shared" si="4"/>
        <v>25</v>
      </c>
      <c r="W30" s="18" t="str">
        <f t="shared" si="5"/>
        <v/>
      </c>
      <c r="X30" s="17">
        <v>0</v>
      </c>
      <c r="Y30" s="17">
        <v>0</v>
      </c>
      <c r="Z30" s="15">
        <f t="shared" si="6"/>
        <v>0</v>
      </c>
      <c r="AA30" s="17">
        <v>0</v>
      </c>
      <c r="AB30" s="17">
        <v>0</v>
      </c>
      <c r="AC30" s="15">
        <f t="shared" si="7"/>
        <v>0</v>
      </c>
      <c r="AD30" s="17">
        <v>0</v>
      </c>
      <c r="AE30" s="17">
        <v>0</v>
      </c>
      <c r="AF30" s="15">
        <f t="shared" si="8"/>
        <v>0</v>
      </c>
      <c r="AG30" s="17">
        <v>0</v>
      </c>
      <c r="AH30" s="17">
        <v>0</v>
      </c>
      <c r="AI30" s="15">
        <f t="shared" si="9"/>
        <v>0</v>
      </c>
      <c r="AJ30" s="17"/>
    </row>
    <row r="31" spans="1:36" hidden="1" x14ac:dyDescent="0.3">
      <c r="A31" s="15" t="s">
        <v>79</v>
      </c>
      <c r="B31" s="15">
        <v>1000</v>
      </c>
      <c r="C31" s="15" t="s">
        <v>54</v>
      </c>
      <c r="D31" s="15" t="s">
        <v>55</v>
      </c>
      <c r="E31" s="15">
        <f>'26 june'!T31</f>
        <v>9</v>
      </c>
      <c r="F31" s="15">
        <f>'26 june'!U31</f>
        <v>5</v>
      </c>
      <c r="G31" s="15">
        <f>'26 june'!V31</f>
        <v>27</v>
      </c>
      <c r="H31" s="15">
        <f t="shared" si="0"/>
        <v>41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5">
        <f t="shared" si="1"/>
        <v>41</v>
      </c>
      <c r="T31" s="15">
        <f t="shared" si="2"/>
        <v>9</v>
      </c>
      <c r="U31" s="15">
        <f t="shared" si="3"/>
        <v>5</v>
      </c>
      <c r="V31" s="15">
        <f t="shared" si="4"/>
        <v>27</v>
      </c>
      <c r="W31" s="18" t="str">
        <f t="shared" si="5"/>
        <v/>
      </c>
      <c r="X31" s="17">
        <v>0</v>
      </c>
      <c r="Y31" s="17">
        <v>0</v>
      </c>
      <c r="Z31" s="15">
        <f t="shared" si="6"/>
        <v>0</v>
      </c>
      <c r="AA31" s="17">
        <v>0</v>
      </c>
      <c r="AB31" s="17">
        <v>0</v>
      </c>
      <c r="AC31" s="15">
        <f t="shared" si="7"/>
        <v>0</v>
      </c>
      <c r="AD31" s="17">
        <v>0</v>
      </c>
      <c r="AE31" s="17">
        <v>0</v>
      </c>
      <c r="AF31" s="15">
        <f t="shared" si="8"/>
        <v>0</v>
      </c>
      <c r="AG31" s="17">
        <v>0</v>
      </c>
      <c r="AH31" s="17">
        <v>0</v>
      </c>
      <c r="AI31" s="15">
        <f t="shared" si="9"/>
        <v>0</v>
      </c>
      <c r="AJ31" s="17"/>
    </row>
    <row r="32" spans="1:36" hidden="1" x14ac:dyDescent="0.3">
      <c r="A32" s="15" t="s">
        <v>80</v>
      </c>
      <c r="B32" s="15">
        <v>25000</v>
      </c>
      <c r="C32" s="15" t="s">
        <v>54</v>
      </c>
      <c r="D32" s="15" t="s">
        <v>55</v>
      </c>
      <c r="E32" s="15">
        <f>'26 june'!T32</f>
        <v>4</v>
      </c>
      <c r="F32" s="15">
        <f>'26 june'!U32</f>
        <v>0</v>
      </c>
      <c r="G32" s="15">
        <f>'26 june'!V32</f>
        <v>0</v>
      </c>
      <c r="H32" s="15">
        <f t="shared" si="0"/>
        <v>4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5">
        <f t="shared" si="1"/>
        <v>4</v>
      </c>
      <c r="T32" s="15">
        <f t="shared" si="2"/>
        <v>4</v>
      </c>
      <c r="U32" s="15">
        <f t="shared" si="3"/>
        <v>0</v>
      </c>
      <c r="V32" s="15">
        <f t="shared" si="4"/>
        <v>0</v>
      </c>
      <c r="W32" s="18" t="str">
        <f t="shared" si="5"/>
        <v/>
      </c>
      <c r="X32" s="17">
        <v>0</v>
      </c>
      <c r="Y32" s="17">
        <v>0</v>
      </c>
      <c r="Z32" s="15">
        <f t="shared" si="6"/>
        <v>0</v>
      </c>
      <c r="AA32" s="17">
        <v>0</v>
      </c>
      <c r="AB32" s="17">
        <v>0</v>
      </c>
      <c r="AC32" s="15">
        <f t="shared" si="7"/>
        <v>0</v>
      </c>
      <c r="AD32" s="17">
        <v>0</v>
      </c>
      <c r="AE32" s="17">
        <v>0</v>
      </c>
      <c r="AF32" s="15">
        <f t="shared" si="8"/>
        <v>0</v>
      </c>
      <c r="AG32" s="17">
        <v>0</v>
      </c>
      <c r="AH32" s="17">
        <v>0</v>
      </c>
      <c r="AI32" s="15">
        <f t="shared" si="9"/>
        <v>0</v>
      </c>
      <c r="AJ32" s="17"/>
    </row>
    <row r="33" spans="1:36" hidden="1" x14ac:dyDescent="0.3">
      <c r="A33" s="15" t="s">
        <v>81</v>
      </c>
      <c r="B33" s="15">
        <v>25000</v>
      </c>
      <c r="C33" s="15" t="s">
        <v>54</v>
      </c>
      <c r="D33" s="15" t="s">
        <v>55</v>
      </c>
      <c r="E33" s="15">
        <f>'26 june'!T33</f>
        <v>10</v>
      </c>
      <c r="F33" s="15">
        <f>'26 june'!U33</f>
        <v>0</v>
      </c>
      <c r="G33" s="15">
        <f>'26 june'!V33</f>
        <v>0</v>
      </c>
      <c r="H33" s="15">
        <f t="shared" si="0"/>
        <v>10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5">
        <f t="shared" si="1"/>
        <v>10</v>
      </c>
      <c r="T33" s="15">
        <f t="shared" si="2"/>
        <v>10</v>
      </c>
      <c r="U33" s="15">
        <f t="shared" si="3"/>
        <v>0</v>
      </c>
      <c r="V33" s="15">
        <f t="shared" si="4"/>
        <v>0</v>
      </c>
      <c r="W33" s="18" t="str">
        <f t="shared" si="5"/>
        <v/>
      </c>
      <c r="X33" s="17">
        <v>0</v>
      </c>
      <c r="Y33" s="17">
        <v>0</v>
      </c>
      <c r="Z33" s="15">
        <f t="shared" si="6"/>
        <v>0</v>
      </c>
      <c r="AA33" s="17">
        <v>0</v>
      </c>
      <c r="AB33" s="17">
        <v>0</v>
      </c>
      <c r="AC33" s="15">
        <f t="shared" si="7"/>
        <v>0</v>
      </c>
      <c r="AD33" s="17">
        <v>0</v>
      </c>
      <c r="AE33" s="17">
        <v>0</v>
      </c>
      <c r="AF33" s="15">
        <f t="shared" si="8"/>
        <v>0</v>
      </c>
      <c r="AG33" s="17">
        <v>0</v>
      </c>
      <c r="AH33" s="17">
        <v>0</v>
      </c>
      <c r="AI33" s="15">
        <f t="shared" si="9"/>
        <v>0</v>
      </c>
      <c r="AJ33" s="17"/>
    </row>
    <row r="34" spans="1:36" x14ac:dyDescent="0.3">
      <c r="A34" s="15" t="s">
        <v>82</v>
      </c>
      <c r="B34" s="15">
        <v>1000</v>
      </c>
      <c r="C34" s="15" t="s">
        <v>54</v>
      </c>
      <c r="D34" s="15" t="s">
        <v>68</v>
      </c>
      <c r="E34" s="15">
        <v>0</v>
      </c>
      <c r="F34" s="15">
        <v>0</v>
      </c>
      <c r="G34" s="15">
        <v>0</v>
      </c>
      <c r="H34" s="15">
        <f t="shared" si="0"/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5">
        <f t="shared" si="1"/>
        <v>0</v>
      </c>
      <c r="T34" s="15">
        <f t="shared" si="2"/>
        <v>0</v>
      </c>
      <c r="U34" s="15">
        <f t="shared" si="3"/>
        <v>0</v>
      </c>
      <c r="V34" s="15">
        <f t="shared" si="4"/>
        <v>0</v>
      </c>
      <c r="W34" s="18" t="str">
        <f t="shared" si="5"/>
        <v/>
      </c>
      <c r="X34" s="17">
        <v>0</v>
      </c>
      <c r="Y34" s="17">
        <v>0</v>
      </c>
      <c r="Z34" s="15">
        <f t="shared" si="6"/>
        <v>0</v>
      </c>
      <c r="AA34" s="17">
        <v>0</v>
      </c>
      <c r="AB34" s="17">
        <v>0</v>
      </c>
      <c r="AC34" s="15">
        <f t="shared" si="7"/>
        <v>0</v>
      </c>
      <c r="AD34" s="17">
        <v>0</v>
      </c>
      <c r="AE34" s="17">
        <v>0</v>
      </c>
      <c r="AF34" s="15">
        <f t="shared" si="8"/>
        <v>0</v>
      </c>
      <c r="AG34" s="17">
        <v>0</v>
      </c>
      <c r="AH34" s="17">
        <v>0</v>
      </c>
      <c r="AI34" s="15">
        <f t="shared" si="9"/>
        <v>0</v>
      </c>
      <c r="AJ34" s="17"/>
    </row>
    <row r="35" spans="1:36" x14ac:dyDescent="0.3">
      <c r="A35" s="15" t="s">
        <v>83</v>
      </c>
      <c r="B35" s="15">
        <v>100</v>
      </c>
      <c r="C35" s="15" t="s">
        <v>54</v>
      </c>
      <c r="D35" s="15" t="s">
        <v>57</v>
      </c>
      <c r="E35" s="15">
        <v>0</v>
      </c>
      <c r="F35" s="15">
        <v>0</v>
      </c>
      <c r="G35" s="15">
        <v>0</v>
      </c>
      <c r="H35" s="15">
        <f t="shared" ref="H35:H66" si="10">E35+F35+G35</f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5">
        <f t="shared" ref="S35:S66" si="11">H35+O35+P35+Q35+R35-(I35+J35+K35+L35+M35+N35)</f>
        <v>0</v>
      </c>
      <c r="T35" s="15">
        <f t="shared" ref="T35:T66" si="12">E35+O35-I35-L35</f>
        <v>0</v>
      </c>
      <c r="U35" s="15">
        <f t="shared" ref="U35:U66" si="13">F35+P35-J35-M35</f>
        <v>0</v>
      </c>
      <c r="V35" s="15">
        <f t="shared" ref="V35:V66" si="14">G35+Q35-K35-N35</f>
        <v>0</v>
      </c>
      <c r="W35" s="18" t="str">
        <f t="shared" ref="W35:W66" si="15">IF(MIN(T35,U35,V35)&lt;0,"NEGATIVE STOCK - CHECK ENTRIES","")</f>
        <v/>
      </c>
      <c r="X35" s="17">
        <v>0</v>
      </c>
      <c r="Y35" s="17">
        <v>0</v>
      </c>
      <c r="Z35" s="15">
        <f t="shared" ref="Z35:Z66" si="16">X35-Y35</f>
        <v>0</v>
      </c>
      <c r="AA35" s="17">
        <v>0</v>
      </c>
      <c r="AB35" s="17">
        <v>0</v>
      </c>
      <c r="AC35" s="15">
        <f t="shared" ref="AC35:AC66" si="17">AA35-AB35</f>
        <v>0</v>
      </c>
      <c r="AD35" s="17">
        <v>0</v>
      </c>
      <c r="AE35" s="17">
        <v>0</v>
      </c>
      <c r="AF35" s="15">
        <f t="shared" ref="AF35:AF66" si="18">AD35-AE35</f>
        <v>0</v>
      </c>
      <c r="AG35" s="17">
        <v>0</v>
      </c>
      <c r="AH35" s="17">
        <v>0</v>
      </c>
      <c r="AI35" s="15">
        <f t="shared" ref="AI35:AI66" si="19">AG35-AH35</f>
        <v>0</v>
      </c>
      <c r="AJ35" s="17"/>
    </row>
    <row r="36" spans="1:36" hidden="1" x14ac:dyDescent="0.3">
      <c r="A36" s="15" t="s">
        <v>84</v>
      </c>
      <c r="B36" s="15">
        <v>1000</v>
      </c>
      <c r="C36" s="15" t="s">
        <v>54</v>
      </c>
      <c r="D36" s="15" t="s">
        <v>55</v>
      </c>
      <c r="E36" s="15">
        <f>'26 june'!T36</f>
        <v>0</v>
      </c>
      <c r="F36" s="15">
        <f>'26 june'!U36</f>
        <v>0</v>
      </c>
      <c r="G36" s="15">
        <f>'26 june'!V36</f>
        <v>0</v>
      </c>
      <c r="H36" s="15">
        <f t="shared" si="10"/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5">
        <f t="shared" si="11"/>
        <v>0</v>
      </c>
      <c r="T36" s="15">
        <f t="shared" si="12"/>
        <v>0</v>
      </c>
      <c r="U36" s="15">
        <f t="shared" si="13"/>
        <v>0</v>
      </c>
      <c r="V36" s="15">
        <f t="shared" si="14"/>
        <v>0</v>
      </c>
      <c r="W36" s="18" t="str">
        <f t="shared" si="15"/>
        <v/>
      </c>
      <c r="X36" s="17">
        <v>0</v>
      </c>
      <c r="Y36" s="17">
        <v>0</v>
      </c>
      <c r="Z36" s="15">
        <f t="shared" si="16"/>
        <v>0</v>
      </c>
      <c r="AA36" s="17">
        <v>0</v>
      </c>
      <c r="AB36" s="17">
        <v>0</v>
      </c>
      <c r="AC36" s="15">
        <f t="shared" si="17"/>
        <v>0</v>
      </c>
      <c r="AD36" s="17">
        <v>0</v>
      </c>
      <c r="AE36" s="17">
        <v>0</v>
      </c>
      <c r="AF36" s="15">
        <f t="shared" si="18"/>
        <v>0</v>
      </c>
      <c r="AG36" s="17">
        <v>0</v>
      </c>
      <c r="AH36" s="17">
        <v>0</v>
      </c>
      <c r="AI36" s="15">
        <f t="shared" si="19"/>
        <v>0</v>
      </c>
      <c r="AJ36" s="17"/>
    </row>
    <row r="37" spans="1:36" x14ac:dyDescent="0.3">
      <c r="A37" s="15" t="s">
        <v>85</v>
      </c>
      <c r="B37" s="15">
        <v>1000</v>
      </c>
      <c r="C37" s="15" t="s">
        <v>54</v>
      </c>
      <c r="D37" s="15" t="s">
        <v>68</v>
      </c>
      <c r="E37" s="15">
        <v>0</v>
      </c>
      <c r="F37" s="15">
        <v>0</v>
      </c>
      <c r="G37" s="15">
        <v>0</v>
      </c>
      <c r="H37" s="15">
        <f t="shared" si="10"/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5">
        <f t="shared" si="11"/>
        <v>0</v>
      </c>
      <c r="T37" s="15">
        <f t="shared" si="12"/>
        <v>0</v>
      </c>
      <c r="U37" s="15">
        <f t="shared" si="13"/>
        <v>0</v>
      </c>
      <c r="V37" s="15">
        <f t="shared" si="14"/>
        <v>0</v>
      </c>
      <c r="W37" s="18" t="str">
        <f t="shared" si="15"/>
        <v/>
      </c>
      <c r="X37" s="17">
        <v>0</v>
      </c>
      <c r="Y37" s="17">
        <v>0</v>
      </c>
      <c r="Z37" s="15">
        <f t="shared" si="16"/>
        <v>0</v>
      </c>
      <c r="AA37" s="17">
        <v>0</v>
      </c>
      <c r="AB37" s="17">
        <v>0</v>
      </c>
      <c r="AC37" s="15">
        <f t="shared" si="17"/>
        <v>0</v>
      </c>
      <c r="AD37" s="17">
        <v>0</v>
      </c>
      <c r="AE37" s="17">
        <v>0</v>
      </c>
      <c r="AF37" s="15">
        <f t="shared" si="18"/>
        <v>0</v>
      </c>
      <c r="AG37" s="17">
        <v>0</v>
      </c>
      <c r="AH37" s="17">
        <v>0</v>
      </c>
      <c r="AI37" s="15">
        <f t="shared" si="19"/>
        <v>0</v>
      </c>
      <c r="AJ37" s="17"/>
    </row>
    <row r="38" spans="1:36" x14ac:dyDescent="0.3">
      <c r="A38" s="15" t="s">
        <v>86</v>
      </c>
      <c r="B38" s="15">
        <v>100</v>
      </c>
      <c r="C38" s="15" t="s">
        <v>54</v>
      </c>
      <c r="D38" s="15" t="s">
        <v>57</v>
      </c>
      <c r="E38" s="15">
        <v>0</v>
      </c>
      <c r="F38" s="15">
        <v>0</v>
      </c>
      <c r="G38" s="15">
        <v>0</v>
      </c>
      <c r="H38" s="15">
        <f t="shared" si="10"/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5">
        <f t="shared" si="11"/>
        <v>0</v>
      </c>
      <c r="T38" s="15">
        <f t="shared" si="12"/>
        <v>0</v>
      </c>
      <c r="U38" s="15">
        <f t="shared" si="13"/>
        <v>0</v>
      </c>
      <c r="V38" s="15">
        <f t="shared" si="14"/>
        <v>0</v>
      </c>
      <c r="W38" s="18" t="str">
        <f t="shared" si="15"/>
        <v/>
      </c>
      <c r="X38" s="17">
        <v>0</v>
      </c>
      <c r="Y38" s="17">
        <v>0</v>
      </c>
      <c r="Z38" s="15">
        <f t="shared" si="16"/>
        <v>0</v>
      </c>
      <c r="AA38" s="17">
        <v>0</v>
      </c>
      <c r="AB38" s="17">
        <v>0</v>
      </c>
      <c r="AC38" s="15">
        <f t="shared" si="17"/>
        <v>0</v>
      </c>
      <c r="AD38" s="17">
        <v>0</v>
      </c>
      <c r="AE38" s="17">
        <v>0</v>
      </c>
      <c r="AF38" s="15">
        <f t="shared" si="18"/>
        <v>0</v>
      </c>
      <c r="AG38" s="17">
        <v>0</v>
      </c>
      <c r="AH38" s="17">
        <v>0</v>
      </c>
      <c r="AI38" s="15">
        <f t="shared" si="19"/>
        <v>0</v>
      </c>
      <c r="AJ38" s="17"/>
    </row>
    <row r="39" spans="1:36" x14ac:dyDescent="0.3">
      <c r="A39" s="15" t="s">
        <v>87</v>
      </c>
      <c r="B39" s="15">
        <v>100000</v>
      </c>
      <c r="C39" s="15" t="s">
        <v>54</v>
      </c>
      <c r="D39" s="15" t="s">
        <v>68</v>
      </c>
      <c r="E39" s="15">
        <v>0</v>
      </c>
      <c r="F39" s="15">
        <v>0</v>
      </c>
      <c r="G39" s="15">
        <v>0</v>
      </c>
      <c r="H39" s="15">
        <f t="shared" si="10"/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5">
        <f t="shared" si="11"/>
        <v>0</v>
      </c>
      <c r="T39" s="15">
        <f t="shared" si="12"/>
        <v>0</v>
      </c>
      <c r="U39" s="15">
        <f t="shared" si="13"/>
        <v>0</v>
      </c>
      <c r="V39" s="15">
        <f t="shared" si="14"/>
        <v>0</v>
      </c>
      <c r="W39" s="18" t="str">
        <f t="shared" si="15"/>
        <v/>
      </c>
      <c r="X39" s="17">
        <v>0</v>
      </c>
      <c r="Y39" s="17">
        <v>0</v>
      </c>
      <c r="Z39" s="15">
        <f t="shared" si="16"/>
        <v>0</v>
      </c>
      <c r="AA39" s="17">
        <v>0</v>
      </c>
      <c r="AB39" s="17">
        <v>0</v>
      </c>
      <c r="AC39" s="15">
        <f t="shared" si="17"/>
        <v>0</v>
      </c>
      <c r="AD39" s="17">
        <v>0</v>
      </c>
      <c r="AE39" s="17">
        <v>0</v>
      </c>
      <c r="AF39" s="15">
        <f t="shared" si="18"/>
        <v>0</v>
      </c>
      <c r="AG39" s="17">
        <v>0</v>
      </c>
      <c r="AH39" s="17">
        <v>0</v>
      </c>
      <c r="AI39" s="15">
        <f t="shared" si="19"/>
        <v>0</v>
      </c>
      <c r="AJ39" s="17"/>
    </row>
    <row r="40" spans="1:36" x14ac:dyDescent="0.3">
      <c r="A40" s="15" t="s">
        <v>88</v>
      </c>
      <c r="B40" s="15">
        <v>100000</v>
      </c>
      <c r="C40" s="15" t="s">
        <v>54</v>
      </c>
      <c r="D40" s="15" t="s">
        <v>68</v>
      </c>
      <c r="E40" s="15">
        <v>0</v>
      </c>
      <c r="F40" s="15">
        <v>0</v>
      </c>
      <c r="G40" s="15">
        <v>0</v>
      </c>
      <c r="H40" s="15">
        <f t="shared" si="10"/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5">
        <f t="shared" si="11"/>
        <v>0</v>
      </c>
      <c r="T40" s="15">
        <f t="shared" si="12"/>
        <v>0</v>
      </c>
      <c r="U40" s="15">
        <f t="shared" si="13"/>
        <v>0</v>
      </c>
      <c r="V40" s="15">
        <f t="shared" si="14"/>
        <v>0</v>
      </c>
      <c r="W40" s="18" t="str">
        <f t="shared" si="15"/>
        <v/>
      </c>
      <c r="X40" s="17">
        <v>0</v>
      </c>
      <c r="Y40" s="17">
        <v>0</v>
      </c>
      <c r="Z40" s="15">
        <f t="shared" si="16"/>
        <v>0</v>
      </c>
      <c r="AA40" s="17">
        <v>0</v>
      </c>
      <c r="AB40" s="17">
        <v>0</v>
      </c>
      <c r="AC40" s="15">
        <f t="shared" si="17"/>
        <v>0</v>
      </c>
      <c r="AD40" s="17">
        <v>0</v>
      </c>
      <c r="AE40" s="17">
        <v>0</v>
      </c>
      <c r="AF40" s="15">
        <f t="shared" si="18"/>
        <v>0</v>
      </c>
      <c r="AG40" s="17">
        <v>0</v>
      </c>
      <c r="AH40" s="17">
        <v>0</v>
      </c>
      <c r="AI40" s="15">
        <f t="shared" si="19"/>
        <v>0</v>
      </c>
      <c r="AJ40" s="17"/>
    </row>
    <row r="41" spans="1:36" hidden="1" x14ac:dyDescent="0.3">
      <c r="A41" s="15" t="s">
        <v>89</v>
      </c>
      <c r="B41" s="15">
        <v>100</v>
      </c>
      <c r="C41" s="15" t="s">
        <v>54</v>
      </c>
      <c r="D41" s="15" t="s">
        <v>55</v>
      </c>
      <c r="E41" s="15">
        <f>'26 june'!T41</f>
        <v>9</v>
      </c>
      <c r="F41" s="15">
        <f>'26 june'!U41</f>
        <v>0</v>
      </c>
      <c r="G41" s="15">
        <f>'26 june'!V41</f>
        <v>0</v>
      </c>
      <c r="H41" s="15">
        <f t="shared" si="10"/>
        <v>9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5">
        <f t="shared" si="11"/>
        <v>9</v>
      </c>
      <c r="T41" s="15">
        <f t="shared" si="12"/>
        <v>9</v>
      </c>
      <c r="U41" s="15">
        <f t="shared" si="13"/>
        <v>0</v>
      </c>
      <c r="V41" s="15">
        <f t="shared" si="14"/>
        <v>0</v>
      </c>
      <c r="W41" s="18" t="str">
        <f t="shared" si="15"/>
        <v/>
      </c>
      <c r="X41" s="17">
        <v>0</v>
      </c>
      <c r="Y41" s="17">
        <v>0</v>
      </c>
      <c r="Z41" s="15">
        <f t="shared" si="16"/>
        <v>0</v>
      </c>
      <c r="AA41" s="17">
        <v>0</v>
      </c>
      <c r="AB41" s="17">
        <v>0</v>
      </c>
      <c r="AC41" s="15">
        <f t="shared" si="17"/>
        <v>0</v>
      </c>
      <c r="AD41" s="17">
        <v>0</v>
      </c>
      <c r="AE41" s="17">
        <v>0</v>
      </c>
      <c r="AF41" s="15">
        <f t="shared" si="18"/>
        <v>0</v>
      </c>
      <c r="AG41" s="17">
        <v>0</v>
      </c>
      <c r="AH41" s="17">
        <v>0</v>
      </c>
      <c r="AI41" s="15">
        <f t="shared" si="19"/>
        <v>0</v>
      </c>
      <c r="AJ41" s="17"/>
    </row>
    <row r="42" spans="1:36" x14ac:dyDescent="0.3">
      <c r="A42" s="15" t="s">
        <v>90</v>
      </c>
      <c r="B42" s="15">
        <v>100</v>
      </c>
      <c r="C42" s="15" t="s">
        <v>54</v>
      </c>
      <c r="D42" s="15" t="s">
        <v>57</v>
      </c>
      <c r="E42" s="15">
        <v>0</v>
      </c>
      <c r="F42" s="15">
        <v>0</v>
      </c>
      <c r="G42" s="15">
        <v>0</v>
      </c>
      <c r="H42" s="15">
        <f t="shared" si="10"/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5">
        <f t="shared" si="11"/>
        <v>0</v>
      </c>
      <c r="T42" s="15">
        <f t="shared" si="12"/>
        <v>0</v>
      </c>
      <c r="U42" s="15">
        <f t="shared" si="13"/>
        <v>0</v>
      </c>
      <c r="V42" s="15">
        <f t="shared" si="14"/>
        <v>0</v>
      </c>
      <c r="W42" s="18" t="str">
        <f t="shared" si="15"/>
        <v/>
      </c>
      <c r="X42" s="17">
        <v>0</v>
      </c>
      <c r="Y42" s="17">
        <v>0</v>
      </c>
      <c r="Z42" s="15">
        <f t="shared" si="16"/>
        <v>0</v>
      </c>
      <c r="AA42" s="17">
        <v>0</v>
      </c>
      <c r="AB42" s="17">
        <v>0</v>
      </c>
      <c r="AC42" s="15">
        <f t="shared" si="17"/>
        <v>0</v>
      </c>
      <c r="AD42" s="17">
        <v>0</v>
      </c>
      <c r="AE42" s="17">
        <v>0</v>
      </c>
      <c r="AF42" s="15">
        <f t="shared" si="18"/>
        <v>0</v>
      </c>
      <c r="AG42" s="17">
        <v>0</v>
      </c>
      <c r="AH42" s="17">
        <v>0</v>
      </c>
      <c r="AI42" s="15">
        <f t="shared" si="19"/>
        <v>0</v>
      </c>
      <c r="AJ42" s="17"/>
    </row>
    <row r="43" spans="1:36" hidden="1" x14ac:dyDescent="0.3">
      <c r="A43" s="15" t="s">
        <v>91</v>
      </c>
      <c r="B43" s="15">
        <v>1000</v>
      </c>
      <c r="C43" s="15" t="s">
        <v>54</v>
      </c>
      <c r="D43" s="15" t="s">
        <v>55</v>
      </c>
      <c r="E43" s="15">
        <f>'26 june'!T43</f>
        <v>70</v>
      </c>
      <c r="F43" s="15">
        <f>'26 june'!U43</f>
        <v>142</v>
      </c>
      <c r="G43" s="15">
        <f>'26 june'!V43</f>
        <v>5</v>
      </c>
      <c r="H43" s="15">
        <f t="shared" si="10"/>
        <v>217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5">
        <f t="shared" si="11"/>
        <v>217</v>
      </c>
      <c r="T43" s="15">
        <f t="shared" si="12"/>
        <v>70</v>
      </c>
      <c r="U43" s="15">
        <f t="shared" si="13"/>
        <v>142</v>
      </c>
      <c r="V43" s="15">
        <f t="shared" si="14"/>
        <v>5</v>
      </c>
      <c r="W43" s="18" t="str">
        <f t="shared" si="15"/>
        <v/>
      </c>
      <c r="X43" s="17">
        <v>0</v>
      </c>
      <c r="Y43" s="17">
        <v>0</v>
      </c>
      <c r="Z43" s="15">
        <f t="shared" si="16"/>
        <v>0</v>
      </c>
      <c r="AA43" s="17">
        <v>0</v>
      </c>
      <c r="AB43" s="17">
        <v>0</v>
      </c>
      <c r="AC43" s="15">
        <f t="shared" si="17"/>
        <v>0</v>
      </c>
      <c r="AD43" s="17">
        <v>0</v>
      </c>
      <c r="AE43" s="17">
        <v>0</v>
      </c>
      <c r="AF43" s="15">
        <f t="shared" si="18"/>
        <v>0</v>
      </c>
      <c r="AG43" s="17">
        <v>0</v>
      </c>
      <c r="AH43" s="17">
        <v>0</v>
      </c>
      <c r="AI43" s="15">
        <f t="shared" si="19"/>
        <v>0</v>
      </c>
      <c r="AJ43" s="17"/>
    </row>
    <row r="44" spans="1:36" x14ac:dyDescent="0.3">
      <c r="A44" s="15" t="s">
        <v>92</v>
      </c>
      <c r="B44" s="15">
        <v>100</v>
      </c>
      <c r="C44" s="15" t="s">
        <v>54</v>
      </c>
      <c r="D44" s="15" t="s">
        <v>68</v>
      </c>
      <c r="E44" s="15">
        <v>0</v>
      </c>
      <c r="F44" s="15">
        <v>0</v>
      </c>
      <c r="G44" s="15">
        <v>0</v>
      </c>
      <c r="H44" s="15">
        <f t="shared" si="10"/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5">
        <f t="shared" si="11"/>
        <v>0</v>
      </c>
      <c r="T44" s="15">
        <f t="shared" si="12"/>
        <v>0</v>
      </c>
      <c r="U44" s="15">
        <f t="shared" si="13"/>
        <v>0</v>
      </c>
      <c r="V44" s="15">
        <f t="shared" si="14"/>
        <v>0</v>
      </c>
      <c r="W44" s="18" t="str">
        <f t="shared" si="15"/>
        <v/>
      </c>
      <c r="X44" s="17">
        <v>0</v>
      </c>
      <c r="Y44" s="17">
        <v>0</v>
      </c>
      <c r="Z44" s="15">
        <f t="shared" si="16"/>
        <v>0</v>
      </c>
      <c r="AA44" s="17">
        <v>0</v>
      </c>
      <c r="AB44" s="17">
        <v>0</v>
      </c>
      <c r="AC44" s="15">
        <f t="shared" si="17"/>
        <v>0</v>
      </c>
      <c r="AD44" s="17">
        <v>0</v>
      </c>
      <c r="AE44" s="17">
        <v>0</v>
      </c>
      <c r="AF44" s="15">
        <f t="shared" si="18"/>
        <v>0</v>
      </c>
      <c r="AG44" s="17">
        <v>0</v>
      </c>
      <c r="AH44" s="17">
        <v>0</v>
      </c>
      <c r="AI44" s="15">
        <f t="shared" si="19"/>
        <v>0</v>
      </c>
      <c r="AJ44" s="17"/>
    </row>
    <row r="45" spans="1:36" x14ac:dyDescent="0.3">
      <c r="A45" s="15" t="s">
        <v>93</v>
      </c>
      <c r="B45" s="15">
        <v>100000</v>
      </c>
      <c r="C45" s="15" t="s">
        <v>54</v>
      </c>
      <c r="D45" s="15" t="s">
        <v>68</v>
      </c>
      <c r="E45" s="15">
        <v>0</v>
      </c>
      <c r="F45" s="15">
        <v>0</v>
      </c>
      <c r="G45" s="15">
        <v>0</v>
      </c>
      <c r="H45" s="15">
        <f t="shared" si="10"/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5">
        <f t="shared" si="11"/>
        <v>0</v>
      </c>
      <c r="T45" s="15">
        <f t="shared" si="12"/>
        <v>0</v>
      </c>
      <c r="U45" s="15">
        <f t="shared" si="13"/>
        <v>0</v>
      </c>
      <c r="V45" s="15">
        <f t="shared" si="14"/>
        <v>0</v>
      </c>
      <c r="W45" s="18" t="str">
        <f t="shared" si="15"/>
        <v/>
      </c>
      <c r="X45" s="17">
        <v>0</v>
      </c>
      <c r="Y45" s="17">
        <v>0</v>
      </c>
      <c r="Z45" s="15">
        <f t="shared" si="16"/>
        <v>0</v>
      </c>
      <c r="AA45" s="17">
        <v>0</v>
      </c>
      <c r="AB45" s="17">
        <v>0</v>
      </c>
      <c r="AC45" s="15">
        <f t="shared" si="17"/>
        <v>0</v>
      </c>
      <c r="AD45" s="17">
        <v>0</v>
      </c>
      <c r="AE45" s="17">
        <v>0</v>
      </c>
      <c r="AF45" s="15">
        <f t="shared" si="18"/>
        <v>0</v>
      </c>
      <c r="AG45" s="17">
        <v>0</v>
      </c>
      <c r="AH45" s="17">
        <v>0</v>
      </c>
      <c r="AI45" s="15">
        <f t="shared" si="19"/>
        <v>0</v>
      </c>
      <c r="AJ45" s="17"/>
    </row>
    <row r="46" spans="1:36" hidden="1" x14ac:dyDescent="0.3">
      <c r="A46" s="15" t="s">
        <v>94</v>
      </c>
      <c r="B46" s="15">
        <v>100</v>
      </c>
      <c r="C46" s="15" t="s">
        <v>54</v>
      </c>
      <c r="D46" s="15" t="s">
        <v>55</v>
      </c>
      <c r="E46" s="15">
        <f>'26 june'!T46</f>
        <v>5</v>
      </c>
      <c r="F46" s="15">
        <f>'26 june'!U46</f>
        <v>0</v>
      </c>
      <c r="G46" s="15">
        <f>'26 june'!V46</f>
        <v>0</v>
      </c>
      <c r="H46" s="15">
        <f t="shared" si="10"/>
        <v>5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5">
        <f t="shared" si="11"/>
        <v>5</v>
      </c>
      <c r="T46" s="15">
        <f t="shared" si="12"/>
        <v>5</v>
      </c>
      <c r="U46" s="15">
        <f t="shared" si="13"/>
        <v>0</v>
      </c>
      <c r="V46" s="15">
        <f t="shared" si="14"/>
        <v>0</v>
      </c>
      <c r="W46" s="18" t="str">
        <f t="shared" si="15"/>
        <v/>
      </c>
      <c r="X46" s="17">
        <v>0</v>
      </c>
      <c r="Y46" s="17">
        <v>0</v>
      </c>
      <c r="Z46" s="15">
        <f t="shared" si="16"/>
        <v>0</v>
      </c>
      <c r="AA46" s="17">
        <v>0</v>
      </c>
      <c r="AB46" s="17">
        <v>0</v>
      </c>
      <c r="AC46" s="15">
        <f t="shared" si="17"/>
        <v>0</v>
      </c>
      <c r="AD46" s="17">
        <v>0</v>
      </c>
      <c r="AE46" s="17">
        <v>0</v>
      </c>
      <c r="AF46" s="15">
        <f t="shared" si="18"/>
        <v>0</v>
      </c>
      <c r="AG46" s="17">
        <v>0</v>
      </c>
      <c r="AH46" s="17">
        <v>0</v>
      </c>
      <c r="AI46" s="15">
        <f t="shared" si="19"/>
        <v>0</v>
      </c>
      <c r="AJ46" s="17"/>
    </row>
    <row r="47" spans="1:36" x14ac:dyDescent="0.3">
      <c r="A47" s="15" t="s">
        <v>94</v>
      </c>
      <c r="B47" s="15">
        <v>100</v>
      </c>
      <c r="C47" s="15" t="s">
        <v>54</v>
      </c>
      <c r="D47" s="15" t="s">
        <v>57</v>
      </c>
      <c r="E47" s="15">
        <v>0</v>
      </c>
      <c r="F47" s="15">
        <v>0</v>
      </c>
      <c r="G47" s="15">
        <v>0</v>
      </c>
      <c r="H47" s="15">
        <f t="shared" si="10"/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5">
        <f t="shared" si="11"/>
        <v>0</v>
      </c>
      <c r="T47" s="15">
        <f t="shared" si="12"/>
        <v>0</v>
      </c>
      <c r="U47" s="15">
        <f t="shared" si="13"/>
        <v>0</v>
      </c>
      <c r="V47" s="15">
        <f t="shared" si="14"/>
        <v>0</v>
      </c>
      <c r="W47" s="18" t="str">
        <f t="shared" si="15"/>
        <v/>
      </c>
      <c r="X47" s="17">
        <v>0</v>
      </c>
      <c r="Y47" s="17">
        <v>0</v>
      </c>
      <c r="Z47" s="15">
        <f t="shared" si="16"/>
        <v>0</v>
      </c>
      <c r="AA47" s="17">
        <v>0</v>
      </c>
      <c r="AB47" s="17">
        <v>0</v>
      </c>
      <c r="AC47" s="15">
        <f t="shared" si="17"/>
        <v>0</v>
      </c>
      <c r="AD47" s="17">
        <v>0</v>
      </c>
      <c r="AE47" s="17">
        <v>0</v>
      </c>
      <c r="AF47" s="15">
        <f t="shared" si="18"/>
        <v>0</v>
      </c>
      <c r="AG47" s="17">
        <v>0</v>
      </c>
      <c r="AH47" s="17">
        <v>0</v>
      </c>
      <c r="AI47" s="15">
        <f t="shared" si="19"/>
        <v>0</v>
      </c>
      <c r="AJ47" s="17"/>
    </row>
    <row r="48" spans="1:36" x14ac:dyDescent="0.3">
      <c r="A48" s="15" t="s">
        <v>95</v>
      </c>
      <c r="B48" s="15">
        <v>100</v>
      </c>
      <c r="C48" s="15" t="s">
        <v>54</v>
      </c>
      <c r="D48" s="15" t="s">
        <v>57</v>
      </c>
      <c r="E48" s="15">
        <v>0</v>
      </c>
      <c r="F48" s="15">
        <v>0</v>
      </c>
      <c r="G48" s="15">
        <v>0</v>
      </c>
      <c r="H48" s="15">
        <f t="shared" si="10"/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5">
        <f t="shared" si="11"/>
        <v>0</v>
      </c>
      <c r="T48" s="15">
        <f t="shared" si="12"/>
        <v>0</v>
      </c>
      <c r="U48" s="15">
        <f t="shared" si="13"/>
        <v>0</v>
      </c>
      <c r="V48" s="15">
        <f t="shared" si="14"/>
        <v>0</v>
      </c>
      <c r="W48" s="18" t="str">
        <f t="shared" si="15"/>
        <v/>
      </c>
      <c r="X48" s="17">
        <v>0</v>
      </c>
      <c r="Y48" s="17">
        <v>0</v>
      </c>
      <c r="Z48" s="15">
        <f t="shared" si="16"/>
        <v>0</v>
      </c>
      <c r="AA48" s="17">
        <v>0</v>
      </c>
      <c r="AB48" s="17">
        <v>0</v>
      </c>
      <c r="AC48" s="15">
        <f t="shared" si="17"/>
        <v>0</v>
      </c>
      <c r="AD48" s="17">
        <v>0</v>
      </c>
      <c r="AE48" s="17">
        <v>0</v>
      </c>
      <c r="AF48" s="15">
        <f t="shared" si="18"/>
        <v>0</v>
      </c>
      <c r="AG48" s="17">
        <v>0</v>
      </c>
      <c r="AH48" s="17">
        <v>0</v>
      </c>
      <c r="AI48" s="15">
        <f t="shared" si="19"/>
        <v>0</v>
      </c>
      <c r="AJ48" s="17"/>
    </row>
    <row r="49" spans="1:36" hidden="1" x14ac:dyDescent="0.3">
      <c r="A49" s="15" t="s">
        <v>96</v>
      </c>
      <c r="B49" s="15">
        <v>1000</v>
      </c>
      <c r="C49" s="15"/>
      <c r="D49" s="15" t="s">
        <v>55</v>
      </c>
      <c r="E49" s="15">
        <f>'26 june'!T49</f>
        <v>0</v>
      </c>
      <c r="F49" s="15">
        <f>'26 june'!U49</f>
        <v>0</v>
      </c>
      <c r="G49" s="15">
        <f>'26 june'!V49</f>
        <v>0</v>
      </c>
      <c r="H49" s="15">
        <f t="shared" si="10"/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5">
        <f t="shared" si="11"/>
        <v>0</v>
      </c>
      <c r="T49" s="15">
        <f t="shared" si="12"/>
        <v>0</v>
      </c>
      <c r="U49" s="15">
        <f t="shared" si="13"/>
        <v>0</v>
      </c>
      <c r="V49" s="15">
        <f t="shared" si="14"/>
        <v>0</v>
      </c>
      <c r="W49" s="18" t="str">
        <f t="shared" si="15"/>
        <v/>
      </c>
      <c r="X49" s="17">
        <v>0</v>
      </c>
      <c r="Y49" s="17">
        <v>0</v>
      </c>
      <c r="Z49" s="15">
        <f t="shared" si="16"/>
        <v>0</v>
      </c>
      <c r="AA49" s="17">
        <v>0</v>
      </c>
      <c r="AB49" s="17">
        <v>0</v>
      </c>
      <c r="AC49" s="15">
        <f t="shared" si="17"/>
        <v>0</v>
      </c>
      <c r="AD49" s="17">
        <v>0</v>
      </c>
      <c r="AE49" s="17">
        <v>0</v>
      </c>
      <c r="AF49" s="15">
        <f t="shared" si="18"/>
        <v>0</v>
      </c>
      <c r="AG49" s="17">
        <v>0</v>
      </c>
      <c r="AH49" s="17">
        <v>0</v>
      </c>
      <c r="AI49" s="15">
        <f t="shared" si="19"/>
        <v>0</v>
      </c>
      <c r="AJ49" s="17"/>
    </row>
    <row r="50" spans="1:36" hidden="1" x14ac:dyDescent="0.3">
      <c r="A50" s="15" t="s">
        <v>97</v>
      </c>
      <c r="B50" s="15">
        <v>1000</v>
      </c>
      <c r="C50" s="15" t="s">
        <v>54</v>
      </c>
      <c r="D50" s="15" t="s">
        <v>55</v>
      </c>
      <c r="E50" s="15">
        <v>0</v>
      </c>
      <c r="F50" s="15">
        <v>0</v>
      </c>
      <c r="G50" s="15">
        <v>0</v>
      </c>
      <c r="H50" s="15">
        <f t="shared" si="10"/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5">
        <f t="shared" si="11"/>
        <v>0</v>
      </c>
      <c r="T50" s="15">
        <f t="shared" si="12"/>
        <v>0</v>
      </c>
      <c r="U50" s="15">
        <f t="shared" si="13"/>
        <v>0</v>
      </c>
      <c r="V50" s="15">
        <f t="shared" si="14"/>
        <v>0</v>
      </c>
      <c r="W50" s="18" t="str">
        <f t="shared" si="15"/>
        <v/>
      </c>
      <c r="X50" s="17">
        <v>0</v>
      </c>
      <c r="Y50" s="17">
        <v>0</v>
      </c>
      <c r="Z50" s="15">
        <f t="shared" si="16"/>
        <v>0</v>
      </c>
      <c r="AA50" s="17">
        <v>0</v>
      </c>
      <c r="AB50" s="17">
        <v>0</v>
      </c>
      <c r="AC50" s="15">
        <f t="shared" si="17"/>
        <v>0</v>
      </c>
      <c r="AD50" s="17">
        <v>0</v>
      </c>
      <c r="AE50" s="17">
        <v>0</v>
      </c>
      <c r="AF50" s="15">
        <f t="shared" si="18"/>
        <v>0</v>
      </c>
      <c r="AG50" s="17">
        <v>0</v>
      </c>
      <c r="AH50" s="17">
        <v>0</v>
      </c>
      <c r="AI50" s="15">
        <f t="shared" si="19"/>
        <v>0</v>
      </c>
      <c r="AJ50" s="17"/>
    </row>
    <row r="51" spans="1:36" hidden="1" x14ac:dyDescent="0.3">
      <c r="A51" s="15" t="s">
        <v>98</v>
      </c>
      <c r="B51" s="15">
        <v>1000</v>
      </c>
      <c r="C51" s="15" t="s">
        <v>54</v>
      </c>
      <c r="D51" s="15" t="s">
        <v>55</v>
      </c>
      <c r="E51" s="15">
        <f>'26 june'!T51</f>
        <v>3</v>
      </c>
      <c r="F51" s="15">
        <f>'26 june'!U51</f>
        <v>17</v>
      </c>
      <c r="G51" s="15">
        <f>'26 june'!V51</f>
        <v>0</v>
      </c>
      <c r="H51" s="15">
        <f t="shared" si="10"/>
        <v>20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5">
        <f t="shared" si="11"/>
        <v>20</v>
      </c>
      <c r="T51" s="15">
        <f t="shared" si="12"/>
        <v>3</v>
      </c>
      <c r="U51" s="15">
        <f t="shared" si="13"/>
        <v>17</v>
      </c>
      <c r="V51" s="15">
        <f t="shared" si="14"/>
        <v>0</v>
      </c>
      <c r="W51" s="18" t="str">
        <f t="shared" si="15"/>
        <v/>
      </c>
      <c r="X51" s="17">
        <v>0</v>
      </c>
      <c r="Y51" s="17">
        <v>0</v>
      </c>
      <c r="Z51" s="15">
        <f t="shared" si="16"/>
        <v>0</v>
      </c>
      <c r="AA51" s="17">
        <v>0</v>
      </c>
      <c r="AB51" s="17">
        <v>0</v>
      </c>
      <c r="AC51" s="15">
        <f t="shared" si="17"/>
        <v>0</v>
      </c>
      <c r="AD51" s="17">
        <v>0</v>
      </c>
      <c r="AE51" s="17">
        <v>0</v>
      </c>
      <c r="AF51" s="15">
        <f t="shared" si="18"/>
        <v>0</v>
      </c>
      <c r="AG51" s="17">
        <v>0</v>
      </c>
      <c r="AH51" s="17">
        <v>0</v>
      </c>
      <c r="AI51" s="15">
        <f t="shared" si="19"/>
        <v>0</v>
      </c>
      <c r="AJ51" s="17"/>
    </row>
    <row r="52" spans="1:36" hidden="1" x14ac:dyDescent="0.3">
      <c r="A52" s="15" t="s">
        <v>99</v>
      </c>
      <c r="B52" s="15">
        <v>1000</v>
      </c>
      <c r="C52" s="15" t="s">
        <v>54</v>
      </c>
      <c r="D52" s="15" t="s">
        <v>55</v>
      </c>
      <c r="E52" s="15">
        <f>'26 june'!T52</f>
        <v>5</v>
      </c>
      <c r="F52" s="15">
        <f>'26 june'!U52</f>
        <v>1</v>
      </c>
      <c r="G52" s="15">
        <f>'26 june'!V52</f>
        <v>2</v>
      </c>
      <c r="H52" s="15">
        <f t="shared" si="10"/>
        <v>8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5">
        <f t="shared" si="11"/>
        <v>8</v>
      </c>
      <c r="T52" s="15">
        <f t="shared" si="12"/>
        <v>5</v>
      </c>
      <c r="U52" s="15">
        <f t="shared" si="13"/>
        <v>1</v>
      </c>
      <c r="V52" s="15">
        <f t="shared" si="14"/>
        <v>2</v>
      </c>
      <c r="W52" s="18" t="str">
        <f t="shared" si="15"/>
        <v/>
      </c>
      <c r="X52" s="17">
        <v>0</v>
      </c>
      <c r="Y52" s="17">
        <v>0</v>
      </c>
      <c r="Z52" s="15">
        <f t="shared" si="16"/>
        <v>0</v>
      </c>
      <c r="AA52" s="17">
        <v>0</v>
      </c>
      <c r="AB52" s="17">
        <v>0</v>
      </c>
      <c r="AC52" s="15">
        <f t="shared" si="17"/>
        <v>0</v>
      </c>
      <c r="AD52" s="17">
        <v>0</v>
      </c>
      <c r="AE52" s="17">
        <v>0</v>
      </c>
      <c r="AF52" s="15">
        <f t="shared" si="18"/>
        <v>0</v>
      </c>
      <c r="AG52" s="17">
        <v>0</v>
      </c>
      <c r="AH52" s="17">
        <v>0</v>
      </c>
      <c r="AI52" s="15">
        <f t="shared" si="19"/>
        <v>0</v>
      </c>
      <c r="AJ52" s="17"/>
    </row>
    <row r="53" spans="1:36" x14ac:dyDescent="0.3">
      <c r="A53" s="15" t="s">
        <v>100</v>
      </c>
      <c r="B53" s="15">
        <v>100</v>
      </c>
      <c r="C53" s="15" t="s">
        <v>54</v>
      </c>
      <c r="D53" s="15" t="s">
        <v>68</v>
      </c>
      <c r="E53" s="15">
        <v>0</v>
      </c>
      <c r="F53" s="15">
        <v>0</v>
      </c>
      <c r="G53" s="15">
        <v>0</v>
      </c>
      <c r="H53" s="15">
        <f t="shared" si="10"/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5">
        <f t="shared" si="11"/>
        <v>0</v>
      </c>
      <c r="T53" s="15">
        <f t="shared" si="12"/>
        <v>0</v>
      </c>
      <c r="U53" s="15">
        <f t="shared" si="13"/>
        <v>0</v>
      </c>
      <c r="V53" s="15">
        <f t="shared" si="14"/>
        <v>0</v>
      </c>
      <c r="W53" s="18" t="str">
        <f t="shared" si="15"/>
        <v/>
      </c>
      <c r="X53" s="17">
        <v>0</v>
      </c>
      <c r="Y53" s="17">
        <v>0</v>
      </c>
      <c r="Z53" s="15">
        <f t="shared" si="16"/>
        <v>0</v>
      </c>
      <c r="AA53" s="17">
        <v>0</v>
      </c>
      <c r="AB53" s="17">
        <v>0</v>
      </c>
      <c r="AC53" s="15">
        <f t="shared" si="17"/>
        <v>0</v>
      </c>
      <c r="AD53" s="17">
        <v>0</v>
      </c>
      <c r="AE53" s="17">
        <v>0</v>
      </c>
      <c r="AF53" s="15">
        <f t="shared" si="18"/>
        <v>0</v>
      </c>
      <c r="AG53" s="17">
        <v>0</v>
      </c>
      <c r="AH53" s="17">
        <v>0</v>
      </c>
      <c r="AI53" s="15">
        <f t="shared" si="19"/>
        <v>0</v>
      </c>
      <c r="AJ53" s="17"/>
    </row>
    <row r="54" spans="1:36" x14ac:dyDescent="0.3">
      <c r="A54" s="15" t="s">
        <v>101</v>
      </c>
      <c r="B54" s="15">
        <v>1000</v>
      </c>
      <c r="C54" s="15" t="s">
        <v>54</v>
      </c>
      <c r="D54" s="15" t="s">
        <v>68</v>
      </c>
      <c r="E54" s="15">
        <v>0</v>
      </c>
      <c r="F54" s="15">
        <v>0</v>
      </c>
      <c r="G54" s="15">
        <v>0</v>
      </c>
      <c r="H54" s="15">
        <f t="shared" si="10"/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5">
        <f t="shared" si="11"/>
        <v>0</v>
      </c>
      <c r="T54" s="15">
        <f t="shared" si="12"/>
        <v>0</v>
      </c>
      <c r="U54" s="15">
        <f t="shared" si="13"/>
        <v>0</v>
      </c>
      <c r="V54" s="15">
        <f t="shared" si="14"/>
        <v>0</v>
      </c>
      <c r="W54" s="18" t="str">
        <f t="shared" si="15"/>
        <v/>
      </c>
      <c r="X54" s="17">
        <v>0</v>
      </c>
      <c r="Y54" s="17">
        <v>0</v>
      </c>
      <c r="Z54" s="15">
        <f t="shared" si="16"/>
        <v>0</v>
      </c>
      <c r="AA54" s="17">
        <v>0</v>
      </c>
      <c r="AB54" s="17">
        <v>0</v>
      </c>
      <c r="AC54" s="15">
        <f t="shared" si="17"/>
        <v>0</v>
      </c>
      <c r="AD54" s="17">
        <v>0</v>
      </c>
      <c r="AE54" s="17">
        <v>0</v>
      </c>
      <c r="AF54" s="15">
        <f t="shared" si="18"/>
        <v>0</v>
      </c>
      <c r="AG54" s="17">
        <v>0</v>
      </c>
      <c r="AH54" s="17">
        <v>0</v>
      </c>
      <c r="AI54" s="15">
        <f t="shared" si="19"/>
        <v>0</v>
      </c>
      <c r="AJ54" s="17"/>
    </row>
    <row r="55" spans="1:36" x14ac:dyDescent="0.3">
      <c r="A55" s="15" t="s">
        <v>102</v>
      </c>
      <c r="B55" s="15">
        <v>5000</v>
      </c>
      <c r="C55" s="15" t="s">
        <v>54</v>
      </c>
      <c r="D55" s="15" t="s">
        <v>57</v>
      </c>
      <c r="E55" s="15">
        <v>0</v>
      </c>
      <c r="F55" s="15">
        <v>0</v>
      </c>
      <c r="G55" s="15">
        <v>0</v>
      </c>
      <c r="H55" s="15">
        <f t="shared" si="10"/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5">
        <f t="shared" si="11"/>
        <v>0</v>
      </c>
      <c r="T55" s="15">
        <f t="shared" si="12"/>
        <v>0</v>
      </c>
      <c r="U55" s="15">
        <f t="shared" si="13"/>
        <v>0</v>
      </c>
      <c r="V55" s="15">
        <f t="shared" si="14"/>
        <v>0</v>
      </c>
      <c r="W55" s="18" t="str">
        <f t="shared" si="15"/>
        <v/>
      </c>
      <c r="X55" s="17">
        <v>0</v>
      </c>
      <c r="Y55" s="17">
        <v>0</v>
      </c>
      <c r="Z55" s="15">
        <f t="shared" si="16"/>
        <v>0</v>
      </c>
      <c r="AA55" s="17">
        <v>0</v>
      </c>
      <c r="AB55" s="17">
        <v>0</v>
      </c>
      <c r="AC55" s="15">
        <f t="shared" si="17"/>
        <v>0</v>
      </c>
      <c r="AD55" s="17">
        <v>0</v>
      </c>
      <c r="AE55" s="17">
        <v>0</v>
      </c>
      <c r="AF55" s="15">
        <f t="shared" si="18"/>
        <v>0</v>
      </c>
      <c r="AG55" s="17">
        <v>0</v>
      </c>
      <c r="AH55" s="17">
        <v>0</v>
      </c>
      <c r="AI55" s="15">
        <f t="shared" si="19"/>
        <v>0</v>
      </c>
      <c r="AJ55" s="17"/>
    </row>
    <row r="56" spans="1:36" x14ac:dyDescent="0.3">
      <c r="A56" s="15" t="s">
        <v>103</v>
      </c>
      <c r="B56" s="15">
        <v>1000</v>
      </c>
      <c r="C56" s="15" t="s">
        <v>54</v>
      </c>
      <c r="D56" s="15" t="s">
        <v>68</v>
      </c>
      <c r="E56" s="15">
        <v>0</v>
      </c>
      <c r="F56" s="15">
        <v>0</v>
      </c>
      <c r="G56" s="15">
        <v>0</v>
      </c>
      <c r="H56" s="15">
        <f t="shared" si="10"/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5">
        <f t="shared" si="11"/>
        <v>0</v>
      </c>
      <c r="T56" s="15">
        <f t="shared" si="12"/>
        <v>0</v>
      </c>
      <c r="U56" s="15">
        <f t="shared" si="13"/>
        <v>0</v>
      </c>
      <c r="V56" s="15">
        <f t="shared" si="14"/>
        <v>0</v>
      </c>
      <c r="W56" s="18" t="str">
        <f t="shared" si="15"/>
        <v/>
      </c>
      <c r="X56" s="17">
        <v>0</v>
      </c>
      <c r="Y56" s="17">
        <v>0</v>
      </c>
      <c r="Z56" s="15">
        <f t="shared" si="16"/>
        <v>0</v>
      </c>
      <c r="AA56" s="17">
        <v>0</v>
      </c>
      <c r="AB56" s="17">
        <v>0</v>
      </c>
      <c r="AC56" s="15">
        <f t="shared" si="17"/>
        <v>0</v>
      </c>
      <c r="AD56" s="17">
        <v>0</v>
      </c>
      <c r="AE56" s="17">
        <v>0</v>
      </c>
      <c r="AF56" s="15">
        <f t="shared" si="18"/>
        <v>0</v>
      </c>
      <c r="AG56" s="17">
        <v>0</v>
      </c>
      <c r="AH56" s="17">
        <v>0</v>
      </c>
      <c r="AI56" s="15">
        <f t="shared" si="19"/>
        <v>0</v>
      </c>
      <c r="AJ56" s="17"/>
    </row>
    <row r="57" spans="1:36" hidden="1" x14ac:dyDescent="0.3">
      <c r="A57" s="15" t="s">
        <v>104</v>
      </c>
      <c r="B57" s="15">
        <v>1000</v>
      </c>
      <c r="C57" s="15" t="s">
        <v>54</v>
      </c>
      <c r="D57" s="15" t="s">
        <v>55</v>
      </c>
      <c r="E57" s="15">
        <f>'26 june'!T57</f>
        <v>0</v>
      </c>
      <c r="F57" s="15">
        <f>'26 june'!U57</f>
        <v>2</v>
      </c>
      <c r="G57" s="15">
        <f>'26 june'!V57</f>
        <v>0</v>
      </c>
      <c r="H57" s="15">
        <f t="shared" si="10"/>
        <v>2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5">
        <f t="shared" si="11"/>
        <v>2</v>
      </c>
      <c r="T57" s="15">
        <f t="shared" si="12"/>
        <v>0</v>
      </c>
      <c r="U57" s="15">
        <f t="shared" si="13"/>
        <v>2</v>
      </c>
      <c r="V57" s="15">
        <f t="shared" si="14"/>
        <v>0</v>
      </c>
      <c r="W57" s="18" t="str">
        <f t="shared" si="15"/>
        <v/>
      </c>
      <c r="X57" s="17">
        <v>0</v>
      </c>
      <c r="Y57" s="17">
        <v>0</v>
      </c>
      <c r="Z57" s="15">
        <f t="shared" si="16"/>
        <v>0</v>
      </c>
      <c r="AA57" s="17">
        <v>0</v>
      </c>
      <c r="AB57" s="17">
        <v>0</v>
      </c>
      <c r="AC57" s="15">
        <f t="shared" si="17"/>
        <v>0</v>
      </c>
      <c r="AD57" s="17">
        <v>0</v>
      </c>
      <c r="AE57" s="17">
        <v>0</v>
      </c>
      <c r="AF57" s="15">
        <f t="shared" si="18"/>
        <v>0</v>
      </c>
      <c r="AG57" s="17">
        <v>0</v>
      </c>
      <c r="AH57" s="17">
        <v>0</v>
      </c>
      <c r="AI57" s="15">
        <f t="shared" si="19"/>
        <v>0</v>
      </c>
      <c r="AJ57" s="17"/>
    </row>
    <row r="58" spans="1:36" x14ac:dyDescent="0.3">
      <c r="A58" s="15" t="s">
        <v>105</v>
      </c>
      <c r="B58" s="15">
        <v>100000</v>
      </c>
      <c r="C58" s="15" t="s">
        <v>54</v>
      </c>
      <c r="D58" s="15" t="s">
        <v>68</v>
      </c>
      <c r="E58" s="15">
        <v>0</v>
      </c>
      <c r="F58" s="15">
        <v>0</v>
      </c>
      <c r="G58" s="15">
        <v>0</v>
      </c>
      <c r="H58" s="15">
        <f t="shared" si="10"/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5">
        <f t="shared" si="11"/>
        <v>0</v>
      </c>
      <c r="T58" s="15">
        <f t="shared" si="12"/>
        <v>0</v>
      </c>
      <c r="U58" s="15">
        <f t="shared" si="13"/>
        <v>0</v>
      </c>
      <c r="V58" s="15">
        <f t="shared" si="14"/>
        <v>0</v>
      </c>
      <c r="W58" s="18" t="str">
        <f t="shared" si="15"/>
        <v/>
      </c>
      <c r="X58" s="17">
        <v>0</v>
      </c>
      <c r="Y58" s="17">
        <v>0</v>
      </c>
      <c r="Z58" s="15">
        <f t="shared" si="16"/>
        <v>0</v>
      </c>
      <c r="AA58" s="17">
        <v>0</v>
      </c>
      <c r="AB58" s="17">
        <v>0</v>
      </c>
      <c r="AC58" s="15">
        <f t="shared" si="17"/>
        <v>0</v>
      </c>
      <c r="AD58" s="17">
        <v>0</v>
      </c>
      <c r="AE58" s="17">
        <v>0</v>
      </c>
      <c r="AF58" s="15">
        <f t="shared" si="18"/>
        <v>0</v>
      </c>
      <c r="AG58" s="17">
        <v>0</v>
      </c>
      <c r="AH58" s="17">
        <v>0</v>
      </c>
      <c r="AI58" s="15">
        <f t="shared" si="19"/>
        <v>0</v>
      </c>
      <c r="AJ58" s="17"/>
    </row>
    <row r="59" spans="1:36" hidden="1" x14ac:dyDescent="0.3">
      <c r="A59" s="15" t="s">
        <v>106</v>
      </c>
      <c r="B59" s="15">
        <v>100</v>
      </c>
      <c r="C59" s="15" t="s">
        <v>54</v>
      </c>
      <c r="D59" s="15" t="s">
        <v>55</v>
      </c>
      <c r="E59" s="15">
        <f>'26 june'!T59</f>
        <v>0</v>
      </c>
      <c r="F59" s="15">
        <f>'26 june'!U59</f>
        <v>0</v>
      </c>
      <c r="G59" s="15">
        <f>'26 june'!V59</f>
        <v>6</v>
      </c>
      <c r="H59" s="15">
        <f t="shared" si="10"/>
        <v>6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5">
        <f t="shared" si="11"/>
        <v>6</v>
      </c>
      <c r="T59" s="15">
        <f t="shared" si="12"/>
        <v>0</v>
      </c>
      <c r="U59" s="15">
        <f t="shared" si="13"/>
        <v>0</v>
      </c>
      <c r="V59" s="15">
        <f t="shared" si="14"/>
        <v>6</v>
      </c>
      <c r="W59" s="18" t="str">
        <f t="shared" si="15"/>
        <v/>
      </c>
      <c r="X59" s="17">
        <v>0</v>
      </c>
      <c r="Y59" s="17">
        <v>0</v>
      </c>
      <c r="Z59" s="15">
        <f t="shared" si="16"/>
        <v>0</v>
      </c>
      <c r="AA59" s="17">
        <v>0</v>
      </c>
      <c r="AB59" s="17">
        <v>0</v>
      </c>
      <c r="AC59" s="15">
        <f t="shared" si="17"/>
        <v>0</v>
      </c>
      <c r="AD59" s="17">
        <v>0</v>
      </c>
      <c r="AE59" s="17">
        <v>0</v>
      </c>
      <c r="AF59" s="15">
        <f t="shared" si="18"/>
        <v>0</v>
      </c>
      <c r="AG59" s="17">
        <v>0</v>
      </c>
      <c r="AH59" s="17">
        <v>0</v>
      </c>
      <c r="AI59" s="15">
        <f t="shared" si="19"/>
        <v>0</v>
      </c>
      <c r="AJ59" s="17"/>
    </row>
    <row r="60" spans="1:36" x14ac:dyDescent="0.3">
      <c r="A60" s="15" t="s">
        <v>107</v>
      </c>
      <c r="B60" s="15">
        <v>100000</v>
      </c>
      <c r="C60" s="15" t="s">
        <v>54</v>
      </c>
      <c r="D60" s="15" t="s">
        <v>68</v>
      </c>
      <c r="E60" s="15">
        <v>0</v>
      </c>
      <c r="F60" s="15">
        <v>0</v>
      </c>
      <c r="G60" s="15">
        <v>0</v>
      </c>
      <c r="H60" s="15">
        <f t="shared" si="10"/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5">
        <f t="shared" si="11"/>
        <v>0</v>
      </c>
      <c r="T60" s="15">
        <f t="shared" si="12"/>
        <v>0</v>
      </c>
      <c r="U60" s="15">
        <f t="shared" si="13"/>
        <v>0</v>
      </c>
      <c r="V60" s="15">
        <f t="shared" si="14"/>
        <v>0</v>
      </c>
      <c r="W60" s="18" t="str">
        <f t="shared" si="15"/>
        <v/>
      </c>
      <c r="X60" s="17">
        <v>0</v>
      </c>
      <c r="Y60" s="17">
        <v>0</v>
      </c>
      <c r="Z60" s="15">
        <f t="shared" si="16"/>
        <v>0</v>
      </c>
      <c r="AA60" s="17">
        <v>0</v>
      </c>
      <c r="AB60" s="17">
        <v>0</v>
      </c>
      <c r="AC60" s="15">
        <f t="shared" si="17"/>
        <v>0</v>
      </c>
      <c r="AD60" s="17">
        <v>0</v>
      </c>
      <c r="AE60" s="17">
        <v>0</v>
      </c>
      <c r="AF60" s="15">
        <f t="shared" si="18"/>
        <v>0</v>
      </c>
      <c r="AG60" s="17">
        <v>0</v>
      </c>
      <c r="AH60" s="17">
        <v>0</v>
      </c>
      <c r="AI60" s="15">
        <f t="shared" si="19"/>
        <v>0</v>
      </c>
      <c r="AJ60" s="17"/>
    </row>
    <row r="61" spans="1:36" x14ac:dyDescent="0.3">
      <c r="A61" s="15" t="s">
        <v>108</v>
      </c>
      <c r="B61" s="15">
        <v>100</v>
      </c>
      <c r="C61" s="15" t="s">
        <v>54</v>
      </c>
      <c r="D61" s="15" t="s">
        <v>68</v>
      </c>
      <c r="E61" s="15">
        <v>0</v>
      </c>
      <c r="F61" s="15">
        <v>0</v>
      </c>
      <c r="G61" s="15">
        <v>0</v>
      </c>
      <c r="H61" s="15">
        <f t="shared" si="10"/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5">
        <f t="shared" si="11"/>
        <v>0</v>
      </c>
      <c r="T61" s="15">
        <f t="shared" si="12"/>
        <v>0</v>
      </c>
      <c r="U61" s="15">
        <f t="shared" si="13"/>
        <v>0</v>
      </c>
      <c r="V61" s="15">
        <f t="shared" si="14"/>
        <v>0</v>
      </c>
      <c r="W61" s="18" t="str">
        <f t="shared" si="15"/>
        <v/>
      </c>
      <c r="X61" s="17">
        <v>0</v>
      </c>
      <c r="Y61" s="17">
        <v>0</v>
      </c>
      <c r="Z61" s="15">
        <f t="shared" si="16"/>
        <v>0</v>
      </c>
      <c r="AA61" s="17">
        <v>0</v>
      </c>
      <c r="AB61" s="17">
        <v>0</v>
      </c>
      <c r="AC61" s="15">
        <f t="shared" si="17"/>
        <v>0</v>
      </c>
      <c r="AD61" s="17">
        <v>0</v>
      </c>
      <c r="AE61" s="17">
        <v>0</v>
      </c>
      <c r="AF61" s="15">
        <f t="shared" si="18"/>
        <v>0</v>
      </c>
      <c r="AG61" s="17">
        <v>0</v>
      </c>
      <c r="AH61" s="17">
        <v>0</v>
      </c>
      <c r="AI61" s="15">
        <f t="shared" si="19"/>
        <v>0</v>
      </c>
      <c r="AJ61" s="17"/>
    </row>
    <row r="62" spans="1:36" hidden="1" x14ac:dyDescent="0.3">
      <c r="A62" s="15" t="s">
        <v>109</v>
      </c>
      <c r="B62" s="15">
        <v>0</v>
      </c>
      <c r="C62" s="15" t="s">
        <v>110</v>
      </c>
      <c r="D62" s="15" t="s">
        <v>55</v>
      </c>
      <c r="E62" s="15">
        <v>0</v>
      </c>
      <c r="F62" s="15">
        <v>0</v>
      </c>
      <c r="G62" s="15">
        <v>0</v>
      </c>
      <c r="H62" s="15">
        <f t="shared" si="10"/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5">
        <f t="shared" si="11"/>
        <v>0</v>
      </c>
      <c r="T62" s="15">
        <f t="shared" si="12"/>
        <v>0</v>
      </c>
      <c r="U62" s="15">
        <f t="shared" si="13"/>
        <v>0</v>
      </c>
      <c r="V62" s="15">
        <f t="shared" si="14"/>
        <v>0</v>
      </c>
      <c r="W62" s="18" t="str">
        <f t="shared" si="15"/>
        <v/>
      </c>
      <c r="X62" s="17">
        <v>0</v>
      </c>
      <c r="Y62" s="17">
        <v>0</v>
      </c>
      <c r="Z62" s="15">
        <f t="shared" si="16"/>
        <v>0</v>
      </c>
      <c r="AA62" s="17">
        <v>0</v>
      </c>
      <c r="AB62" s="17">
        <v>0</v>
      </c>
      <c r="AC62" s="15">
        <f t="shared" si="17"/>
        <v>0</v>
      </c>
      <c r="AD62" s="17">
        <v>0</v>
      </c>
      <c r="AE62" s="17">
        <v>0</v>
      </c>
      <c r="AF62" s="15">
        <f t="shared" si="18"/>
        <v>0</v>
      </c>
      <c r="AG62" s="17">
        <v>0</v>
      </c>
      <c r="AH62" s="17">
        <v>0</v>
      </c>
      <c r="AI62" s="15">
        <f t="shared" si="19"/>
        <v>0</v>
      </c>
      <c r="AJ62" s="17"/>
    </row>
    <row r="63" spans="1:36" x14ac:dyDescent="0.3">
      <c r="A63" s="15" t="s">
        <v>111</v>
      </c>
      <c r="B63" s="15">
        <v>1000</v>
      </c>
      <c r="C63" s="15" t="s">
        <v>54</v>
      </c>
      <c r="D63" s="15" t="s">
        <v>68</v>
      </c>
      <c r="E63" s="15">
        <v>0</v>
      </c>
      <c r="F63" s="15">
        <v>0</v>
      </c>
      <c r="G63" s="15">
        <v>0</v>
      </c>
      <c r="H63" s="15">
        <f t="shared" si="10"/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5">
        <f t="shared" si="11"/>
        <v>0</v>
      </c>
      <c r="T63" s="15">
        <f t="shared" si="12"/>
        <v>0</v>
      </c>
      <c r="U63" s="15">
        <f t="shared" si="13"/>
        <v>0</v>
      </c>
      <c r="V63" s="15">
        <f t="shared" si="14"/>
        <v>0</v>
      </c>
      <c r="W63" s="18" t="str">
        <f t="shared" si="15"/>
        <v/>
      </c>
      <c r="X63" s="17">
        <v>0</v>
      </c>
      <c r="Y63" s="17">
        <v>0</v>
      </c>
      <c r="Z63" s="15">
        <f t="shared" si="16"/>
        <v>0</v>
      </c>
      <c r="AA63" s="17">
        <v>0</v>
      </c>
      <c r="AB63" s="17">
        <v>0</v>
      </c>
      <c r="AC63" s="15">
        <f t="shared" si="17"/>
        <v>0</v>
      </c>
      <c r="AD63" s="17">
        <v>0</v>
      </c>
      <c r="AE63" s="17">
        <v>0</v>
      </c>
      <c r="AF63" s="15">
        <f t="shared" si="18"/>
        <v>0</v>
      </c>
      <c r="AG63" s="17">
        <v>0</v>
      </c>
      <c r="AH63" s="17">
        <v>0</v>
      </c>
      <c r="AI63" s="15">
        <f t="shared" si="19"/>
        <v>0</v>
      </c>
      <c r="AJ63" s="17"/>
    </row>
    <row r="64" spans="1:36" x14ac:dyDescent="0.3">
      <c r="A64" s="15" t="s">
        <v>112</v>
      </c>
      <c r="B64" s="15">
        <v>1000</v>
      </c>
      <c r="C64" s="15" t="s">
        <v>54</v>
      </c>
      <c r="D64" s="15" t="s">
        <v>68</v>
      </c>
      <c r="E64" s="15">
        <v>0</v>
      </c>
      <c r="F64" s="15">
        <v>0</v>
      </c>
      <c r="G64" s="15">
        <v>0</v>
      </c>
      <c r="H64" s="15">
        <f t="shared" si="10"/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5">
        <f t="shared" si="11"/>
        <v>0</v>
      </c>
      <c r="T64" s="15">
        <f t="shared" si="12"/>
        <v>0</v>
      </c>
      <c r="U64" s="15">
        <f t="shared" si="13"/>
        <v>0</v>
      </c>
      <c r="V64" s="15">
        <f t="shared" si="14"/>
        <v>0</v>
      </c>
      <c r="W64" s="18" t="str">
        <f t="shared" si="15"/>
        <v/>
      </c>
      <c r="X64" s="17">
        <v>0</v>
      </c>
      <c r="Y64" s="17">
        <v>0</v>
      </c>
      <c r="Z64" s="15">
        <f t="shared" si="16"/>
        <v>0</v>
      </c>
      <c r="AA64" s="17">
        <v>0</v>
      </c>
      <c r="AB64" s="17">
        <v>0</v>
      </c>
      <c r="AC64" s="15">
        <f t="shared" si="17"/>
        <v>0</v>
      </c>
      <c r="AD64" s="17">
        <v>0</v>
      </c>
      <c r="AE64" s="17">
        <v>0</v>
      </c>
      <c r="AF64" s="15">
        <f t="shared" si="18"/>
        <v>0</v>
      </c>
      <c r="AG64" s="17">
        <v>0</v>
      </c>
      <c r="AH64" s="17">
        <v>0</v>
      </c>
      <c r="AI64" s="15">
        <f t="shared" si="19"/>
        <v>0</v>
      </c>
      <c r="AJ64" s="17"/>
    </row>
    <row r="65" spans="1:36" x14ac:dyDescent="0.3">
      <c r="A65" s="15" t="s">
        <v>113</v>
      </c>
      <c r="B65" s="15">
        <v>1000</v>
      </c>
      <c r="C65" s="15" t="s">
        <v>54</v>
      </c>
      <c r="D65" s="15" t="s">
        <v>68</v>
      </c>
      <c r="E65" s="15">
        <v>0</v>
      </c>
      <c r="F65" s="15">
        <v>0</v>
      </c>
      <c r="G65" s="15">
        <v>0</v>
      </c>
      <c r="H65" s="15">
        <f t="shared" si="10"/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5">
        <f t="shared" si="11"/>
        <v>0</v>
      </c>
      <c r="T65" s="15">
        <f t="shared" si="12"/>
        <v>0</v>
      </c>
      <c r="U65" s="15">
        <f t="shared" si="13"/>
        <v>0</v>
      </c>
      <c r="V65" s="15">
        <f t="shared" si="14"/>
        <v>0</v>
      </c>
      <c r="W65" s="18" t="str">
        <f t="shared" si="15"/>
        <v/>
      </c>
      <c r="X65" s="17">
        <v>0</v>
      </c>
      <c r="Y65" s="17">
        <v>0</v>
      </c>
      <c r="Z65" s="15">
        <f t="shared" si="16"/>
        <v>0</v>
      </c>
      <c r="AA65" s="17">
        <v>0</v>
      </c>
      <c r="AB65" s="17">
        <v>0</v>
      </c>
      <c r="AC65" s="15">
        <f t="shared" si="17"/>
        <v>0</v>
      </c>
      <c r="AD65" s="17">
        <v>0</v>
      </c>
      <c r="AE65" s="17">
        <v>0</v>
      </c>
      <c r="AF65" s="15">
        <f t="shared" si="18"/>
        <v>0</v>
      </c>
      <c r="AG65" s="17">
        <v>0</v>
      </c>
      <c r="AH65" s="17">
        <v>0</v>
      </c>
      <c r="AI65" s="15">
        <f t="shared" si="19"/>
        <v>0</v>
      </c>
      <c r="AJ65" s="17"/>
    </row>
    <row r="66" spans="1:36" x14ac:dyDescent="0.3">
      <c r="A66" s="15" t="s">
        <v>114</v>
      </c>
      <c r="B66" s="15">
        <v>100</v>
      </c>
      <c r="C66" s="15" t="s">
        <v>54</v>
      </c>
      <c r="D66" s="15" t="s">
        <v>57</v>
      </c>
      <c r="E66" s="15">
        <v>0</v>
      </c>
      <c r="F66" s="15">
        <v>0</v>
      </c>
      <c r="G66" s="15">
        <v>0</v>
      </c>
      <c r="H66" s="15">
        <f t="shared" si="10"/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5">
        <f t="shared" si="11"/>
        <v>0</v>
      </c>
      <c r="T66" s="15">
        <f t="shared" si="12"/>
        <v>0</v>
      </c>
      <c r="U66" s="15">
        <f t="shared" si="13"/>
        <v>0</v>
      </c>
      <c r="V66" s="15">
        <f t="shared" si="14"/>
        <v>0</v>
      </c>
      <c r="W66" s="18" t="str">
        <f t="shared" si="15"/>
        <v/>
      </c>
      <c r="X66" s="17">
        <v>0</v>
      </c>
      <c r="Y66" s="17">
        <v>0</v>
      </c>
      <c r="Z66" s="15">
        <f t="shared" si="16"/>
        <v>0</v>
      </c>
      <c r="AA66" s="17">
        <v>0</v>
      </c>
      <c r="AB66" s="17">
        <v>0</v>
      </c>
      <c r="AC66" s="15">
        <f t="shared" si="17"/>
        <v>0</v>
      </c>
      <c r="AD66" s="17">
        <v>0</v>
      </c>
      <c r="AE66" s="17">
        <v>0</v>
      </c>
      <c r="AF66" s="15">
        <f t="shared" si="18"/>
        <v>0</v>
      </c>
      <c r="AG66" s="17">
        <v>0</v>
      </c>
      <c r="AH66" s="17">
        <v>0</v>
      </c>
      <c r="AI66" s="15">
        <f t="shared" si="19"/>
        <v>0</v>
      </c>
      <c r="AJ66" s="17"/>
    </row>
    <row r="67" spans="1:36" hidden="1" x14ac:dyDescent="0.3">
      <c r="A67" s="15" t="s">
        <v>115</v>
      </c>
      <c r="B67" s="15">
        <v>1000</v>
      </c>
      <c r="C67" s="15" t="s">
        <v>54</v>
      </c>
      <c r="D67" s="15" t="s">
        <v>55</v>
      </c>
      <c r="E67" s="15">
        <f>'26 june'!T67</f>
        <v>2</v>
      </c>
      <c r="F67" s="15">
        <f>'26 june'!U67</f>
        <v>0</v>
      </c>
      <c r="G67" s="15">
        <f>'26 june'!V67</f>
        <v>0</v>
      </c>
      <c r="H67" s="15">
        <f t="shared" ref="H67:H98" si="20">E67+F67+G67</f>
        <v>2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5">
        <f t="shared" ref="S67:S98" si="21">H67+O67+P67+Q67+R67-(I67+J67+K67+L67+M67+N67)</f>
        <v>2</v>
      </c>
      <c r="T67" s="15">
        <f t="shared" ref="T67:T98" si="22">E67+O67-I67-L67</f>
        <v>2</v>
      </c>
      <c r="U67" s="15">
        <f t="shared" ref="U67:U98" si="23">F67+P67-J67-M67</f>
        <v>0</v>
      </c>
      <c r="V67" s="15">
        <f t="shared" ref="V67:V98" si="24">G67+Q67-K67-N67</f>
        <v>0</v>
      </c>
      <c r="W67" s="18" t="str">
        <f t="shared" ref="W67:W98" si="25">IF(MIN(T67,U67,V67)&lt;0,"NEGATIVE STOCK - CHECK ENTRIES","")</f>
        <v/>
      </c>
      <c r="X67" s="17">
        <v>0</v>
      </c>
      <c r="Y67" s="17">
        <v>0</v>
      </c>
      <c r="Z67" s="15">
        <f t="shared" ref="Z67:Z98" si="26">X67-Y67</f>
        <v>0</v>
      </c>
      <c r="AA67" s="17">
        <v>0</v>
      </c>
      <c r="AB67" s="17">
        <v>0</v>
      </c>
      <c r="AC67" s="15">
        <f t="shared" ref="AC67:AC98" si="27">AA67-AB67</f>
        <v>0</v>
      </c>
      <c r="AD67" s="17">
        <v>0</v>
      </c>
      <c r="AE67" s="17">
        <v>0</v>
      </c>
      <c r="AF67" s="15">
        <f t="shared" ref="AF67:AF98" si="28">AD67-AE67</f>
        <v>0</v>
      </c>
      <c r="AG67" s="17">
        <v>0</v>
      </c>
      <c r="AH67" s="17">
        <v>0</v>
      </c>
      <c r="AI67" s="15">
        <f t="shared" ref="AI67:AI98" si="29">AG67-AH67</f>
        <v>0</v>
      </c>
      <c r="AJ67" s="17"/>
    </row>
    <row r="68" spans="1:36" x14ac:dyDescent="0.3">
      <c r="A68" s="15" t="s">
        <v>116</v>
      </c>
      <c r="B68" s="15">
        <v>5000</v>
      </c>
      <c r="C68" s="15" t="s">
        <v>54</v>
      </c>
      <c r="D68" s="15" t="s">
        <v>68</v>
      </c>
      <c r="E68" s="15">
        <v>0</v>
      </c>
      <c r="F68" s="15">
        <v>0</v>
      </c>
      <c r="G68" s="15">
        <v>0</v>
      </c>
      <c r="H68" s="15">
        <f t="shared" si="20"/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5">
        <f t="shared" si="21"/>
        <v>0</v>
      </c>
      <c r="T68" s="15">
        <f t="shared" si="22"/>
        <v>0</v>
      </c>
      <c r="U68" s="15">
        <f t="shared" si="23"/>
        <v>0</v>
      </c>
      <c r="V68" s="15">
        <f t="shared" si="24"/>
        <v>0</v>
      </c>
      <c r="W68" s="18" t="str">
        <f t="shared" si="25"/>
        <v/>
      </c>
      <c r="X68" s="17">
        <v>0</v>
      </c>
      <c r="Y68" s="17">
        <v>0</v>
      </c>
      <c r="Z68" s="15">
        <f t="shared" si="26"/>
        <v>0</v>
      </c>
      <c r="AA68" s="17">
        <v>0</v>
      </c>
      <c r="AB68" s="17">
        <v>0</v>
      </c>
      <c r="AC68" s="15">
        <f t="shared" si="27"/>
        <v>0</v>
      </c>
      <c r="AD68" s="17">
        <v>0</v>
      </c>
      <c r="AE68" s="17">
        <v>0</v>
      </c>
      <c r="AF68" s="15">
        <f t="shared" si="28"/>
        <v>0</v>
      </c>
      <c r="AG68" s="17">
        <v>0</v>
      </c>
      <c r="AH68" s="17">
        <v>0</v>
      </c>
      <c r="AI68" s="15">
        <f t="shared" si="29"/>
        <v>0</v>
      </c>
      <c r="AJ68" s="17"/>
    </row>
    <row r="69" spans="1:36" x14ac:dyDescent="0.3">
      <c r="A69" s="15" t="s">
        <v>117</v>
      </c>
      <c r="B69" s="15">
        <v>100</v>
      </c>
      <c r="C69" s="15" t="s">
        <v>54</v>
      </c>
      <c r="D69" s="15" t="s">
        <v>57</v>
      </c>
      <c r="E69" s="15">
        <v>0</v>
      </c>
      <c r="F69" s="15">
        <v>0</v>
      </c>
      <c r="G69" s="15">
        <v>0</v>
      </c>
      <c r="H69" s="15">
        <f t="shared" si="20"/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5">
        <f t="shared" si="21"/>
        <v>0</v>
      </c>
      <c r="T69" s="15">
        <f t="shared" si="22"/>
        <v>0</v>
      </c>
      <c r="U69" s="15">
        <f t="shared" si="23"/>
        <v>0</v>
      </c>
      <c r="V69" s="15">
        <f t="shared" si="24"/>
        <v>0</v>
      </c>
      <c r="W69" s="18" t="str">
        <f t="shared" si="25"/>
        <v/>
      </c>
      <c r="X69" s="17">
        <v>0</v>
      </c>
      <c r="Y69" s="17">
        <v>0</v>
      </c>
      <c r="Z69" s="15">
        <f t="shared" si="26"/>
        <v>0</v>
      </c>
      <c r="AA69" s="17">
        <v>0</v>
      </c>
      <c r="AB69" s="17">
        <v>0</v>
      </c>
      <c r="AC69" s="15">
        <f t="shared" si="27"/>
        <v>0</v>
      </c>
      <c r="AD69" s="17">
        <v>0</v>
      </c>
      <c r="AE69" s="17">
        <v>0</v>
      </c>
      <c r="AF69" s="15">
        <f t="shared" si="28"/>
        <v>0</v>
      </c>
      <c r="AG69" s="17">
        <v>0</v>
      </c>
      <c r="AH69" s="17">
        <v>0</v>
      </c>
      <c r="AI69" s="15">
        <f t="shared" si="29"/>
        <v>0</v>
      </c>
      <c r="AJ69" s="17"/>
    </row>
    <row r="70" spans="1:36" x14ac:dyDescent="0.3">
      <c r="A70" s="15" t="s">
        <v>118</v>
      </c>
      <c r="B70" s="15">
        <v>5000</v>
      </c>
      <c r="C70" s="15" t="s">
        <v>54</v>
      </c>
      <c r="D70" s="15" t="s">
        <v>68</v>
      </c>
      <c r="E70" s="15">
        <v>0</v>
      </c>
      <c r="F70" s="15">
        <v>0</v>
      </c>
      <c r="G70" s="15">
        <v>0</v>
      </c>
      <c r="H70" s="15">
        <f t="shared" si="20"/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5">
        <f t="shared" si="21"/>
        <v>0</v>
      </c>
      <c r="T70" s="15">
        <f t="shared" si="22"/>
        <v>0</v>
      </c>
      <c r="U70" s="15">
        <f t="shared" si="23"/>
        <v>0</v>
      </c>
      <c r="V70" s="15">
        <f t="shared" si="24"/>
        <v>0</v>
      </c>
      <c r="W70" s="18" t="str">
        <f t="shared" si="25"/>
        <v/>
      </c>
      <c r="X70" s="17">
        <v>0</v>
      </c>
      <c r="Y70" s="17">
        <v>0</v>
      </c>
      <c r="Z70" s="15">
        <f t="shared" si="26"/>
        <v>0</v>
      </c>
      <c r="AA70" s="17">
        <v>0</v>
      </c>
      <c r="AB70" s="17">
        <v>0</v>
      </c>
      <c r="AC70" s="15">
        <f t="shared" si="27"/>
        <v>0</v>
      </c>
      <c r="AD70" s="17">
        <v>0</v>
      </c>
      <c r="AE70" s="17">
        <v>0</v>
      </c>
      <c r="AF70" s="15">
        <f t="shared" si="28"/>
        <v>0</v>
      </c>
      <c r="AG70" s="17">
        <v>0</v>
      </c>
      <c r="AH70" s="17">
        <v>0</v>
      </c>
      <c r="AI70" s="15">
        <f t="shared" si="29"/>
        <v>0</v>
      </c>
      <c r="AJ70" s="17"/>
    </row>
    <row r="71" spans="1:36" x14ac:dyDescent="0.3">
      <c r="A71" s="15" t="s">
        <v>119</v>
      </c>
      <c r="B71" s="15">
        <v>100</v>
      </c>
      <c r="C71" s="15" t="s">
        <v>54</v>
      </c>
      <c r="D71" s="15" t="s">
        <v>68</v>
      </c>
      <c r="E71" s="15">
        <v>0</v>
      </c>
      <c r="F71" s="15">
        <v>0</v>
      </c>
      <c r="G71" s="15">
        <v>0</v>
      </c>
      <c r="H71" s="15">
        <f t="shared" si="20"/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5">
        <f t="shared" si="21"/>
        <v>0</v>
      </c>
      <c r="T71" s="15">
        <f t="shared" si="22"/>
        <v>0</v>
      </c>
      <c r="U71" s="15">
        <f t="shared" si="23"/>
        <v>0</v>
      </c>
      <c r="V71" s="15">
        <f t="shared" si="24"/>
        <v>0</v>
      </c>
      <c r="W71" s="18" t="str">
        <f t="shared" si="25"/>
        <v/>
      </c>
      <c r="X71" s="17">
        <v>0</v>
      </c>
      <c r="Y71" s="17">
        <v>0</v>
      </c>
      <c r="Z71" s="15">
        <f t="shared" si="26"/>
        <v>0</v>
      </c>
      <c r="AA71" s="17">
        <v>0</v>
      </c>
      <c r="AB71" s="17">
        <v>0</v>
      </c>
      <c r="AC71" s="15">
        <f t="shared" si="27"/>
        <v>0</v>
      </c>
      <c r="AD71" s="17">
        <v>0</v>
      </c>
      <c r="AE71" s="17">
        <v>0</v>
      </c>
      <c r="AF71" s="15">
        <f t="shared" si="28"/>
        <v>0</v>
      </c>
      <c r="AG71" s="17">
        <v>0</v>
      </c>
      <c r="AH71" s="17">
        <v>0</v>
      </c>
      <c r="AI71" s="15">
        <f t="shared" si="29"/>
        <v>0</v>
      </c>
      <c r="AJ71" s="17"/>
    </row>
    <row r="72" spans="1:36" x14ac:dyDescent="0.3">
      <c r="A72" s="15" t="s">
        <v>120</v>
      </c>
      <c r="B72" s="15">
        <v>100</v>
      </c>
      <c r="C72" s="15" t="s">
        <v>54</v>
      </c>
      <c r="D72" s="15" t="s">
        <v>57</v>
      </c>
      <c r="E72" s="15">
        <v>0</v>
      </c>
      <c r="F72" s="15">
        <v>0</v>
      </c>
      <c r="G72" s="15">
        <v>0</v>
      </c>
      <c r="H72" s="15">
        <f t="shared" si="20"/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5">
        <f t="shared" si="21"/>
        <v>0</v>
      </c>
      <c r="T72" s="15">
        <f t="shared" si="22"/>
        <v>0</v>
      </c>
      <c r="U72" s="15">
        <f t="shared" si="23"/>
        <v>0</v>
      </c>
      <c r="V72" s="15">
        <f t="shared" si="24"/>
        <v>0</v>
      </c>
      <c r="W72" s="18" t="str">
        <f t="shared" si="25"/>
        <v/>
      </c>
      <c r="X72" s="17">
        <v>0</v>
      </c>
      <c r="Y72" s="17">
        <v>0</v>
      </c>
      <c r="Z72" s="15">
        <f t="shared" si="26"/>
        <v>0</v>
      </c>
      <c r="AA72" s="17">
        <v>0</v>
      </c>
      <c r="AB72" s="17">
        <v>0</v>
      </c>
      <c r="AC72" s="15">
        <f t="shared" si="27"/>
        <v>0</v>
      </c>
      <c r="AD72" s="17">
        <v>0</v>
      </c>
      <c r="AE72" s="17">
        <v>0</v>
      </c>
      <c r="AF72" s="15">
        <f t="shared" si="28"/>
        <v>0</v>
      </c>
      <c r="AG72" s="17">
        <v>0</v>
      </c>
      <c r="AH72" s="17">
        <v>0</v>
      </c>
      <c r="AI72" s="15">
        <f t="shared" si="29"/>
        <v>0</v>
      </c>
      <c r="AJ72" s="17"/>
    </row>
    <row r="73" spans="1:36" x14ac:dyDescent="0.3">
      <c r="A73" s="15" t="s">
        <v>121</v>
      </c>
      <c r="B73" s="15">
        <v>100</v>
      </c>
      <c r="C73" s="15" t="s">
        <v>54</v>
      </c>
      <c r="D73" s="15" t="s">
        <v>68</v>
      </c>
      <c r="E73" s="15">
        <v>0</v>
      </c>
      <c r="F73" s="15">
        <v>0</v>
      </c>
      <c r="G73" s="15">
        <v>0</v>
      </c>
      <c r="H73" s="15">
        <f t="shared" si="20"/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5">
        <f t="shared" si="21"/>
        <v>0</v>
      </c>
      <c r="T73" s="15">
        <f t="shared" si="22"/>
        <v>0</v>
      </c>
      <c r="U73" s="15">
        <f t="shared" si="23"/>
        <v>0</v>
      </c>
      <c r="V73" s="15">
        <f t="shared" si="24"/>
        <v>0</v>
      </c>
      <c r="W73" s="18" t="str">
        <f t="shared" si="25"/>
        <v/>
      </c>
      <c r="X73" s="17">
        <v>0</v>
      </c>
      <c r="Y73" s="17">
        <v>0</v>
      </c>
      <c r="Z73" s="15">
        <f t="shared" si="26"/>
        <v>0</v>
      </c>
      <c r="AA73" s="17">
        <v>0</v>
      </c>
      <c r="AB73" s="17">
        <v>0</v>
      </c>
      <c r="AC73" s="15">
        <f t="shared" si="27"/>
        <v>0</v>
      </c>
      <c r="AD73" s="17">
        <v>0</v>
      </c>
      <c r="AE73" s="17">
        <v>0</v>
      </c>
      <c r="AF73" s="15">
        <f t="shared" si="28"/>
        <v>0</v>
      </c>
      <c r="AG73" s="17">
        <v>0</v>
      </c>
      <c r="AH73" s="17">
        <v>0</v>
      </c>
      <c r="AI73" s="15">
        <f t="shared" si="29"/>
        <v>0</v>
      </c>
      <c r="AJ73" s="17"/>
    </row>
    <row r="74" spans="1:36" x14ac:dyDescent="0.3">
      <c r="A74" s="15" t="s">
        <v>122</v>
      </c>
      <c r="B74" s="15">
        <v>1000</v>
      </c>
      <c r="C74" s="15" t="s">
        <v>54</v>
      </c>
      <c r="D74" s="15" t="s">
        <v>68</v>
      </c>
      <c r="E74" s="15">
        <v>0</v>
      </c>
      <c r="F74" s="15">
        <v>0</v>
      </c>
      <c r="G74" s="15">
        <v>0</v>
      </c>
      <c r="H74" s="15">
        <f t="shared" si="20"/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5">
        <f t="shared" si="21"/>
        <v>0</v>
      </c>
      <c r="T74" s="15">
        <f t="shared" si="22"/>
        <v>0</v>
      </c>
      <c r="U74" s="15">
        <f t="shared" si="23"/>
        <v>0</v>
      </c>
      <c r="V74" s="15">
        <f t="shared" si="24"/>
        <v>0</v>
      </c>
      <c r="W74" s="18" t="str">
        <f t="shared" si="25"/>
        <v/>
      </c>
      <c r="X74" s="17">
        <v>0</v>
      </c>
      <c r="Y74" s="17">
        <v>0</v>
      </c>
      <c r="Z74" s="15">
        <f t="shared" si="26"/>
        <v>0</v>
      </c>
      <c r="AA74" s="17">
        <v>0</v>
      </c>
      <c r="AB74" s="17">
        <v>0</v>
      </c>
      <c r="AC74" s="15">
        <f t="shared" si="27"/>
        <v>0</v>
      </c>
      <c r="AD74" s="17">
        <v>0</v>
      </c>
      <c r="AE74" s="17">
        <v>0</v>
      </c>
      <c r="AF74" s="15">
        <f t="shared" si="28"/>
        <v>0</v>
      </c>
      <c r="AG74" s="17">
        <v>0</v>
      </c>
      <c r="AH74" s="17">
        <v>0</v>
      </c>
      <c r="AI74" s="15">
        <f t="shared" si="29"/>
        <v>0</v>
      </c>
      <c r="AJ74" s="17"/>
    </row>
    <row r="75" spans="1:36" hidden="1" x14ac:dyDescent="0.3">
      <c r="A75" s="15" t="s">
        <v>123</v>
      </c>
      <c r="B75" s="15" t="s">
        <v>124</v>
      </c>
      <c r="C75" s="15" t="s">
        <v>123</v>
      </c>
      <c r="D75" s="15" t="s">
        <v>55</v>
      </c>
      <c r="E75" s="15">
        <v>0</v>
      </c>
      <c r="F75" s="15">
        <v>0</v>
      </c>
      <c r="G75" s="15">
        <v>0</v>
      </c>
      <c r="H75" s="15">
        <f t="shared" si="20"/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5">
        <f t="shared" si="21"/>
        <v>0</v>
      </c>
      <c r="T75" s="15">
        <f t="shared" si="22"/>
        <v>0</v>
      </c>
      <c r="U75" s="15">
        <f t="shared" si="23"/>
        <v>0</v>
      </c>
      <c r="V75" s="15">
        <f t="shared" si="24"/>
        <v>0</v>
      </c>
      <c r="W75" s="18" t="str">
        <f t="shared" si="25"/>
        <v/>
      </c>
      <c r="X75" s="17">
        <v>0</v>
      </c>
      <c r="Y75" s="17">
        <v>0</v>
      </c>
      <c r="Z75" s="15">
        <f t="shared" si="26"/>
        <v>0</v>
      </c>
      <c r="AA75" s="17">
        <v>0</v>
      </c>
      <c r="AB75" s="17">
        <v>0</v>
      </c>
      <c r="AC75" s="15">
        <f t="shared" si="27"/>
        <v>0</v>
      </c>
      <c r="AD75" s="17">
        <v>0</v>
      </c>
      <c r="AE75" s="17">
        <v>0</v>
      </c>
      <c r="AF75" s="15">
        <f t="shared" si="28"/>
        <v>0</v>
      </c>
      <c r="AG75" s="17">
        <v>0</v>
      </c>
      <c r="AH75" s="17">
        <v>0</v>
      </c>
      <c r="AI75" s="15">
        <f t="shared" si="29"/>
        <v>0</v>
      </c>
      <c r="AJ75" s="17"/>
    </row>
    <row r="76" spans="1:36" x14ac:dyDescent="0.3">
      <c r="A76" s="15" t="s">
        <v>125</v>
      </c>
      <c r="B76" s="15">
        <v>1000</v>
      </c>
      <c r="C76" s="15" t="s">
        <v>54</v>
      </c>
      <c r="D76" s="15" t="s">
        <v>68</v>
      </c>
      <c r="E76" s="15">
        <v>0</v>
      </c>
      <c r="F76" s="15">
        <v>0</v>
      </c>
      <c r="G76" s="15">
        <v>0</v>
      </c>
      <c r="H76" s="15">
        <f t="shared" si="20"/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5">
        <f t="shared" si="21"/>
        <v>0</v>
      </c>
      <c r="T76" s="15">
        <f t="shared" si="22"/>
        <v>0</v>
      </c>
      <c r="U76" s="15">
        <f t="shared" si="23"/>
        <v>0</v>
      </c>
      <c r="V76" s="15">
        <f t="shared" si="24"/>
        <v>0</v>
      </c>
      <c r="W76" s="18" t="str">
        <f t="shared" si="25"/>
        <v/>
      </c>
      <c r="X76" s="17">
        <v>0</v>
      </c>
      <c r="Y76" s="17">
        <v>0</v>
      </c>
      <c r="Z76" s="15">
        <f t="shared" si="26"/>
        <v>0</v>
      </c>
      <c r="AA76" s="17">
        <v>0</v>
      </c>
      <c r="AB76" s="17">
        <v>0</v>
      </c>
      <c r="AC76" s="15">
        <f t="shared" si="27"/>
        <v>0</v>
      </c>
      <c r="AD76" s="17">
        <v>0</v>
      </c>
      <c r="AE76" s="17">
        <v>0</v>
      </c>
      <c r="AF76" s="15">
        <f t="shared" si="28"/>
        <v>0</v>
      </c>
      <c r="AG76" s="17">
        <v>0</v>
      </c>
      <c r="AH76" s="17">
        <v>0</v>
      </c>
      <c r="AI76" s="15">
        <f t="shared" si="29"/>
        <v>0</v>
      </c>
      <c r="AJ76" s="17"/>
    </row>
    <row r="77" spans="1:36" x14ac:dyDescent="0.3">
      <c r="A77" s="15" t="s">
        <v>126</v>
      </c>
      <c r="B77" s="15">
        <v>1000</v>
      </c>
      <c r="C77" s="15" t="s">
        <v>54</v>
      </c>
      <c r="D77" s="15" t="s">
        <v>68</v>
      </c>
      <c r="E77" s="15">
        <v>0</v>
      </c>
      <c r="F77" s="15">
        <v>0</v>
      </c>
      <c r="G77" s="15">
        <v>0</v>
      </c>
      <c r="H77" s="15">
        <f t="shared" si="20"/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5">
        <f t="shared" si="21"/>
        <v>0</v>
      </c>
      <c r="T77" s="15">
        <f t="shared" si="22"/>
        <v>0</v>
      </c>
      <c r="U77" s="15">
        <f t="shared" si="23"/>
        <v>0</v>
      </c>
      <c r="V77" s="15">
        <f t="shared" si="24"/>
        <v>0</v>
      </c>
      <c r="W77" s="18" t="str">
        <f t="shared" si="25"/>
        <v/>
      </c>
      <c r="X77" s="17">
        <v>0</v>
      </c>
      <c r="Y77" s="17">
        <v>0</v>
      </c>
      <c r="Z77" s="15">
        <f t="shared" si="26"/>
        <v>0</v>
      </c>
      <c r="AA77" s="17">
        <v>0</v>
      </c>
      <c r="AB77" s="17">
        <v>0</v>
      </c>
      <c r="AC77" s="15">
        <f t="shared" si="27"/>
        <v>0</v>
      </c>
      <c r="AD77" s="17">
        <v>0</v>
      </c>
      <c r="AE77" s="17">
        <v>0</v>
      </c>
      <c r="AF77" s="15">
        <f t="shared" si="28"/>
        <v>0</v>
      </c>
      <c r="AG77" s="17">
        <v>0</v>
      </c>
      <c r="AH77" s="17">
        <v>0</v>
      </c>
      <c r="AI77" s="15">
        <f t="shared" si="29"/>
        <v>0</v>
      </c>
      <c r="AJ77" s="17"/>
    </row>
    <row r="78" spans="1:36" hidden="1" x14ac:dyDescent="0.3">
      <c r="A78" s="15" t="s">
        <v>127</v>
      </c>
      <c r="B78" s="15">
        <v>0</v>
      </c>
      <c r="C78" s="15" t="s">
        <v>128</v>
      </c>
      <c r="D78" s="15" t="s">
        <v>55</v>
      </c>
      <c r="E78" s="15">
        <f>'26 june'!T78</f>
        <v>107</v>
      </c>
      <c r="F78" s="15">
        <f>'26 june'!U78</f>
        <v>6</v>
      </c>
      <c r="G78" s="15">
        <f>'26 june'!V78</f>
        <v>4</v>
      </c>
      <c r="H78" s="15">
        <f t="shared" si="20"/>
        <v>117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5">
        <f t="shared" si="21"/>
        <v>117</v>
      </c>
      <c r="T78" s="15">
        <f t="shared" si="22"/>
        <v>107</v>
      </c>
      <c r="U78" s="15">
        <f t="shared" si="23"/>
        <v>6</v>
      </c>
      <c r="V78" s="15">
        <f t="shared" si="24"/>
        <v>4</v>
      </c>
      <c r="W78" s="18" t="str">
        <f t="shared" si="25"/>
        <v/>
      </c>
      <c r="X78" s="17">
        <v>0</v>
      </c>
      <c r="Y78" s="17">
        <v>0</v>
      </c>
      <c r="Z78" s="15">
        <f t="shared" si="26"/>
        <v>0</v>
      </c>
      <c r="AA78" s="17">
        <v>0</v>
      </c>
      <c r="AB78" s="17">
        <v>0</v>
      </c>
      <c r="AC78" s="15">
        <f t="shared" si="27"/>
        <v>0</v>
      </c>
      <c r="AD78" s="17">
        <v>0</v>
      </c>
      <c r="AE78" s="17">
        <v>0</v>
      </c>
      <c r="AF78" s="15">
        <f t="shared" si="28"/>
        <v>0</v>
      </c>
      <c r="AG78" s="17">
        <v>0</v>
      </c>
      <c r="AH78" s="17">
        <v>0</v>
      </c>
      <c r="AI78" s="15">
        <f t="shared" si="29"/>
        <v>0</v>
      </c>
      <c r="AJ78" s="17"/>
    </row>
    <row r="79" spans="1:36" hidden="1" x14ac:dyDescent="0.3">
      <c r="A79" s="15" t="s">
        <v>129</v>
      </c>
      <c r="B79" s="15">
        <v>0</v>
      </c>
      <c r="C79" s="15" t="s">
        <v>128</v>
      </c>
      <c r="D79" s="15" t="s">
        <v>55</v>
      </c>
      <c r="E79" s="15">
        <f>'26 june'!T79</f>
        <v>96</v>
      </c>
      <c r="F79" s="15">
        <f>'26 june'!U79</f>
        <v>4</v>
      </c>
      <c r="G79" s="15">
        <f>'26 june'!V79</f>
        <v>9</v>
      </c>
      <c r="H79" s="15">
        <f t="shared" si="20"/>
        <v>109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5">
        <f t="shared" si="21"/>
        <v>109</v>
      </c>
      <c r="T79" s="15">
        <f t="shared" si="22"/>
        <v>96</v>
      </c>
      <c r="U79" s="15">
        <f t="shared" si="23"/>
        <v>4</v>
      </c>
      <c r="V79" s="15">
        <f t="shared" si="24"/>
        <v>9</v>
      </c>
      <c r="W79" s="18" t="str">
        <f t="shared" si="25"/>
        <v/>
      </c>
      <c r="X79" s="17">
        <v>0</v>
      </c>
      <c r="Y79" s="17">
        <v>0</v>
      </c>
      <c r="Z79" s="15">
        <f t="shared" si="26"/>
        <v>0</v>
      </c>
      <c r="AA79" s="17">
        <v>0</v>
      </c>
      <c r="AB79" s="17">
        <v>0</v>
      </c>
      <c r="AC79" s="15">
        <f t="shared" si="27"/>
        <v>0</v>
      </c>
      <c r="AD79" s="17">
        <v>0</v>
      </c>
      <c r="AE79" s="17">
        <v>0</v>
      </c>
      <c r="AF79" s="15">
        <f t="shared" si="28"/>
        <v>0</v>
      </c>
      <c r="AG79" s="17">
        <v>0</v>
      </c>
      <c r="AH79" s="17">
        <v>0</v>
      </c>
      <c r="AI79" s="15">
        <f t="shared" si="29"/>
        <v>0</v>
      </c>
      <c r="AJ79" s="17"/>
    </row>
    <row r="80" spans="1:36" hidden="1" x14ac:dyDescent="0.3">
      <c r="A80" s="15" t="s">
        <v>130</v>
      </c>
      <c r="B80" s="15">
        <v>100</v>
      </c>
      <c r="C80" s="15" t="s">
        <v>54</v>
      </c>
      <c r="D80" s="15" t="s">
        <v>55</v>
      </c>
      <c r="E80" s="15">
        <f>'26 june'!T80</f>
        <v>48</v>
      </c>
      <c r="F80" s="15">
        <f>'26 june'!U80</f>
        <v>135</v>
      </c>
      <c r="G80" s="15">
        <f>'26 june'!V80</f>
        <v>104</v>
      </c>
      <c r="H80" s="15">
        <f t="shared" si="20"/>
        <v>287</v>
      </c>
      <c r="I80" s="17">
        <v>0</v>
      </c>
      <c r="J80" s="17">
        <v>4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5">
        <f t="shared" si="21"/>
        <v>283</v>
      </c>
      <c r="T80" s="15">
        <f t="shared" si="22"/>
        <v>48</v>
      </c>
      <c r="U80" s="15">
        <f t="shared" si="23"/>
        <v>131</v>
      </c>
      <c r="V80" s="15">
        <f t="shared" si="24"/>
        <v>104</v>
      </c>
      <c r="W80" s="18" t="str">
        <f t="shared" si="25"/>
        <v/>
      </c>
      <c r="X80" s="17">
        <v>0</v>
      </c>
      <c r="Y80" s="17">
        <v>0</v>
      </c>
      <c r="Z80" s="15">
        <f t="shared" si="26"/>
        <v>0</v>
      </c>
      <c r="AA80" s="17">
        <v>0</v>
      </c>
      <c r="AB80" s="17">
        <v>0</v>
      </c>
      <c r="AC80" s="15">
        <f t="shared" si="27"/>
        <v>0</v>
      </c>
      <c r="AD80" s="17">
        <v>0</v>
      </c>
      <c r="AE80" s="17">
        <v>0</v>
      </c>
      <c r="AF80" s="15">
        <f t="shared" si="28"/>
        <v>0</v>
      </c>
      <c r="AG80" s="17">
        <v>0</v>
      </c>
      <c r="AH80" s="17">
        <v>0</v>
      </c>
      <c r="AI80" s="15">
        <f t="shared" si="29"/>
        <v>0</v>
      </c>
      <c r="AJ80" s="17"/>
    </row>
    <row r="81" spans="1:36" hidden="1" x14ac:dyDescent="0.3">
      <c r="A81" s="15" t="s">
        <v>131</v>
      </c>
      <c r="B81" s="15">
        <v>500</v>
      </c>
      <c r="C81" s="15" t="s">
        <v>54</v>
      </c>
      <c r="D81" s="15" t="s">
        <v>55</v>
      </c>
      <c r="E81" s="15">
        <f>'26 june'!T81</f>
        <v>7</v>
      </c>
      <c r="F81" s="15">
        <f>'26 june'!U81</f>
        <v>0</v>
      </c>
      <c r="G81" s="15">
        <f>'26 june'!V81</f>
        <v>0</v>
      </c>
      <c r="H81" s="15">
        <f t="shared" si="20"/>
        <v>7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5">
        <f t="shared" si="21"/>
        <v>7</v>
      </c>
      <c r="T81" s="15">
        <f t="shared" si="22"/>
        <v>7</v>
      </c>
      <c r="U81" s="15">
        <f t="shared" si="23"/>
        <v>0</v>
      </c>
      <c r="V81" s="15">
        <f t="shared" si="24"/>
        <v>0</v>
      </c>
      <c r="W81" s="18" t="str">
        <f t="shared" si="25"/>
        <v/>
      </c>
      <c r="X81" s="17">
        <v>0</v>
      </c>
      <c r="Y81" s="17">
        <v>0</v>
      </c>
      <c r="Z81" s="15">
        <f t="shared" si="26"/>
        <v>0</v>
      </c>
      <c r="AA81" s="17">
        <v>0</v>
      </c>
      <c r="AB81" s="17">
        <v>0</v>
      </c>
      <c r="AC81" s="15">
        <f t="shared" si="27"/>
        <v>0</v>
      </c>
      <c r="AD81" s="17">
        <v>0</v>
      </c>
      <c r="AE81" s="17">
        <v>0</v>
      </c>
      <c r="AF81" s="15">
        <f t="shared" si="28"/>
        <v>0</v>
      </c>
      <c r="AG81" s="17">
        <v>0</v>
      </c>
      <c r="AH81" s="17">
        <v>0</v>
      </c>
      <c r="AI81" s="15">
        <f t="shared" si="29"/>
        <v>0</v>
      </c>
      <c r="AJ81" s="17"/>
    </row>
    <row r="82" spans="1:36" hidden="1" x14ac:dyDescent="0.3">
      <c r="A82" s="15" t="s">
        <v>132</v>
      </c>
      <c r="B82" s="15">
        <v>100</v>
      </c>
      <c r="C82" s="15" t="s">
        <v>54</v>
      </c>
      <c r="D82" s="15" t="s">
        <v>55</v>
      </c>
      <c r="E82" s="15">
        <f>'26 june'!T82</f>
        <v>77</v>
      </c>
      <c r="F82" s="15">
        <f>'26 june'!U82</f>
        <v>277</v>
      </c>
      <c r="G82" s="15">
        <f>'26 june'!V82</f>
        <v>35</v>
      </c>
      <c r="H82" s="15">
        <f t="shared" si="20"/>
        <v>389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5">
        <f t="shared" si="21"/>
        <v>389</v>
      </c>
      <c r="T82" s="15">
        <f t="shared" si="22"/>
        <v>77</v>
      </c>
      <c r="U82" s="15">
        <f t="shared" si="23"/>
        <v>277</v>
      </c>
      <c r="V82" s="15">
        <f t="shared" si="24"/>
        <v>35</v>
      </c>
      <c r="W82" s="18" t="str">
        <f t="shared" si="25"/>
        <v/>
      </c>
      <c r="X82" s="17">
        <v>0</v>
      </c>
      <c r="Y82" s="17">
        <v>0</v>
      </c>
      <c r="Z82" s="15">
        <f t="shared" si="26"/>
        <v>0</v>
      </c>
      <c r="AA82" s="17">
        <v>0</v>
      </c>
      <c r="AB82" s="17">
        <v>0</v>
      </c>
      <c r="AC82" s="15">
        <f t="shared" si="27"/>
        <v>0</v>
      </c>
      <c r="AD82" s="17">
        <v>0</v>
      </c>
      <c r="AE82" s="17">
        <v>0</v>
      </c>
      <c r="AF82" s="15">
        <f t="shared" si="28"/>
        <v>0</v>
      </c>
      <c r="AG82" s="17">
        <v>0</v>
      </c>
      <c r="AH82" s="17">
        <v>0</v>
      </c>
      <c r="AI82" s="15">
        <f t="shared" si="29"/>
        <v>0</v>
      </c>
      <c r="AJ82" s="17"/>
    </row>
    <row r="83" spans="1:36" hidden="1" x14ac:dyDescent="0.3">
      <c r="A83" s="15" t="s">
        <v>133</v>
      </c>
      <c r="B83" s="15">
        <v>1000</v>
      </c>
      <c r="C83" s="15" t="s">
        <v>54</v>
      </c>
      <c r="D83" s="15" t="s">
        <v>55</v>
      </c>
      <c r="E83" s="15">
        <f>'26 june'!T83</f>
        <v>-3</v>
      </c>
      <c r="F83" s="15">
        <f>'26 june'!U83</f>
        <v>0</v>
      </c>
      <c r="G83" s="15">
        <f>'26 june'!V83</f>
        <v>0</v>
      </c>
      <c r="H83" s="15">
        <f t="shared" si="20"/>
        <v>-3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5">
        <f t="shared" si="21"/>
        <v>-3</v>
      </c>
      <c r="T83" s="15">
        <f t="shared" si="22"/>
        <v>-3</v>
      </c>
      <c r="U83" s="15">
        <f t="shared" si="23"/>
        <v>0</v>
      </c>
      <c r="V83" s="15">
        <f t="shared" si="24"/>
        <v>0</v>
      </c>
      <c r="W83" s="18" t="str">
        <f t="shared" si="25"/>
        <v>NEGATIVE STOCK - CHECK ENTRIES</v>
      </c>
      <c r="X83" s="17">
        <v>0</v>
      </c>
      <c r="Y83" s="17">
        <v>0</v>
      </c>
      <c r="Z83" s="15">
        <f t="shared" si="26"/>
        <v>0</v>
      </c>
      <c r="AA83" s="17">
        <v>0</v>
      </c>
      <c r="AB83" s="17">
        <v>0</v>
      </c>
      <c r="AC83" s="15">
        <f t="shared" si="27"/>
        <v>0</v>
      </c>
      <c r="AD83" s="17">
        <v>0</v>
      </c>
      <c r="AE83" s="17">
        <v>0</v>
      </c>
      <c r="AF83" s="15">
        <f t="shared" si="28"/>
        <v>0</v>
      </c>
      <c r="AG83" s="17">
        <v>0</v>
      </c>
      <c r="AH83" s="17">
        <v>0</v>
      </c>
      <c r="AI83" s="15">
        <f t="shared" si="29"/>
        <v>0</v>
      </c>
      <c r="AJ83" s="17"/>
    </row>
    <row r="84" spans="1:36" x14ac:dyDescent="0.3">
      <c r="A84" s="15" t="s">
        <v>134</v>
      </c>
      <c r="B84" s="15">
        <v>100</v>
      </c>
      <c r="C84" s="15" t="s">
        <v>54</v>
      </c>
      <c r="D84" s="15" t="s">
        <v>57</v>
      </c>
      <c r="E84" s="15">
        <v>0</v>
      </c>
      <c r="F84" s="15">
        <v>0</v>
      </c>
      <c r="G84" s="15">
        <v>0</v>
      </c>
      <c r="H84" s="15">
        <f t="shared" si="20"/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5">
        <f t="shared" si="21"/>
        <v>0</v>
      </c>
      <c r="T84" s="15">
        <f t="shared" si="22"/>
        <v>0</v>
      </c>
      <c r="U84" s="15">
        <f t="shared" si="23"/>
        <v>0</v>
      </c>
      <c r="V84" s="15">
        <f t="shared" si="24"/>
        <v>0</v>
      </c>
      <c r="W84" s="18" t="str">
        <f t="shared" si="25"/>
        <v/>
      </c>
      <c r="X84" s="17">
        <v>0</v>
      </c>
      <c r="Y84" s="17">
        <v>0</v>
      </c>
      <c r="Z84" s="15">
        <f t="shared" si="26"/>
        <v>0</v>
      </c>
      <c r="AA84" s="17">
        <v>0</v>
      </c>
      <c r="AB84" s="17">
        <v>0</v>
      </c>
      <c r="AC84" s="15">
        <f t="shared" si="27"/>
        <v>0</v>
      </c>
      <c r="AD84" s="17">
        <v>0</v>
      </c>
      <c r="AE84" s="17">
        <v>0</v>
      </c>
      <c r="AF84" s="15">
        <f t="shared" si="28"/>
        <v>0</v>
      </c>
      <c r="AG84" s="17">
        <v>0</v>
      </c>
      <c r="AH84" s="17">
        <v>0</v>
      </c>
      <c r="AI84" s="15">
        <f t="shared" si="29"/>
        <v>0</v>
      </c>
      <c r="AJ84" s="17"/>
    </row>
    <row r="85" spans="1:36" x14ac:dyDescent="0.3">
      <c r="A85" s="15" t="s">
        <v>135</v>
      </c>
      <c r="B85" s="15">
        <v>100</v>
      </c>
      <c r="C85" s="15" t="s">
        <v>54</v>
      </c>
      <c r="D85" s="15" t="s">
        <v>57</v>
      </c>
      <c r="E85" s="15">
        <v>0</v>
      </c>
      <c r="F85" s="15">
        <v>0</v>
      </c>
      <c r="G85" s="15">
        <v>0</v>
      </c>
      <c r="H85" s="15">
        <f t="shared" si="20"/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5">
        <f t="shared" si="21"/>
        <v>0</v>
      </c>
      <c r="T85" s="15">
        <f t="shared" si="22"/>
        <v>0</v>
      </c>
      <c r="U85" s="15">
        <f t="shared" si="23"/>
        <v>0</v>
      </c>
      <c r="V85" s="15">
        <f t="shared" si="24"/>
        <v>0</v>
      </c>
      <c r="W85" s="18" t="str">
        <f t="shared" si="25"/>
        <v/>
      </c>
      <c r="X85" s="17">
        <v>0</v>
      </c>
      <c r="Y85" s="17">
        <v>0</v>
      </c>
      <c r="Z85" s="15">
        <f t="shared" si="26"/>
        <v>0</v>
      </c>
      <c r="AA85" s="17">
        <v>0</v>
      </c>
      <c r="AB85" s="17">
        <v>0</v>
      </c>
      <c r="AC85" s="15">
        <f t="shared" si="27"/>
        <v>0</v>
      </c>
      <c r="AD85" s="17">
        <v>0</v>
      </c>
      <c r="AE85" s="17">
        <v>0</v>
      </c>
      <c r="AF85" s="15">
        <f t="shared" si="28"/>
        <v>0</v>
      </c>
      <c r="AG85" s="17">
        <v>0</v>
      </c>
      <c r="AH85" s="17">
        <v>0</v>
      </c>
      <c r="AI85" s="15">
        <f t="shared" si="29"/>
        <v>0</v>
      </c>
      <c r="AJ85" s="17"/>
    </row>
    <row r="86" spans="1:36" x14ac:dyDescent="0.3">
      <c r="A86" s="15" t="s">
        <v>135</v>
      </c>
      <c r="B86" s="15">
        <v>1000</v>
      </c>
      <c r="C86" s="15" t="s">
        <v>54</v>
      </c>
      <c r="D86" s="15" t="s">
        <v>57</v>
      </c>
      <c r="E86" s="15">
        <v>0</v>
      </c>
      <c r="F86" s="15">
        <v>0</v>
      </c>
      <c r="G86" s="15">
        <v>0</v>
      </c>
      <c r="H86" s="15">
        <f t="shared" si="20"/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5">
        <f t="shared" si="21"/>
        <v>0</v>
      </c>
      <c r="T86" s="15">
        <f t="shared" si="22"/>
        <v>0</v>
      </c>
      <c r="U86" s="15">
        <f t="shared" si="23"/>
        <v>0</v>
      </c>
      <c r="V86" s="15">
        <f t="shared" si="24"/>
        <v>0</v>
      </c>
      <c r="W86" s="18" t="str">
        <f t="shared" si="25"/>
        <v/>
      </c>
      <c r="X86" s="17">
        <v>0</v>
      </c>
      <c r="Y86" s="17">
        <v>0</v>
      </c>
      <c r="Z86" s="15">
        <f t="shared" si="26"/>
        <v>0</v>
      </c>
      <c r="AA86" s="17">
        <v>0</v>
      </c>
      <c r="AB86" s="17">
        <v>0</v>
      </c>
      <c r="AC86" s="15">
        <f t="shared" si="27"/>
        <v>0</v>
      </c>
      <c r="AD86" s="17">
        <v>0</v>
      </c>
      <c r="AE86" s="17">
        <v>0</v>
      </c>
      <c r="AF86" s="15">
        <f t="shared" si="28"/>
        <v>0</v>
      </c>
      <c r="AG86" s="17">
        <v>0</v>
      </c>
      <c r="AH86" s="17">
        <v>0</v>
      </c>
      <c r="AI86" s="15">
        <f t="shared" si="29"/>
        <v>0</v>
      </c>
      <c r="AJ86" s="17"/>
    </row>
    <row r="87" spans="1:36" x14ac:dyDescent="0.3">
      <c r="A87" s="15" t="s">
        <v>136</v>
      </c>
      <c r="B87" s="15">
        <v>100000</v>
      </c>
      <c r="C87" s="15" t="s">
        <v>54</v>
      </c>
      <c r="D87" s="15" t="s">
        <v>68</v>
      </c>
      <c r="E87" s="15">
        <v>0</v>
      </c>
      <c r="F87" s="15">
        <v>0</v>
      </c>
      <c r="G87" s="15">
        <v>0</v>
      </c>
      <c r="H87" s="15">
        <f t="shared" si="20"/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5">
        <f t="shared" si="21"/>
        <v>0</v>
      </c>
      <c r="T87" s="15">
        <f t="shared" si="22"/>
        <v>0</v>
      </c>
      <c r="U87" s="15">
        <f t="shared" si="23"/>
        <v>0</v>
      </c>
      <c r="V87" s="15">
        <f t="shared" si="24"/>
        <v>0</v>
      </c>
      <c r="W87" s="18" t="str">
        <f t="shared" si="25"/>
        <v/>
      </c>
      <c r="X87" s="17">
        <v>0</v>
      </c>
      <c r="Y87" s="17">
        <v>0</v>
      </c>
      <c r="Z87" s="15">
        <f t="shared" si="26"/>
        <v>0</v>
      </c>
      <c r="AA87" s="17">
        <v>0</v>
      </c>
      <c r="AB87" s="17">
        <v>0</v>
      </c>
      <c r="AC87" s="15">
        <f t="shared" si="27"/>
        <v>0</v>
      </c>
      <c r="AD87" s="17">
        <v>0</v>
      </c>
      <c r="AE87" s="17">
        <v>0</v>
      </c>
      <c r="AF87" s="15">
        <f t="shared" si="28"/>
        <v>0</v>
      </c>
      <c r="AG87" s="17">
        <v>0</v>
      </c>
      <c r="AH87" s="17">
        <v>0</v>
      </c>
      <c r="AI87" s="15">
        <f t="shared" si="29"/>
        <v>0</v>
      </c>
      <c r="AJ87" s="17"/>
    </row>
    <row r="88" spans="1:36" x14ac:dyDescent="0.3">
      <c r="A88" s="15" t="s">
        <v>137</v>
      </c>
      <c r="B88" s="15">
        <v>1000</v>
      </c>
      <c r="C88" s="15" t="s">
        <v>54</v>
      </c>
      <c r="D88" s="15" t="s">
        <v>68</v>
      </c>
      <c r="E88" s="15">
        <v>0</v>
      </c>
      <c r="F88" s="15">
        <v>0</v>
      </c>
      <c r="G88" s="15">
        <v>0</v>
      </c>
      <c r="H88" s="15">
        <f t="shared" si="20"/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5">
        <f t="shared" si="21"/>
        <v>0</v>
      </c>
      <c r="T88" s="15">
        <f t="shared" si="22"/>
        <v>0</v>
      </c>
      <c r="U88" s="15">
        <f t="shared" si="23"/>
        <v>0</v>
      </c>
      <c r="V88" s="15">
        <f t="shared" si="24"/>
        <v>0</v>
      </c>
      <c r="W88" s="18" t="str">
        <f t="shared" si="25"/>
        <v/>
      </c>
      <c r="X88" s="17">
        <v>0</v>
      </c>
      <c r="Y88" s="17">
        <v>0</v>
      </c>
      <c r="Z88" s="15">
        <f t="shared" si="26"/>
        <v>0</v>
      </c>
      <c r="AA88" s="17">
        <v>0</v>
      </c>
      <c r="AB88" s="17">
        <v>0</v>
      </c>
      <c r="AC88" s="15">
        <f t="shared" si="27"/>
        <v>0</v>
      </c>
      <c r="AD88" s="17">
        <v>0</v>
      </c>
      <c r="AE88" s="17">
        <v>0</v>
      </c>
      <c r="AF88" s="15">
        <f t="shared" si="28"/>
        <v>0</v>
      </c>
      <c r="AG88" s="17">
        <v>0</v>
      </c>
      <c r="AH88" s="17">
        <v>0</v>
      </c>
      <c r="AI88" s="15">
        <f t="shared" si="29"/>
        <v>0</v>
      </c>
      <c r="AJ88" s="17"/>
    </row>
    <row r="89" spans="1:36" x14ac:dyDescent="0.3">
      <c r="A89" s="15" t="s">
        <v>138</v>
      </c>
      <c r="B89" s="15">
        <v>100</v>
      </c>
      <c r="C89" s="15" t="s">
        <v>54</v>
      </c>
      <c r="D89" s="15" t="s">
        <v>57</v>
      </c>
      <c r="E89" s="15">
        <v>0</v>
      </c>
      <c r="F89" s="15">
        <v>0</v>
      </c>
      <c r="G89" s="15">
        <v>0</v>
      </c>
      <c r="H89" s="15">
        <f t="shared" si="20"/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5">
        <f t="shared" si="21"/>
        <v>0</v>
      </c>
      <c r="T89" s="15">
        <f t="shared" si="22"/>
        <v>0</v>
      </c>
      <c r="U89" s="15">
        <f t="shared" si="23"/>
        <v>0</v>
      </c>
      <c r="V89" s="15">
        <f t="shared" si="24"/>
        <v>0</v>
      </c>
      <c r="W89" s="18" t="str">
        <f t="shared" si="25"/>
        <v/>
      </c>
      <c r="X89" s="17">
        <v>0</v>
      </c>
      <c r="Y89" s="17">
        <v>0</v>
      </c>
      <c r="Z89" s="15">
        <f t="shared" si="26"/>
        <v>0</v>
      </c>
      <c r="AA89" s="17">
        <v>0</v>
      </c>
      <c r="AB89" s="17">
        <v>0</v>
      </c>
      <c r="AC89" s="15">
        <f t="shared" si="27"/>
        <v>0</v>
      </c>
      <c r="AD89" s="17">
        <v>0</v>
      </c>
      <c r="AE89" s="17">
        <v>0</v>
      </c>
      <c r="AF89" s="15">
        <f t="shared" si="28"/>
        <v>0</v>
      </c>
      <c r="AG89" s="17">
        <v>0</v>
      </c>
      <c r="AH89" s="17">
        <v>0</v>
      </c>
      <c r="AI89" s="15">
        <f t="shared" si="29"/>
        <v>0</v>
      </c>
      <c r="AJ89" s="17"/>
    </row>
    <row r="90" spans="1:36" x14ac:dyDescent="0.3">
      <c r="A90" s="15" t="s">
        <v>139</v>
      </c>
      <c r="B90" s="15">
        <v>100</v>
      </c>
      <c r="C90" s="15" t="s">
        <v>54</v>
      </c>
      <c r="D90" s="15" t="s">
        <v>68</v>
      </c>
      <c r="E90" s="15">
        <v>0</v>
      </c>
      <c r="F90" s="15">
        <v>0</v>
      </c>
      <c r="G90" s="15">
        <v>0</v>
      </c>
      <c r="H90" s="15">
        <f t="shared" si="20"/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5">
        <f t="shared" si="21"/>
        <v>0</v>
      </c>
      <c r="T90" s="15">
        <f t="shared" si="22"/>
        <v>0</v>
      </c>
      <c r="U90" s="15">
        <f t="shared" si="23"/>
        <v>0</v>
      </c>
      <c r="V90" s="15">
        <f t="shared" si="24"/>
        <v>0</v>
      </c>
      <c r="W90" s="18" t="str">
        <f t="shared" si="25"/>
        <v/>
      </c>
      <c r="X90" s="17">
        <v>0</v>
      </c>
      <c r="Y90" s="17">
        <v>0</v>
      </c>
      <c r="Z90" s="15">
        <f t="shared" si="26"/>
        <v>0</v>
      </c>
      <c r="AA90" s="17">
        <v>0</v>
      </c>
      <c r="AB90" s="17">
        <v>0</v>
      </c>
      <c r="AC90" s="15">
        <f t="shared" si="27"/>
        <v>0</v>
      </c>
      <c r="AD90" s="17">
        <v>0</v>
      </c>
      <c r="AE90" s="17">
        <v>0</v>
      </c>
      <c r="AF90" s="15">
        <f t="shared" si="28"/>
        <v>0</v>
      </c>
      <c r="AG90" s="17">
        <v>0</v>
      </c>
      <c r="AH90" s="17">
        <v>0</v>
      </c>
      <c r="AI90" s="15">
        <f t="shared" si="29"/>
        <v>0</v>
      </c>
      <c r="AJ90" s="17"/>
    </row>
    <row r="91" spans="1:36" x14ac:dyDescent="0.3">
      <c r="A91" s="15" t="s">
        <v>140</v>
      </c>
      <c r="B91" s="15">
        <v>1000</v>
      </c>
      <c r="C91" s="15" t="s">
        <v>54</v>
      </c>
      <c r="D91" s="15" t="s">
        <v>68</v>
      </c>
      <c r="E91" s="15">
        <v>0</v>
      </c>
      <c r="F91" s="15">
        <v>0</v>
      </c>
      <c r="G91" s="15">
        <v>0</v>
      </c>
      <c r="H91" s="15">
        <f t="shared" si="20"/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5">
        <f t="shared" si="21"/>
        <v>0</v>
      </c>
      <c r="T91" s="15">
        <f t="shared" si="22"/>
        <v>0</v>
      </c>
      <c r="U91" s="15">
        <f t="shared" si="23"/>
        <v>0</v>
      </c>
      <c r="V91" s="15">
        <f t="shared" si="24"/>
        <v>0</v>
      </c>
      <c r="W91" s="18" t="str">
        <f t="shared" si="25"/>
        <v/>
      </c>
      <c r="X91" s="17">
        <v>0</v>
      </c>
      <c r="Y91" s="17">
        <v>0</v>
      </c>
      <c r="Z91" s="15">
        <f t="shared" si="26"/>
        <v>0</v>
      </c>
      <c r="AA91" s="17">
        <v>0</v>
      </c>
      <c r="AB91" s="17">
        <v>0</v>
      </c>
      <c r="AC91" s="15">
        <f t="shared" si="27"/>
        <v>0</v>
      </c>
      <c r="AD91" s="17">
        <v>0</v>
      </c>
      <c r="AE91" s="17">
        <v>0</v>
      </c>
      <c r="AF91" s="15">
        <f t="shared" si="28"/>
        <v>0</v>
      </c>
      <c r="AG91" s="17">
        <v>0</v>
      </c>
      <c r="AH91" s="17">
        <v>0</v>
      </c>
      <c r="AI91" s="15">
        <f t="shared" si="29"/>
        <v>0</v>
      </c>
      <c r="AJ91" s="17"/>
    </row>
    <row r="92" spans="1:36" hidden="1" x14ac:dyDescent="0.3">
      <c r="A92" s="15" t="s">
        <v>141</v>
      </c>
      <c r="B92" s="15">
        <v>1000</v>
      </c>
      <c r="C92" s="15" t="s">
        <v>54</v>
      </c>
      <c r="D92" s="15" t="s">
        <v>55</v>
      </c>
      <c r="E92" s="15">
        <f>'26 june'!T92</f>
        <v>4</v>
      </c>
      <c r="F92" s="15">
        <f>'26 june'!U92</f>
        <v>0</v>
      </c>
      <c r="G92" s="15">
        <f>'26 june'!V92</f>
        <v>0</v>
      </c>
      <c r="H92" s="15">
        <f t="shared" si="20"/>
        <v>4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5">
        <f t="shared" si="21"/>
        <v>4</v>
      </c>
      <c r="T92" s="15">
        <f t="shared" si="22"/>
        <v>4</v>
      </c>
      <c r="U92" s="15">
        <f t="shared" si="23"/>
        <v>0</v>
      </c>
      <c r="V92" s="15">
        <f t="shared" si="24"/>
        <v>0</v>
      </c>
      <c r="W92" s="18" t="str">
        <f t="shared" si="25"/>
        <v/>
      </c>
      <c r="X92" s="17">
        <v>0</v>
      </c>
      <c r="Y92" s="17">
        <v>0</v>
      </c>
      <c r="Z92" s="15">
        <f t="shared" si="26"/>
        <v>0</v>
      </c>
      <c r="AA92" s="17">
        <v>0</v>
      </c>
      <c r="AB92" s="17">
        <v>0</v>
      </c>
      <c r="AC92" s="15">
        <f t="shared" si="27"/>
        <v>0</v>
      </c>
      <c r="AD92" s="17">
        <v>0</v>
      </c>
      <c r="AE92" s="17">
        <v>0</v>
      </c>
      <c r="AF92" s="15">
        <f t="shared" si="28"/>
        <v>0</v>
      </c>
      <c r="AG92" s="17">
        <v>0</v>
      </c>
      <c r="AH92" s="17">
        <v>0</v>
      </c>
      <c r="AI92" s="15">
        <f t="shared" si="29"/>
        <v>0</v>
      </c>
      <c r="AJ92" s="17"/>
    </row>
    <row r="93" spans="1:36" hidden="1" x14ac:dyDescent="0.3">
      <c r="A93" s="15" t="s">
        <v>142</v>
      </c>
      <c r="B93" s="15">
        <v>100</v>
      </c>
      <c r="C93" s="15" t="s">
        <v>54</v>
      </c>
      <c r="D93" s="15" t="s">
        <v>55</v>
      </c>
      <c r="E93" s="15">
        <f>'26 june'!T93</f>
        <v>1</v>
      </c>
      <c r="F93" s="15">
        <f>'26 june'!U93</f>
        <v>0</v>
      </c>
      <c r="G93" s="15">
        <f>'26 june'!V93</f>
        <v>0</v>
      </c>
      <c r="H93" s="15">
        <f t="shared" si="20"/>
        <v>1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5">
        <f t="shared" si="21"/>
        <v>1</v>
      </c>
      <c r="T93" s="15">
        <f t="shared" si="22"/>
        <v>1</v>
      </c>
      <c r="U93" s="15">
        <f t="shared" si="23"/>
        <v>0</v>
      </c>
      <c r="V93" s="15">
        <f t="shared" si="24"/>
        <v>0</v>
      </c>
      <c r="W93" s="18" t="str">
        <f t="shared" si="25"/>
        <v/>
      </c>
      <c r="X93" s="17">
        <v>0</v>
      </c>
      <c r="Y93" s="17">
        <v>0</v>
      </c>
      <c r="Z93" s="15">
        <f t="shared" si="26"/>
        <v>0</v>
      </c>
      <c r="AA93" s="17">
        <v>0</v>
      </c>
      <c r="AB93" s="17">
        <v>0</v>
      </c>
      <c r="AC93" s="15">
        <f t="shared" si="27"/>
        <v>0</v>
      </c>
      <c r="AD93" s="17">
        <v>0</v>
      </c>
      <c r="AE93" s="17">
        <v>0</v>
      </c>
      <c r="AF93" s="15">
        <f t="shared" si="28"/>
        <v>0</v>
      </c>
      <c r="AG93" s="17">
        <v>0</v>
      </c>
      <c r="AH93" s="17">
        <v>0</v>
      </c>
      <c r="AI93" s="15">
        <f t="shared" si="29"/>
        <v>0</v>
      </c>
      <c r="AJ93" s="17"/>
    </row>
    <row r="94" spans="1:36" x14ac:dyDescent="0.3">
      <c r="A94" s="15" t="s">
        <v>143</v>
      </c>
      <c r="B94" s="15">
        <v>1000</v>
      </c>
      <c r="C94" s="15" t="s">
        <v>54</v>
      </c>
      <c r="D94" s="15" t="s">
        <v>57</v>
      </c>
      <c r="E94" s="15">
        <v>0</v>
      </c>
      <c r="F94" s="15">
        <v>0</v>
      </c>
      <c r="G94" s="15">
        <v>0</v>
      </c>
      <c r="H94" s="15">
        <f t="shared" si="20"/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5">
        <f t="shared" si="21"/>
        <v>0</v>
      </c>
      <c r="T94" s="15">
        <f t="shared" si="22"/>
        <v>0</v>
      </c>
      <c r="U94" s="15">
        <f t="shared" si="23"/>
        <v>0</v>
      </c>
      <c r="V94" s="15">
        <f t="shared" si="24"/>
        <v>0</v>
      </c>
      <c r="W94" s="18" t="str">
        <f t="shared" si="25"/>
        <v/>
      </c>
      <c r="X94" s="17">
        <v>0</v>
      </c>
      <c r="Y94" s="17">
        <v>0</v>
      </c>
      <c r="Z94" s="15">
        <f t="shared" si="26"/>
        <v>0</v>
      </c>
      <c r="AA94" s="17">
        <v>0</v>
      </c>
      <c r="AB94" s="17">
        <v>0</v>
      </c>
      <c r="AC94" s="15">
        <f t="shared" si="27"/>
        <v>0</v>
      </c>
      <c r="AD94" s="17">
        <v>0</v>
      </c>
      <c r="AE94" s="17">
        <v>0</v>
      </c>
      <c r="AF94" s="15">
        <f t="shared" si="28"/>
        <v>0</v>
      </c>
      <c r="AG94" s="17">
        <v>0</v>
      </c>
      <c r="AH94" s="17">
        <v>0</v>
      </c>
      <c r="AI94" s="15">
        <f t="shared" si="29"/>
        <v>0</v>
      </c>
      <c r="AJ94" s="17"/>
    </row>
    <row r="95" spans="1:36" x14ac:dyDescent="0.3">
      <c r="A95" s="15" t="s">
        <v>144</v>
      </c>
      <c r="B95" s="15">
        <v>1000</v>
      </c>
      <c r="C95" s="15" t="s">
        <v>54</v>
      </c>
      <c r="D95" s="15" t="s">
        <v>68</v>
      </c>
      <c r="E95" s="15">
        <v>0</v>
      </c>
      <c r="F95" s="15">
        <v>0</v>
      </c>
      <c r="G95" s="15">
        <v>0</v>
      </c>
      <c r="H95" s="15">
        <f t="shared" si="20"/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5">
        <f t="shared" si="21"/>
        <v>0</v>
      </c>
      <c r="T95" s="15">
        <f t="shared" si="22"/>
        <v>0</v>
      </c>
      <c r="U95" s="15">
        <f t="shared" si="23"/>
        <v>0</v>
      </c>
      <c r="V95" s="15">
        <f t="shared" si="24"/>
        <v>0</v>
      </c>
      <c r="W95" s="18" t="str">
        <f t="shared" si="25"/>
        <v/>
      </c>
      <c r="X95" s="17">
        <v>0</v>
      </c>
      <c r="Y95" s="17">
        <v>0</v>
      </c>
      <c r="Z95" s="15">
        <f t="shared" si="26"/>
        <v>0</v>
      </c>
      <c r="AA95" s="17">
        <v>0</v>
      </c>
      <c r="AB95" s="17">
        <v>0</v>
      </c>
      <c r="AC95" s="15">
        <f t="shared" si="27"/>
        <v>0</v>
      </c>
      <c r="AD95" s="17">
        <v>0</v>
      </c>
      <c r="AE95" s="17">
        <v>0</v>
      </c>
      <c r="AF95" s="15">
        <f t="shared" si="28"/>
        <v>0</v>
      </c>
      <c r="AG95" s="17">
        <v>0</v>
      </c>
      <c r="AH95" s="17">
        <v>0</v>
      </c>
      <c r="AI95" s="15">
        <f t="shared" si="29"/>
        <v>0</v>
      </c>
      <c r="AJ95" s="17"/>
    </row>
    <row r="96" spans="1:36" x14ac:dyDescent="0.3">
      <c r="A96" s="15" t="s">
        <v>145</v>
      </c>
      <c r="B96" s="15">
        <v>1000</v>
      </c>
      <c r="C96" s="15" t="s">
        <v>54</v>
      </c>
      <c r="D96" s="15" t="s">
        <v>68</v>
      </c>
      <c r="E96" s="15">
        <v>0</v>
      </c>
      <c r="F96" s="15">
        <v>0</v>
      </c>
      <c r="G96" s="15">
        <v>0</v>
      </c>
      <c r="H96" s="15">
        <f t="shared" si="20"/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5">
        <f t="shared" si="21"/>
        <v>0</v>
      </c>
      <c r="T96" s="15">
        <f t="shared" si="22"/>
        <v>0</v>
      </c>
      <c r="U96" s="15">
        <f t="shared" si="23"/>
        <v>0</v>
      </c>
      <c r="V96" s="15">
        <f t="shared" si="24"/>
        <v>0</v>
      </c>
      <c r="W96" s="18" t="str">
        <f t="shared" si="25"/>
        <v/>
      </c>
      <c r="X96" s="17">
        <v>0</v>
      </c>
      <c r="Y96" s="17">
        <v>0</v>
      </c>
      <c r="Z96" s="15">
        <f t="shared" si="26"/>
        <v>0</v>
      </c>
      <c r="AA96" s="17">
        <v>0</v>
      </c>
      <c r="AB96" s="17">
        <v>0</v>
      </c>
      <c r="AC96" s="15">
        <f t="shared" si="27"/>
        <v>0</v>
      </c>
      <c r="AD96" s="17">
        <v>0</v>
      </c>
      <c r="AE96" s="17">
        <v>0</v>
      </c>
      <c r="AF96" s="15">
        <f t="shared" si="28"/>
        <v>0</v>
      </c>
      <c r="AG96" s="17">
        <v>0</v>
      </c>
      <c r="AH96" s="17">
        <v>0</v>
      </c>
      <c r="AI96" s="15">
        <f t="shared" si="29"/>
        <v>0</v>
      </c>
      <c r="AJ96" s="17"/>
    </row>
    <row r="97" spans="1:36" x14ac:dyDescent="0.3">
      <c r="A97" s="15" t="s">
        <v>146</v>
      </c>
      <c r="B97" s="15">
        <v>1000</v>
      </c>
      <c r="C97" s="15" t="s">
        <v>54</v>
      </c>
      <c r="D97" s="15" t="s">
        <v>68</v>
      </c>
      <c r="E97" s="15">
        <v>0</v>
      </c>
      <c r="F97" s="15">
        <v>0</v>
      </c>
      <c r="G97" s="15">
        <v>0</v>
      </c>
      <c r="H97" s="15">
        <f t="shared" si="20"/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5">
        <f t="shared" si="21"/>
        <v>0</v>
      </c>
      <c r="T97" s="15">
        <f t="shared" si="22"/>
        <v>0</v>
      </c>
      <c r="U97" s="15">
        <f t="shared" si="23"/>
        <v>0</v>
      </c>
      <c r="V97" s="15">
        <f t="shared" si="24"/>
        <v>0</v>
      </c>
      <c r="W97" s="18" t="str">
        <f t="shared" si="25"/>
        <v/>
      </c>
      <c r="X97" s="17">
        <v>0</v>
      </c>
      <c r="Y97" s="17">
        <v>0</v>
      </c>
      <c r="Z97" s="15">
        <f t="shared" si="26"/>
        <v>0</v>
      </c>
      <c r="AA97" s="17">
        <v>0</v>
      </c>
      <c r="AB97" s="17">
        <v>0</v>
      </c>
      <c r="AC97" s="15">
        <f t="shared" si="27"/>
        <v>0</v>
      </c>
      <c r="AD97" s="17">
        <v>0</v>
      </c>
      <c r="AE97" s="17">
        <v>0</v>
      </c>
      <c r="AF97" s="15">
        <f t="shared" si="28"/>
        <v>0</v>
      </c>
      <c r="AG97" s="17">
        <v>0</v>
      </c>
      <c r="AH97" s="17">
        <v>0</v>
      </c>
      <c r="AI97" s="15">
        <f t="shared" si="29"/>
        <v>0</v>
      </c>
      <c r="AJ97" s="17"/>
    </row>
    <row r="98" spans="1:36" hidden="1" x14ac:dyDescent="0.3">
      <c r="A98" s="15" t="s">
        <v>147</v>
      </c>
      <c r="B98" s="15">
        <v>1000</v>
      </c>
      <c r="C98" s="15" t="s">
        <v>54</v>
      </c>
      <c r="D98" s="15" t="s">
        <v>55</v>
      </c>
      <c r="E98" s="15">
        <f>'26 june'!T98</f>
        <v>0</v>
      </c>
      <c r="F98" s="15">
        <f>'26 june'!U98</f>
        <v>1</v>
      </c>
      <c r="G98" s="15">
        <f>'26 june'!V98</f>
        <v>48</v>
      </c>
      <c r="H98" s="15">
        <f t="shared" si="20"/>
        <v>49</v>
      </c>
      <c r="I98" s="17">
        <v>0</v>
      </c>
      <c r="J98" s="17">
        <v>0</v>
      </c>
      <c r="K98" s="17">
        <v>9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5">
        <f t="shared" si="21"/>
        <v>40</v>
      </c>
      <c r="T98" s="15">
        <f t="shared" si="22"/>
        <v>0</v>
      </c>
      <c r="U98" s="15">
        <f t="shared" si="23"/>
        <v>1</v>
      </c>
      <c r="V98" s="15">
        <f t="shared" si="24"/>
        <v>39</v>
      </c>
      <c r="W98" s="18" t="str">
        <f t="shared" si="25"/>
        <v/>
      </c>
      <c r="X98" s="17">
        <v>0</v>
      </c>
      <c r="Y98" s="17">
        <v>0</v>
      </c>
      <c r="Z98" s="15">
        <f t="shared" si="26"/>
        <v>0</v>
      </c>
      <c r="AA98" s="17">
        <v>0</v>
      </c>
      <c r="AB98" s="17">
        <v>0</v>
      </c>
      <c r="AC98" s="15">
        <f t="shared" si="27"/>
        <v>0</v>
      </c>
      <c r="AD98" s="17">
        <v>0</v>
      </c>
      <c r="AE98" s="17">
        <v>0</v>
      </c>
      <c r="AF98" s="15">
        <f t="shared" si="28"/>
        <v>0</v>
      </c>
      <c r="AG98" s="17">
        <v>0</v>
      </c>
      <c r="AH98" s="17">
        <v>0</v>
      </c>
      <c r="AI98" s="15">
        <f t="shared" si="29"/>
        <v>0</v>
      </c>
      <c r="AJ98" s="17"/>
    </row>
    <row r="99" spans="1:36" x14ac:dyDescent="0.3">
      <c r="A99" s="15" t="s">
        <v>148</v>
      </c>
      <c r="B99" s="15">
        <v>100</v>
      </c>
      <c r="C99" s="15" t="s">
        <v>54</v>
      </c>
      <c r="D99" s="15" t="s">
        <v>57</v>
      </c>
      <c r="E99" s="15">
        <v>0</v>
      </c>
      <c r="F99" s="15">
        <v>0</v>
      </c>
      <c r="G99" s="15">
        <v>0</v>
      </c>
      <c r="H99" s="15">
        <f t="shared" ref="H99:H130" si="30">E99+F99+G99</f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5">
        <f t="shared" ref="S99:S130" si="31">H99+O99+P99+Q99+R99-(I99+J99+K99+L99+M99+N99)</f>
        <v>0</v>
      </c>
      <c r="T99" s="15">
        <f t="shared" ref="T99:T130" si="32">E99+O99-I99-L99</f>
        <v>0</v>
      </c>
      <c r="U99" s="15">
        <f t="shared" ref="U99:U130" si="33">F99+P99-J99-M99</f>
        <v>0</v>
      </c>
      <c r="V99" s="15">
        <f t="shared" ref="V99:V130" si="34">G99+Q99-K99-N99</f>
        <v>0</v>
      </c>
      <c r="W99" s="18" t="str">
        <f t="shared" ref="W99:W130" si="35">IF(MIN(T99,U99,V99)&lt;0,"NEGATIVE STOCK - CHECK ENTRIES","")</f>
        <v/>
      </c>
      <c r="X99" s="17">
        <v>0</v>
      </c>
      <c r="Y99" s="17">
        <v>0</v>
      </c>
      <c r="Z99" s="15">
        <f t="shared" ref="Z99:Z130" si="36">X99-Y99</f>
        <v>0</v>
      </c>
      <c r="AA99" s="17">
        <v>0</v>
      </c>
      <c r="AB99" s="17">
        <v>0</v>
      </c>
      <c r="AC99" s="15">
        <f t="shared" ref="AC99:AC130" si="37">AA99-AB99</f>
        <v>0</v>
      </c>
      <c r="AD99" s="17">
        <v>0</v>
      </c>
      <c r="AE99" s="17">
        <v>0</v>
      </c>
      <c r="AF99" s="15">
        <f t="shared" ref="AF99:AF130" si="38">AD99-AE99</f>
        <v>0</v>
      </c>
      <c r="AG99" s="17">
        <v>0</v>
      </c>
      <c r="AH99" s="17">
        <v>0</v>
      </c>
      <c r="AI99" s="15">
        <f t="shared" ref="AI99:AI130" si="39">AG99-AH99</f>
        <v>0</v>
      </c>
      <c r="AJ99" s="17"/>
    </row>
    <row r="100" spans="1:36" hidden="1" x14ac:dyDescent="0.3">
      <c r="A100" s="15" t="s">
        <v>149</v>
      </c>
      <c r="B100" s="15">
        <v>250</v>
      </c>
      <c r="C100" s="15" t="s">
        <v>54</v>
      </c>
      <c r="D100" s="15" t="s">
        <v>55</v>
      </c>
      <c r="E100" s="15">
        <v>0</v>
      </c>
      <c r="F100" s="15">
        <v>0</v>
      </c>
      <c r="G100" s="15">
        <v>0</v>
      </c>
      <c r="H100" s="15">
        <f t="shared" si="30"/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5">
        <f t="shared" si="31"/>
        <v>0</v>
      </c>
      <c r="T100" s="15">
        <f t="shared" si="32"/>
        <v>0</v>
      </c>
      <c r="U100" s="15">
        <f t="shared" si="33"/>
        <v>0</v>
      </c>
      <c r="V100" s="15">
        <f t="shared" si="34"/>
        <v>0</v>
      </c>
      <c r="W100" s="18" t="str">
        <f t="shared" si="35"/>
        <v/>
      </c>
      <c r="X100" s="17">
        <v>0</v>
      </c>
      <c r="Y100" s="17">
        <v>0</v>
      </c>
      <c r="Z100" s="15">
        <f t="shared" si="36"/>
        <v>0</v>
      </c>
      <c r="AA100" s="17">
        <v>0</v>
      </c>
      <c r="AB100" s="17">
        <v>0</v>
      </c>
      <c r="AC100" s="15">
        <f t="shared" si="37"/>
        <v>0</v>
      </c>
      <c r="AD100" s="17">
        <v>0</v>
      </c>
      <c r="AE100" s="17">
        <v>0</v>
      </c>
      <c r="AF100" s="15">
        <f t="shared" si="38"/>
        <v>0</v>
      </c>
      <c r="AG100" s="17">
        <v>0</v>
      </c>
      <c r="AH100" s="17">
        <v>0</v>
      </c>
      <c r="AI100" s="15">
        <f t="shared" si="39"/>
        <v>0</v>
      </c>
      <c r="AJ100" s="17"/>
    </row>
    <row r="101" spans="1:36" x14ac:dyDescent="0.3">
      <c r="A101" s="15" t="s">
        <v>150</v>
      </c>
      <c r="B101" s="15">
        <v>10000</v>
      </c>
      <c r="C101" s="15" t="s">
        <v>54</v>
      </c>
      <c r="D101" s="15" t="s">
        <v>68</v>
      </c>
      <c r="E101" s="15">
        <v>0</v>
      </c>
      <c r="F101" s="15">
        <v>0</v>
      </c>
      <c r="G101" s="15">
        <v>0</v>
      </c>
      <c r="H101" s="15">
        <f t="shared" si="30"/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5">
        <f t="shared" si="31"/>
        <v>0</v>
      </c>
      <c r="T101" s="15">
        <f t="shared" si="32"/>
        <v>0</v>
      </c>
      <c r="U101" s="15">
        <f t="shared" si="33"/>
        <v>0</v>
      </c>
      <c r="V101" s="15">
        <f t="shared" si="34"/>
        <v>0</v>
      </c>
      <c r="W101" s="18" t="str">
        <f t="shared" si="35"/>
        <v/>
      </c>
      <c r="X101" s="17">
        <v>0</v>
      </c>
      <c r="Y101" s="17">
        <v>0</v>
      </c>
      <c r="Z101" s="15">
        <f t="shared" si="36"/>
        <v>0</v>
      </c>
      <c r="AA101" s="17">
        <v>0</v>
      </c>
      <c r="AB101" s="17">
        <v>0</v>
      </c>
      <c r="AC101" s="15">
        <f t="shared" si="37"/>
        <v>0</v>
      </c>
      <c r="AD101" s="17">
        <v>0</v>
      </c>
      <c r="AE101" s="17">
        <v>0</v>
      </c>
      <c r="AF101" s="15">
        <f t="shared" si="38"/>
        <v>0</v>
      </c>
      <c r="AG101" s="17">
        <v>0</v>
      </c>
      <c r="AH101" s="17">
        <v>0</v>
      </c>
      <c r="AI101" s="15">
        <f t="shared" si="39"/>
        <v>0</v>
      </c>
      <c r="AJ101" s="17"/>
    </row>
    <row r="102" spans="1:36" x14ac:dyDescent="0.3">
      <c r="A102" s="15" t="s">
        <v>151</v>
      </c>
      <c r="B102" s="15">
        <v>100000</v>
      </c>
      <c r="C102" s="15" t="s">
        <v>54</v>
      </c>
      <c r="D102" s="15" t="s">
        <v>68</v>
      </c>
      <c r="E102" s="15">
        <v>0</v>
      </c>
      <c r="F102" s="15">
        <v>0</v>
      </c>
      <c r="G102" s="15">
        <v>0</v>
      </c>
      <c r="H102" s="15">
        <f t="shared" si="30"/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5">
        <f t="shared" si="31"/>
        <v>0</v>
      </c>
      <c r="T102" s="15">
        <f t="shared" si="32"/>
        <v>0</v>
      </c>
      <c r="U102" s="15">
        <f t="shared" si="33"/>
        <v>0</v>
      </c>
      <c r="V102" s="15">
        <f t="shared" si="34"/>
        <v>0</v>
      </c>
      <c r="W102" s="18" t="str">
        <f t="shared" si="35"/>
        <v/>
      </c>
      <c r="X102" s="17">
        <v>0</v>
      </c>
      <c r="Y102" s="17">
        <v>0</v>
      </c>
      <c r="Z102" s="15">
        <f t="shared" si="36"/>
        <v>0</v>
      </c>
      <c r="AA102" s="17">
        <v>0</v>
      </c>
      <c r="AB102" s="17">
        <v>0</v>
      </c>
      <c r="AC102" s="15">
        <f t="shared" si="37"/>
        <v>0</v>
      </c>
      <c r="AD102" s="17">
        <v>0</v>
      </c>
      <c r="AE102" s="17">
        <v>0</v>
      </c>
      <c r="AF102" s="15">
        <f t="shared" si="38"/>
        <v>0</v>
      </c>
      <c r="AG102" s="17">
        <v>0</v>
      </c>
      <c r="AH102" s="17">
        <v>0</v>
      </c>
      <c r="AI102" s="15">
        <f t="shared" si="39"/>
        <v>0</v>
      </c>
      <c r="AJ102" s="17"/>
    </row>
    <row r="103" spans="1:36" x14ac:dyDescent="0.3">
      <c r="A103" s="15" t="s">
        <v>152</v>
      </c>
      <c r="B103" s="15">
        <v>500</v>
      </c>
      <c r="C103" s="15" t="s">
        <v>54</v>
      </c>
      <c r="D103" s="15" t="s">
        <v>57</v>
      </c>
      <c r="E103" s="15">
        <v>0</v>
      </c>
      <c r="F103" s="15">
        <v>0</v>
      </c>
      <c r="G103" s="15">
        <v>0</v>
      </c>
      <c r="H103" s="15">
        <f t="shared" si="30"/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5">
        <f t="shared" si="31"/>
        <v>0</v>
      </c>
      <c r="T103" s="15">
        <f t="shared" si="32"/>
        <v>0</v>
      </c>
      <c r="U103" s="15">
        <f t="shared" si="33"/>
        <v>0</v>
      </c>
      <c r="V103" s="15">
        <f t="shared" si="34"/>
        <v>0</v>
      </c>
      <c r="W103" s="18" t="str">
        <f t="shared" si="35"/>
        <v/>
      </c>
      <c r="X103" s="17">
        <v>0</v>
      </c>
      <c r="Y103" s="17">
        <v>0</v>
      </c>
      <c r="Z103" s="15">
        <f t="shared" si="36"/>
        <v>0</v>
      </c>
      <c r="AA103" s="17">
        <v>0</v>
      </c>
      <c r="AB103" s="17">
        <v>0</v>
      </c>
      <c r="AC103" s="15">
        <f t="shared" si="37"/>
        <v>0</v>
      </c>
      <c r="AD103" s="17">
        <v>0</v>
      </c>
      <c r="AE103" s="17">
        <v>0</v>
      </c>
      <c r="AF103" s="15">
        <f t="shared" si="38"/>
        <v>0</v>
      </c>
      <c r="AG103" s="17">
        <v>0</v>
      </c>
      <c r="AH103" s="17">
        <v>0</v>
      </c>
      <c r="AI103" s="15">
        <f t="shared" si="39"/>
        <v>0</v>
      </c>
      <c r="AJ103" s="17"/>
    </row>
    <row r="104" spans="1:36" x14ac:dyDescent="0.3">
      <c r="A104" s="15" t="s">
        <v>153</v>
      </c>
      <c r="B104" s="15">
        <v>100</v>
      </c>
      <c r="C104" s="15" t="s">
        <v>54</v>
      </c>
      <c r="D104" s="15" t="s">
        <v>68</v>
      </c>
      <c r="E104" s="15">
        <v>0</v>
      </c>
      <c r="F104" s="15">
        <v>0</v>
      </c>
      <c r="G104" s="15">
        <v>0</v>
      </c>
      <c r="H104" s="15">
        <f t="shared" si="30"/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5">
        <f t="shared" si="31"/>
        <v>0</v>
      </c>
      <c r="T104" s="15">
        <f t="shared" si="32"/>
        <v>0</v>
      </c>
      <c r="U104" s="15">
        <f t="shared" si="33"/>
        <v>0</v>
      </c>
      <c r="V104" s="15">
        <f t="shared" si="34"/>
        <v>0</v>
      </c>
      <c r="W104" s="18" t="str">
        <f t="shared" si="35"/>
        <v/>
      </c>
      <c r="X104" s="17">
        <v>0</v>
      </c>
      <c r="Y104" s="17">
        <v>0</v>
      </c>
      <c r="Z104" s="15">
        <f t="shared" si="36"/>
        <v>0</v>
      </c>
      <c r="AA104" s="17">
        <v>0</v>
      </c>
      <c r="AB104" s="17">
        <v>0</v>
      </c>
      <c r="AC104" s="15">
        <f t="shared" si="37"/>
        <v>0</v>
      </c>
      <c r="AD104" s="17">
        <v>0</v>
      </c>
      <c r="AE104" s="17">
        <v>0</v>
      </c>
      <c r="AF104" s="15">
        <f t="shared" si="38"/>
        <v>0</v>
      </c>
      <c r="AG104" s="17">
        <v>0</v>
      </c>
      <c r="AH104" s="17">
        <v>0</v>
      </c>
      <c r="AI104" s="15">
        <f t="shared" si="39"/>
        <v>0</v>
      </c>
      <c r="AJ104" s="17"/>
    </row>
    <row r="105" spans="1:36" hidden="1" x14ac:dyDescent="0.3">
      <c r="A105" s="15" t="s">
        <v>154</v>
      </c>
      <c r="B105" s="15">
        <v>100</v>
      </c>
      <c r="C105" s="15" t="s">
        <v>54</v>
      </c>
      <c r="D105" s="15" t="s">
        <v>55</v>
      </c>
      <c r="E105" s="15">
        <f>'26 june'!T105</f>
        <v>15</v>
      </c>
      <c r="F105" s="15">
        <f>'26 june'!U105</f>
        <v>6</v>
      </c>
      <c r="G105" s="15">
        <f>'26 june'!V105</f>
        <v>0</v>
      </c>
      <c r="H105" s="15">
        <f t="shared" si="30"/>
        <v>21</v>
      </c>
      <c r="I105" s="17">
        <v>0</v>
      </c>
      <c r="J105" s="17">
        <v>2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5">
        <f t="shared" si="31"/>
        <v>19</v>
      </c>
      <c r="T105" s="15">
        <f t="shared" si="32"/>
        <v>15</v>
      </c>
      <c r="U105" s="15">
        <f t="shared" si="33"/>
        <v>4</v>
      </c>
      <c r="V105" s="15">
        <f t="shared" si="34"/>
        <v>0</v>
      </c>
      <c r="W105" s="18" t="str">
        <f t="shared" si="35"/>
        <v/>
      </c>
      <c r="X105" s="17">
        <v>0</v>
      </c>
      <c r="Y105" s="17">
        <v>0</v>
      </c>
      <c r="Z105" s="15">
        <f t="shared" si="36"/>
        <v>0</v>
      </c>
      <c r="AA105" s="17">
        <v>0</v>
      </c>
      <c r="AB105" s="17">
        <v>0</v>
      </c>
      <c r="AC105" s="15">
        <f t="shared" si="37"/>
        <v>0</v>
      </c>
      <c r="AD105" s="17">
        <v>0</v>
      </c>
      <c r="AE105" s="17">
        <v>0</v>
      </c>
      <c r="AF105" s="15">
        <f t="shared" si="38"/>
        <v>0</v>
      </c>
      <c r="AG105" s="17">
        <v>0</v>
      </c>
      <c r="AH105" s="17">
        <v>0</v>
      </c>
      <c r="AI105" s="15">
        <f t="shared" si="39"/>
        <v>0</v>
      </c>
      <c r="AJ105" s="17"/>
    </row>
    <row r="106" spans="1:36" x14ac:dyDescent="0.3">
      <c r="A106" s="15" t="s">
        <v>155</v>
      </c>
      <c r="B106" s="15">
        <v>100</v>
      </c>
      <c r="C106" s="15" t="s">
        <v>54</v>
      </c>
      <c r="D106" s="15" t="s">
        <v>68</v>
      </c>
      <c r="E106" s="15">
        <v>0</v>
      </c>
      <c r="F106" s="15">
        <v>0</v>
      </c>
      <c r="G106" s="15">
        <v>0</v>
      </c>
      <c r="H106" s="15">
        <f t="shared" si="30"/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5">
        <f t="shared" si="31"/>
        <v>0</v>
      </c>
      <c r="T106" s="15">
        <f t="shared" si="32"/>
        <v>0</v>
      </c>
      <c r="U106" s="15">
        <f t="shared" si="33"/>
        <v>0</v>
      </c>
      <c r="V106" s="15">
        <f t="shared" si="34"/>
        <v>0</v>
      </c>
      <c r="W106" s="18" t="str">
        <f t="shared" si="35"/>
        <v/>
      </c>
      <c r="X106" s="17">
        <v>0</v>
      </c>
      <c r="Y106" s="17">
        <v>0</v>
      </c>
      <c r="Z106" s="15">
        <f t="shared" si="36"/>
        <v>0</v>
      </c>
      <c r="AA106" s="17">
        <v>0</v>
      </c>
      <c r="AB106" s="17">
        <v>0</v>
      </c>
      <c r="AC106" s="15">
        <f t="shared" si="37"/>
        <v>0</v>
      </c>
      <c r="AD106" s="17">
        <v>0</v>
      </c>
      <c r="AE106" s="17">
        <v>0</v>
      </c>
      <c r="AF106" s="15">
        <f t="shared" si="38"/>
        <v>0</v>
      </c>
      <c r="AG106" s="17">
        <v>0</v>
      </c>
      <c r="AH106" s="17">
        <v>0</v>
      </c>
      <c r="AI106" s="15">
        <f t="shared" si="39"/>
        <v>0</v>
      </c>
      <c r="AJ106" s="17"/>
    </row>
    <row r="107" spans="1:36" x14ac:dyDescent="0.3">
      <c r="A107" s="15" t="s">
        <v>156</v>
      </c>
      <c r="B107" s="15">
        <v>2500</v>
      </c>
      <c r="C107" s="15" t="s">
        <v>54</v>
      </c>
      <c r="D107" s="15" t="s">
        <v>68</v>
      </c>
      <c r="E107" s="15">
        <v>0</v>
      </c>
      <c r="F107" s="15">
        <v>0</v>
      </c>
      <c r="G107" s="15">
        <v>0</v>
      </c>
      <c r="H107" s="15">
        <f t="shared" si="30"/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5">
        <f t="shared" si="31"/>
        <v>0</v>
      </c>
      <c r="T107" s="15">
        <f t="shared" si="32"/>
        <v>0</v>
      </c>
      <c r="U107" s="15">
        <f t="shared" si="33"/>
        <v>0</v>
      </c>
      <c r="V107" s="15">
        <f t="shared" si="34"/>
        <v>0</v>
      </c>
      <c r="W107" s="18" t="str">
        <f t="shared" si="35"/>
        <v/>
      </c>
      <c r="X107" s="17">
        <v>0</v>
      </c>
      <c r="Y107" s="17">
        <v>0</v>
      </c>
      <c r="Z107" s="15">
        <f t="shared" si="36"/>
        <v>0</v>
      </c>
      <c r="AA107" s="17">
        <v>0</v>
      </c>
      <c r="AB107" s="17">
        <v>0</v>
      </c>
      <c r="AC107" s="15">
        <f t="shared" si="37"/>
        <v>0</v>
      </c>
      <c r="AD107" s="17">
        <v>0</v>
      </c>
      <c r="AE107" s="17">
        <v>0</v>
      </c>
      <c r="AF107" s="15">
        <f t="shared" si="38"/>
        <v>0</v>
      </c>
      <c r="AG107" s="17">
        <v>0</v>
      </c>
      <c r="AH107" s="17">
        <v>0</v>
      </c>
      <c r="AI107" s="15">
        <f t="shared" si="39"/>
        <v>0</v>
      </c>
      <c r="AJ107" s="17"/>
    </row>
    <row r="108" spans="1:36" x14ac:dyDescent="0.3">
      <c r="A108" s="15" t="s">
        <v>157</v>
      </c>
      <c r="B108" s="15">
        <v>100</v>
      </c>
      <c r="C108" s="15" t="s">
        <v>54</v>
      </c>
      <c r="D108" s="15" t="s">
        <v>57</v>
      </c>
      <c r="E108" s="15">
        <v>0</v>
      </c>
      <c r="F108" s="15">
        <v>0</v>
      </c>
      <c r="G108" s="15">
        <v>0</v>
      </c>
      <c r="H108" s="15">
        <f t="shared" si="30"/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5">
        <f t="shared" si="31"/>
        <v>0</v>
      </c>
      <c r="T108" s="15">
        <f t="shared" si="32"/>
        <v>0</v>
      </c>
      <c r="U108" s="15">
        <f t="shared" si="33"/>
        <v>0</v>
      </c>
      <c r="V108" s="15">
        <f t="shared" si="34"/>
        <v>0</v>
      </c>
      <c r="W108" s="18" t="str">
        <f t="shared" si="35"/>
        <v/>
      </c>
      <c r="X108" s="17">
        <v>0</v>
      </c>
      <c r="Y108" s="17">
        <v>0</v>
      </c>
      <c r="Z108" s="15">
        <f t="shared" si="36"/>
        <v>0</v>
      </c>
      <c r="AA108" s="17">
        <v>0</v>
      </c>
      <c r="AB108" s="17">
        <v>0</v>
      </c>
      <c r="AC108" s="15">
        <f t="shared" si="37"/>
        <v>0</v>
      </c>
      <c r="AD108" s="17">
        <v>0</v>
      </c>
      <c r="AE108" s="17">
        <v>0</v>
      </c>
      <c r="AF108" s="15">
        <f t="shared" si="38"/>
        <v>0</v>
      </c>
      <c r="AG108" s="17">
        <v>0</v>
      </c>
      <c r="AH108" s="17">
        <v>0</v>
      </c>
      <c r="AI108" s="15">
        <f t="shared" si="39"/>
        <v>0</v>
      </c>
      <c r="AJ108" s="17"/>
    </row>
    <row r="109" spans="1:36" hidden="1" x14ac:dyDescent="0.3">
      <c r="A109" s="15" t="s">
        <v>158</v>
      </c>
      <c r="B109" s="15">
        <v>100</v>
      </c>
      <c r="C109" s="15" t="s">
        <v>54</v>
      </c>
      <c r="D109" s="15" t="s">
        <v>55</v>
      </c>
      <c r="E109" s="15">
        <f>'26 june'!T109</f>
        <v>27</v>
      </c>
      <c r="F109" s="15">
        <f>'26 june'!U109</f>
        <v>0</v>
      </c>
      <c r="G109" s="15">
        <f>'26 june'!V109</f>
        <v>0</v>
      </c>
      <c r="H109" s="15">
        <f t="shared" si="30"/>
        <v>27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5">
        <f t="shared" si="31"/>
        <v>27</v>
      </c>
      <c r="T109" s="15">
        <f t="shared" si="32"/>
        <v>27</v>
      </c>
      <c r="U109" s="15">
        <f t="shared" si="33"/>
        <v>0</v>
      </c>
      <c r="V109" s="15">
        <f t="shared" si="34"/>
        <v>0</v>
      </c>
      <c r="W109" s="18" t="str">
        <f t="shared" si="35"/>
        <v/>
      </c>
      <c r="X109" s="17">
        <v>0</v>
      </c>
      <c r="Y109" s="17">
        <v>0</v>
      </c>
      <c r="Z109" s="15">
        <f t="shared" si="36"/>
        <v>0</v>
      </c>
      <c r="AA109" s="17">
        <v>0</v>
      </c>
      <c r="AB109" s="17">
        <v>0</v>
      </c>
      <c r="AC109" s="15">
        <f t="shared" si="37"/>
        <v>0</v>
      </c>
      <c r="AD109" s="17">
        <v>0</v>
      </c>
      <c r="AE109" s="17">
        <v>0</v>
      </c>
      <c r="AF109" s="15">
        <f t="shared" si="38"/>
        <v>0</v>
      </c>
      <c r="AG109" s="17">
        <v>0</v>
      </c>
      <c r="AH109" s="17">
        <v>0</v>
      </c>
      <c r="AI109" s="15">
        <f t="shared" si="39"/>
        <v>0</v>
      </c>
      <c r="AJ109" s="17"/>
    </row>
    <row r="110" spans="1:36" hidden="1" x14ac:dyDescent="0.3">
      <c r="A110" s="15" t="s">
        <v>159</v>
      </c>
      <c r="B110" s="15">
        <v>100</v>
      </c>
      <c r="C110" s="15" t="s">
        <v>54</v>
      </c>
      <c r="D110" s="15" t="s">
        <v>55</v>
      </c>
      <c r="E110" s="15">
        <f>'26 june'!T110</f>
        <v>91</v>
      </c>
      <c r="F110" s="15">
        <f>'26 june'!U110</f>
        <v>0</v>
      </c>
      <c r="G110" s="15">
        <f>'26 june'!V110</f>
        <v>0</v>
      </c>
      <c r="H110" s="15">
        <f t="shared" si="30"/>
        <v>91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5">
        <f t="shared" si="31"/>
        <v>91</v>
      </c>
      <c r="T110" s="15">
        <f t="shared" si="32"/>
        <v>91</v>
      </c>
      <c r="U110" s="15">
        <f t="shared" si="33"/>
        <v>0</v>
      </c>
      <c r="V110" s="15">
        <f t="shared" si="34"/>
        <v>0</v>
      </c>
      <c r="W110" s="18" t="str">
        <f t="shared" si="35"/>
        <v/>
      </c>
      <c r="X110" s="17">
        <v>0</v>
      </c>
      <c r="Y110" s="17">
        <v>0</v>
      </c>
      <c r="Z110" s="15">
        <f t="shared" si="36"/>
        <v>0</v>
      </c>
      <c r="AA110" s="17">
        <v>0</v>
      </c>
      <c r="AB110" s="17">
        <v>0</v>
      </c>
      <c r="AC110" s="15">
        <f t="shared" si="37"/>
        <v>0</v>
      </c>
      <c r="AD110" s="17">
        <v>0</v>
      </c>
      <c r="AE110" s="17">
        <v>0</v>
      </c>
      <c r="AF110" s="15">
        <f t="shared" si="38"/>
        <v>0</v>
      </c>
      <c r="AG110" s="17">
        <v>0</v>
      </c>
      <c r="AH110" s="17">
        <v>0</v>
      </c>
      <c r="AI110" s="15">
        <f t="shared" si="39"/>
        <v>0</v>
      </c>
      <c r="AJ110" s="17"/>
    </row>
    <row r="111" spans="1:36" hidden="1" x14ac:dyDescent="0.3">
      <c r="A111" s="15" t="s">
        <v>160</v>
      </c>
      <c r="B111" s="15">
        <v>100</v>
      </c>
      <c r="C111" s="15" t="s">
        <v>54</v>
      </c>
      <c r="D111" s="15" t="s">
        <v>55</v>
      </c>
      <c r="E111" s="15">
        <f>'26 june'!T111</f>
        <v>134</v>
      </c>
      <c r="F111" s="15">
        <f>'26 june'!U111</f>
        <v>4</v>
      </c>
      <c r="G111" s="15">
        <f>'26 june'!V111</f>
        <v>13</v>
      </c>
      <c r="H111" s="15">
        <f t="shared" si="30"/>
        <v>151</v>
      </c>
      <c r="I111" s="17">
        <v>10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5">
        <f t="shared" si="31"/>
        <v>141</v>
      </c>
      <c r="T111" s="15">
        <f t="shared" si="32"/>
        <v>124</v>
      </c>
      <c r="U111" s="15">
        <f t="shared" si="33"/>
        <v>4</v>
      </c>
      <c r="V111" s="15">
        <f t="shared" si="34"/>
        <v>13</v>
      </c>
      <c r="W111" s="18" t="str">
        <f t="shared" si="35"/>
        <v/>
      </c>
      <c r="X111" s="17">
        <v>0</v>
      </c>
      <c r="Y111" s="17">
        <v>0</v>
      </c>
      <c r="Z111" s="15">
        <f t="shared" si="36"/>
        <v>0</v>
      </c>
      <c r="AA111" s="17">
        <v>0</v>
      </c>
      <c r="AB111" s="17">
        <v>0</v>
      </c>
      <c r="AC111" s="15">
        <f t="shared" si="37"/>
        <v>0</v>
      </c>
      <c r="AD111" s="17">
        <v>0</v>
      </c>
      <c r="AE111" s="17">
        <v>0</v>
      </c>
      <c r="AF111" s="15">
        <f t="shared" si="38"/>
        <v>0</v>
      </c>
      <c r="AG111" s="17">
        <v>0</v>
      </c>
      <c r="AH111" s="17">
        <v>0</v>
      </c>
      <c r="AI111" s="15">
        <f t="shared" si="39"/>
        <v>0</v>
      </c>
      <c r="AJ111" s="17"/>
    </row>
    <row r="112" spans="1:36" hidden="1" x14ac:dyDescent="0.3">
      <c r="A112" s="15" t="s">
        <v>161</v>
      </c>
      <c r="B112" s="15">
        <v>100</v>
      </c>
      <c r="C112" s="15" t="s">
        <v>54</v>
      </c>
      <c r="D112" s="15" t="s">
        <v>55</v>
      </c>
      <c r="E112" s="15">
        <f>'26 june'!T112</f>
        <v>283</v>
      </c>
      <c r="F112" s="15">
        <f>'26 june'!U112</f>
        <v>60</v>
      </c>
      <c r="G112" s="15">
        <f>'26 june'!V112</f>
        <v>62</v>
      </c>
      <c r="H112" s="15">
        <f t="shared" si="30"/>
        <v>405</v>
      </c>
      <c r="I112" s="17">
        <v>10</v>
      </c>
      <c r="J112" s="17">
        <v>0</v>
      </c>
      <c r="K112" s="17">
        <v>0</v>
      </c>
      <c r="L112" s="17">
        <v>6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5">
        <f t="shared" si="31"/>
        <v>389</v>
      </c>
      <c r="T112" s="15">
        <f t="shared" si="32"/>
        <v>267</v>
      </c>
      <c r="U112" s="15">
        <f t="shared" si="33"/>
        <v>60</v>
      </c>
      <c r="V112" s="15">
        <f t="shared" si="34"/>
        <v>62</v>
      </c>
      <c r="W112" s="18" t="str">
        <f t="shared" si="35"/>
        <v/>
      </c>
      <c r="X112" s="17">
        <v>0</v>
      </c>
      <c r="Y112" s="17">
        <v>0</v>
      </c>
      <c r="Z112" s="15">
        <f t="shared" si="36"/>
        <v>0</v>
      </c>
      <c r="AA112" s="17">
        <v>0</v>
      </c>
      <c r="AB112" s="17">
        <v>0</v>
      </c>
      <c r="AC112" s="15">
        <f t="shared" si="37"/>
        <v>0</v>
      </c>
      <c r="AD112" s="17">
        <v>0</v>
      </c>
      <c r="AE112" s="17">
        <v>0</v>
      </c>
      <c r="AF112" s="15">
        <f t="shared" si="38"/>
        <v>0</v>
      </c>
      <c r="AG112" s="17">
        <v>0</v>
      </c>
      <c r="AH112" s="17">
        <v>0</v>
      </c>
      <c r="AI112" s="15">
        <f t="shared" si="39"/>
        <v>0</v>
      </c>
      <c r="AJ112" s="17"/>
    </row>
    <row r="113" spans="1:36" hidden="1" x14ac:dyDescent="0.3">
      <c r="A113" s="15" t="s">
        <v>162</v>
      </c>
      <c r="B113" s="15">
        <v>1000</v>
      </c>
      <c r="C113" s="15" t="s">
        <v>54</v>
      </c>
      <c r="D113" s="15" t="s">
        <v>55</v>
      </c>
      <c r="E113" s="15">
        <f>'26 june'!T113</f>
        <v>0</v>
      </c>
      <c r="F113" s="15">
        <f>'26 june'!U113</f>
        <v>7</v>
      </c>
      <c r="G113" s="15">
        <f>'26 june'!V113</f>
        <v>5</v>
      </c>
      <c r="H113" s="15">
        <f t="shared" si="30"/>
        <v>12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5">
        <f t="shared" si="31"/>
        <v>12</v>
      </c>
      <c r="T113" s="15">
        <f t="shared" si="32"/>
        <v>0</v>
      </c>
      <c r="U113" s="15">
        <f t="shared" si="33"/>
        <v>7</v>
      </c>
      <c r="V113" s="15">
        <f t="shared" si="34"/>
        <v>5</v>
      </c>
      <c r="W113" s="18" t="str">
        <f t="shared" si="35"/>
        <v/>
      </c>
      <c r="X113" s="17">
        <v>0</v>
      </c>
      <c r="Y113" s="17">
        <v>0</v>
      </c>
      <c r="Z113" s="15">
        <f t="shared" si="36"/>
        <v>0</v>
      </c>
      <c r="AA113" s="17">
        <v>0</v>
      </c>
      <c r="AB113" s="17">
        <v>0</v>
      </c>
      <c r="AC113" s="15">
        <f t="shared" si="37"/>
        <v>0</v>
      </c>
      <c r="AD113" s="17">
        <v>0</v>
      </c>
      <c r="AE113" s="17">
        <v>0</v>
      </c>
      <c r="AF113" s="15">
        <f t="shared" si="38"/>
        <v>0</v>
      </c>
      <c r="AG113" s="17">
        <v>0</v>
      </c>
      <c r="AH113" s="17">
        <v>0</v>
      </c>
      <c r="AI113" s="15">
        <f t="shared" si="39"/>
        <v>0</v>
      </c>
      <c r="AJ113" s="17"/>
    </row>
    <row r="114" spans="1:36" hidden="1" x14ac:dyDescent="0.3">
      <c r="A114" s="15" t="s">
        <v>163</v>
      </c>
      <c r="B114" s="15">
        <v>500</v>
      </c>
      <c r="C114" s="15" t="s">
        <v>54</v>
      </c>
      <c r="D114" s="15" t="s">
        <v>55</v>
      </c>
      <c r="E114" s="15">
        <f>'26 june'!T114</f>
        <v>0</v>
      </c>
      <c r="F114" s="15">
        <f>'26 june'!U114</f>
        <v>2</v>
      </c>
      <c r="G114" s="15">
        <f>'26 june'!V114</f>
        <v>1</v>
      </c>
      <c r="H114" s="15">
        <f t="shared" si="30"/>
        <v>3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5">
        <f t="shared" si="31"/>
        <v>3</v>
      </c>
      <c r="T114" s="15">
        <f t="shared" si="32"/>
        <v>0</v>
      </c>
      <c r="U114" s="15">
        <f t="shared" si="33"/>
        <v>2</v>
      </c>
      <c r="V114" s="15">
        <f t="shared" si="34"/>
        <v>1</v>
      </c>
      <c r="W114" s="18" t="str">
        <f t="shared" si="35"/>
        <v/>
      </c>
      <c r="X114" s="17">
        <v>0</v>
      </c>
      <c r="Y114" s="17">
        <v>0</v>
      </c>
      <c r="Z114" s="15">
        <f t="shared" si="36"/>
        <v>0</v>
      </c>
      <c r="AA114" s="17">
        <v>0</v>
      </c>
      <c r="AB114" s="17">
        <v>0</v>
      </c>
      <c r="AC114" s="15">
        <f t="shared" si="37"/>
        <v>0</v>
      </c>
      <c r="AD114" s="17">
        <v>0</v>
      </c>
      <c r="AE114" s="17">
        <v>0</v>
      </c>
      <c r="AF114" s="15">
        <f t="shared" si="38"/>
        <v>0</v>
      </c>
      <c r="AG114" s="17">
        <v>0</v>
      </c>
      <c r="AH114" s="17">
        <v>0</v>
      </c>
      <c r="AI114" s="15">
        <f t="shared" si="39"/>
        <v>0</v>
      </c>
      <c r="AJ114" s="17"/>
    </row>
    <row r="115" spans="1:36" x14ac:dyDescent="0.3">
      <c r="A115" s="15" t="s">
        <v>164</v>
      </c>
      <c r="B115" s="15">
        <v>100</v>
      </c>
      <c r="C115" s="15" t="s">
        <v>54</v>
      </c>
      <c r="D115" s="15" t="s">
        <v>68</v>
      </c>
      <c r="E115" s="15">
        <v>0</v>
      </c>
      <c r="F115" s="15">
        <v>0</v>
      </c>
      <c r="G115" s="15">
        <v>0</v>
      </c>
      <c r="H115" s="15">
        <f t="shared" si="30"/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5">
        <f t="shared" si="31"/>
        <v>0</v>
      </c>
      <c r="T115" s="15">
        <f t="shared" si="32"/>
        <v>0</v>
      </c>
      <c r="U115" s="15">
        <f t="shared" si="33"/>
        <v>0</v>
      </c>
      <c r="V115" s="15">
        <f t="shared" si="34"/>
        <v>0</v>
      </c>
      <c r="W115" s="18" t="str">
        <f t="shared" si="35"/>
        <v/>
      </c>
      <c r="X115" s="17">
        <v>0</v>
      </c>
      <c r="Y115" s="17">
        <v>0</v>
      </c>
      <c r="Z115" s="15">
        <f t="shared" si="36"/>
        <v>0</v>
      </c>
      <c r="AA115" s="17">
        <v>0</v>
      </c>
      <c r="AB115" s="17">
        <v>0</v>
      </c>
      <c r="AC115" s="15">
        <f t="shared" si="37"/>
        <v>0</v>
      </c>
      <c r="AD115" s="17">
        <v>0</v>
      </c>
      <c r="AE115" s="17">
        <v>0</v>
      </c>
      <c r="AF115" s="15">
        <f t="shared" si="38"/>
        <v>0</v>
      </c>
      <c r="AG115" s="17">
        <v>0</v>
      </c>
      <c r="AH115" s="17">
        <v>0</v>
      </c>
      <c r="AI115" s="15">
        <f t="shared" si="39"/>
        <v>0</v>
      </c>
      <c r="AJ115" s="17"/>
    </row>
    <row r="116" spans="1:36" x14ac:dyDescent="0.3">
      <c r="A116" s="15" t="s">
        <v>165</v>
      </c>
      <c r="B116" s="15">
        <v>100000</v>
      </c>
      <c r="C116" s="15" t="s">
        <v>54</v>
      </c>
      <c r="D116" s="15" t="s">
        <v>68</v>
      </c>
      <c r="E116" s="15">
        <v>0</v>
      </c>
      <c r="F116" s="15">
        <v>0</v>
      </c>
      <c r="G116" s="15">
        <v>0</v>
      </c>
      <c r="H116" s="15">
        <f t="shared" si="30"/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5">
        <f t="shared" si="31"/>
        <v>0</v>
      </c>
      <c r="T116" s="15">
        <f t="shared" si="32"/>
        <v>0</v>
      </c>
      <c r="U116" s="15">
        <f t="shared" si="33"/>
        <v>0</v>
      </c>
      <c r="V116" s="15">
        <f t="shared" si="34"/>
        <v>0</v>
      </c>
      <c r="W116" s="18" t="str">
        <f t="shared" si="35"/>
        <v/>
      </c>
      <c r="X116" s="17">
        <v>0</v>
      </c>
      <c r="Y116" s="17">
        <v>0</v>
      </c>
      <c r="Z116" s="15">
        <f t="shared" si="36"/>
        <v>0</v>
      </c>
      <c r="AA116" s="17">
        <v>0</v>
      </c>
      <c r="AB116" s="17">
        <v>0</v>
      </c>
      <c r="AC116" s="15">
        <f t="shared" si="37"/>
        <v>0</v>
      </c>
      <c r="AD116" s="17">
        <v>0</v>
      </c>
      <c r="AE116" s="17">
        <v>0</v>
      </c>
      <c r="AF116" s="15">
        <f t="shared" si="38"/>
        <v>0</v>
      </c>
      <c r="AG116" s="17">
        <v>0</v>
      </c>
      <c r="AH116" s="17">
        <v>0</v>
      </c>
      <c r="AI116" s="15">
        <f t="shared" si="39"/>
        <v>0</v>
      </c>
      <c r="AJ116" s="17"/>
    </row>
    <row r="117" spans="1:36" x14ac:dyDescent="0.3">
      <c r="A117" s="15" t="s">
        <v>165</v>
      </c>
      <c r="B117" s="15">
        <v>25000</v>
      </c>
      <c r="C117" s="15" t="s">
        <v>54</v>
      </c>
      <c r="D117" s="15" t="s">
        <v>68</v>
      </c>
      <c r="E117" s="15">
        <v>0</v>
      </c>
      <c r="F117" s="15">
        <v>0</v>
      </c>
      <c r="G117" s="15">
        <v>0</v>
      </c>
      <c r="H117" s="15">
        <f t="shared" si="30"/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5">
        <f t="shared" si="31"/>
        <v>0</v>
      </c>
      <c r="T117" s="15">
        <f t="shared" si="32"/>
        <v>0</v>
      </c>
      <c r="U117" s="15">
        <f t="shared" si="33"/>
        <v>0</v>
      </c>
      <c r="V117" s="15">
        <f t="shared" si="34"/>
        <v>0</v>
      </c>
      <c r="W117" s="18" t="str">
        <f t="shared" si="35"/>
        <v/>
      </c>
      <c r="X117" s="17">
        <v>0</v>
      </c>
      <c r="Y117" s="17">
        <v>0</v>
      </c>
      <c r="Z117" s="15">
        <f t="shared" si="36"/>
        <v>0</v>
      </c>
      <c r="AA117" s="17">
        <v>0</v>
      </c>
      <c r="AB117" s="17">
        <v>0</v>
      </c>
      <c r="AC117" s="15">
        <f t="shared" si="37"/>
        <v>0</v>
      </c>
      <c r="AD117" s="17">
        <v>0</v>
      </c>
      <c r="AE117" s="17">
        <v>0</v>
      </c>
      <c r="AF117" s="15">
        <f t="shared" si="38"/>
        <v>0</v>
      </c>
      <c r="AG117" s="17">
        <v>0</v>
      </c>
      <c r="AH117" s="17">
        <v>0</v>
      </c>
      <c r="AI117" s="15">
        <f t="shared" si="39"/>
        <v>0</v>
      </c>
      <c r="AJ117" s="17"/>
    </row>
    <row r="118" spans="1:36" x14ac:dyDescent="0.3">
      <c r="A118" s="15" t="s">
        <v>166</v>
      </c>
      <c r="B118" s="15">
        <v>100000</v>
      </c>
      <c r="C118" s="15" t="s">
        <v>54</v>
      </c>
      <c r="D118" s="15" t="s">
        <v>68</v>
      </c>
      <c r="E118" s="15">
        <v>0</v>
      </c>
      <c r="F118" s="15">
        <v>0</v>
      </c>
      <c r="G118" s="15">
        <v>0</v>
      </c>
      <c r="H118" s="15">
        <f t="shared" si="30"/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5">
        <f t="shared" si="31"/>
        <v>0</v>
      </c>
      <c r="T118" s="15">
        <f t="shared" si="32"/>
        <v>0</v>
      </c>
      <c r="U118" s="15">
        <f t="shared" si="33"/>
        <v>0</v>
      </c>
      <c r="V118" s="15">
        <f t="shared" si="34"/>
        <v>0</v>
      </c>
      <c r="W118" s="18" t="str">
        <f t="shared" si="35"/>
        <v/>
      </c>
      <c r="X118" s="17">
        <v>0</v>
      </c>
      <c r="Y118" s="17">
        <v>0</v>
      </c>
      <c r="Z118" s="15">
        <f t="shared" si="36"/>
        <v>0</v>
      </c>
      <c r="AA118" s="17">
        <v>0</v>
      </c>
      <c r="AB118" s="17">
        <v>0</v>
      </c>
      <c r="AC118" s="15">
        <f t="shared" si="37"/>
        <v>0</v>
      </c>
      <c r="AD118" s="17">
        <v>0</v>
      </c>
      <c r="AE118" s="17">
        <v>0</v>
      </c>
      <c r="AF118" s="15">
        <f t="shared" si="38"/>
        <v>0</v>
      </c>
      <c r="AG118" s="17">
        <v>0</v>
      </c>
      <c r="AH118" s="17">
        <v>0</v>
      </c>
      <c r="AI118" s="15">
        <f t="shared" si="39"/>
        <v>0</v>
      </c>
      <c r="AJ118" s="17"/>
    </row>
    <row r="119" spans="1:36" hidden="1" x14ac:dyDescent="0.3">
      <c r="A119" s="15" t="s">
        <v>167</v>
      </c>
      <c r="B119" s="15">
        <v>100</v>
      </c>
      <c r="C119" s="15" t="s">
        <v>54</v>
      </c>
      <c r="D119" s="15" t="s">
        <v>55</v>
      </c>
      <c r="E119" s="15">
        <f>'26 june'!T119</f>
        <v>104</v>
      </c>
      <c r="F119" s="15">
        <f>'26 june'!U119</f>
        <v>0</v>
      </c>
      <c r="G119" s="15">
        <f>'26 june'!V119</f>
        <v>0</v>
      </c>
      <c r="H119" s="15">
        <f t="shared" si="30"/>
        <v>104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5">
        <f t="shared" si="31"/>
        <v>104</v>
      </c>
      <c r="T119" s="15">
        <f t="shared" si="32"/>
        <v>104</v>
      </c>
      <c r="U119" s="15">
        <f t="shared" si="33"/>
        <v>0</v>
      </c>
      <c r="V119" s="15">
        <f t="shared" si="34"/>
        <v>0</v>
      </c>
      <c r="W119" s="18" t="str">
        <f t="shared" si="35"/>
        <v/>
      </c>
      <c r="X119" s="17">
        <v>0</v>
      </c>
      <c r="Y119" s="17">
        <v>0</v>
      </c>
      <c r="Z119" s="15">
        <f t="shared" si="36"/>
        <v>0</v>
      </c>
      <c r="AA119" s="17">
        <v>0</v>
      </c>
      <c r="AB119" s="17">
        <v>0</v>
      </c>
      <c r="AC119" s="15">
        <f t="shared" si="37"/>
        <v>0</v>
      </c>
      <c r="AD119" s="17">
        <v>0</v>
      </c>
      <c r="AE119" s="17">
        <v>0</v>
      </c>
      <c r="AF119" s="15">
        <f t="shared" si="38"/>
        <v>0</v>
      </c>
      <c r="AG119" s="17">
        <v>0</v>
      </c>
      <c r="AH119" s="17">
        <v>0</v>
      </c>
      <c r="AI119" s="15">
        <f t="shared" si="39"/>
        <v>0</v>
      </c>
      <c r="AJ119" s="17"/>
    </row>
    <row r="120" spans="1:36" x14ac:dyDescent="0.3">
      <c r="A120" s="15" t="s">
        <v>168</v>
      </c>
      <c r="B120" s="15">
        <v>100</v>
      </c>
      <c r="C120" s="15" t="s">
        <v>54</v>
      </c>
      <c r="D120" s="15" t="s">
        <v>68</v>
      </c>
      <c r="E120" s="15">
        <v>0</v>
      </c>
      <c r="F120" s="15">
        <v>0</v>
      </c>
      <c r="G120" s="15">
        <v>0</v>
      </c>
      <c r="H120" s="15">
        <f t="shared" si="30"/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5">
        <f t="shared" si="31"/>
        <v>0</v>
      </c>
      <c r="T120" s="15">
        <f t="shared" si="32"/>
        <v>0</v>
      </c>
      <c r="U120" s="15">
        <f t="shared" si="33"/>
        <v>0</v>
      </c>
      <c r="V120" s="15">
        <f t="shared" si="34"/>
        <v>0</v>
      </c>
      <c r="W120" s="18" t="str">
        <f t="shared" si="35"/>
        <v/>
      </c>
      <c r="X120" s="17">
        <v>0</v>
      </c>
      <c r="Y120" s="17">
        <v>0</v>
      </c>
      <c r="Z120" s="15">
        <f t="shared" si="36"/>
        <v>0</v>
      </c>
      <c r="AA120" s="17">
        <v>0</v>
      </c>
      <c r="AB120" s="17">
        <v>0</v>
      </c>
      <c r="AC120" s="15">
        <f t="shared" si="37"/>
        <v>0</v>
      </c>
      <c r="AD120" s="17">
        <v>0</v>
      </c>
      <c r="AE120" s="17">
        <v>0</v>
      </c>
      <c r="AF120" s="15">
        <f t="shared" si="38"/>
        <v>0</v>
      </c>
      <c r="AG120" s="17">
        <v>0</v>
      </c>
      <c r="AH120" s="17">
        <v>0</v>
      </c>
      <c r="AI120" s="15">
        <f t="shared" si="39"/>
        <v>0</v>
      </c>
      <c r="AJ120" s="17"/>
    </row>
    <row r="121" spans="1:36" x14ac:dyDescent="0.3">
      <c r="A121" s="15" t="s">
        <v>169</v>
      </c>
      <c r="B121" s="15">
        <v>1000</v>
      </c>
      <c r="C121" s="15" t="s">
        <v>54</v>
      </c>
      <c r="D121" s="15" t="s">
        <v>68</v>
      </c>
      <c r="E121" s="15">
        <v>0</v>
      </c>
      <c r="F121" s="15">
        <v>0</v>
      </c>
      <c r="G121" s="15">
        <v>0</v>
      </c>
      <c r="H121" s="15">
        <f t="shared" si="30"/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5">
        <f t="shared" si="31"/>
        <v>0</v>
      </c>
      <c r="T121" s="15">
        <f t="shared" si="32"/>
        <v>0</v>
      </c>
      <c r="U121" s="15">
        <f t="shared" si="33"/>
        <v>0</v>
      </c>
      <c r="V121" s="15">
        <f t="shared" si="34"/>
        <v>0</v>
      </c>
      <c r="W121" s="18" t="str">
        <f t="shared" si="35"/>
        <v/>
      </c>
      <c r="X121" s="17">
        <v>0</v>
      </c>
      <c r="Y121" s="17">
        <v>0</v>
      </c>
      <c r="Z121" s="15">
        <f t="shared" si="36"/>
        <v>0</v>
      </c>
      <c r="AA121" s="17">
        <v>0</v>
      </c>
      <c r="AB121" s="17">
        <v>0</v>
      </c>
      <c r="AC121" s="15">
        <f t="shared" si="37"/>
        <v>0</v>
      </c>
      <c r="AD121" s="17">
        <v>0</v>
      </c>
      <c r="AE121" s="17">
        <v>0</v>
      </c>
      <c r="AF121" s="15">
        <f t="shared" si="38"/>
        <v>0</v>
      </c>
      <c r="AG121" s="17">
        <v>0</v>
      </c>
      <c r="AH121" s="17">
        <v>0</v>
      </c>
      <c r="AI121" s="15">
        <f t="shared" si="39"/>
        <v>0</v>
      </c>
      <c r="AJ121" s="17"/>
    </row>
    <row r="122" spans="1:36" hidden="1" x14ac:dyDescent="0.3">
      <c r="A122" s="15" t="s">
        <v>170</v>
      </c>
      <c r="B122" s="15">
        <v>1000</v>
      </c>
      <c r="C122" s="15" t="s">
        <v>54</v>
      </c>
      <c r="D122" s="15" t="s">
        <v>55</v>
      </c>
      <c r="E122" s="15">
        <f>'26 june'!T122</f>
        <v>19</v>
      </c>
      <c r="F122" s="15">
        <f>'26 june'!U122</f>
        <v>0</v>
      </c>
      <c r="G122" s="15">
        <f>'26 june'!V122</f>
        <v>38</v>
      </c>
      <c r="H122" s="15">
        <f t="shared" si="30"/>
        <v>57</v>
      </c>
      <c r="I122" s="17">
        <v>0</v>
      </c>
      <c r="J122" s="17">
        <v>0</v>
      </c>
      <c r="K122" s="17">
        <v>8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5">
        <f t="shared" si="31"/>
        <v>49</v>
      </c>
      <c r="T122" s="15">
        <f t="shared" si="32"/>
        <v>19</v>
      </c>
      <c r="U122" s="15">
        <f t="shared" si="33"/>
        <v>0</v>
      </c>
      <c r="V122" s="15">
        <f t="shared" si="34"/>
        <v>30</v>
      </c>
      <c r="W122" s="18" t="str">
        <f t="shared" si="35"/>
        <v/>
      </c>
      <c r="X122" s="17">
        <v>0</v>
      </c>
      <c r="Y122" s="17">
        <v>0</v>
      </c>
      <c r="Z122" s="15">
        <f t="shared" si="36"/>
        <v>0</v>
      </c>
      <c r="AA122" s="17">
        <v>0</v>
      </c>
      <c r="AB122" s="17">
        <v>0</v>
      </c>
      <c r="AC122" s="15">
        <f t="shared" si="37"/>
        <v>0</v>
      </c>
      <c r="AD122" s="17">
        <v>0</v>
      </c>
      <c r="AE122" s="17">
        <v>0</v>
      </c>
      <c r="AF122" s="15">
        <f t="shared" si="38"/>
        <v>0</v>
      </c>
      <c r="AG122" s="17">
        <v>0</v>
      </c>
      <c r="AH122" s="17">
        <v>0</v>
      </c>
      <c r="AI122" s="15">
        <f t="shared" si="39"/>
        <v>0</v>
      </c>
      <c r="AJ122" s="17"/>
    </row>
    <row r="123" spans="1:36" hidden="1" x14ac:dyDescent="0.3">
      <c r="A123" s="15" t="s">
        <v>171</v>
      </c>
      <c r="B123" s="15">
        <v>1000</v>
      </c>
      <c r="C123" s="15" t="s">
        <v>54</v>
      </c>
      <c r="D123" s="15" t="s">
        <v>55</v>
      </c>
      <c r="E123" s="15">
        <f>'26 june'!T123</f>
        <v>1</v>
      </c>
      <c r="F123" s="15">
        <f>'26 june'!U123</f>
        <v>9</v>
      </c>
      <c r="G123" s="15">
        <f>'26 june'!V123</f>
        <v>11</v>
      </c>
      <c r="H123" s="15">
        <f t="shared" si="30"/>
        <v>21</v>
      </c>
      <c r="I123" s="17">
        <v>0</v>
      </c>
      <c r="J123" s="17">
        <v>0</v>
      </c>
      <c r="K123" s="17">
        <v>6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5">
        <f t="shared" si="31"/>
        <v>15</v>
      </c>
      <c r="T123" s="15">
        <f t="shared" si="32"/>
        <v>1</v>
      </c>
      <c r="U123" s="15">
        <f t="shared" si="33"/>
        <v>9</v>
      </c>
      <c r="V123" s="15">
        <f t="shared" si="34"/>
        <v>5</v>
      </c>
      <c r="W123" s="18" t="str">
        <f t="shared" si="35"/>
        <v/>
      </c>
      <c r="X123" s="17">
        <v>0</v>
      </c>
      <c r="Y123" s="17">
        <v>0</v>
      </c>
      <c r="Z123" s="15">
        <f t="shared" si="36"/>
        <v>0</v>
      </c>
      <c r="AA123" s="17">
        <v>0</v>
      </c>
      <c r="AB123" s="17">
        <v>0</v>
      </c>
      <c r="AC123" s="15">
        <f t="shared" si="37"/>
        <v>0</v>
      </c>
      <c r="AD123" s="17">
        <v>0</v>
      </c>
      <c r="AE123" s="17">
        <v>0</v>
      </c>
      <c r="AF123" s="15">
        <f t="shared" si="38"/>
        <v>0</v>
      </c>
      <c r="AG123" s="17">
        <v>0</v>
      </c>
      <c r="AH123" s="17">
        <v>0</v>
      </c>
      <c r="AI123" s="15">
        <f t="shared" si="39"/>
        <v>0</v>
      </c>
      <c r="AJ123" s="17"/>
    </row>
    <row r="124" spans="1:36" x14ac:dyDescent="0.3">
      <c r="A124" s="15" t="s">
        <v>172</v>
      </c>
      <c r="B124" s="15">
        <v>100</v>
      </c>
      <c r="C124" s="15" t="s">
        <v>54</v>
      </c>
      <c r="D124" s="15" t="s">
        <v>68</v>
      </c>
      <c r="E124" s="15">
        <v>0</v>
      </c>
      <c r="F124" s="15">
        <v>0</v>
      </c>
      <c r="G124" s="15">
        <v>0</v>
      </c>
      <c r="H124" s="15">
        <f t="shared" si="30"/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5">
        <f t="shared" si="31"/>
        <v>0</v>
      </c>
      <c r="T124" s="15">
        <f t="shared" si="32"/>
        <v>0</v>
      </c>
      <c r="U124" s="15">
        <f t="shared" si="33"/>
        <v>0</v>
      </c>
      <c r="V124" s="15">
        <f t="shared" si="34"/>
        <v>0</v>
      </c>
      <c r="W124" s="18" t="str">
        <f t="shared" si="35"/>
        <v/>
      </c>
      <c r="X124" s="17">
        <v>0</v>
      </c>
      <c r="Y124" s="17">
        <v>0</v>
      </c>
      <c r="Z124" s="15">
        <f t="shared" si="36"/>
        <v>0</v>
      </c>
      <c r="AA124" s="17">
        <v>0</v>
      </c>
      <c r="AB124" s="17">
        <v>0</v>
      </c>
      <c r="AC124" s="15">
        <f t="shared" si="37"/>
        <v>0</v>
      </c>
      <c r="AD124" s="17">
        <v>0</v>
      </c>
      <c r="AE124" s="17">
        <v>0</v>
      </c>
      <c r="AF124" s="15">
        <f t="shared" si="38"/>
        <v>0</v>
      </c>
      <c r="AG124" s="17">
        <v>0</v>
      </c>
      <c r="AH124" s="17">
        <v>0</v>
      </c>
      <c r="AI124" s="15">
        <f t="shared" si="39"/>
        <v>0</v>
      </c>
      <c r="AJ124" s="17"/>
    </row>
    <row r="125" spans="1:36" x14ac:dyDescent="0.3">
      <c r="A125" s="15" t="s">
        <v>173</v>
      </c>
      <c r="B125" s="15">
        <v>100</v>
      </c>
      <c r="C125" s="15" t="s">
        <v>54</v>
      </c>
      <c r="D125" s="15" t="s">
        <v>68</v>
      </c>
      <c r="E125" s="15">
        <v>0</v>
      </c>
      <c r="F125" s="15">
        <v>0</v>
      </c>
      <c r="G125" s="15">
        <v>0</v>
      </c>
      <c r="H125" s="15">
        <f t="shared" si="30"/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5">
        <f t="shared" si="31"/>
        <v>0</v>
      </c>
      <c r="T125" s="15">
        <f t="shared" si="32"/>
        <v>0</v>
      </c>
      <c r="U125" s="15">
        <f t="shared" si="33"/>
        <v>0</v>
      </c>
      <c r="V125" s="15">
        <f t="shared" si="34"/>
        <v>0</v>
      </c>
      <c r="W125" s="18" t="str">
        <f t="shared" si="35"/>
        <v/>
      </c>
      <c r="X125" s="17">
        <v>0</v>
      </c>
      <c r="Y125" s="17">
        <v>0</v>
      </c>
      <c r="Z125" s="15">
        <f t="shared" si="36"/>
        <v>0</v>
      </c>
      <c r="AA125" s="17">
        <v>0</v>
      </c>
      <c r="AB125" s="17">
        <v>0</v>
      </c>
      <c r="AC125" s="15">
        <f t="shared" si="37"/>
        <v>0</v>
      </c>
      <c r="AD125" s="17">
        <v>0</v>
      </c>
      <c r="AE125" s="17">
        <v>0</v>
      </c>
      <c r="AF125" s="15">
        <f t="shared" si="38"/>
        <v>0</v>
      </c>
      <c r="AG125" s="17">
        <v>0</v>
      </c>
      <c r="AH125" s="17">
        <v>0</v>
      </c>
      <c r="AI125" s="15">
        <f t="shared" si="39"/>
        <v>0</v>
      </c>
      <c r="AJ125" s="17"/>
    </row>
    <row r="126" spans="1:36" x14ac:dyDescent="0.3">
      <c r="A126" s="15" t="s">
        <v>174</v>
      </c>
      <c r="B126" s="15">
        <v>100</v>
      </c>
      <c r="C126" s="15" t="s">
        <v>54</v>
      </c>
      <c r="D126" s="15" t="s">
        <v>68</v>
      </c>
      <c r="E126" s="15">
        <v>0</v>
      </c>
      <c r="F126" s="15">
        <v>0</v>
      </c>
      <c r="G126" s="15">
        <v>0</v>
      </c>
      <c r="H126" s="15">
        <f t="shared" si="30"/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5">
        <f t="shared" si="31"/>
        <v>0</v>
      </c>
      <c r="T126" s="15">
        <f t="shared" si="32"/>
        <v>0</v>
      </c>
      <c r="U126" s="15">
        <f t="shared" si="33"/>
        <v>0</v>
      </c>
      <c r="V126" s="15">
        <f t="shared" si="34"/>
        <v>0</v>
      </c>
      <c r="W126" s="18" t="str">
        <f t="shared" si="35"/>
        <v/>
      </c>
      <c r="X126" s="17">
        <v>0</v>
      </c>
      <c r="Y126" s="17">
        <v>0</v>
      </c>
      <c r="Z126" s="15">
        <f t="shared" si="36"/>
        <v>0</v>
      </c>
      <c r="AA126" s="17">
        <v>0</v>
      </c>
      <c r="AB126" s="17">
        <v>0</v>
      </c>
      <c r="AC126" s="15">
        <f t="shared" si="37"/>
        <v>0</v>
      </c>
      <c r="AD126" s="17">
        <v>0</v>
      </c>
      <c r="AE126" s="17">
        <v>0</v>
      </c>
      <c r="AF126" s="15">
        <f t="shared" si="38"/>
        <v>0</v>
      </c>
      <c r="AG126" s="17">
        <v>0</v>
      </c>
      <c r="AH126" s="17">
        <v>0</v>
      </c>
      <c r="AI126" s="15">
        <f t="shared" si="39"/>
        <v>0</v>
      </c>
      <c r="AJ126" s="17"/>
    </row>
    <row r="127" spans="1:36" x14ac:dyDescent="0.3">
      <c r="A127" s="15" t="s">
        <v>175</v>
      </c>
      <c r="B127" s="15">
        <v>100</v>
      </c>
      <c r="C127" s="15" t="s">
        <v>54</v>
      </c>
      <c r="D127" s="15" t="s">
        <v>57</v>
      </c>
      <c r="E127" s="15">
        <v>0</v>
      </c>
      <c r="F127" s="15">
        <v>0</v>
      </c>
      <c r="G127" s="15">
        <v>0</v>
      </c>
      <c r="H127" s="15">
        <f t="shared" si="30"/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5">
        <f t="shared" si="31"/>
        <v>0</v>
      </c>
      <c r="T127" s="15">
        <f t="shared" si="32"/>
        <v>0</v>
      </c>
      <c r="U127" s="15">
        <f t="shared" si="33"/>
        <v>0</v>
      </c>
      <c r="V127" s="15">
        <f t="shared" si="34"/>
        <v>0</v>
      </c>
      <c r="W127" s="18" t="str">
        <f t="shared" si="35"/>
        <v/>
      </c>
      <c r="X127" s="17">
        <v>0</v>
      </c>
      <c r="Y127" s="17">
        <v>0</v>
      </c>
      <c r="Z127" s="15">
        <f t="shared" si="36"/>
        <v>0</v>
      </c>
      <c r="AA127" s="17">
        <v>0</v>
      </c>
      <c r="AB127" s="17">
        <v>0</v>
      </c>
      <c r="AC127" s="15">
        <f t="shared" si="37"/>
        <v>0</v>
      </c>
      <c r="AD127" s="17">
        <v>0</v>
      </c>
      <c r="AE127" s="17">
        <v>0</v>
      </c>
      <c r="AF127" s="15">
        <f t="shared" si="38"/>
        <v>0</v>
      </c>
      <c r="AG127" s="17">
        <v>0</v>
      </c>
      <c r="AH127" s="17">
        <v>0</v>
      </c>
      <c r="AI127" s="15">
        <f t="shared" si="39"/>
        <v>0</v>
      </c>
      <c r="AJ127" s="17"/>
    </row>
    <row r="128" spans="1:36" hidden="1" x14ac:dyDescent="0.3">
      <c r="A128" s="15" t="s">
        <v>176</v>
      </c>
      <c r="B128" s="15" t="s">
        <v>177</v>
      </c>
      <c r="C128" s="15" t="s">
        <v>178</v>
      </c>
      <c r="D128" s="15" t="s">
        <v>55</v>
      </c>
      <c r="E128" s="15">
        <v>0</v>
      </c>
      <c r="F128" s="15">
        <v>0</v>
      </c>
      <c r="G128" s="15">
        <v>0</v>
      </c>
      <c r="H128" s="15">
        <f t="shared" si="30"/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5">
        <f t="shared" si="31"/>
        <v>0</v>
      </c>
      <c r="T128" s="15">
        <f t="shared" si="32"/>
        <v>0</v>
      </c>
      <c r="U128" s="15">
        <f t="shared" si="33"/>
        <v>0</v>
      </c>
      <c r="V128" s="15">
        <f t="shared" si="34"/>
        <v>0</v>
      </c>
      <c r="W128" s="18" t="str">
        <f t="shared" si="35"/>
        <v/>
      </c>
      <c r="X128" s="17">
        <v>0</v>
      </c>
      <c r="Y128" s="17">
        <v>0</v>
      </c>
      <c r="Z128" s="15">
        <f t="shared" si="36"/>
        <v>0</v>
      </c>
      <c r="AA128" s="17">
        <v>0</v>
      </c>
      <c r="AB128" s="17">
        <v>0</v>
      </c>
      <c r="AC128" s="15">
        <f t="shared" si="37"/>
        <v>0</v>
      </c>
      <c r="AD128" s="17">
        <v>0</v>
      </c>
      <c r="AE128" s="17">
        <v>0</v>
      </c>
      <c r="AF128" s="15">
        <f t="shared" si="38"/>
        <v>0</v>
      </c>
      <c r="AG128" s="17">
        <v>0</v>
      </c>
      <c r="AH128" s="17">
        <v>0</v>
      </c>
      <c r="AI128" s="15">
        <f t="shared" si="39"/>
        <v>0</v>
      </c>
      <c r="AJ128" s="17"/>
    </row>
    <row r="129" spans="1:36" x14ac:dyDescent="0.3">
      <c r="A129" s="15" t="s">
        <v>179</v>
      </c>
      <c r="B129" s="15">
        <v>2500</v>
      </c>
      <c r="C129" s="15" t="s">
        <v>54</v>
      </c>
      <c r="D129" s="15" t="s">
        <v>68</v>
      </c>
      <c r="E129" s="15">
        <v>0</v>
      </c>
      <c r="F129" s="15">
        <v>0</v>
      </c>
      <c r="G129" s="15">
        <v>0</v>
      </c>
      <c r="H129" s="15">
        <f t="shared" si="30"/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5">
        <f t="shared" si="31"/>
        <v>0</v>
      </c>
      <c r="T129" s="15">
        <f t="shared" si="32"/>
        <v>0</v>
      </c>
      <c r="U129" s="15">
        <f t="shared" si="33"/>
        <v>0</v>
      </c>
      <c r="V129" s="15">
        <f t="shared" si="34"/>
        <v>0</v>
      </c>
      <c r="W129" s="18" t="str">
        <f t="shared" si="35"/>
        <v/>
      </c>
      <c r="X129" s="17">
        <v>0</v>
      </c>
      <c r="Y129" s="17">
        <v>0</v>
      </c>
      <c r="Z129" s="15">
        <f t="shared" si="36"/>
        <v>0</v>
      </c>
      <c r="AA129" s="17">
        <v>0</v>
      </c>
      <c r="AB129" s="17">
        <v>0</v>
      </c>
      <c r="AC129" s="15">
        <f t="shared" si="37"/>
        <v>0</v>
      </c>
      <c r="AD129" s="17">
        <v>0</v>
      </c>
      <c r="AE129" s="17">
        <v>0</v>
      </c>
      <c r="AF129" s="15">
        <f t="shared" si="38"/>
        <v>0</v>
      </c>
      <c r="AG129" s="17">
        <v>0</v>
      </c>
      <c r="AH129" s="17">
        <v>0</v>
      </c>
      <c r="AI129" s="15">
        <f t="shared" si="39"/>
        <v>0</v>
      </c>
      <c r="AJ129" s="17"/>
    </row>
    <row r="130" spans="1:36" x14ac:dyDescent="0.3">
      <c r="A130" s="15" t="s">
        <v>180</v>
      </c>
      <c r="B130" s="15">
        <v>1000</v>
      </c>
      <c r="C130" s="15" t="s">
        <v>54</v>
      </c>
      <c r="D130" s="15" t="s">
        <v>68</v>
      </c>
      <c r="E130" s="15">
        <v>0</v>
      </c>
      <c r="F130" s="15">
        <v>0</v>
      </c>
      <c r="G130" s="15">
        <v>0</v>
      </c>
      <c r="H130" s="15">
        <f t="shared" si="30"/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5">
        <f t="shared" si="31"/>
        <v>0</v>
      </c>
      <c r="T130" s="15">
        <f t="shared" si="32"/>
        <v>0</v>
      </c>
      <c r="U130" s="15">
        <f t="shared" si="33"/>
        <v>0</v>
      </c>
      <c r="V130" s="15">
        <f t="shared" si="34"/>
        <v>0</v>
      </c>
      <c r="W130" s="18" t="str">
        <f t="shared" si="35"/>
        <v/>
      </c>
      <c r="X130" s="17">
        <v>0</v>
      </c>
      <c r="Y130" s="17">
        <v>0</v>
      </c>
      <c r="Z130" s="15">
        <f t="shared" si="36"/>
        <v>0</v>
      </c>
      <c r="AA130" s="17">
        <v>0</v>
      </c>
      <c r="AB130" s="17">
        <v>0</v>
      </c>
      <c r="AC130" s="15">
        <f t="shared" si="37"/>
        <v>0</v>
      </c>
      <c r="AD130" s="17">
        <v>0</v>
      </c>
      <c r="AE130" s="17">
        <v>0</v>
      </c>
      <c r="AF130" s="15">
        <f t="shared" si="38"/>
        <v>0</v>
      </c>
      <c r="AG130" s="17">
        <v>0</v>
      </c>
      <c r="AH130" s="17">
        <v>0</v>
      </c>
      <c r="AI130" s="15">
        <f t="shared" si="39"/>
        <v>0</v>
      </c>
      <c r="AJ130" s="17"/>
    </row>
    <row r="131" spans="1:36" x14ac:dyDescent="0.3">
      <c r="A131" s="15" t="s">
        <v>181</v>
      </c>
      <c r="B131" s="15">
        <v>100</v>
      </c>
      <c r="C131" s="15" t="s">
        <v>54</v>
      </c>
      <c r="D131" s="15" t="s">
        <v>57</v>
      </c>
      <c r="E131" s="15">
        <v>0</v>
      </c>
      <c r="F131" s="15">
        <v>0</v>
      </c>
      <c r="G131" s="15">
        <v>0</v>
      </c>
      <c r="H131" s="15">
        <f t="shared" ref="H131:H162" si="40">E131+F131+G131</f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5">
        <f t="shared" ref="S131:S162" si="41">H131+O131+P131+Q131+R131-(I131+J131+K131+L131+M131+N131)</f>
        <v>0</v>
      </c>
      <c r="T131" s="15">
        <f t="shared" ref="T131:T162" si="42">E131+O131-I131-L131</f>
        <v>0</v>
      </c>
      <c r="U131" s="15">
        <f t="shared" ref="U131:U162" si="43">F131+P131-J131-M131</f>
        <v>0</v>
      </c>
      <c r="V131" s="15">
        <f t="shared" ref="V131:V162" si="44">G131+Q131-K131-N131</f>
        <v>0</v>
      </c>
      <c r="W131" s="18" t="str">
        <f t="shared" ref="W131:W162" si="45">IF(MIN(T131,U131,V131)&lt;0,"NEGATIVE STOCK - CHECK ENTRIES","")</f>
        <v/>
      </c>
      <c r="X131" s="17">
        <v>0</v>
      </c>
      <c r="Y131" s="17">
        <v>0</v>
      </c>
      <c r="Z131" s="15">
        <f t="shared" ref="Z131:Z162" si="46">X131-Y131</f>
        <v>0</v>
      </c>
      <c r="AA131" s="17">
        <v>0</v>
      </c>
      <c r="AB131" s="17">
        <v>0</v>
      </c>
      <c r="AC131" s="15">
        <f t="shared" ref="AC131:AC162" si="47">AA131-AB131</f>
        <v>0</v>
      </c>
      <c r="AD131" s="17">
        <v>0</v>
      </c>
      <c r="AE131" s="17">
        <v>0</v>
      </c>
      <c r="AF131" s="15">
        <f t="shared" ref="AF131:AF162" si="48">AD131-AE131</f>
        <v>0</v>
      </c>
      <c r="AG131" s="17">
        <v>0</v>
      </c>
      <c r="AH131" s="17">
        <v>0</v>
      </c>
      <c r="AI131" s="15">
        <f t="shared" ref="AI131:AI162" si="49">AG131-AH131</f>
        <v>0</v>
      </c>
      <c r="AJ131" s="17"/>
    </row>
    <row r="132" spans="1:36" x14ac:dyDescent="0.3">
      <c r="A132" s="15" t="s">
        <v>182</v>
      </c>
      <c r="B132" s="15">
        <v>1000</v>
      </c>
      <c r="C132" s="15" t="s">
        <v>54</v>
      </c>
      <c r="D132" s="15" t="s">
        <v>68</v>
      </c>
      <c r="E132" s="15">
        <v>0</v>
      </c>
      <c r="F132" s="15">
        <v>0</v>
      </c>
      <c r="G132" s="15">
        <v>0</v>
      </c>
      <c r="H132" s="15">
        <f t="shared" si="40"/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5">
        <f t="shared" si="41"/>
        <v>0</v>
      </c>
      <c r="T132" s="15">
        <f t="shared" si="42"/>
        <v>0</v>
      </c>
      <c r="U132" s="15">
        <f t="shared" si="43"/>
        <v>0</v>
      </c>
      <c r="V132" s="15">
        <f t="shared" si="44"/>
        <v>0</v>
      </c>
      <c r="W132" s="18" t="str">
        <f t="shared" si="45"/>
        <v/>
      </c>
      <c r="X132" s="17">
        <v>0</v>
      </c>
      <c r="Y132" s="17">
        <v>0</v>
      </c>
      <c r="Z132" s="15">
        <f t="shared" si="46"/>
        <v>0</v>
      </c>
      <c r="AA132" s="17">
        <v>0</v>
      </c>
      <c r="AB132" s="17">
        <v>0</v>
      </c>
      <c r="AC132" s="15">
        <f t="shared" si="47"/>
        <v>0</v>
      </c>
      <c r="AD132" s="17">
        <v>0</v>
      </c>
      <c r="AE132" s="17">
        <v>0</v>
      </c>
      <c r="AF132" s="15">
        <f t="shared" si="48"/>
        <v>0</v>
      </c>
      <c r="AG132" s="17">
        <v>0</v>
      </c>
      <c r="AH132" s="17">
        <v>0</v>
      </c>
      <c r="AI132" s="15">
        <f t="shared" si="49"/>
        <v>0</v>
      </c>
      <c r="AJ132" s="17"/>
    </row>
    <row r="133" spans="1:36" x14ac:dyDescent="0.3">
      <c r="A133" s="15" t="s">
        <v>183</v>
      </c>
      <c r="B133" s="15">
        <v>100</v>
      </c>
      <c r="C133" s="15" t="s">
        <v>54</v>
      </c>
      <c r="D133" s="15" t="s">
        <v>68</v>
      </c>
      <c r="E133" s="15">
        <v>0</v>
      </c>
      <c r="F133" s="15">
        <v>0</v>
      </c>
      <c r="G133" s="15">
        <v>0</v>
      </c>
      <c r="H133" s="15">
        <f t="shared" si="40"/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5">
        <f t="shared" si="41"/>
        <v>0</v>
      </c>
      <c r="T133" s="15">
        <f t="shared" si="42"/>
        <v>0</v>
      </c>
      <c r="U133" s="15">
        <f t="shared" si="43"/>
        <v>0</v>
      </c>
      <c r="V133" s="15">
        <f t="shared" si="44"/>
        <v>0</v>
      </c>
      <c r="W133" s="18" t="str">
        <f t="shared" si="45"/>
        <v/>
      </c>
      <c r="X133" s="17">
        <v>0</v>
      </c>
      <c r="Y133" s="17">
        <v>0</v>
      </c>
      <c r="Z133" s="15">
        <f t="shared" si="46"/>
        <v>0</v>
      </c>
      <c r="AA133" s="17">
        <v>0</v>
      </c>
      <c r="AB133" s="17">
        <v>0</v>
      </c>
      <c r="AC133" s="15">
        <f t="shared" si="47"/>
        <v>0</v>
      </c>
      <c r="AD133" s="17">
        <v>0</v>
      </c>
      <c r="AE133" s="17">
        <v>0</v>
      </c>
      <c r="AF133" s="15">
        <f t="shared" si="48"/>
        <v>0</v>
      </c>
      <c r="AG133" s="17">
        <v>0</v>
      </c>
      <c r="AH133" s="17">
        <v>0</v>
      </c>
      <c r="AI133" s="15">
        <f t="shared" si="49"/>
        <v>0</v>
      </c>
      <c r="AJ133" s="17"/>
    </row>
    <row r="134" spans="1:36" hidden="1" x14ac:dyDescent="0.3">
      <c r="A134" s="15" t="s">
        <v>184</v>
      </c>
      <c r="B134" s="15">
        <v>1000</v>
      </c>
      <c r="C134" s="15" t="s">
        <v>54</v>
      </c>
      <c r="D134" s="15" t="s">
        <v>55</v>
      </c>
      <c r="E134" s="15">
        <v>0</v>
      </c>
      <c r="F134" s="15">
        <v>0</v>
      </c>
      <c r="G134" s="15">
        <v>0</v>
      </c>
      <c r="H134" s="15">
        <f t="shared" si="40"/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5">
        <f t="shared" si="41"/>
        <v>0</v>
      </c>
      <c r="T134" s="15">
        <f t="shared" si="42"/>
        <v>0</v>
      </c>
      <c r="U134" s="15">
        <f t="shared" si="43"/>
        <v>0</v>
      </c>
      <c r="V134" s="15">
        <f t="shared" si="44"/>
        <v>0</v>
      </c>
      <c r="W134" s="18" t="str">
        <f t="shared" si="45"/>
        <v/>
      </c>
      <c r="X134" s="17">
        <v>0</v>
      </c>
      <c r="Y134" s="17">
        <v>0</v>
      </c>
      <c r="Z134" s="15">
        <f t="shared" si="46"/>
        <v>0</v>
      </c>
      <c r="AA134" s="17">
        <v>0</v>
      </c>
      <c r="AB134" s="17">
        <v>0</v>
      </c>
      <c r="AC134" s="15">
        <f t="shared" si="47"/>
        <v>0</v>
      </c>
      <c r="AD134" s="17">
        <v>0</v>
      </c>
      <c r="AE134" s="17">
        <v>0</v>
      </c>
      <c r="AF134" s="15">
        <f t="shared" si="48"/>
        <v>0</v>
      </c>
      <c r="AG134" s="17">
        <v>0</v>
      </c>
      <c r="AH134" s="17">
        <v>0</v>
      </c>
      <c r="AI134" s="15">
        <f t="shared" si="49"/>
        <v>0</v>
      </c>
      <c r="AJ134" s="17"/>
    </row>
    <row r="135" spans="1:36" x14ac:dyDescent="0.3">
      <c r="A135" s="15" t="s">
        <v>185</v>
      </c>
      <c r="B135" s="15">
        <v>100</v>
      </c>
      <c r="C135" s="15" t="s">
        <v>54</v>
      </c>
      <c r="D135" s="15" t="s">
        <v>68</v>
      </c>
      <c r="E135" s="15">
        <v>0</v>
      </c>
      <c r="F135" s="15">
        <v>0</v>
      </c>
      <c r="G135" s="15">
        <v>0</v>
      </c>
      <c r="H135" s="15">
        <f t="shared" si="40"/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5">
        <f t="shared" si="41"/>
        <v>0</v>
      </c>
      <c r="T135" s="15">
        <f t="shared" si="42"/>
        <v>0</v>
      </c>
      <c r="U135" s="15">
        <f t="shared" si="43"/>
        <v>0</v>
      </c>
      <c r="V135" s="15">
        <f t="shared" si="44"/>
        <v>0</v>
      </c>
      <c r="W135" s="18" t="str">
        <f t="shared" si="45"/>
        <v/>
      </c>
      <c r="X135" s="17">
        <v>0</v>
      </c>
      <c r="Y135" s="17">
        <v>0</v>
      </c>
      <c r="Z135" s="15">
        <f t="shared" si="46"/>
        <v>0</v>
      </c>
      <c r="AA135" s="17">
        <v>0</v>
      </c>
      <c r="AB135" s="17">
        <v>0</v>
      </c>
      <c r="AC135" s="15">
        <f t="shared" si="47"/>
        <v>0</v>
      </c>
      <c r="AD135" s="17">
        <v>0</v>
      </c>
      <c r="AE135" s="17">
        <v>0</v>
      </c>
      <c r="AF135" s="15">
        <f t="shared" si="48"/>
        <v>0</v>
      </c>
      <c r="AG135" s="17">
        <v>0</v>
      </c>
      <c r="AH135" s="17">
        <v>0</v>
      </c>
      <c r="AI135" s="15">
        <f t="shared" si="49"/>
        <v>0</v>
      </c>
      <c r="AJ135" s="17"/>
    </row>
    <row r="136" spans="1:36" x14ac:dyDescent="0.3">
      <c r="A136" s="15" t="s">
        <v>186</v>
      </c>
      <c r="B136" s="15">
        <v>100</v>
      </c>
      <c r="C136" s="15" t="s">
        <v>54</v>
      </c>
      <c r="D136" s="15" t="s">
        <v>57</v>
      </c>
      <c r="E136" s="15">
        <v>0</v>
      </c>
      <c r="F136" s="15">
        <v>0</v>
      </c>
      <c r="G136" s="15">
        <v>0</v>
      </c>
      <c r="H136" s="15">
        <f t="shared" si="40"/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5">
        <f t="shared" si="41"/>
        <v>0</v>
      </c>
      <c r="T136" s="15">
        <f t="shared" si="42"/>
        <v>0</v>
      </c>
      <c r="U136" s="15">
        <f t="shared" si="43"/>
        <v>0</v>
      </c>
      <c r="V136" s="15">
        <f t="shared" si="44"/>
        <v>0</v>
      </c>
      <c r="W136" s="18" t="str">
        <f t="shared" si="45"/>
        <v/>
      </c>
      <c r="X136" s="17">
        <v>0</v>
      </c>
      <c r="Y136" s="17">
        <v>0</v>
      </c>
      <c r="Z136" s="15">
        <f t="shared" si="46"/>
        <v>0</v>
      </c>
      <c r="AA136" s="17">
        <v>0</v>
      </c>
      <c r="AB136" s="17">
        <v>0</v>
      </c>
      <c r="AC136" s="15">
        <f t="shared" si="47"/>
        <v>0</v>
      </c>
      <c r="AD136" s="17">
        <v>0</v>
      </c>
      <c r="AE136" s="17">
        <v>0</v>
      </c>
      <c r="AF136" s="15">
        <f t="shared" si="48"/>
        <v>0</v>
      </c>
      <c r="AG136" s="17">
        <v>0</v>
      </c>
      <c r="AH136" s="17">
        <v>0</v>
      </c>
      <c r="AI136" s="15">
        <f t="shared" si="49"/>
        <v>0</v>
      </c>
      <c r="AJ136" s="17"/>
    </row>
    <row r="137" spans="1:36" x14ac:dyDescent="0.3">
      <c r="A137" s="15" t="s">
        <v>187</v>
      </c>
      <c r="B137" s="15">
        <v>1000</v>
      </c>
      <c r="C137" s="15" t="s">
        <v>54</v>
      </c>
      <c r="D137" s="15" t="s">
        <v>68</v>
      </c>
      <c r="E137" s="15">
        <v>0</v>
      </c>
      <c r="F137" s="15">
        <v>0</v>
      </c>
      <c r="G137" s="15">
        <v>0</v>
      </c>
      <c r="H137" s="15">
        <f t="shared" si="40"/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5">
        <f t="shared" si="41"/>
        <v>0</v>
      </c>
      <c r="T137" s="15">
        <f t="shared" si="42"/>
        <v>0</v>
      </c>
      <c r="U137" s="15">
        <f t="shared" si="43"/>
        <v>0</v>
      </c>
      <c r="V137" s="15">
        <f t="shared" si="44"/>
        <v>0</v>
      </c>
      <c r="W137" s="18" t="str">
        <f t="shared" si="45"/>
        <v/>
      </c>
      <c r="X137" s="17">
        <v>0</v>
      </c>
      <c r="Y137" s="17">
        <v>0</v>
      </c>
      <c r="Z137" s="15">
        <f t="shared" si="46"/>
        <v>0</v>
      </c>
      <c r="AA137" s="17">
        <v>0</v>
      </c>
      <c r="AB137" s="17">
        <v>0</v>
      </c>
      <c r="AC137" s="15">
        <f t="shared" si="47"/>
        <v>0</v>
      </c>
      <c r="AD137" s="17">
        <v>0</v>
      </c>
      <c r="AE137" s="17">
        <v>0</v>
      </c>
      <c r="AF137" s="15">
        <f t="shared" si="48"/>
        <v>0</v>
      </c>
      <c r="AG137" s="17">
        <v>0</v>
      </c>
      <c r="AH137" s="17">
        <v>0</v>
      </c>
      <c r="AI137" s="15">
        <f t="shared" si="49"/>
        <v>0</v>
      </c>
      <c r="AJ137" s="17"/>
    </row>
    <row r="138" spans="1:36" x14ac:dyDescent="0.3">
      <c r="A138" s="15" t="s">
        <v>188</v>
      </c>
      <c r="B138" s="15">
        <v>100</v>
      </c>
      <c r="C138" s="15" t="s">
        <v>54</v>
      </c>
      <c r="D138" s="15" t="s">
        <v>57</v>
      </c>
      <c r="E138" s="15">
        <v>0</v>
      </c>
      <c r="F138" s="15">
        <v>0</v>
      </c>
      <c r="G138" s="15">
        <v>0</v>
      </c>
      <c r="H138" s="15">
        <f t="shared" si="40"/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5">
        <f t="shared" si="41"/>
        <v>0</v>
      </c>
      <c r="T138" s="15">
        <f t="shared" si="42"/>
        <v>0</v>
      </c>
      <c r="U138" s="15">
        <f t="shared" si="43"/>
        <v>0</v>
      </c>
      <c r="V138" s="15">
        <f t="shared" si="44"/>
        <v>0</v>
      </c>
      <c r="W138" s="18" t="str">
        <f t="shared" si="45"/>
        <v/>
      </c>
      <c r="X138" s="17">
        <v>0</v>
      </c>
      <c r="Y138" s="17">
        <v>0</v>
      </c>
      <c r="Z138" s="15">
        <f t="shared" si="46"/>
        <v>0</v>
      </c>
      <c r="AA138" s="17">
        <v>0</v>
      </c>
      <c r="AB138" s="17">
        <v>0</v>
      </c>
      <c r="AC138" s="15">
        <f t="shared" si="47"/>
        <v>0</v>
      </c>
      <c r="AD138" s="17">
        <v>0</v>
      </c>
      <c r="AE138" s="17">
        <v>0</v>
      </c>
      <c r="AF138" s="15">
        <f t="shared" si="48"/>
        <v>0</v>
      </c>
      <c r="AG138" s="17">
        <v>0</v>
      </c>
      <c r="AH138" s="17">
        <v>0</v>
      </c>
      <c r="AI138" s="15">
        <f t="shared" si="49"/>
        <v>0</v>
      </c>
      <c r="AJ138" s="17"/>
    </row>
    <row r="139" spans="1:36" x14ac:dyDescent="0.3">
      <c r="A139" s="15" t="s">
        <v>189</v>
      </c>
      <c r="B139" s="15">
        <v>100</v>
      </c>
      <c r="C139" s="15" t="s">
        <v>54</v>
      </c>
      <c r="D139" s="15" t="s">
        <v>68</v>
      </c>
      <c r="E139" s="15">
        <v>0</v>
      </c>
      <c r="F139" s="15">
        <v>0</v>
      </c>
      <c r="G139" s="15">
        <v>0</v>
      </c>
      <c r="H139" s="15">
        <f t="shared" si="40"/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5">
        <f t="shared" si="41"/>
        <v>0</v>
      </c>
      <c r="T139" s="15">
        <f t="shared" si="42"/>
        <v>0</v>
      </c>
      <c r="U139" s="15">
        <f t="shared" si="43"/>
        <v>0</v>
      </c>
      <c r="V139" s="15">
        <f t="shared" si="44"/>
        <v>0</v>
      </c>
      <c r="W139" s="18" t="str">
        <f t="shared" si="45"/>
        <v/>
      </c>
      <c r="X139" s="17">
        <v>0</v>
      </c>
      <c r="Y139" s="17">
        <v>0</v>
      </c>
      <c r="Z139" s="15">
        <f t="shared" si="46"/>
        <v>0</v>
      </c>
      <c r="AA139" s="17">
        <v>0</v>
      </c>
      <c r="AB139" s="17">
        <v>0</v>
      </c>
      <c r="AC139" s="15">
        <f t="shared" si="47"/>
        <v>0</v>
      </c>
      <c r="AD139" s="17">
        <v>0</v>
      </c>
      <c r="AE139" s="17">
        <v>0</v>
      </c>
      <c r="AF139" s="15">
        <f t="shared" si="48"/>
        <v>0</v>
      </c>
      <c r="AG139" s="17">
        <v>0</v>
      </c>
      <c r="AH139" s="17">
        <v>0</v>
      </c>
      <c r="AI139" s="15">
        <f t="shared" si="49"/>
        <v>0</v>
      </c>
      <c r="AJ139" s="17"/>
    </row>
    <row r="140" spans="1:36" x14ac:dyDescent="0.3">
      <c r="A140" s="15" t="s">
        <v>190</v>
      </c>
      <c r="B140" s="15">
        <v>100</v>
      </c>
      <c r="C140" s="15" t="s">
        <v>54</v>
      </c>
      <c r="D140" s="15" t="s">
        <v>57</v>
      </c>
      <c r="E140" s="15">
        <v>0</v>
      </c>
      <c r="F140" s="15">
        <v>0</v>
      </c>
      <c r="G140" s="15">
        <v>0</v>
      </c>
      <c r="H140" s="15">
        <f t="shared" si="40"/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5">
        <f t="shared" si="41"/>
        <v>0</v>
      </c>
      <c r="T140" s="15">
        <f t="shared" si="42"/>
        <v>0</v>
      </c>
      <c r="U140" s="15">
        <f t="shared" si="43"/>
        <v>0</v>
      </c>
      <c r="V140" s="15">
        <f t="shared" si="44"/>
        <v>0</v>
      </c>
      <c r="W140" s="18" t="str">
        <f t="shared" si="45"/>
        <v/>
      </c>
      <c r="X140" s="17">
        <v>0</v>
      </c>
      <c r="Y140" s="17">
        <v>0</v>
      </c>
      <c r="Z140" s="15">
        <f t="shared" si="46"/>
        <v>0</v>
      </c>
      <c r="AA140" s="17">
        <v>0</v>
      </c>
      <c r="AB140" s="17">
        <v>0</v>
      </c>
      <c r="AC140" s="15">
        <f t="shared" si="47"/>
        <v>0</v>
      </c>
      <c r="AD140" s="17">
        <v>0</v>
      </c>
      <c r="AE140" s="17">
        <v>0</v>
      </c>
      <c r="AF140" s="15">
        <f t="shared" si="48"/>
        <v>0</v>
      </c>
      <c r="AG140" s="17">
        <v>0</v>
      </c>
      <c r="AH140" s="17">
        <v>0</v>
      </c>
      <c r="AI140" s="15">
        <f t="shared" si="49"/>
        <v>0</v>
      </c>
      <c r="AJ140" s="17"/>
    </row>
    <row r="141" spans="1:36" x14ac:dyDescent="0.3">
      <c r="A141" s="15" t="s">
        <v>191</v>
      </c>
      <c r="B141" s="15">
        <v>100</v>
      </c>
      <c r="C141" s="15" t="s">
        <v>54</v>
      </c>
      <c r="D141" s="15" t="s">
        <v>68</v>
      </c>
      <c r="E141" s="15">
        <v>0</v>
      </c>
      <c r="F141" s="15">
        <v>0</v>
      </c>
      <c r="G141" s="15">
        <v>0</v>
      </c>
      <c r="H141" s="15">
        <f t="shared" si="40"/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5">
        <f t="shared" si="41"/>
        <v>0</v>
      </c>
      <c r="T141" s="15">
        <f t="shared" si="42"/>
        <v>0</v>
      </c>
      <c r="U141" s="15">
        <f t="shared" si="43"/>
        <v>0</v>
      </c>
      <c r="V141" s="15">
        <f t="shared" si="44"/>
        <v>0</v>
      </c>
      <c r="W141" s="18" t="str">
        <f t="shared" si="45"/>
        <v/>
      </c>
      <c r="X141" s="17">
        <v>0</v>
      </c>
      <c r="Y141" s="17">
        <v>0</v>
      </c>
      <c r="Z141" s="15">
        <f t="shared" si="46"/>
        <v>0</v>
      </c>
      <c r="AA141" s="17">
        <v>0</v>
      </c>
      <c r="AB141" s="17">
        <v>0</v>
      </c>
      <c r="AC141" s="15">
        <f t="shared" si="47"/>
        <v>0</v>
      </c>
      <c r="AD141" s="17">
        <v>0</v>
      </c>
      <c r="AE141" s="17">
        <v>0</v>
      </c>
      <c r="AF141" s="15">
        <f t="shared" si="48"/>
        <v>0</v>
      </c>
      <c r="AG141" s="17">
        <v>0</v>
      </c>
      <c r="AH141" s="17">
        <v>0</v>
      </c>
      <c r="AI141" s="15">
        <f t="shared" si="49"/>
        <v>0</v>
      </c>
      <c r="AJ141" s="17"/>
    </row>
    <row r="142" spans="1:36" hidden="1" x14ac:dyDescent="0.3">
      <c r="A142" s="15" t="s">
        <v>192</v>
      </c>
      <c r="B142" s="15">
        <v>100</v>
      </c>
      <c r="C142" s="15" t="s">
        <v>54</v>
      </c>
      <c r="D142" s="15" t="s">
        <v>55</v>
      </c>
      <c r="E142" s="15">
        <f>'26 june'!T142</f>
        <v>1</v>
      </c>
      <c r="F142" s="15">
        <f>'26 june'!U142</f>
        <v>15</v>
      </c>
      <c r="G142" s="15">
        <f>'26 june'!V142</f>
        <v>40</v>
      </c>
      <c r="H142" s="15">
        <f t="shared" si="40"/>
        <v>56</v>
      </c>
      <c r="I142" s="17">
        <v>77</v>
      </c>
      <c r="J142" s="17">
        <v>14</v>
      </c>
      <c r="K142" s="17">
        <v>2</v>
      </c>
      <c r="L142" s="17">
        <v>160</v>
      </c>
      <c r="M142" s="17">
        <v>0</v>
      </c>
      <c r="N142" s="17">
        <v>28</v>
      </c>
      <c r="O142" s="17">
        <v>360</v>
      </c>
      <c r="P142" s="17">
        <v>160</v>
      </c>
      <c r="Q142" s="17">
        <v>0</v>
      </c>
      <c r="R142" s="17">
        <v>0</v>
      </c>
      <c r="S142" s="15">
        <f t="shared" si="41"/>
        <v>295</v>
      </c>
      <c r="T142" s="15">
        <f t="shared" si="42"/>
        <v>124</v>
      </c>
      <c r="U142" s="15">
        <f t="shared" si="43"/>
        <v>161</v>
      </c>
      <c r="V142" s="15">
        <f t="shared" si="44"/>
        <v>10</v>
      </c>
      <c r="W142" s="18" t="str">
        <f t="shared" si="45"/>
        <v/>
      </c>
      <c r="X142" s="17">
        <v>0</v>
      </c>
      <c r="Y142" s="17">
        <v>0</v>
      </c>
      <c r="Z142" s="15">
        <f t="shared" si="46"/>
        <v>0</v>
      </c>
      <c r="AA142" s="17">
        <v>0</v>
      </c>
      <c r="AB142" s="17">
        <v>0</v>
      </c>
      <c r="AC142" s="15">
        <f t="shared" si="47"/>
        <v>0</v>
      </c>
      <c r="AD142" s="17">
        <v>0</v>
      </c>
      <c r="AE142" s="17">
        <v>0</v>
      </c>
      <c r="AF142" s="15">
        <f t="shared" si="48"/>
        <v>0</v>
      </c>
      <c r="AG142" s="17">
        <v>0</v>
      </c>
      <c r="AH142" s="17">
        <v>0</v>
      </c>
      <c r="AI142" s="15">
        <f t="shared" si="49"/>
        <v>0</v>
      </c>
      <c r="AJ142" s="17"/>
    </row>
    <row r="143" spans="1:36" hidden="1" x14ac:dyDescent="0.3">
      <c r="A143" s="15" t="s">
        <v>192</v>
      </c>
      <c r="B143" s="15">
        <v>500</v>
      </c>
      <c r="C143" s="15" t="s">
        <v>54</v>
      </c>
      <c r="D143" s="15" t="s">
        <v>55</v>
      </c>
      <c r="E143" s="15">
        <f>'26 june'!T143</f>
        <v>0</v>
      </c>
      <c r="F143" s="15">
        <f>'26 june'!U143</f>
        <v>0</v>
      </c>
      <c r="G143" s="15">
        <f>'26 june'!V143</f>
        <v>7</v>
      </c>
      <c r="H143" s="15">
        <f t="shared" si="40"/>
        <v>7</v>
      </c>
      <c r="I143" s="17">
        <v>0</v>
      </c>
      <c r="J143" s="17">
        <v>0</v>
      </c>
      <c r="K143" s="17">
        <v>4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5">
        <f t="shared" si="41"/>
        <v>3</v>
      </c>
      <c r="T143" s="15">
        <f t="shared" si="42"/>
        <v>0</v>
      </c>
      <c r="U143" s="15">
        <f t="shared" si="43"/>
        <v>0</v>
      </c>
      <c r="V143" s="15">
        <f t="shared" si="44"/>
        <v>3</v>
      </c>
      <c r="W143" s="18" t="str">
        <f t="shared" si="45"/>
        <v/>
      </c>
      <c r="X143" s="17">
        <v>0</v>
      </c>
      <c r="Y143" s="17">
        <v>0</v>
      </c>
      <c r="Z143" s="15">
        <f t="shared" si="46"/>
        <v>0</v>
      </c>
      <c r="AA143" s="17">
        <v>0</v>
      </c>
      <c r="AB143" s="17">
        <v>0</v>
      </c>
      <c r="AC143" s="15">
        <f t="shared" si="47"/>
        <v>0</v>
      </c>
      <c r="AD143" s="17">
        <v>0</v>
      </c>
      <c r="AE143" s="17">
        <v>0</v>
      </c>
      <c r="AF143" s="15">
        <f t="shared" si="48"/>
        <v>0</v>
      </c>
      <c r="AG143" s="17">
        <v>0</v>
      </c>
      <c r="AH143" s="17">
        <v>0</v>
      </c>
      <c r="AI143" s="15">
        <f t="shared" si="49"/>
        <v>0</v>
      </c>
      <c r="AJ143" s="17"/>
    </row>
    <row r="144" spans="1:36" x14ac:dyDescent="0.3">
      <c r="A144" s="15" t="s">
        <v>193</v>
      </c>
      <c r="B144" s="15">
        <v>100</v>
      </c>
      <c r="C144" s="15" t="s">
        <v>54</v>
      </c>
      <c r="D144" s="15" t="s">
        <v>57</v>
      </c>
      <c r="E144" s="15">
        <v>0</v>
      </c>
      <c r="F144" s="15">
        <v>0</v>
      </c>
      <c r="G144" s="15">
        <v>0</v>
      </c>
      <c r="H144" s="15">
        <f t="shared" si="40"/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5">
        <f t="shared" si="41"/>
        <v>0</v>
      </c>
      <c r="T144" s="15">
        <f t="shared" si="42"/>
        <v>0</v>
      </c>
      <c r="U144" s="15">
        <f t="shared" si="43"/>
        <v>0</v>
      </c>
      <c r="V144" s="15">
        <f t="shared" si="44"/>
        <v>0</v>
      </c>
      <c r="W144" s="18" t="str">
        <f t="shared" si="45"/>
        <v/>
      </c>
      <c r="X144" s="17">
        <v>0</v>
      </c>
      <c r="Y144" s="17">
        <v>0</v>
      </c>
      <c r="Z144" s="15">
        <f t="shared" si="46"/>
        <v>0</v>
      </c>
      <c r="AA144" s="17">
        <v>0</v>
      </c>
      <c r="AB144" s="17">
        <v>0</v>
      </c>
      <c r="AC144" s="15">
        <f t="shared" si="47"/>
        <v>0</v>
      </c>
      <c r="AD144" s="17">
        <v>0</v>
      </c>
      <c r="AE144" s="17">
        <v>0</v>
      </c>
      <c r="AF144" s="15">
        <f t="shared" si="48"/>
        <v>0</v>
      </c>
      <c r="AG144" s="17">
        <v>0</v>
      </c>
      <c r="AH144" s="17">
        <v>0</v>
      </c>
      <c r="AI144" s="15">
        <f t="shared" si="49"/>
        <v>0</v>
      </c>
      <c r="AJ144" s="17"/>
    </row>
    <row r="145" spans="1:36" hidden="1" x14ac:dyDescent="0.3">
      <c r="A145" s="15" t="s">
        <v>194</v>
      </c>
      <c r="B145" s="15">
        <v>1000</v>
      </c>
      <c r="C145" s="15"/>
      <c r="D145" s="15" t="s">
        <v>55</v>
      </c>
      <c r="E145" s="15">
        <f>'26 june'!T145</f>
        <v>0</v>
      </c>
      <c r="F145" s="15">
        <f>'26 june'!U145</f>
        <v>0</v>
      </c>
      <c r="G145" s="15">
        <f>'26 june'!V145</f>
        <v>0</v>
      </c>
      <c r="H145" s="15">
        <f t="shared" si="40"/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5">
        <f t="shared" si="41"/>
        <v>0</v>
      </c>
      <c r="T145" s="15">
        <f t="shared" si="42"/>
        <v>0</v>
      </c>
      <c r="U145" s="15">
        <f t="shared" si="43"/>
        <v>0</v>
      </c>
      <c r="V145" s="15">
        <f t="shared" si="44"/>
        <v>0</v>
      </c>
      <c r="W145" s="18" t="str">
        <f t="shared" si="45"/>
        <v/>
      </c>
      <c r="X145" s="17">
        <v>0</v>
      </c>
      <c r="Y145" s="17">
        <v>0</v>
      </c>
      <c r="Z145" s="15">
        <f t="shared" si="46"/>
        <v>0</v>
      </c>
      <c r="AA145" s="17">
        <v>0</v>
      </c>
      <c r="AB145" s="17">
        <v>0</v>
      </c>
      <c r="AC145" s="15">
        <f t="shared" si="47"/>
        <v>0</v>
      </c>
      <c r="AD145" s="17">
        <v>0</v>
      </c>
      <c r="AE145" s="17">
        <v>0</v>
      </c>
      <c r="AF145" s="15">
        <f t="shared" si="48"/>
        <v>0</v>
      </c>
      <c r="AG145" s="17">
        <v>0</v>
      </c>
      <c r="AH145" s="17">
        <v>0</v>
      </c>
      <c r="AI145" s="15">
        <f t="shared" si="49"/>
        <v>0</v>
      </c>
      <c r="AJ145" s="17"/>
    </row>
    <row r="146" spans="1:36" x14ac:dyDescent="0.3">
      <c r="A146" s="15" t="s">
        <v>195</v>
      </c>
      <c r="B146" s="15">
        <v>1000</v>
      </c>
      <c r="C146" s="15" t="s">
        <v>54</v>
      </c>
      <c r="D146" s="15" t="s">
        <v>68</v>
      </c>
      <c r="E146" s="15">
        <v>0</v>
      </c>
      <c r="F146" s="15">
        <v>0</v>
      </c>
      <c r="G146" s="15">
        <v>0</v>
      </c>
      <c r="H146" s="15">
        <f t="shared" si="40"/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5">
        <f t="shared" si="41"/>
        <v>0</v>
      </c>
      <c r="T146" s="15">
        <f t="shared" si="42"/>
        <v>0</v>
      </c>
      <c r="U146" s="15">
        <f t="shared" si="43"/>
        <v>0</v>
      </c>
      <c r="V146" s="15">
        <f t="shared" si="44"/>
        <v>0</v>
      </c>
      <c r="W146" s="18" t="str">
        <f t="shared" si="45"/>
        <v/>
      </c>
      <c r="X146" s="17">
        <v>0</v>
      </c>
      <c r="Y146" s="17">
        <v>0</v>
      </c>
      <c r="Z146" s="15">
        <f t="shared" si="46"/>
        <v>0</v>
      </c>
      <c r="AA146" s="17">
        <v>0</v>
      </c>
      <c r="AB146" s="17">
        <v>0</v>
      </c>
      <c r="AC146" s="15">
        <f t="shared" si="47"/>
        <v>0</v>
      </c>
      <c r="AD146" s="17">
        <v>0</v>
      </c>
      <c r="AE146" s="17">
        <v>0</v>
      </c>
      <c r="AF146" s="15">
        <f t="shared" si="48"/>
        <v>0</v>
      </c>
      <c r="AG146" s="17">
        <v>0</v>
      </c>
      <c r="AH146" s="17">
        <v>0</v>
      </c>
      <c r="AI146" s="15">
        <f t="shared" si="49"/>
        <v>0</v>
      </c>
      <c r="AJ146" s="17"/>
    </row>
    <row r="147" spans="1:36" hidden="1" x14ac:dyDescent="0.3">
      <c r="A147" s="15" t="s">
        <v>196</v>
      </c>
      <c r="B147" s="15">
        <v>100</v>
      </c>
      <c r="C147" s="15" t="s">
        <v>54</v>
      </c>
      <c r="D147" s="15" t="s">
        <v>55</v>
      </c>
      <c r="E147" s="15">
        <f>'26 june'!T147</f>
        <v>627</v>
      </c>
      <c r="F147" s="15">
        <f>'26 june'!U147</f>
        <v>94</v>
      </c>
      <c r="G147" s="15">
        <f>'26 june'!V147</f>
        <v>6</v>
      </c>
      <c r="H147" s="15">
        <f t="shared" si="40"/>
        <v>727</v>
      </c>
      <c r="I147" s="17">
        <v>12</v>
      </c>
      <c r="J147" s="17">
        <v>8</v>
      </c>
      <c r="K147" s="17">
        <v>0</v>
      </c>
      <c r="L147" s="17">
        <v>0</v>
      </c>
      <c r="M147" s="17">
        <v>30</v>
      </c>
      <c r="N147" s="17">
        <v>1</v>
      </c>
      <c r="O147" s="17">
        <v>0</v>
      </c>
      <c r="P147" s="17">
        <v>0</v>
      </c>
      <c r="Q147" s="17">
        <v>30</v>
      </c>
      <c r="R147" s="17">
        <v>0</v>
      </c>
      <c r="S147" s="15">
        <f t="shared" si="41"/>
        <v>706</v>
      </c>
      <c r="T147" s="15">
        <f t="shared" si="42"/>
        <v>615</v>
      </c>
      <c r="U147" s="15">
        <f t="shared" si="43"/>
        <v>56</v>
      </c>
      <c r="V147" s="15">
        <f t="shared" si="44"/>
        <v>35</v>
      </c>
      <c r="W147" s="18" t="str">
        <f t="shared" si="45"/>
        <v/>
      </c>
      <c r="X147" s="17">
        <v>0</v>
      </c>
      <c r="Y147" s="17">
        <v>0</v>
      </c>
      <c r="Z147" s="15">
        <f t="shared" si="46"/>
        <v>0</v>
      </c>
      <c r="AA147" s="17">
        <v>0</v>
      </c>
      <c r="AB147" s="17">
        <v>0</v>
      </c>
      <c r="AC147" s="15">
        <f t="shared" si="47"/>
        <v>0</v>
      </c>
      <c r="AD147" s="17">
        <v>0</v>
      </c>
      <c r="AE147" s="17">
        <v>0</v>
      </c>
      <c r="AF147" s="15">
        <f t="shared" si="48"/>
        <v>0</v>
      </c>
      <c r="AG147" s="17">
        <v>0</v>
      </c>
      <c r="AH147" s="17">
        <v>0</v>
      </c>
      <c r="AI147" s="15">
        <f t="shared" si="49"/>
        <v>0</v>
      </c>
      <c r="AJ147" s="17"/>
    </row>
    <row r="148" spans="1:36" hidden="1" x14ac:dyDescent="0.3">
      <c r="A148" s="15" t="s">
        <v>197</v>
      </c>
      <c r="B148" s="15">
        <v>100</v>
      </c>
      <c r="C148" s="15" t="s">
        <v>54</v>
      </c>
      <c r="D148" s="15" t="s">
        <v>55</v>
      </c>
      <c r="E148" s="15">
        <f>'26 june'!T148</f>
        <v>0</v>
      </c>
      <c r="F148" s="15">
        <f>'26 june'!U148</f>
        <v>0</v>
      </c>
      <c r="G148" s="15">
        <f>'26 june'!V148</f>
        <v>0</v>
      </c>
      <c r="H148" s="15">
        <f t="shared" si="40"/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5">
        <f t="shared" si="41"/>
        <v>0</v>
      </c>
      <c r="T148" s="15">
        <f t="shared" si="42"/>
        <v>0</v>
      </c>
      <c r="U148" s="15">
        <f t="shared" si="43"/>
        <v>0</v>
      </c>
      <c r="V148" s="15">
        <f t="shared" si="44"/>
        <v>0</v>
      </c>
      <c r="W148" s="18" t="str">
        <f t="shared" si="45"/>
        <v/>
      </c>
      <c r="X148" s="17">
        <v>0</v>
      </c>
      <c r="Y148" s="17">
        <v>0</v>
      </c>
      <c r="Z148" s="15">
        <f t="shared" si="46"/>
        <v>0</v>
      </c>
      <c r="AA148" s="17">
        <v>0</v>
      </c>
      <c r="AB148" s="17">
        <v>0</v>
      </c>
      <c r="AC148" s="15">
        <f t="shared" si="47"/>
        <v>0</v>
      </c>
      <c r="AD148" s="17">
        <v>0</v>
      </c>
      <c r="AE148" s="17">
        <v>0</v>
      </c>
      <c r="AF148" s="15">
        <f t="shared" si="48"/>
        <v>0</v>
      </c>
      <c r="AG148" s="17">
        <v>0</v>
      </c>
      <c r="AH148" s="17">
        <v>0</v>
      </c>
      <c r="AI148" s="15">
        <f t="shared" si="49"/>
        <v>0</v>
      </c>
      <c r="AJ148" s="17"/>
    </row>
    <row r="149" spans="1:36" hidden="1" x14ac:dyDescent="0.3">
      <c r="A149" s="15" t="s">
        <v>198</v>
      </c>
      <c r="B149" s="15">
        <v>100</v>
      </c>
      <c r="C149" s="15" t="s">
        <v>54</v>
      </c>
      <c r="D149" s="15" t="s">
        <v>55</v>
      </c>
      <c r="E149" s="15">
        <f>'26 june'!T149</f>
        <v>316</v>
      </c>
      <c r="F149" s="15">
        <f>'26 june'!U149</f>
        <v>62</v>
      </c>
      <c r="G149" s="15">
        <f>'26 june'!V149</f>
        <v>47</v>
      </c>
      <c r="H149" s="15">
        <f t="shared" si="40"/>
        <v>425</v>
      </c>
      <c r="I149" s="17">
        <v>26</v>
      </c>
      <c r="J149" s="17">
        <v>20</v>
      </c>
      <c r="K149" s="17">
        <v>11</v>
      </c>
      <c r="L149" s="17">
        <v>0</v>
      </c>
      <c r="M149" s="17">
        <v>0</v>
      </c>
      <c r="N149" s="17">
        <v>2</v>
      </c>
      <c r="O149" s="17">
        <v>0</v>
      </c>
      <c r="P149" s="17">
        <v>0</v>
      </c>
      <c r="Q149" s="17">
        <v>0</v>
      </c>
      <c r="R149" s="17">
        <v>0</v>
      </c>
      <c r="S149" s="15">
        <f t="shared" si="41"/>
        <v>366</v>
      </c>
      <c r="T149" s="15">
        <f t="shared" si="42"/>
        <v>290</v>
      </c>
      <c r="U149" s="15">
        <f t="shared" si="43"/>
        <v>42</v>
      </c>
      <c r="V149" s="15">
        <f t="shared" si="44"/>
        <v>34</v>
      </c>
      <c r="W149" s="18" t="str">
        <f t="shared" si="45"/>
        <v/>
      </c>
      <c r="X149" s="17">
        <v>0</v>
      </c>
      <c r="Y149" s="17">
        <v>0</v>
      </c>
      <c r="Z149" s="15">
        <f t="shared" si="46"/>
        <v>0</v>
      </c>
      <c r="AA149" s="17">
        <v>0</v>
      </c>
      <c r="AB149" s="17">
        <v>0</v>
      </c>
      <c r="AC149" s="15">
        <f t="shared" si="47"/>
        <v>0</v>
      </c>
      <c r="AD149" s="17">
        <v>0</v>
      </c>
      <c r="AE149" s="17">
        <v>0</v>
      </c>
      <c r="AF149" s="15">
        <f t="shared" si="48"/>
        <v>0</v>
      </c>
      <c r="AG149" s="17">
        <v>0</v>
      </c>
      <c r="AH149" s="17">
        <v>0</v>
      </c>
      <c r="AI149" s="15">
        <f t="shared" si="49"/>
        <v>0</v>
      </c>
      <c r="AJ149" s="17"/>
    </row>
    <row r="150" spans="1:36" hidden="1" x14ac:dyDescent="0.3">
      <c r="A150" s="15" t="s">
        <v>199</v>
      </c>
      <c r="B150" s="15">
        <v>500</v>
      </c>
      <c r="C150" s="15" t="s">
        <v>54</v>
      </c>
      <c r="D150" s="15" t="s">
        <v>55</v>
      </c>
      <c r="E150" s="15">
        <f>'26 june'!T150</f>
        <v>10</v>
      </c>
      <c r="F150" s="15">
        <f>'26 june'!U150</f>
        <v>1</v>
      </c>
      <c r="G150" s="15">
        <f>'26 june'!V150</f>
        <v>0</v>
      </c>
      <c r="H150" s="15">
        <f t="shared" si="40"/>
        <v>11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5">
        <f t="shared" si="41"/>
        <v>11</v>
      </c>
      <c r="T150" s="15">
        <f t="shared" si="42"/>
        <v>10</v>
      </c>
      <c r="U150" s="15">
        <f t="shared" si="43"/>
        <v>1</v>
      </c>
      <c r="V150" s="15">
        <f t="shared" si="44"/>
        <v>0</v>
      </c>
      <c r="W150" s="18" t="str">
        <f t="shared" si="45"/>
        <v/>
      </c>
      <c r="X150" s="17">
        <v>0</v>
      </c>
      <c r="Y150" s="17">
        <v>0</v>
      </c>
      <c r="Z150" s="15">
        <f t="shared" si="46"/>
        <v>0</v>
      </c>
      <c r="AA150" s="17">
        <v>0</v>
      </c>
      <c r="AB150" s="17">
        <v>0</v>
      </c>
      <c r="AC150" s="15">
        <f t="shared" si="47"/>
        <v>0</v>
      </c>
      <c r="AD150" s="17">
        <v>0</v>
      </c>
      <c r="AE150" s="17">
        <v>0</v>
      </c>
      <c r="AF150" s="15">
        <f t="shared" si="48"/>
        <v>0</v>
      </c>
      <c r="AG150" s="17">
        <v>0</v>
      </c>
      <c r="AH150" s="17">
        <v>0</v>
      </c>
      <c r="AI150" s="15">
        <f t="shared" si="49"/>
        <v>0</v>
      </c>
      <c r="AJ150" s="17"/>
    </row>
    <row r="151" spans="1:36" hidden="1" x14ac:dyDescent="0.3">
      <c r="A151" s="15" t="s">
        <v>200</v>
      </c>
      <c r="B151" s="15">
        <v>100</v>
      </c>
      <c r="C151" s="15" t="s">
        <v>54</v>
      </c>
      <c r="D151" s="15" t="s">
        <v>55</v>
      </c>
      <c r="E151" s="15">
        <f>'26 june'!T151</f>
        <v>4</v>
      </c>
      <c r="F151" s="15">
        <f>'26 june'!U151</f>
        <v>177</v>
      </c>
      <c r="G151" s="15">
        <f>'26 june'!V151</f>
        <v>2</v>
      </c>
      <c r="H151" s="15">
        <f t="shared" si="40"/>
        <v>183</v>
      </c>
      <c r="I151" s="17">
        <v>0</v>
      </c>
      <c r="J151" s="17">
        <v>1</v>
      </c>
      <c r="K151" s="17">
        <v>22</v>
      </c>
      <c r="L151" s="17">
        <v>0</v>
      </c>
      <c r="M151" s="17">
        <v>70</v>
      </c>
      <c r="N151" s="17">
        <v>0</v>
      </c>
      <c r="O151" s="17">
        <v>0</v>
      </c>
      <c r="P151" s="17">
        <v>0</v>
      </c>
      <c r="Q151" s="17">
        <v>70</v>
      </c>
      <c r="R151" s="17">
        <v>0</v>
      </c>
      <c r="S151" s="15">
        <f t="shared" si="41"/>
        <v>160</v>
      </c>
      <c r="T151" s="15">
        <f t="shared" si="42"/>
        <v>4</v>
      </c>
      <c r="U151" s="15">
        <f t="shared" si="43"/>
        <v>106</v>
      </c>
      <c r="V151" s="15">
        <f t="shared" si="44"/>
        <v>50</v>
      </c>
      <c r="W151" s="18" t="str">
        <f t="shared" si="45"/>
        <v/>
      </c>
      <c r="X151" s="17">
        <v>0</v>
      </c>
      <c r="Y151" s="17">
        <v>0</v>
      </c>
      <c r="Z151" s="15">
        <f t="shared" si="46"/>
        <v>0</v>
      </c>
      <c r="AA151" s="17">
        <v>0</v>
      </c>
      <c r="AB151" s="17">
        <v>0</v>
      </c>
      <c r="AC151" s="15">
        <f t="shared" si="47"/>
        <v>0</v>
      </c>
      <c r="AD151" s="17">
        <v>0</v>
      </c>
      <c r="AE151" s="17">
        <v>0</v>
      </c>
      <c r="AF151" s="15">
        <f t="shared" si="48"/>
        <v>0</v>
      </c>
      <c r="AG151" s="17">
        <v>0</v>
      </c>
      <c r="AH151" s="17">
        <v>0</v>
      </c>
      <c r="AI151" s="15">
        <f t="shared" si="49"/>
        <v>0</v>
      </c>
      <c r="AJ151" s="17"/>
    </row>
    <row r="152" spans="1:36" hidden="1" x14ac:dyDescent="0.3">
      <c r="A152" s="15" t="s">
        <v>201</v>
      </c>
      <c r="B152" s="15">
        <v>100</v>
      </c>
      <c r="C152" s="15" t="s">
        <v>54</v>
      </c>
      <c r="D152" s="15" t="s">
        <v>55</v>
      </c>
      <c r="E152" s="15">
        <f>'26 june'!T152</f>
        <v>298</v>
      </c>
      <c r="F152" s="15">
        <f>'26 june'!U152</f>
        <v>63</v>
      </c>
      <c r="G152" s="15">
        <f>'26 june'!V152</f>
        <v>66</v>
      </c>
      <c r="H152" s="15">
        <f t="shared" si="40"/>
        <v>427</v>
      </c>
      <c r="I152" s="17">
        <v>10</v>
      </c>
      <c r="J152" s="17">
        <v>32</v>
      </c>
      <c r="K152" s="17">
        <v>21</v>
      </c>
      <c r="L152" s="17">
        <v>0</v>
      </c>
      <c r="M152" s="17">
        <v>0</v>
      </c>
      <c r="N152" s="17">
        <v>1</v>
      </c>
      <c r="O152" s="17">
        <v>0</v>
      </c>
      <c r="P152" s="17">
        <v>0</v>
      </c>
      <c r="Q152" s="17">
        <v>0</v>
      </c>
      <c r="R152" s="17">
        <v>0</v>
      </c>
      <c r="S152" s="15">
        <f t="shared" si="41"/>
        <v>363</v>
      </c>
      <c r="T152" s="15">
        <f t="shared" si="42"/>
        <v>288</v>
      </c>
      <c r="U152" s="15">
        <f t="shared" si="43"/>
        <v>31</v>
      </c>
      <c r="V152" s="15">
        <f t="shared" si="44"/>
        <v>44</v>
      </c>
      <c r="W152" s="18" t="str">
        <f t="shared" si="45"/>
        <v/>
      </c>
      <c r="X152" s="17">
        <v>0</v>
      </c>
      <c r="Y152" s="17">
        <v>0</v>
      </c>
      <c r="Z152" s="15">
        <f t="shared" si="46"/>
        <v>0</v>
      </c>
      <c r="AA152" s="17">
        <v>0</v>
      </c>
      <c r="AB152" s="17">
        <v>0</v>
      </c>
      <c r="AC152" s="15">
        <f t="shared" si="47"/>
        <v>0</v>
      </c>
      <c r="AD152" s="17">
        <v>0</v>
      </c>
      <c r="AE152" s="17">
        <v>0</v>
      </c>
      <c r="AF152" s="15">
        <f t="shared" si="48"/>
        <v>0</v>
      </c>
      <c r="AG152" s="17">
        <v>0</v>
      </c>
      <c r="AH152" s="17">
        <v>0</v>
      </c>
      <c r="AI152" s="15">
        <f t="shared" si="49"/>
        <v>0</v>
      </c>
      <c r="AJ152" s="17"/>
    </row>
    <row r="153" spans="1:36" hidden="1" x14ac:dyDescent="0.3">
      <c r="A153" s="15" t="s">
        <v>202</v>
      </c>
      <c r="B153" s="15">
        <v>100</v>
      </c>
      <c r="C153" s="15" t="s">
        <v>54</v>
      </c>
      <c r="D153" s="15" t="s">
        <v>55</v>
      </c>
      <c r="E153" s="15">
        <f>'26 june'!T153</f>
        <v>13</v>
      </c>
      <c r="F153" s="15">
        <f>'26 june'!U153</f>
        <v>0</v>
      </c>
      <c r="G153" s="15">
        <f>'26 june'!V153</f>
        <v>0</v>
      </c>
      <c r="H153" s="15">
        <f t="shared" si="40"/>
        <v>13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5">
        <f t="shared" si="41"/>
        <v>13</v>
      </c>
      <c r="T153" s="15">
        <f t="shared" si="42"/>
        <v>13</v>
      </c>
      <c r="U153" s="15">
        <f t="shared" si="43"/>
        <v>0</v>
      </c>
      <c r="V153" s="15">
        <f t="shared" si="44"/>
        <v>0</v>
      </c>
      <c r="W153" s="18" t="str">
        <f t="shared" si="45"/>
        <v/>
      </c>
      <c r="X153" s="17">
        <v>0</v>
      </c>
      <c r="Y153" s="17">
        <v>0</v>
      </c>
      <c r="Z153" s="15">
        <f t="shared" si="46"/>
        <v>0</v>
      </c>
      <c r="AA153" s="17">
        <v>0</v>
      </c>
      <c r="AB153" s="17">
        <v>0</v>
      </c>
      <c r="AC153" s="15">
        <f t="shared" si="47"/>
        <v>0</v>
      </c>
      <c r="AD153" s="17">
        <v>0</v>
      </c>
      <c r="AE153" s="17">
        <v>0</v>
      </c>
      <c r="AF153" s="15">
        <f t="shared" si="48"/>
        <v>0</v>
      </c>
      <c r="AG153" s="17">
        <v>0</v>
      </c>
      <c r="AH153" s="17">
        <v>0</v>
      </c>
      <c r="AI153" s="15">
        <f t="shared" si="49"/>
        <v>0</v>
      </c>
      <c r="AJ153" s="17"/>
    </row>
    <row r="154" spans="1:36" hidden="1" x14ac:dyDescent="0.3">
      <c r="A154" s="15" t="s">
        <v>203</v>
      </c>
      <c r="B154" s="15">
        <v>100</v>
      </c>
      <c r="C154" s="15" t="s">
        <v>54</v>
      </c>
      <c r="D154" s="15" t="s">
        <v>55</v>
      </c>
      <c r="E154" s="15">
        <f>'26 june'!T154</f>
        <v>13</v>
      </c>
      <c r="F154" s="15">
        <f>'26 june'!U154</f>
        <v>0</v>
      </c>
      <c r="G154" s="15">
        <f>'26 june'!V154</f>
        <v>0</v>
      </c>
      <c r="H154" s="15">
        <f t="shared" si="40"/>
        <v>13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5">
        <f t="shared" si="41"/>
        <v>13</v>
      </c>
      <c r="T154" s="15">
        <f t="shared" si="42"/>
        <v>13</v>
      </c>
      <c r="U154" s="15">
        <f t="shared" si="43"/>
        <v>0</v>
      </c>
      <c r="V154" s="15">
        <f t="shared" si="44"/>
        <v>0</v>
      </c>
      <c r="W154" s="18" t="str">
        <f t="shared" si="45"/>
        <v/>
      </c>
      <c r="X154" s="17">
        <v>0</v>
      </c>
      <c r="Y154" s="17">
        <v>0</v>
      </c>
      <c r="Z154" s="15">
        <f t="shared" si="46"/>
        <v>0</v>
      </c>
      <c r="AA154" s="17">
        <v>0</v>
      </c>
      <c r="AB154" s="17">
        <v>0</v>
      </c>
      <c r="AC154" s="15">
        <f t="shared" si="47"/>
        <v>0</v>
      </c>
      <c r="AD154" s="17">
        <v>0</v>
      </c>
      <c r="AE154" s="17">
        <v>0</v>
      </c>
      <c r="AF154" s="15">
        <f t="shared" si="48"/>
        <v>0</v>
      </c>
      <c r="AG154" s="17">
        <v>0</v>
      </c>
      <c r="AH154" s="17">
        <v>0</v>
      </c>
      <c r="AI154" s="15">
        <f t="shared" si="49"/>
        <v>0</v>
      </c>
      <c r="AJ154" s="17"/>
    </row>
    <row r="155" spans="1:36" hidden="1" x14ac:dyDescent="0.3">
      <c r="A155" s="15" t="s">
        <v>204</v>
      </c>
      <c r="B155" s="15">
        <v>10000</v>
      </c>
      <c r="C155" s="15" t="s">
        <v>54</v>
      </c>
      <c r="D155" s="15" t="s">
        <v>55</v>
      </c>
      <c r="E155" s="15">
        <v>0</v>
      </c>
      <c r="F155" s="15">
        <v>0</v>
      </c>
      <c r="G155" s="15">
        <v>0</v>
      </c>
      <c r="H155" s="15">
        <f t="shared" si="40"/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5">
        <f t="shared" si="41"/>
        <v>0</v>
      </c>
      <c r="T155" s="15">
        <f t="shared" si="42"/>
        <v>0</v>
      </c>
      <c r="U155" s="15">
        <f t="shared" si="43"/>
        <v>0</v>
      </c>
      <c r="V155" s="15">
        <f t="shared" si="44"/>
        <v>0</v>
      </c>
      <c r="W155" s="18" t="str">
        <f t="shared" si="45"/>
        <v/>
      </c>
      <c r="X155" s="17">
        <v>0</v>
      </c>
      <c r="Y155" s="17">
        <v>0</v>
      </c>
      <c r="Z155" s="15">
        <f t="shared" si="46"/>
        <v>0</v>
      </c>
      <c r="AA155" s="17">
        <v>0</v>
      </c>
      <c r="AB155" s="17">
        <v>0</v>
      </c>
      <c r="AC155" s="15">
        <f t="shared" si="47"/>
        <v>0</v>
      </c>
      <c r="AD155" s="17">
        <v>0</v>
      </c>
      <c r="AE155" s="17">
        <v>0</v>
      </c>
      <c r="AF155" s="15">
        <f t="shared" si="48"/>
        <v>0</v>
      </c>
      <c r="AG155" s="17">
        <v>0</v>
      </c>
      <c r="AH155" s="17">
        <v>0</v>
      </c>
      <c r="AI155" s="15">
        <f t="shared" si="49"/>
        <v>0</v>
      </c>
      <c r="AJ155" s="17"/>
    </row>
    <row r="156" spans="1:36" x14ac:dyDescent="0.3">
      <c r="A156" s="15" t="s">
        <v>205</v>
      </c>
      <c r="B156" s="15">
        <v>1000</v>
      </c>
      <c r="C156" s="15" t="s">
        <v>54</v>
      </c>
      <c r="D156" s="15" t="s">
        <v>57</v>
      </c>
      <c r="E156" s="15">
        <v>0</v>
      </c>
      <c r="F156" s="15">
        <v>0</v>
      </c>
      <c r="G156" s="15">
        <v>0</v>
      </c>
      <c r="H156" s="15">
        <f t="shared" si="40"/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5">
        <f t="shared" si="41"/>
        <v>0</v>
      </c>
      <c r="T156" s="15">
        <f t="shared" si="42"/>
        <v>0</v>
      </c>
      <c r="U156" s="15">
        <f t="shared" si="43"/>
        <v>0</v>
      </c>
      <c r="V156" s="15">
        <f t="shared" si="44"/>
        <v>0</v>
      </c>
      <c r="W156" s="18" t="str">
        <f t="shared" si="45"/>
        <v/>
      </c>
      <c r="X156" s="17">
        <v>0</v>
      </c>
      <c r="Y156" s="17">
        <v>0</v>
      </c>
      <c r="Z156" s="15">
        <f t="shared" si="46"/>
        <v>0</v>
      </c>
      <c r="AA156" s="17">
        <v>0</v>
      </c>
      <c r="AB156" s="17">
        <v>0</v>
      </c>
      <c r="AC156" s="15">
        <f t="shared" si="47"/>
        <v>0</v>
      </c>
      <c r="AD156" s="17">
        <v>0</v>
      </c>
      <c r="AE156" s="17">
        <v>0</v>
      </c>
      <c r="AF156" s="15">
        <f t="shared" si="48"/>
        <v>0</v>
      </c>
      <c r="AG156" s="17">
        <v>0</v>
      </c>
      <c r="AH156" s="17">
        <v>0</v>
      </c>
      <c r="AI156" s="15">
        <f t="shared" si="49"/>
        <v>0</v>
      </c>
      <c r="AJ156" s="17"/>
    </row>
    <row r="157" spans="1:36" x14ac:dyDescent="0.3">
      <c r="A157" s="15" t="s">
        <v>206</v>
      </c>
      <c r="B157" s="15">
        <v>1000</v>
      </c>
      <c r="C157" s="15" t="s">
        <v>54</v>
      </c>
      <c r="D157" s="15" t="s">
        <v>57</v>
      </c>
      <c r="E157" s="15">
        <v>0</v>
      </c>
      <c r="F157" s="15">
        <v>0</v>
      </c>
      <c r="G157" s="15">
        <v>0</v>
      </c>
      <c r="H157" s="15">
        <f t="shared" si="40"/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5">
        <f t="shared" si="41"/>
        <v>0</v>
      </c>
      <c r="T157" s="15">
        <f t="shared" si="42"/>
        <v>0</v>
      </c>
      <c r="U157" s="15">
        <f t="shared" si="43"/>
        <v>0</v>
      </c>
      <c r="V157" s="15">
        <f t="shared" si="44"/>
        <v>0</v>
      </c>
      <c r="W157" s="18" t="str">
        <f t="shared" si="45"/>
        <v/>
      </c>
      <c r="X157" s="17">
        <v>0</v>
      </c>
      <c r="Y157" s="17">
        <v>0</v>
      </c>
      <c r="Z157" s="15">
        <f t="shared" si="46"/>
        <v>0</v>
      </c>
      <c r="AA157" s="17">
        <v>0</v>
      </c>
      <c r="AB157" s="17">
        <v>0</v>
      </c>
      <c r="AC157" s="15">
        <f t="shared" si="47"/>
        <v>0</v>
      </c>
      <c r="AD157" s="17">
        <v>0</v>
      </c>
      <c r="AE157" s="17">
        <v>0</v>
      </c>
      <c r="AF157" s="15">
        <f t="shared" si="48"/>
        <v>0</v>
      </c>
      <c r="AG157" s="17">
        <v>0</v>
      </c>
      <c r="AH157" s="17">
        <v>0</v>
      </c>
      <c r="AI157" s="15">
        <f t="shared" si="49"/>
        <v>0</v>
      </c>
      <c r="AJ157" s="17"/>
    </row>
    <row r="158" spans="1:36" x14ac:dyDescent="0.3">
      <c r="A158" s="15" t="s">
        <v>207</v>
      </c>
      <c r="B158" s="15">
        <v>1000</v>
      </c>
      <c r="C158" s="15" t="s">
        <v>54</v>
      </c>
      <c r="D158" s="15" t="s">
        <v>68</v>
      </c>
      <c r="E158" s="15">
        <v>0</v>
      </c>
      <c r="F158" s="15">
        <v>0</v>
      </c>
      <c r="G158" s="15">
        <v>0</v>
      </c>
      <c r="H158" s="15">
        <f t="shared" si="40"/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5">
        <f t="shared" si="41"/>
        <v>0</v>
      </c>
      <c r="T158" s="15">
        <f t="shared" si="42"/>
        <v>0</v>
      </c>
      <c r="U158" s="15">
        <f t="shared" si="43"/>
        <v>0</v>
      </c>
      <c r="V158" s="15">
        <f t="shared" si="44"/>
        <v>0</v>
      </c>
      <c r="W158" s="18" t="str">
        <f t="shared" si="45"/>
        <v/>
      </c>
      <c r="X158" s="17">
        <v>0</v>
      </c>
      <c r="Y158" s="17">
        <v>0</v>
      </c>
      <c r="Z158" s="15">
        <f t="shared" si="46"/>
        <v>0</v>
      </c>
      <c r="AA158" s="17">
        <v>0</v>
      </c>
      <c r="AB158" s="17">
        <v>0</v>
      </c>
      <c r="AC158" s="15">
        <f t="shared" si="47"/>
        <v>0</v>
      </c>
      <c r="AD158" s="17">
        <v>0</v>
      </c>
      <c r="AE158" s="17">
        <v>0</v>
      </c>
      <c r="AF158" s="15">
        <f t="shared" si="48"/>
        <v>0</v>
      </c>
      <c r="AG158" s="17">
        <v>0</v>
      </c>
      <c r="AH158" s="17">
        <v>0</v>
      </c>
      <c r="AI158" s="15">
        <f t="shared" si="49"/>
        <v>0</v>
      </c>
      <c r="AJ158" s="17"/>
    </row>
    <row r="159" spans="1:36" x14ac:dyDescent="0.3">
      <c r="A159" s="15" t="s">
        <v>208</v>
      </c>
      <c r="B159" s="15">
        <v>1000</v>
      </c>
      <c r="C159" s="15" t="s">
        <v>54</v>
      </c>
      <c r="D159" s="15" t="s">
        <v>68</v>
      </c>
      <c r="E159" s="15">
        <v>0</v>
      </c>
      <c r="F159" s="15">
        <v>0</v>
      </c>
      <c r="G159" s="15">
        <v>0</v>
      </c>
      <c r="H159" s="15">
        <f t="shared" si="40"/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5">
        <f t="shared" si="41"/>
        <v>0</v>
      </c>
      <c r="T159" s="15">
        <f t="shared" si="42"/>
        <v>0</v>
      </c>
      <c r="U159" s="15">
        <f t="shared" si="43"/>
        <v>0</v>
      </c>
      <c r="V159" s="15">
        <f t="shared" si="44"/>
        <v>0</v>
      </c>
      <c r="W159" s="18" t="str">
        <f t="shared" si="45"/>
        <v/>
      </c>
      <c r="X159" s="17">
        <v>0</v>
      </c>
      <c r="Y159" s="17">
        <v>0</v>
      </c>
      <c r="Z159" s="15">
        <f t="shared" si="46"/>
        <v>0</v>
      </c>
      <c r="AA159" s="17">
        <v>0</v>
      </c>
      <c r="AB159" s="17">
        <v>0</v>
      </c>
      <c r="AC159" s="15">
        <f t="shared" si="47"/>
        <v>0</v>
      </c>
      <c r="AD159" s="17">
        <v>0</v>
      </c>
      <c r="AE159" s="17">
        <v>0</v>
      </c>
      <c r="AF159" s="15">
        <f t="shared" si="48"/>
        <v>0</v>
      </c>
      <c r="AG159" s="17">
        <v>0</v>
      </c>
      <c r="AH159" s="17">
        <v>0</v>
      </c>
      <c r="AI159" s="15">
        <f t="shared" si="49"/>
        <v>0</v>
      </c>
      <c r="AJ159" s="17"/>
    </row>
    <row r="160" spans="1:36" x14ac:dyDescent="0.3">
      <c r="A160" s="15" t="s">
        <v>209</v>
      </c>
      <c r="B160" s="15">
        <v>100</v>
      </c>
      <c r="C160" s="15" t="s">
        <v>54</v>
      </c>
      <c r="D160" s="15" t="s">
        <v>57</v>
      </c>
      <c r="E160" s="15">
        <v>0</v>
      </c>
      <c r="F160" s="15">
        <v>0</v>
      </c>
      <c r="G160" s="15">
        <v>0</v>
      </c>
      <c r="H160" s="15">
        <f t="shared" si="40"/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5">
        <f t="shared" si="41"/>
        <v>0</v>
      </c>
      <c r="T160" s="15">
        <f t="shared" si="42"/>
        <v>0</v>
      </c>
      <c r="U160" s="15">
        <f t="shared" si="43"/>
        <v>0</v>
      </c>
      <c r="V160" s="15">
        <f t="shared" si="44"/>
        <v>0</v>
      </c>
      <c r="W160" s="18" t="str">
        <f t="shared" si="45"/>
        <v/>
      </c>
      <c r="X160" s="17">
        <v>0</v>
      </c>
      <c r="Y160" s="17">
        <v>0</v>
      </c>
      <c r="Z160" s="15">
        <f t="shared" si="46"/>
        <v>0</v>
      </c>
      <c r="AA160" s="17">
        <v>0</v>
      </c>
      <c r="AB160" s="17">
        <v>0</v>
      </c>
      <c r="AC160" s="15">
        <f t="shared" si="47"/>
        <v>0</v>
      </c>
      <c r="AD160" s="17">
        <v>0</v>
      </c>
      <c r="AE160" s="17">
        <v>0</v>
      </c>
      <c r="AF160" s="15">
        <f t="shared" si="48"/>
        <v>0</v>
      </c>
      <c r="AG160" s="17">
        <v>0</v>
      </c>
      <c r="AH160" s="17">
        <v>0</v>
      </c>
      <c r="AI160" s="15">
        <f t="shared" si="49"/>
        <v>0</v>
      </c>
      <c r="AJ160" s="17"/>
    </row>
    <row r="161" spans="1:36" x14ac:dyDescent="0.3">
      <c r="A161" s="15" t="s">
        <v>210</v>
      </c>
      <c r="B161" s="15">
        <v>1000</v>
      </c>
      <c r="C161" s="15" t="s">
        <v>54</v>
      </c>
      <c r="D161" s="15" t="s">
        <v>68</v>
      </c>
      <c r="E161" s="15">
        <v>0</v>
      </c>
      <c r="F161" s="15">
        <v>0</v>
      </c>
      <c r="G161" s="15">
        <v>0</v>
      </c>
      <c r="H161" s="15">
        <f t="shared" si="40"/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5">
        <f t="shared" si="41"/>
        <v>0</v>
      </c>
      <c r="T161" s="15">
        <f t="shared" si="42"/>
        <v>0</v>
      </c>
      <c r="U161" s="15">
        <f t="shared" si="43"/>
        <v>0</v>
      </c>
      <c r="V161" s="15">
        <f t="shared" si="44"/>
        <v>0</v>
      </c>
      <c r="W161" s="18" t="str">
        <f t="shared" si="45"/>
        <v/>
      </c>
      <c r="X161" s="17">
        <v>0</v>
      </c>
      <c r="Y161" s="17">
        <v>0</v>
      </c>
      <c r="Z161" s="15">
        <f t="shared" si="46"/>
        <v>0</v>
      </c>
      <c r="AA161" s="17">
        <v>0</v>
      </c>
      <c r="AB161" s="17">
        <v>0</v>
      </c>
      <c r="AC161" s="15">
        <f t="shared" si="47"/>
        <v>0</v>
      </c>
      <c r="AD161" s="17">
        <v>0</v>
      </c>
      <c r="AE161" s="17">
        <v>0</v>
      </c>
      <c r="AF161" s="15">
        <f t="shared" si="48"/>
        <v>0</v>
      </c>
      <c r="AG161" s="17">
        <v>0</v>
      </c>
      <c r="AH161" s="17">
        <v>0</v>
      </c>
      <c r="AI161" s="15">
        <f t="shared" si="49"/>
        <v>0</v>
      </c>
      <c r="AJ161" s="17"/>
    </row>
    <row r="162" spans="1:36" hidden="1" x14ac:dyDescent="0.3">
      <c r="A162" s="15" t="s">
        <v>211</v>
      </c>
      <c r="B162" s="15">
        <v>100</v>
      </c>
      <c r="C162" s="15" t="s">
        <v>54</v>
      </c>
      <c r="D162" s="15" t="s">
        <v>55</v>
      </c>
      <c r="E162" s="15">
        <f>'26 june'!T162</f>
        <v>106</v>
      </c>
      <c r="F162" s="15">
        <f>'26 june'!U162</f>
        <v>165</v>
      </c>
      <c r="G162" s="15">
        <f>'26 june'!V162</f>
        <v>84</v>
      </c>
      <c r="H162" s="15">
        <f t="shared" si="40"/>
        <v>355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5">
        <f t="shared" si="41"/>
        <v>355</v>
      </c>
      <c r="T162" s="15">
        <f t="shared" si="42"/>
        <v>106</v>
      </c>
      <c r="U162" s="15">
        <f t="shared" si="43"/>
        <v>165</v>
      </c>
      <c r="V162" s="15">
        <f t="shared" si="44"/>
        <v>84</v>
      </c>
      <c r="W162" s="18" t="str">
        <f t="shared" si="45"/>
        <v/>
      </c>
      <c r="X162" s="17">
        <v>0</v>
      </c>
      <c r="Y162" s="17">
        <v>0</v>
      </c>
      <c r="Z162" s="15">
        <f t="shared" si="46"/>
        <v>0</v>
      </c>
      <c r="AA162" s="17">
        <v>0</v>
      </c>
      <c r="AB162" s="17">
        <v>0</v>
      </c>
      <c r="AC162" s="15">
        <f t="shared" si="47"/>
        <v>0</v>
      </c>
      <c r="AD162" s="17">
        <v>0</v>
      </c>
      <c r="AE162" s="17">
        <v>0</v>
      </c>
      <c r="AF162" s="15">
        <f t="shared" si="48"/>
        <v>0</v>
      </c>
      <c r="AG162" s="17">
        <v>0</v>
      </c>
      <c r="AH162" s="17">
        <v>0</v>
      </c>
      <c r="AI162" s="15">
        <f t="shared" si="49"/>
        <v>0</v>
      </c>
      <c r="AJ162" s="17"/>
    </row>
    <row r="163" spans="1:36" hidden="1" x14ac:dyDescent="0.3">
      <c r="A163" s="15" t="s">
        <v>212</v>
      </c>
      <c r="B163" s="15">
        <v>100</v>
      </c>
      <c r="C163" s="15" t="s">
        <v>54</v>
      </c>
      <c r="D163" s="15" t="s">
        <v>55</v>
      </c>
      <c r="E163" s="15">
        <f>'26 june'!T163</f>
        <v>19</v>
      </c>
      <c r="F163" s="15">
        <f>'26 june'!U163</f>
        <v>6</v>
      </c>
      <c r="G163" s="15">
        <f>'26 june'!V163</f>
        <v>0</v>
      </c>
      <c r="H163" s="15">
        <f t="shared" ref="H163:H194" si="50">E163+F163+G163</f>
        <v>25</v>
      </c>
      <c r="I163" s="17">
        <v>0</v>
      </c>
      <c r="J163" s="17">
        <v>0</v>
      </c>
      <c r="K163" s="17">
        <v>5</v>
      </c>
      <c r="L163" s="17">
        <v>5</v>
      </c>
      <c r="M163" s="17">
        <v>0</v>
      </c>
      <c r="N163" s="17">
        <v>0</v>
      </c>
      <c r="O163" s="17">
        <v>0</v>
      </c>
      <c r="P163" s="17">
        <v>0</v>
      </c>
      <c r="Q163" s="17">
        <v>5</v>
      </c>
      <c r="R163" s="17">
        <v>0</v>
      </c>
      <c r="S163" s="15">
        <f t="shared" ref="S163:S194" si="51">H163+O163+P163+Q163+R163-(I163+J163+K163+L163+M163+N163)</f>
        <v>20</v>
      </c>
      <c r="T163" s="15">
        <f t="shared" ref="T163:T199" si="52">E163+O163-I163-L163</f>
        <v>14</v>
      </c>
      <c r="U163" s="15">
        <f t="shared" ref="U163:U199" si="53">F163+P163-J163-M163</f>
        <v>6</v>
      </c>
      <c r="V163" s="15">
        <f t="shared" ref="V163:V199" si="54">G163+Q163-K163-N163</f>
        <v>0</v>
      </c>
      <c r="W163" s="18" t="str">
        <f t="shared" ref="W163:W194" si="55">IF(MIN(T163,U163,V163)&lt;0,"NEGATIVE STOCK - CHECK ENTRIES","")</f>
        <v/>
      </c>
      <c r="X163" s="17">
        <v>0</v>
      </c>
      <c r="Y163" s="17">
        <v>0</v>
      </c>
      <c r="Z163" s="15">
        <f t="shared" ref="Z163:Z194" si="56">X163-Y163</f>
        <v>0</v>
      </c>
      <c r="AA163" s="17">
        <v>0</v>
      </c>
      <c r="AB163" s="17">
        <v>0</v>
      </c>
      <c r="AC163" s="15">
        <f t="shared" ref="AC163:AC194" si="57">AA163-AB163</f>
        <v>0</v>
      </c>
      <c r="AD163" s="17">
        <v>0</v>
      </c>
      <c r="AE163" s="17">
        <v>0</v>
      </c>
      <c r="AF163" s="15">
        <f t="shared" ref="AF163:AF194" si="58">AD163-AE163</f>
        <v>0</v>
      </c>
      <c r="AG163" s="17">
        <v>0</v>
      </c>
      <c r="AH163" s="17">
        <v>0</v>
      </c>
      <c r="AI163" s="15">
        <f t="shared" ref="AI163:AI194" si="59">AG163-AH163</f>
        <v>0</v>
      </c>
      <c r="AJ163" s="17"/>
    </row>
    <row r="164" spans="1:36" hidden="1" x14ac:dyDescent="0.3">
      <c r="A164" s="15" t="s">
        <v>213</v>
      </c>
      <c r="B164" s="15">
        <v>100</v>
      </c>
      <c r="C164" s="15" t="s">
        <v>54</v>
      </c>
      <c r="D164" s="15" t="s">
        <v>55</v>
      </c>
      <c r="E164" s="15">
        <f>'26 june'!T164</f>
        <v>814</v>
      </c>
      <c r="F164" s="15">
        <f>'26 june'!U164</f>
        <v>0</v>
      </c>
      <c r="G164" s="15">
        <f>'26 june'!V164</f>
        <v>38</v>
      </c>
      <c r="H164" s="15">
        <f t="shared" si="50"/>
        <v>852</v>
      </c>
      <c r="I164" s="17">
        <v>100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5">
        <f t="shared" si="51"/>
        <v>752</v>
      </c>
      <c r="T164" s="15">
        <f t="shared" si="52"/>
        <v>714</v>
      </c>
      <c r="U164" s="15">
        <f t="shared" si="53"/>
        <v>0</v>
      </c>
      <c r="V164" s="15">
        <f t="shared" si="54"/>
        <v>38</v>
      </c>
      <c r="W164" s="18" t="str">
        <f t="shared" si="55"/>
        <v/>
      </c>
      <c r="X164" s="17">
        <v>0</v>
      </c>
      <c r="Y164" s="17">
        <v>0</v>
      </c>
      <c r="Z164" s="15">
        <f t="shared" si="56"/>
        <v>0</v>
      </c>
      <c r="AA164" s="17">
        <v>0</v>
      </c>
      <c r="AB164" s="17">
        <v>0</v>
      </c>
      <c r="AC164" s="15">
        <f t="shared" si="57"/>
        <v>0</v>
      </c>
      <c r="AD164" s="17">
        <v>0</v>
      </c>
      <c r="AE164" s="17">
        <v>0</v>
      </c>
      <c r="AF164" s="15">
        <f t="shared" si="58"/>
        <v>0</v>
      </c>
      <c r="AG164" s="17">
        <v>0</v>
      </c>
      <c r="AH164" s="17">
        <v>0</v>
      </c>
      <c r="AI164" s="15">
        <f t="shared" si="59"/>
        <v>0</v>
      </c>
      <c r="AJ164" s="17"/>
    </row>
    <row r="165" spans="1:36" hidden="1" x14ac:dyDescent="0.3">
      <c r="A165" s="15" t="s">
        <v>213</v>
      </c>
      <c r="B165" s="15">
        <v>1000</v>
      </c>
      <c r="C165" s="15" t="s">
        <v>54</v>
      </c>
      <c r="D165" s="15" t="s">
        <v>55</v>
      </c>
      <c r="E165" s="15">
        <f>'26 june'!T165</f>
        <v>480</v>
      </c>
      <c r="F165" s="15">
        <f>'26 june'!U165</f>
        <v>141</v>
      </c>
      <c r="G165" s="15">
        <f>'26 june'!V165</f>
        <v>7</v>
      </c>
      <c r="H165" s="15">
        <f t="shared" si="50"/>
        <v>628</v>
      </c>
      <c r="I165" s="17">
        <v>0</v>
      </c>
      <c r="J165" s="17">
        <v>0</v>
      </c>
      <c r="K165" s="17">
        <v>0</v>
      </c>
      <c r="L165" s="17">
        <v>0</v>
      </c>
      <c r="M165" s="17">
        <v>10</v>
      </c>
      <c r="N165" s="17">
        <v>0</v>
      </c>
      <c r="O165" s="17">
        <v>0</v>
      </c>
      <c r="P165" s="17">
        <v>0</v>
      </c>
      <c r="Q165" s="17">
        <v>10</v>
      </c>
      <c r="R165" s="17">
        <v>0</v>
      </c>
      <c r="S165" s="15">
        <f t="shared" si="51"/>
        <v>628</v>
      </c>
      <c r="T165" s="15">
        <f t="shared" si="52"/>
        <v>480</v>
      </c>
      <c r="U165" s="15">
        <f t="shared" si="53"/>
        <v>131</v>
      </c>
      <c r="V165" s="15">
        <f t="shared" si="54"/>
        <v>17</v>
      </c>
      <c r="W165" s="18" t="str">
        <f t="shared" si="55"/>
        <v/>
      </c>
      <c r="X165" s="17">
        <v>0</v>
      </c>
      <c r="Y165" s="17">
        <v>0</v>
      </c>
      <c r="Z165" s="15">
        <f t="shared" si="56"/>
        <v>0</v>
      </c>
      <c r="AA165" s="17">
        <v>0</v>
      </c>
      <c r="AB165" s="17">
        <v>0</v>
      </c>
      <c r="AC165" s="15">
        <f t="shared" si="57"/>
        <v>0</v>
      </c>
      <c r="AD165" s="17">
        <v>0</v>
      </c>
      <c r="AE165" s="17">
        <v>0</v>
      </c>
      <c r="AF165" s="15">
        <f t="shared" si="58"/>
        <v>0</v>
      </c>
      <c r="AG165" s="17">
        <v>0</v>
      </c>
      <c r="AH165" s="17">
        <v>0</v>
      </c>
      <c r="AI165" s="15">
        <f t="shared" si="59"/>
        <v>0</v>
      </c>
      <c r="AJ165" s="17"/>
    </row>
    <row r="166" spans="1:36" hidden="1" x14ac:dyDescent="0.3">
      <c r="A166" s="15" t="s">
        <v>213</v>
      </c>
      <c r="B166" s="15">
        <v>500</v>
      </c>
      <c r="C166" s="15" t="s">
        <v>54</v>
      </c>
      <c r="D166" s="15" t="s">
        <v>55</v>
      </c>
      <c r="E166" s="15">
        <f>'26 june'!T166</f>
        <v>110</v>
      </c>
      <c r="F166" s="15">
        <f>'26 june'!U166</f>
        <v>0</v>
      </c>
      <c r="G166" s="15">
        <f>'26 june'!V166</f>
        <v>0</v>
      </c>
      <c r="H166" s="15">
        <f t="shared" si="50"/>
        <v>110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5">
        <f t="shared" si="51"/>
        <v>110</v>
      </c>
      <c r="T166" s="15">
        <f t="shared" si="52"/>
        <v>110</v>
      </c>
      <c r="U166" s="15">
        <f t="shared" si="53"/>
        <v>0</v>
      </c>
      <c r="V166" s="15">
        <f t="shared" si="54"/>
        <v>0</v>
      </c>
      <c r="W166" s="18" t="str">
        <f t="shared" si="55"/>
        <v/>
      </c>
      <c r="X166" s="17">
        <v>0</v>
      </c>
      <c r="Y166" s="17">
        <v>0</v>
      </c>
      <c r="Z166" s="15">
        <f t="shared" si="56"/>
        <v>0</v>
      </c>
      <c r="AA166" s="17">
        <v>0</v>
      </c>
      <c r="AB166" s="17">
        <v>0</v>
      </c>
      <c r="AC166" s="15">
        <f t="shared" si="57"/>
        <v>0</v>
      </c>
      <c r="AD166" s="17">
        <v>0</v>
      </c>
      <c r="AE166" s="17">
        <v>0</v>
      </c>
      <c r="AF166" s="15">
        <f t="shared" si="58"/>
        <v>0</v>
      </c>
      <c r="AG166" s="17">
        <v>0</v>
      </c>
      <c r="AH166" s="17">
        <v>0</v>
      </c>
      <c r="AI166" s="15">
        <f t="shared" si="59"/>
        <v>0</v>
      </c>
      <c r="AJ166" s="17"/>
    </row>
    <row r="167" spans="1:36" hidden="1" x14ac:dyDescent="0.3">
      <c r="A167" s="15" t="s">
        <v>214</v>
      </c>
      <c r="B167" s="15">
        <v>1000</v>
      </c>
      <c r="C167" s="15" t="s">
        <v>54</v>
      </c>
      <c r="D167" s="15" t="s">
        <v>55</v>
      </c>
      <c r="E167" s="15">
        <f>'26 june'!T167</f>
        <v>5</v>
      </c>
      <c r="F167" s="15">
        <f>'26 june'!U167</f>
        <v>0</v>
      </c>
      <c r="G167" s="15">
        <f>'26 june'!V167</f>
        <v>22</v>
      </c>
      <c r="H167" s="15">
        <f t="shared" si="50"/>
        <v>27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5">
        <f t="shared" si="51"/>
        <v>27</v>
      </c>
      <c r="T167" s="15">
        <f t="shared" si="52"/>
        <v>5</v>
      </c>
      <c r="U167" s="15">
        <f t="shared" si="53"/>
        <v>0</v>
      </c>
      <c r="V167" s="15">
        <f t="shared" si="54"/>
        <v>22</v>
      </c>
      <c r="W167" s="18" t="str">
        <f t="shared" si="55"/>
        <v/>
      </c>
      <c r="X167" s="17">
        <v>0</v>
      </c>
      <c r="Y167" s="17">
        <v>0</v>
      </c>
      <c r="Z167" s="15">
        <f t="shared" si="56"/>
        <v>0</v>
      </c>
      <c r="AA167" s="17">
        <v>0</v>
      </c>
      <c r="AB167" s="17">
        <v>0</v>
      </c>
      <c r="AC167" s="15">
        <f t="shared" si="57"/>
        <v>0</v>
      </c>
      <c r="AD167" s="17">
        <v>0</v>
      </c>
      <c r="AE167" s="17">
        <v>0</v>
      </c>
      <c r="AF167" s="15">
        <f t="shared" si="58"/>
        <v>0</v>
      </c>
      <c r="AG167" s="17">
        <v>0</v>
      </c>
      <c r="AH167" s="17">
        <v>0</v>
      </c>
      <c r="AI167" s="15">
        <f t="shared" si="59"/>
        <v>0</v>
      </c>
      <c r="AJ167" s="17"/>
    </row>
    <row r="168" spans="1:36" hidden="1" x14ac:dyDescent="0.3">
      <c r="A168" s="15" t="s">
        <v>215</v>
      </c>
      <c r="B168" s="15">
        <v>100</v>
      </c>
      <c r="C168" s="15" t="s">
        <v>54</v>
      </c>
      <c r="D168" s="15" t="s">
        <v>55</v>
      </c>
      <c r="E168" s="15">
        <f>'26 june'!T168</f>
        <v>353</v>
      </c>
      <c r="F168" s="15">
        <f>'26 june'!U168</f>
        <v>642</v>
      </c>
      <c r="G168" s="15">
        <f>'26 june'!V168</f>
        <v>215</v>
      </c>
      <c r="H168" s="15">
        <f t="shared" si="50"/>
        <v>1210</v>
      </c>
      <c r="I168" s="17">
        <v>0</v>
      </c>
      <c r="J168" s="17">
        <v>0</v>
      </c>
      <c r="K168" s="17">
        <v>5</v>
      </c>
      <c r="L168" s="17">
        <v>0</v>
      </c>
      <c r="M168" s="17">
        <v>0</v>
      </c>
      <c r="N168" s="17">
        <v>200</v>
      </c>
      <c r="O168" s="17">
        <v>0</v>
      </c>
      <c r="P168" s="17">
        <v>0</v>
      </c>
      <c r="Q168" s="17">
        <v>0</v>
      </c>
      <c r="R168" s="17">
        <v>0</v>
      </c>
      <c r="S168" s="15">
        <f t="shared" si="51"/>
        <v>1005</v>
      </c>
      <c r="T168" s="15">
        <f t="shared" si="52"/>
        <v>353</v>
      </c>
      <c r="U168" s="15">
        <f t="shared" si="53"/>
        <v>642</v>
      </c>
      <c r="V168" s="15">
        <f t="shared" si="54"/>
        <v>10</v>
      </c>
      <c r="W168" s="18" t="str">
        <f t="shared" si="55"/>
        <v/>
      </c>
      <c r="X168" s="17">
        <v>0</v>
      </c>
      <c r="Y168" s="17">
        <v>0</v>
      </c>
      <c r="Z168" s="15">
        <f t="shared" si="56"/>
        <v>0</v>
      </c>
      <c r="AA168" s="17">
        <v>0</v>
      </c>
      <c r="AB168" s="17">
        <v>0</v>
      </c>
      <c r="AC168" s="15">
        <f t="shared" si="57"/>
        <v>0</v>
      </c>
      <c r="AD168" s="17">
        <v>0</v>
      </c>
      <c r="AE168" s="17">
        <v>0</v>
      </c>
      <c r="AF168" s="15">
        <f t="shared" si="58"/>
        <v>0</v>
      </c>
      <c r="AG168" s="17">
        <v>0</v>
      </c>
      <c r="AH168" s="17">
        <v>0</v>
      </c>
      <c r="AI168" s="15">
        <f t="shared" si="59"/>
        <v>0</v>
      </c>
      <c r="AJ168" s="17"/>
    </row>
    <row r="169" spans="1:36" hidden="1" x14ac:dyDescent="0.3">
      <c r="A169" s="15" t="s">
        <v>216</v>
      </c>
      <c r="B169" s="15">
        <v>100</v>
      </c>
      <c r="C169" s="15" t="s">
        <v>54</v>
      </c>
      <c r="D169" s="15" t="s">
        <v>55</v>
      </c>
      <c r="E169" s="15">
        <f>'26 june'!T169</f>
        <v>0</v>
      </c>
      <c r="F169" s="15">
        <f>'26 june'!U169</f>
        <v>9</v>
      </c>
      <c r="G169" s="15">
        <f>'26 june'!V169</f>
        <v>0</v>
      </c>
      <c r="H169" s="15">
        <f t="shared" si="50"/>
        <v>9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5">
        <f t="shared" si="51"/>
        <v>9</v>
      </c>
      <c r="T169" s="15">
        <f t="shared" si="52"/>
        <v>0</v>
      </c>
      <c r="U169" s="15">
        <f t="shared" si="53"/>
        <v>9</v>
      </c>
      <c r="V169" s="15">
        <f t="shared" si="54"/>
        <v>0</v>
      </c>
      <c r="W169" s="18" t="str">
        <f t="shared" si="55"/>
        <v/>
      </c>
      <c r="X169" s="17">
        <v>0</v>
      </c>
      <c r="Y169" s="17">
        <v>0</v>
      </c>
      <c r="Z169" s="15">
        <f t="shared" si="56"/>
        <v>0</v>
      </c>
      <c r="AA169" s="17">
        <v>0</v>
      </c>
      <c r="AB169" s="17">
        <v>0</v>
      </c>
      <c r="AC169" s="15">
        <f t="shared" si="57"/>
        <v>0</v>
      </c>
      <c r="AD169" s="17">
        <v>0</v>
      </c>
      <c r="AE169" s="17">
        <v>0</v>
      </c>
      <c r="AF169" s="15">
        <f t="shared" si="58"/>
        <v>0</v>
      </c>
      <c r="AG169" s="17">
        <v>0</v>
      </c>
      <c r="AH169" s="17">
        <v>0</v>
      </c>
      <c r="AI169" s="15">
        <f t="shared" si="59"/>
        <v>0</v>
      </c>
      <c r="AJ169" s="17" t="s">
        <v>286</v>
      </c>
    </row>
    <row r="170" spans="1:36" hidden="1" x14ac:dyDescent="0.3">
      <c r="A170" s="15" t="s">
        <v>217</v>
      </c>
      <c r="B170" s="15">
        <v>100</v>
      </c>
      <c r="C170" s="15" t="s">
        <v>54</v>
      </c>
      <c r="D170" s="15" t="s">
        <v>55</v>
      </c>
      <c r="E170" s="15">
        <f>'26 june'!T170</f>
        <v>41</v>
      </c>
      <c r="F170" s="15">
        <f>'26 june'!U170</f>
        <v>5</v>
      </c>
      <c r="G170" s="15">
        <f>'26 june'!V170</f>
        <v>1</v>
      </c>
      <c r="H170" s="15">
        <f t="shared" si="50"/>
        <v>47</v>
      </c>
      <c r="I170" s="17">
        <v>0</v>
      </c>
      <c r="J170" s="17">
        <v>0</v>
      </c>
      <c r="K170" s="17">
        <v>9</v>
      </c>
      <c r="L170" s="17">
        <v>9</v>
      </c>
      <c r="M170" s="17">
        <v>0</v>
      </c>
      <c r="N170" s="17">
        <v>0</v>
      </c>
      <c r="O170" s="17">
        <v>0</v>
      </c>
      <c r="P170" s="17">
        <v>0</v>
      </c>
      <c r="Q170" s="17">
        <v>9</v>
      </c>
      <c r="R170" s="17">
        <v>0</v>
      </c>
      <c r="S170" s="15">
        <f t="shared" si="51"/>
        <v>38</v>
      </c>
      <c r="T170" s="15">
        <f t="shared" si="52"/>
        <v>32</v>
      </c>
      <c r="U170" s="15">
        <f t="shared" si="53"/>
        <v>5</v>
      </c>
      <c r="V170" s="15">
        <f t="shared" si="54"/>
        <v>1</v>
      </c>
      <c r="W170" s="18" t="str">
        <f t="shared" si="55"/>
        <v/>
      </c>
      <c r="X170" s="17">
        <v>0</v>
      </c>
      <c r="Y170" s="17">
        <v>0</v>
      </c>
      <c r="Z170" s="15">
        <f t="shared" si="56"/>
        <v>0</v>
      </c>
      <c r="AA170" s="17">
        <v>0</v>
      </c>
      <c r="AB170" s="17">
        <v>0</v>
      </c>
      <c r="AC170" s="15">
        <f t="shared" si="57"/>
        <v>0</v>
      </c>
      <c r="AD170" s="17">
        <v>0</v>
      </c>
      <c r="AE170" s="17">
        <v>0</v>
      </c>
      <c r="AF170" s="15">
        <f t="shared" si="58"/>
        <v>0</v>
      </c>
      <c r="AG170" s="17">
        <v>0</v>
      </c>
      <c r="AH170" s="17">
        <v>0</v>
      </c>
      <c r="AI170" s="15">
        <f t="shared" si="59"/>
        <v>0</v>
      </c>
      <c r="AJ170" s="17"/>
    </row>
    <row r="171" spans="1:36" hidden="1" x14ac:dyDescent="0.3">
      <c r="A171" s="15" t="s">
        <v>218</v>
      </c>
      <c r="B171" s="15">
        <v>100</v>
      </c>
      <c r="C171" s="15" t="s">
        <v>54</v>
      </c>
      <c r="D171" s="15" t="s">
        <v>55</v>
      </c>
      <c r="E171" s="15">
        <f>'26 june'!T171</f>
        <v>318</v>
      </c>
      <c r="F171" s="15">
        <f>'26 june'!U171</f>
        <v>47</v>
      </c>
      <c r="G171" s="15">
        <f>'26 june'!V171</f>
        <v>42</v>
      </c>
      <c r="H171" s="15">
        <f t="shared" si="50"/>
        <v>407</v>
      </c>
      <c r="I171" s="17">
        <v>25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5">
        <f t="shared" si="51"/>
        <v>382</v>
      </c>
      <c r="T171" s="15">
        <f t="shared" si="52"/>
        <v>293</v>
      </c>
      <c r="U171" s="15">
        <f t="shared" si="53"/>
        <v>47</v>
      </c>
      <c r="V171" s="15">
        <f t="shared" si="54"/>
        <v>42</v>
      </c>
      <c r="W171" s="18" t="str">
        <f t="shared" si="55"/>
        <v/>
      </c>
      <c r="X171" s="17">
        <v>0</v>
      </c>
      <c r="Y171" s="17">
        <v>0</v>
      </c>
      <c r="Z171" s="15">
        <f t="shared" si="56"/>
        <v>0</v>
      </c>
      <c r="AA171" s="17">
        <v>0</v>
      </c>
      <c r="AB171" s="17">
        <v>0</v>
      </c>
      <c r="AC171" s="15">
        <f t="shared" si="57"/>
        <v>0</v>
      </c>
      <c r="AD171" s="17">
        <v>0</v>
      </c>
      <c r="AE171" s="17">
        <v>0</v>
      </c>
      <c r="AF171" s="15">
        <f t="shared" si="58"/>
        <v>0</v>
      </c>
      <c r="AG171" s="17">
        <v>0</v>
      </c>
      <c r="AH171" s="17">
        <v>0</v>
      </c>
      <c r="AI171" s="15">
        <f t="shared" si="59"/>
        <v>0</v>
      </c>
      <c r="AJ171" s="17"/>
    </row>
    <row r="172" spans="1:36" hidden="1" x14ac:dyDescent="0.3">
      <c r="A172" s="15" t="s">
        <v>219</v>
      </c>
      <c r="B172" s="15">
        <v>100</v>
      </c>
      <c r="C172" s="15" t="s">
        <v>54</v>
      </c>
      <c r="D172" s="15" t="s">
        <v>55</v>
      </c>
      <c r="E172" s="15">
        <f>'26 june'!T172</f>
        <v>37</v>
      </c>
      <c r="F172" s="15">
        <f>'26 june'!U172</f>
        <v>1</v>
      </c>
      <c r="G172" s="15">
        <f>'26 june'!V172</f>
        <v>0</v>
      </c>
      <c r="H172" s="15">
        <f t="shared" si="50"/>
        <v>38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5">
        <f t="shared" si="51"/>
        <v>38</v>
      </c>
      <c r="T172" s="15">
        <f t="shared" si="52"/>
        <v>37</v>
      </c>
      <c r="U172" s="15">
        <f t="shared" si="53"/>
        <v>1</v>
      </c>
      <c r="V172" s="15">
        <f t="shared" si="54"/>
        <v>0</v>
      </c>
      <c r="W172" s="18" t="str">
        <f t="shared" si="55"/>
        <v/>
      </c>
      <c r="X172" s="17">
        <v>0</v>
      </c>
      <c r="Y172" s="17">
        <v>0</v>
      </c>
      <c r="Z172" s="15">
        <f t="shared" si="56"/>
        <v>0</v>
      </c>
      <c r="AA172" s="17">
        <v>0</v>
      </c>
      <c r="AB172" s="17">
        <v>0</v>
      </c>
      <c r="AC172" s="15">
        <f t="shared" si="57"/>
        <v>0</v>
      </c>
      <c r="AD172" s="17">
        <v>0</v>
      </c>
      <c r="AE172" s="17">
        <v>0</v>
      </c>
      <c r="AF172" s="15">
        <f t="shared" si="58"/>
        <v>0</v>
      </c>
      <c r="AG172" s="17">
        <v>0</v>
      </c>
      <c r="AH172" s="17">
        <v>0</v>
      </c>
      <c r="AI172" s="15">
        <f t="shared" si="59"/>
        <v>0</v>
      </c>
      <c r="AJ172" s="17"/>
    </row>
    <row r="173" spans="1:36" x14ac:dyDescent="0.3">
      <c r="A173" s="15" t="s">
        <v>220</v>
      </c>
      <c r="B173" s="15">
        <v>1000</v>
      </c>
      <c r="C173" s="15" t="s">
        <v>54</v>
      </c>
      <c r="D173" s="15" t="s">
        <v>57</v>
      </c>
      <c r="E173" s="15">
        <v>0</v>
      </c>
      <c r="F173" s="15">
        <v>0</v>
      </c>
      <c r="G173" s="15">
        <v>0</v>
      </c>
      <c r="H173" s="15">
        <f t="shared" si="50"/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5">
        <f t="shared" si="51"/>
        <v>0</v>
      </c>
      <c r="T173" s="15">
        <f t="shared" si="52"/>
        <v>0</v>
      </c>
      <c r="U173" s="15">
        <f t="shared" si="53"/>
        <v>0</v>
      </c>
      <c r="V173" s="15">
        <f t="shared" si="54"/>
        <v>0</v>
      </c>
      <c r="W173" s="18" t="str">
        <f t="shared" si="55"/>
        <v/>
      </c>
      <c r="X173" s="17">
        <v>0</v>
      </c>
      <c r="Y173" s="17">
        <v>0</v>
      </c>
      <c r="Z173" s="15">
        <f t="shared" si="56"/>
        <v>0</v>
      </c>
      <c r="AA173" s="17">
        <v>0</v>
      </c>
      <c r="AB173" s="17">
        <v>0</v>
      </c>
      <c r="AC173" s="15">
        <f t="shared" si="57"/>
        <v>0</v>
      </c>
      <c r="AD173" s="17">
        <v>0</v>
      </c>
      <c r="AE173" s="17">
        <v>0</v>
      </c>
      <c r="AF173" s="15">
        <f t="shared" si="58"/>
        <v>0</v>
      </c>
      <c r="AG173" s="17">
        <v>0</v>
      </c>
      <c r="AH173" s="17">
        <v>0</v>
      </c>
      <c r="AI173" s="15">
        <f t="shared" si="59"/>
        <v>0</v>
      </c>
      <c r="AJ173" s="17"/>
    </row>
    <row r="174" spans="1:36" x14ac:dyDescent="0.3">
      <c r="A174" s="15" t="s">
        <v>221</v>
      </c>
      <c r="B174" s="15">
        <v>1000</v>
      </c>
      <c r="C174" s="15" t="s">
        <v>54</v>
      </c>
      <c r="D174" s="15" t="s">
        <v>68</v>
      </c>
      <c r="E174" s="15">
        <v>0</v>
      </c>
      <c r="F174" s="15">
        <v>0</v>
      </c>
      <c r="G174" s="15">
        <v>0</v>
      </c>
      <c r="H174" s="15">
        <f t="shared" si="50"/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5">
        <f t="shared" si="51"/>
        <v>0</v>
      </c>
      <c r="T174" s="15">
        <f t="shared" si="52"/>
        <v>0</v>
      </c>
      <c r="U174" s="15">
        <f t="shared" si="53"/>
        <v>0</v>
      </c>
      <c r="V174" s="15">
        <f t="shared" si="54"/>
        <v>0</v>
      </c>
      <c r="W174" s="18" t="str">
        <f t="shared" si="55"/>
        <v/>
      </c>
      <c r="X174" s="17">
        <v>0</v>
      </c>
      <c r="Y174" s="17">
        <v>0</v>
      </c>
      <c r="Z174" s="15">
        <f t="shared" si="56"/>
        <v>0</v>
      </c>
      <c r="AA174" s="17">
        <v>0</v>
      </c>
      <c r="AB174" s="17">
        <v>0</v>
      </c>
      <c r="AC174" s="15">
        <f t="shared" si="57"/>
        <v>0</v>
      </c>
      <c r="AD174" s="17">
        <v>0</v>
      </c>
      <c r="AE174" s="17">
        <v>0</v>
      </c>
      <c r="AF174" s="15">
        <f t="shared" si="58"/>
        <v>0</v>
      </c>
      <c r="AG174" s="17">
        <v>0</v>
      </c>
      <c r="AH174" s="17">
        <v>0</v>
      </c>
      <c r="AI174" s="15">
        <f t="shared" si="59"/>
        <v>0</v>
      </c>
      <c r="AJ174" s="17"/>
    </row>
    <row r="175" spans="1:36" x14ac:dyDescent="0.3">
      <c r="A175" s="15" t="s">
        <v>222</v>
      </c>
      <c r="B175" s="15">
        <v>1000</v>
      </c>
      <c r="C175" s="15" t="s">
        <v>54</v>
      </c>
      <c r="D175" s="15" t="s">
        <v>68</v>
      </c>
      <c r="E175" s="15">
        <v>0</v>
      </c>
      <c r="F175" s="15">
        <v>0</v>
      </c>
      <c r="G175" s="15">
        <v>0</v>
      </c>
      <c r="H175" s="15">
        <f t="shared" si="50"/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5">
        <f t="shared" si="51"/>
        <v>0</v>
      </c>
      <c r="T175" s="15">
        <f t="shared" si="52"/>
        <v>0</v>
      </c>
      <c r="U175" s="15">
        <f t="shared" si="53"/>
        <v>0</v>
      </c>
      <c r="V175" s="15">
        <f t="shared" si="54"/>
        <v>0</v>
      </c>
      <c r="W175" s="18" t="str">
        <f t="shared" si="55"/>
        <v/>
      </c>
      <c r="X175" s="17">
        <v>0</v>
      </c>
      <c r="Y175" s="17">
        <v>0</v>
      </c>
      <c r="Z175" s="15">
        <f t="shared" si="56"/>
        <v>0</v>
      </c>
      <c r="AA175" s="17">
        <v>0</v>
      </c>
      <c r="AB175" s="17">
        <v>0</v>
      </c>
      <c r="AC175" s="15">
        <f t="shared" si="57"/>
        <v>0</v>
      </c>
      <c r="AD175" s="17">
        <v>0</v>
      </c>
      <c r="AE175" s="17">
        <v>0</v>
      </c>
      <c r="AF175" s="15">
        <f t="shared" si="58"/>
        <v>0</v>
      </c>
      <c r="AG175" s="17">
        <v>0</v>
      </c>
      <c r="AH175" s="17">
        <v>0</v>
      </c>
      <c r="AI175" s="15">
        <f t="shared" si="59"/>
        <v>0</v>
      </c>
      <c r="AJ175" s="17"/>
    </row>
    <row r="176" spans="1:36" x14ac:dyDescent="0.3">
      <c r="A176" s="15" t="s">
        <v>223</v>
      </c>
      <c r="B176" s="15">
        <v>100</v>
      </c>
      <c r="C176" s="15" t="s">
        <v>54</v>
      </c>
      <c r="D176" s="15" t="s">
        <v>57</v>
      </c>
      <c r="E176" s="15">
        <v>0</v>
      </c>
      <c r="F176" s="15">
        <v>0</v>
      </c>
      <c r="G176" s="15">
        <v>0</v>
      </c>
      <c r="H176" s="15">
        <f t="shared" si="50"/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5">
        <f t="shared" si="51"/>
        <v>0</v>
      </c>
      <c r="T176" s="15">
        <f t="shared" si="52"/>
        <v>0</v>
      </c>
      <c r="U176" s="15">
        <f t="shared" si="53"/>
        <v>0</v>
      </c>
      <c r="V176" s="15">
        <f t="shared" si="54"/>
        <v>0</v>
      </c>
      <c r="W176" s="18" t="str">
        <f t="shared" si="55"/>
        <v/>
      </c>
      <c r="X176" s="17">
        <v>0</v>
      </c>
      <c r="Y176" s="17">
        <v>0</v>
      </c>
      <c r="Z176" s="15">
        <f t="shared" si="56"/>
        <v>0</v>
      </c>
      <c r="AA176" s="17">
        <v>0</v>
      </c>
      <c r="AB176" s="17">
        <v>0</v>
      </c>
      <c r="AC176" s="15">
        <f t="shared" si="57"/>
        <v>0</v>
      </c>
      <c r="AD176" s="17">
        <v>0</v>
      </c>
      <c r="AE176" s="17">
        <v>0</v>
      </c>
      <c r="AF176" s="15">
        <f t="shared" si="58"/>
        <v>0</v>
      </c>
      <c r="AG176" s="17">
        <v>0</v>
      </c>
      <c r="AH176" s="17">
        <v>0</v>
      </c>
      <c r="AI176" s="15">
        <f t="shared" si="59"/>
        <v>0</v>
      </c>
      <c r="AJ176" s="17"/>
    </row>
    <row r="177" spans="1:36" hidden="1" x14ac:dyDescent="0.3">
      <c r="A177" s="15" t="s">
        <v>224</v>
      </c>
      <c r="B177" s="15" t="s">
        <v>225</v>
      </c>
      <c r="C177" s="15" t="s">
        <v>54</v>
      </c>
      <c r="D177" s="15" t="s">
        <v>55</v>
      </c>
      <c r="E177" s="15">
        <f>'26 june'!T177</f>
        <v>4</v>
      </c>
      <c r="F177" s="15">
        <f>'26 june'!U177</f>
        <v>0</v>
      </c>
      <c r="G177" s="15">
        <f>'26 june'!V177</f>
        <v>0</v>
      </c>
      <c r="H177" s="15">
        <f t="shared" si="50"/>
        <v>4</v>
      </c>
      <c r="I177" s="17">
        <v>0</v>
      </c>
      <c r="J177" s="17">
        <v>0</v>
      </c>
      <c r="K177" s="17">
        <v>0</v>
      </c>
      <c r="L177" s="17">
        <v>4</v>
      </c>
      <c r="M177" s="17">
        <v>0</v>
      </c>
      <c r="N177" s="17">
        <v>0</v>
      </c>
      <c r="O177" s="17">
        <v>0</v>
      </c>
      <c r="P177" s="17">
        <v>4</v>
      </c>
      <c r="Q177" s="17">
        <v>0</v>
      </c>
      <c r="R177" s="17">
        <v>0</v>
      </c>
      <c r="S177" s="15">
        <f t="shared" si="51"/>
        <v>4</v>
      </c>
      <c r="T177" s="15">
        <f t="shared" si="52"/>
        <v>0</v>
      </c>
      <c r="U177" s="15">
        <f t="shared" si="53"/>
        <v>4</v>
      </c>
      <c r="V177" s="15">
        <f t="shared" si="54"/>
        <v>0</v>
      </c>
      <c r="W177" s="18" t="str">
        <f t="shared" si="55"/>
        <v/>
      </c>
      <c r="X177" s="17">
        <v>0</v>
      </c>
      <c r="Y177" s="17">
        <v>0</v>
      </c>
      <c r="Z177" s="15">
        <f t="shared" si="56"/>
        <v>0</v>
      </c>
      <c r="AA177" s="17">
        <v>0</v>
      </c>
      <c r="AB177" s="17">
        <v>0</v>
      </c>
      <c r="AC177" s="15">
        <f t="shared" si="57"/>
        <v>0</v>
      </c>
      <c r="AD177" s="17">
        <v>0</v>
      </c>
      <c r="AE177" s="17">
        <v>0</v>
      </c>
      <c r="AF177" s="15">
        <f t="shared" si="58"/>
        <v>0</v>
      </c>
      <c r="AG177" s="17">
        <v>0</v>
      </c>
      <c r="AH177" s="17">
        <v>0</v>
      </c>
      <c r="AI177" s="15">
        <f t="shared" si="59"/>
        <v>0</v>
      </c>
      <c r="AJ177" s="17"/>
    </row>
    <row r="178" spans="1:36" x14ac:dyDescent="0.3">
      <c r="A178" s="15" t="s">
        <v>226</v>
      </c>
      <c r="B178" s="15">
        <v>100</v>
      </c>
      <c r="C178" s="15" t="s">
        <v>54</v>
      </c>
      <c r="D178" s="15" t="s">
        <v>68</v>
      </c>
      <c r="E178" s="15">
        <v>0</v>
      </c>
      <c r="F178" s="15">
        <v>0</v>
      </c>
      <c r="G178" s="15">
        <v>0</v>
      </c>
      <c r="H178" s="15">
        <f t="shared" si="50"/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5">
        <f t="shared" si="51"/>
        <v>0</v>
      </c>
      <c r="T178" s="15">
        <f t="shared" si="52"/>
        <v>0</v>
      </c>
      <c r="U178" s="15">
        <f t="shared" si="53"/>
        <v>0</v>
      </c>
      <c r="V178" s="15">
        <f t="shared" si="54"/>
        <v>0</v>
      </c>
      <c r="W178" s="18" t="str">
        <f t="shared" si="55"/>
        <v/>
      </c>
      <c r="X178" s="17">
        <v>0</v>
      </c>
      <c r="Y178" s="17">
        <v>0</v>
      </c>
      <c r="Z178" s="15">
        <f t="shared" si="56"/>
        <v>0</v>
      </c>
      <c r="AA178" s="17">
        <v>0</v>
      </c>
      <c r="AB178" s="17">
        <v>0</v>
      </c>
      <c r="AC178" s="15">
        <f t="shared" si="57"/>
        <v>0</v>
      </c>
      <c r="AD178" s="17">
        <v>0</v>
      </c>
      <c r="AE178" s="17">
        <v>0</v>
      </c>
      <c r="AF178" s="15">
        <f t="shared" si="58"/>
        <v>0</v>
      </c>
      <c r="AG178" s="17">
        <v>0</v>
      </c>
      <c r="AH178" s="17">
        <v>0</v>
      </c>
      <c r="AI178" s="15">
        <f t="shared" si="59"/>
        <v>0</v>
      </c>
      <c r="AJ178" s="17"/>
    </row>
    <row r="179" spans="1:36" hidden="1" x14ac:dyDescent="0.3">
      <c r="A179" s="15" t="s">
        <v>227</v>
      </c>
      <c r="B179" s="15">
        <v>100</v>
      </c>
      <c r="C179" s="15" t="s">
        <v>54</v>
      </c>
      <c r="D179" s="15" t="s">
        <v>55</v>
      </c>
      <c r="E179" s="15">
        <f>'26 june'!T179</f>
        <v>81</v>
      </c>
      <c r="F179" s="15">
        <f>'26 june'!U179</f>
        <v>0</v>
      </c>
      <c r="G179" s="15">
        <f>'26 june'!V179</f>
        <v>0</v>
      </c>
      <c r="H179" s="15">
        <f t="shared" si="50"/>
        <v>81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5">
        <f t="shared" si="51"/>
        <v>81</v>
      </c>
      <c r="T179" s="15">
        <f t="shared" si="52"/>
        <v>81</v>
      </c>
      <c r="U179" s="15">
        <f t="shared" si="53"/>
        <v>0</v>
      </c>
      <c r="V179" s="15">
        <f t="shared" si="54"/>
        <v>0</v>
      </c>
      <c r="W179" s="18" t="str">
        <f t="shared" si="55"/>
        <v/>
      </c>
      <c r="X179" s="17">
        <v>0</v>
      </c>
      <c r="Y179" s="17">
        <v>0</v>
      </c>
      <c r="Z179" s="15">
        <f t="shared" si="56"/>
        <v>0</v>
      </c>
      <c r="AA179" s="17">
        <v>0</v>
      </c>
      <c r="AB179" s="17">
        <v>0</v>
      </c>
      <c r="AC179" s="15">
        <f t="shared" si="57"/>
        <v>0</v>
      </c>
      <c r="AD179" s="17">
        <v>0</v>
      </c>
      <c r="AE179" s="17">
        <v>0</v>
      </c>
      <c r="AF179" s="15">
        <f t="shared" si="58"/>
        <v>0</v>
      </c>
      <c r="AG179" s="17">
        <v>0</v>
      </c>
      <c r="AH179" s="17">
        <v>0</v>
      </c>
      <c r="AI179" s="15">
        <f t="shared" si="59"/>
        <v>0</v>
      </c>
      <c r="AJ179" s="17"/>
    </row>
    <row r="180" spans="1:36" x14ac:dyDescent="0.3">
      <c r="A180" s="15" t="s">
        <v>228</v>
      </c>
      <c r="B180" s="15">
        <v>1000</v>
      </c>
      <c r="C180" s="15" t="s">
        <v>54</v>
      </c>
      <c r="D180" s="15" t="s">
        <v>57</v>
      </c>
      <c r="E180" s="15">
        <v>0</v>
      </c>
      <c r="F180" s="15">
        <v>0</v>
      </c>
      <c r="G180" s="15">
        <v>0</v>
      </c>
      <c r="H180" s="15">
        <f t="shared" si="50"/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5">
        <f t="shared" si="51"/>
        <v>0</v>
      </c>
      <c r="T180" s="15">
        <f t="shared" si="52"/>
        <v>0</v>
      </c>
      <c r="U180" s="15">
        <f t="shared" si="53"/>
        <v>0</v>
      </c>
      <c r="V180" s="15">
        <f t="shared" si="54"/>
        <v>0</v>
      </c>
      <c r="W180" s="18" t="str">
        <f t="shared" si="55"/>
        <v/>
      </c>
      <c r="X180" s="17">
        <v>0</v>
      </c>
      <c r="Y180" s="17">
        <v>0</v>
      </c>
      <c r="Z180" s="15">
        <f t="shared" si="56"/>
        <v>0</v>
      </c>
      <c r="AA180" s="17">
        <v>0</v>
      </c>
      <c r="AB180" s="17">
        <v>0</v>
      </c>
      <c r="AC180" s="15">
        <f t="shared" si="57"/>
        <v>0</v>
      </c>
      <c r="AD180" s="17">
        <v>0</v>
      </c>
      <c r="AE180" s="17">
        <v>0</v>
      </c>
      <c r="AF180" s="15">
        <f t="shared" si="58"/>
        <v>0</v>
      </c>
      <c r="AG180" s="17">
        <v>0</v>
      </c>
      <c r="AH180" s="17">
        <v>0</v>
      </c>
      <c r="AI180" s="15">
        <f t="shared" si="59"/>
        <v>0</v>
      </c>
      <c r="AJ180" s="17"/>
    </row>
    <row r="181" spans="1:36" x14ac:dyDescent="0.3">
      <c r="A181" s="15" t="s">
        <v>229</v>
      </c>
      <c r="B181" s="15">
        <v>100</v>
      </c>
      <c r="C181" s="15" t="s">
        <v>54</v>
      </c>
      <c r="D181" s="15" t="s">
        <v>68</v>
      </c>
      <c r="E181" s="15">
        <v>0</v>
      </c>
      <c r="F181" s="15">
        <v>0</v>
      </c>
      <c r="G181" s="15">
        <v>0</v>
      </c>
      <c r="H181" s="15">
        <f t="shared" si="50"/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5">
        <f t="shared" si="51"/>
        <v>0</v>
      </c>
      <c r="T181" s="15">
        <f t="shared" si="52"/>
        <v>0</v>
      </c>
      <c r="U181" s="15">
        <f t="shared" si="53"/>
        <v>0</v>
      </c>
      <c r="V181" s="15">
        <f t="shared" si="54"/>
        <v>0</v>
      </c>
      <c r="W181" s="18" t="str">
        <f t="shared" si="55"/>
        <v/>
      </c>
      <c r="X181" s="17">
        <v>0</v>
      </c>
      <c r="Y181" s="17">
        <v>0</v>
      </c>
      <c r="Z181" s="15">
        <f t="shared" si="56"/>
        <v>0</v>
      </c>
      <c r="AA181" s="17">
        <v>0</v>
      </c>
      <c r="AB181" s="17">
        <v>0</v>
      </c>
      <c r="AC181" s="15">
        <f t="shared" si="57"/>
        <v>0</v>
      </c>
      <c r="AD181" s="17">
        <v>0</v>
      </c>
      <c r="AE181" s="17">
        <v>0</v>
      </c>
      <c r="AF181" s="15">
        <f t="shared" si="58"/>
        <v>0</v>
      </c>
      <c r="AG181" s="17">
        <v>0</v>
      </c>
      <c r="AH181" s="17">
        <v>0</v>
      </c>
      <c r="AI181" s="15">
        <f t="shared" si="59"/>
        <v>0</v>
      </c>
      <c r="AJ181" s="17"/>
    </row>
    <row r="182" spans="1:36" x14ac:dyDescent="0.3">
      <c r="A182" s="15" t="s">
        <v>230</v>
      </c>
      <c r="B182" s="15">
        <v>1000</v>
      </c>
      <c r="C182" s="15" t="s">
        <v>54</v>
      </c>
      <c r="D182" s="15" t="s">
        <v>68</v>
      </c>
      <c r="E182" s="15">
        <v>0</v>
      </c>
      <c r="F182" s="15">
        <v>0</v>
      </c>
      <c r="G182" s="15">
        <v>0</v>
      </c>
      <c r="H182" s="15">
        <f t="shared" si="50"/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5">
        <f t="shared" si="51"/>
        <v>0</v>
      </c>
      <c r="T182" s="15">
        <f t="shared" si="52"/>
        <v>0</v>
      </c>
      <c r="U182" s="15">
        <f t="shared" si="53"/>
        <v>0</v>
      </c>
      <c r="V182" s="15">
        <f t="shared" si="54"/>
        <v>0</v>
      </c>
      <c r="W182" s="18" t="str">
        <f t="shared" si="55"/>
        <v/>
      </c>
      <c r="X182" s="17">
        <v>0</v>
      </c>
      <c r="Y182" s="17">
        <v>0</v>
      </c>
      <c r="Z182" s="15">
        <f t="shared" si="56"/>
        <v>0</v>
      </c>
      <c r="AA182" s="17">
        <v>0</v>
      </c>
      <c r="AB182" s="17">
        <v>0</v>
      </c>
      <c r="AC182" s="15">
        <f t="shared" si="57"/>
        <v>0</v>
      </c>
      <c r="AD182" s="17">
        <v>0</v>
      </c>
      <c r="AE182" s="17">
        <v>0</v>
      </c>
      <c r="AF182" s="15">
        <f t="shared" si="58"/>
        <v>0</v>
      </c>
      <c r="AG182" s="17">
        <v>0</v>
      </c>
      <c r="AH182" s="17">
        <v>0</v>
      </c>
      <c r="AI182" s="15">
        <f t="shared" si="59"/>
        <v>0</v>
      </c>
      <c r="AJ182" s="17"/>
    </row>
    <row r="183" spans="1:36" x14ac:dyDescent="0.3">
      <c r="A183" s="15" t="s">
        <v>231</v>
      </c>
      <c r="B183" s="15">
        <v>100</v>
      </c>
      <c r="C183" s="15" t="s">
        <v>54</v>
      </c>
      <c r="D183" s="15" t="s">
        <v>57</v>
      </c>
      <c r="E183" s="15">
        <v>0</v>
      </c>
      <c r="F183" s="15">
        <v>0</v>
      </c>
      <c r="G183" s="15">
        <v>0</v>
      </c>
      <c r="H183" s="15">
        <f t="shared" si="50"/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5">
        <f t="shared" si="51"/>
        <v>0</v>
      </c>
      <c r="T183" s="15">
        <f t="shared" si="52"/>
        <v>0</v>
      </c>
      <c r="U183" s="15">
        <f t="shared" si="53"/>
        <v>0</v>
      </c>
      <c r="V183" s="15">
        <f t="shared" si="54"/>
        <v>0</v>
      </c>
      <c r="W183" s="18" t="str">
        <f t="shared" si="55"/>
        <v/>
      </c>
      <c r="X183" s="17">
        <v>0</v>
      </c>
      <c r="Y183" s="17">
        <v>0</v>
      </c>
      <c r="Z183" s="15">
        <f t="shared" si="56"/>
        <v>0</v>
      </c>
      <c r="AA183" s="17">
        <v>0</v>
      </c>
      <c r="AB183" s="17">
        <v>0</v>
      </c>
      <c r="AC183" s="15">
        <f t="shared" si="57"/>
        <v>0</v>
      </c>
      <c r="AD183" s="17">
        <v>0</v>
      </c>
      <c r="AE183" s="17">
        <v>0</v>
      </c>
      <c r="AF183" s="15">
        <f t="shared" si="58"/>
        <v>0</v>
      </c>
      <c r="AG183" s="17">
        <v>0</v>
      </c>
      <c r="AH183" s="17">
        <v>0</v>
      </c>
      <c r="AI183" s="15">
        <f t="shared" si="59"/>
        <v>0</v>
      </c>
      <c r="AJ183" s="17"/>
    </row>
    <row r="184" spans="1:36" x14ac:dyDescent="0.3">
      <c r="A184" s="15" t="s">
        <v>232</v>
      </c>
      <c r="B184" s="15">
        <v>100000</v>
      </c>
      <c r="C184" s="15" t="s">
        <v>54</v>
      </c>
      <c r="D184" s="15" t="s">
        <v>68</v>
      </c>
      <c r="E184" s="15">
        <v>0</v>
      </c>
      <c r="F184" s="15">
        <v>0</v>
      </c>
      <c r="G184" s="15">
        <v>0</v>
      </c>
      <c r="H184" s="15">
        <f t="shared" si="50"/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5">
        <f t="shared" si="51"/>
        <v>0</v>
      </c>
      <c r="T184" s="15">
        <f t="shared" si="52"/>
        <v>0</v>
      </c>
      <c r="U184" s="15">
        <f t="shared" si="53"/>
        <v>0</v>
      </c>
      <c r="V184" s="15">
        <f t="shared" si="54"/>
        <v>0</v>
      </c>
      <c r="W184" s="18" t="str">
        <f t="shared" si="55"/>
        <v/>
      </c>
      <c r="X184" s="17">
        <v>0</v>
      </c>
      <c r="Y184" s="17">
        <v>0</v>
      </c>
      <c r="Z184" s="15">
        <f t="shared" si="56"/>
        <v>0</v>
      </c>
      <c r="AA184" s="17">
        <v>0</v>
      </c>
      <c r="AB184" s="17">
        <v>0</v>
      </c>
      <c r="AC184" s="15">
        <f t="shared" si="57"/>
        <v>0</v>
      </c>
      <c r="AD184" s="17">
        <v>0</v>
      </c>
      <c r="AE184" s="17">
        <v>0</v>
      </c>
      <c r="AF184" s="15">
        <f t="shared" si="58"/>
        <v>0</v>
      </c>
      <c r="AG184" s="17">
        <v>0</v>
      </c>
      <c r="AH184" s="17">
        <v>0</v>
      </c>
      <c r="AI184" s="15">
        <f t="shared" si="59"/>
        <v>0</v>
      </c>
      <c r="AJ184" s="17"/>
    </row>
    <row r="185" spans="1:36" x14ac:dyDescent="0.3">
      <c r="A185" s="15" t="s">
        <v>233</v>
      </c>
      <c r="B185" s="15">
        <v>100</v>
      </c>
      <c r="C185" s="15" t="s">
        <v>54</v>
      </c>
      <c r="D185" s="15" t="s">
        <v>57</v>
      </c>
      <c r="E185" s="15">
        <v>0</v>
      </c>
      <c r="F185" s="15">
        <v>0</v>
      </c>
      <c r="G185" s="15">
        <v>0</v>
      </c>
      <c r="H185" s="15">
        <f t="shared" si="50"/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5">
        <f t="shared" si="51"/>
        <v>0</v>
      </c>
      <c r="T185" s="15">
        <f t="shared" si="52"/>
        <v>0</v>
      </c>
      <c r="U185" s="15">
        <f t="shared" si="53"/>
        <v>0</v>
      </c>
      <c r="V185" s="15">
        <f t="shared" si="54"/>
        <v>0</v>
      </c>
      <c r="W185" s="18" t="str">
        <f t="shared" si="55"/>
        <v/>
      </c>
      <c r="X185" s="17">
        <v>0</v>
      </c>
      <c r="Y185" s="17">
        <v>0</v>
      </c>
      <c r="Z185" s="15">
        <f t="shared" si="56"/>
        <v>0</v>
      </c>
      <c r="AA185" s="17">
        <v>0</v>
      </c>
      <c r="AB185" s="17">
        <v>0</v>
      </c>
      <c r="AC185" s="15">
        <f t="shared" si="57"/>
        <v>0</v>
      </c>
      <c r="AD185" s="17">
        <v>0</v>
      </c>
      <c r="AE185" s="17">
        <v>0</v>
      </c>
      <c r="AF185" s="15">
        <f t="shared" si="58"/>
        <v>0</v>
      </c>
      <c r="AG185" s="17">
        <v>0</v>
      </c>
      <c r="AH185" s="17">
        <v>0</v>
      </c>
      <c r="AI185" s="15">
        <f t="shared" si="59"/>
        <v>0</v>
      </c>
      <c r="AJ185" s="17"/>
    </row>
    <row r="186" spans="1:36" x14ac:dyDescent="0.3">
      <c r="A186" s="15" t="s">
        <v>234</v>
      </c>
      <c r="B186" s="15">
        <v>1000</v>
      </c>
      <c r="C186" s="15" t="s">
        <v>54</v>
      </c>
      <c r="D186" s="15" t="s">
        <v>68</v>
      </c>
      <c r="E186" s="15">
        <v>0</v>
      </c>
      <c r="F186" s="15">
        <v>0</v>
      </c>
      <c r="G186" s="15">
        <v>0</v>
      </c>
      <c r="H186" s="15">
        <f t="shared" si="50"/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5">
        <f t="shared" si="51"/>
        <v>0</v>
      </c>
      <c r="T186" s="15">
        <f t="shared" si="52"/>
        <v>0</v>
      </c>
      <c r="U186" s="15">
        <f t="shared" si="53"/>
        <v>0</v>
      </c>
      <c r="V186" s="15">
        <f t="shared" si="54"/>
        <v>0</v>
      </c>
      <c r="W186" s="18" t="str">
        <f t="shared" si="55"/>
        <v/>
      </c>
      <c r="X186" s="17">
        <v>0</v>
      </c>
      <c r="Y186" s="17">
        <v>0</v>
      </c>
      <c r="Z186" s="15">
        <f t="shared" si="56"/>
        <v>0</v>
      </c>
      <c r="AA186" s="17">
        <v>0</v>
      </c>
      <c r="AB186" s="17">
        <v>0</v>
      </c>
      <c r="AC186" s="15">
        <f t="shared" si="57"/>
        <v>0</v>
      </c>
      <c r="AD186" s="17">
        <v>0</v>
      </c>
      <c r="AE186" s="17">
        <v>0</v>
      </c>
      <c r="AF186" s="15">
        <f t="shared" si="58"/>
        <v>0</v>
      </c>
      <c r="AG186" s="17">
        <v>0</v>
      </c>
      <c r="AH186" s="17">
        <v>0</v>
      </c>
      <c r="AI186" s="15">
        <f t="shared" si="59"/>
        <v>0</v>
      </c>
      <c r="AJ186" s="17"/>
    </row>
    <row r="187" spans="1:36" x14ac:dyDescent="0.3">
      <c r="A187" s="15" t="s">
        <v>235</v>
      </c>
      <c r="B187" s="15">
        <v>100000</v>
      </c>
      <c r="C187" s="15" t="s">
        <v>54</v>
      </c>
      <c r="D187" s="15" t="s">
        <v>68</v>
      </c>
      <c r="E187" s="15">
        <v>0</v>
      </c>
      <c r="F187" s="15">
        <v>0</v>
      </c>
      <c r="G187" s="15">
        <v>0</v>
      </c>
      <c r="H187" s="15">
        <f t="shared" si="50"/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5">
        <f t="shared" si="51"/>
        <v>0</v>
      </c>
      <c r="T187" s="15">
        <f t="shared" si="52"/>
        <v>0</v>
      </c>
      <c r="U187" s="15">
        <f t="shared" si="53"/>
        <v>0</v>
      </c>
      <c r="V187" s="15">
        <f t="shared" si="54"/>
        <v>0</v>
      </c>
      <c r="W187" s="18" t="str">
        <f t="shared" si="55"/>
        <v/>
      </c>
      <c r="X187" s="17">
        <v>0</v>
      </c>
      <c r="Y187" s="17">
        <v>0</v>
      </c>
      <c r="Z187" s="15">
        <f t="shared" si="56"/>
        <v>0</v>
      </c>
      <c r="AA187" s="17">
        <v>0</v>
      </c>
      <c r="AB187" s="17">
        <v>0</v>
      </c>
      <c r="AC187" s="15">
        <f t="shared" si="57"/>
        <v>0</v>
      </c>
      <c r="AD187" s="17">
        <v>0</v>
      </c>
      <c r="AE187" s="17">
        <v>0</v>
      </c>
      <c r="AF187" s="15">
        <f t="shared" si="58"/>
        <v>0</v>
      </c>
      <c r="AG187" s="17">
        <v>0</v>
      </c>
      <c r="AH187" s="17">
        <v>0</v>
      </c>
      <c r="AI187" s="15">
        <f t="shared" si="59"/>
        <v>0</v>
      </c>
      <c r="AJ187" s="17"/>
    </row>
    <row r="188" spans="1:36" hidden="1" x14ac:dyDescent="0.3">
      <c r="A188" s="15" t="s">
        <v>236</v>
      </c>
      <c r="B188" s="15">
        <v>1000</v>
      </c>
      <c r="C188" s="15" t="s">
        <v>54</v>
      </c>
      <c r="D188" s="15" t="s">
        <v>55</v>
      </c>
      <c r="E188" s="15">
        <f>'26 june'!T188</f>
        <v>14</v>
      </c>
      <c r="F188" s="15">
        <f>'26 june'!U188</f>
        <v>0</v>
      </c>
      <c r="G188" s="15">
        <f>'26 june'!V188</f>
        <v>0</v>
      </c>
      <c r="H188" s="15">
        <f t="shared" si="50"/>
        <v>14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5">
        <f t="shared" si="51"/>
        <v>14</v>
      </c>
      <c r="T188" s="15">
        <f t="shared" si="52"/>
        <v>14</v>
      </c>
      <c r="U188" s="15">
        <f t="shared" si="53"/>
        <v>0</v>
      </c>
      <c r="V188" s="15">
        <f t="shared" si="54"/>
        <v>0</v>
      </c>
      <c r="W188" s="18" t="str">
        <f t="shared" si="55"/>
        <v/>
      </c>
      <c r="X188" s="17">
        <v>0</v>
      </c>
      <c r="Y188" s="17">
        <v>0</v>
      </c>
      <c r="Z188" s="15">
        <f t="shared" si="56"/>
        <v>0</v>
      </c>
      <c r="AA188" s="17">
        <v>0</v>
      </c>
      <c r="AB188" s="17">
        <v>0</v>
      </c>
      <c r="AC188" s="15">
        <f t="shared" si="57"/>
        <v>0</v>
      </c>
      <c r="AD188" s="17">
        <v>0</v>
      </c>
      <c r="AE188" s="17">
        <v>0</v>
      </c>
      <c r="AF188" s="15">
        <f t="shared" si="58"/>
        <v>0</v>
      </c>
      <c r="AG188" s="17">
        <v>0</v>
      </c>
      <c r="AH188" s="17">
        <v>0</v>
      </c>
      <c r="AI188" s="15">
        <f t="shared" si="59"/>
        <v>0</v>
      </c>
      <c r="AJ188" s="17"/>
    </row>
    <row r="189" spans="1:36" hidden="1" x14ac:dyDescent="0.3">
      <c r="A189" s="15" t="s">
        <v>237</v>
      </c>
      <c r="B189" s="15">
        <v>1000</v>
      </c>
      <c r="C189" s="15" t="s">
        <v>54</v>
      </c>
      <c r="D189" s="15" t="s">
        <v>55</v>
      </c>
      <c r="E189" s="15">
        <f>'26 june'!T189</f>
        <v>0</v>
      </c>
      <c r="F189" s="15">
        <f>'26 june'!U189</f>
        <v>29</v>
      </c>
      <c r="G189" s="15">
        <f>'26 june'!V189</f>
        <v>1</v>
      </c>
      <c r="H189" s="15">
        <f t="shared" si="50"/>
        <v>30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5">
        <f t="shared" si="51"/>
        <v>30</v>
      </c>
      <c r="T189" s="15">
        <f t="shared" si="52"/>
        <v>0</v>
      </c>
      <c r="U189" s="15">
        <f t="shared" si="53"/>
        <v>29</v>
      </c>
      <c r="V189" s="15">
        <f t="shared" si="54"/>
        <v>1</v>
      </c>
      <c r="W189" s="18" t="str">
        <f t="shared" si="55"/>
        <v/>
      </c>
      <c r="X189" s="17">
        <v>0</v>
      </c>
      <c r="Y189" s="17">
        <v>0</v>
      </c>
      <c r="Z189" s="15">
        <f t="shared" si="56"/>
        <v>0</v>
      </c>
      <c r="AA189" s="17">
        <v>0</v>
      </c>
      <c r="AB189" s="17">
        <v>0</v>
      </c>
      <c r="AC189" s="15">
        <f t="shared" si="57"/>
        <v>0</v>
      </c>
      <c r="AD189" s="17">
        <v>0</v>
      </c>
      <c r="AE189" s="17">
        <v>0</v>
      </c>
      <c r="AF189" s="15">
        <f t="shared" si="58"/>
        <v>0</v>
      </c>
      <c r="AG189" s="17">
        <v>0</v>
      </c>
      <c r="AH189" s="17">
        <v>0</v>
      </c>
      <c r="AI189" s="15">
        <f t="shared" si="59"/>
        <v>0</v>
      </c>
      <c r="AJ189" s="17"/>
    </row>
    <row r="190" spans="1:36" hidden="1" x14ac:dyDescent="0.3">
      <c r="A190" s="15" t="s">
        <v>238</v>
      </c>
      <c r="B190" s="15">
        <v>1000</v>
      </c>
      <c r="C190" s="15" t="s">
        <v>54</v>
      </c>
      <c r="D190" s="15" t="s">
        <v>55</v>
      </c>
      <c r="E190" s="15">
        <f>'26 june'!T190</f>
        <v>1</v>
      </c>
      <c r="F190" s="15">
        <f>'26 june'!U190</f>
        <v>0</v>
      </c>
      <c r="G190" s="15">
        <f>'26 june'!V190</f>
        <v>3</v>
      </c>
      <c r="H190" s="15">
        <f t="shared" si="50"/>
        <v>4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5">
        <f t="shared" si="51"/>
        <v>4</v>
      </c>
      <c r="T190" s="15">
        <f t="shared" si="52"/>
        <v>1</v>
      </c>
      <c r="U190" s="15">
        <f t="shared" si="53"/>
        <v>0</v>
      </c>
      <c r="V190" s="15">
        <f t="shared" si="54"/>
        <v>3</v>
      </c>
      <c r="W190" s="18" t="str">
        <f t="shared" si="55"/>
        <v/>
      </c>
      <c r="X190" s="17">
        <v>0</v>
      </c>
      <c r="Y190" s="17">
        <v>0</v>
      </c>
      <c r="Z190" s="15">
        <f t="shared" si="56"/>
        <v>0</v>
      </c>
      <c r="AA190" s="17">
        <v>0</v>
      </c>
      <c r="AB190" s="17">
        <v>0</v>
      </c>
      <c r="AC190" s="15">
        <f t="shared" si="57"/>
        <v>0</v>
      </c>
      <c r="AD190" s="17">
        <v>0</v>
      </c>
      <c r="AE190" s="17">
        <v>0</v>
      </c>
      <c r="AF190" s="15">
        <f t="shared" si="58"/>
        <v>0</v>
      </c>
      <c r="AG190" s="17">
        <v>0</v>
      </c>
      <c r="AH190" s="17">
        <v>0</v>
      </c>
      <c r="AI190" s="15">
        <f t="shared" si="59"/>
        <v>0</v>
      </c>
      <c r="AJ190" s="17"/>
    </row>
    <row r="191" spans="1:36" hidden="1" x14ac:dyDescent="0.3">
      <c r="A191" s="15" t="s">
        <v>239</v>
      </c>
      <c r="B191" s="15">
        <v>1000</v>
      </c>
      <c r="C191" s="15" t="s">
        <v>54</v>
      </c>
      <c r="D191" s="15" t="s">
        <v>55</v>
      </c>
      <c r="E191" s="15">
        <v>0</v>
      </c>
      <c r="F191" s="15">
        <v>0</v>
      </c>
      <c r="G191" s="15">
        <v>0</v>
      </c>
      <c r="H191" s="15">
        <f t="shared" si="50"/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5">
        <f t="shared" si="51"/>
        <v>0</v>
      </c>
      <c r="T191" s="15">
        <f t="shared" si="52"/>
        <v>0</v>
      </c>
      <c r="U191" s="15">
        <f t="shared" si="53"/>
        <v>0</v>
      </c>
      <c r="V191" s="15">
        <f t="shared" si="54"/>
        <v>0</v>
      </c>
      <c r="W191" s="18" t="str">
        <f t="shared" si="55"/>
        <v/>
      </c>
      <c r="X191" s="17">
        <v>0</v>
      </c>
      <c r="Y191" s="17">
        <v>0</v>
      </c>
      <c r="Z191" s="15">
        <f t="shared" si="56"/>
        <v>0</v>
      </c>
      <c r="AA191" s="17">
        <v>0</v>
      </c>
      <c r="AB191" s="17">
        <v>0</v>
      </c>
      <c r="AC191" s="15">
        <f t="shared" si="57"/>
        <v>0</v>
      </c>
      <c r="AD191" s="17">
        <v>0</v>
      </c>
      <c r="AE191" s="17">
        <v>0</v>
      </c>
      <c r="AF191" s="15">
        <f t="shared" si="58"/>
        <v>0</v>
      </c>
      <c r="AG191" s="17">
        <v>0</v>
      </c>
      <c r="AH191" s="17">
        <v>0</v>
      </c>
      <c r="AI191" s="15">
        <f t="shared" si="59"/>
        <v>0</v>
      </c>
      <c r="AJ191" s="17"/>
    </row>
    <row r="192" spans="1:36" hidden="1" x14ac:dyDescent="0.3">
      <c r="A192" s="15" t="s">
        <v>239</v>
      </c>
      <c r="B192" s="15">
        <v>2500</v>
      </c>
      <c r="C192" s="15" t="s">
        <v>54</v>
      </c>
      <c r="D192" s="15" t="s">
        <v>55</v>
      </c>
      <c r="E192" s="15">
        <f>'26 june'!T192</f>
        <v>0</v>
      </c>
      <c r="F192" s="15">
        <f>'26 june'!U192</f>
        <v>0</v>
      </c>
      <c r="G192" s="15">
        <f>'26 june'!V192</f>
        <v>0</v>
      </c>
      <c r="H192" s="15">
        <f t="shared" si="50"/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5">
        <f t="shared" si="51"/>
        <v>0</v>
      </c>
      <c r="T192" s="15">
        <f t="shared" si="52"/>
        <v>0</v>
      </c>
      <c r="U192" s="15">
        <f t="shared" si="53"/>
        <v>0</v>
      </c>
      <c r="V192" s="15">
        <f t="shared" si="54"/>
        <v>0</v>
      </c>
      <c r="W192" s="18" t="str">
        <f t="shared" si="55"/>
        <v/>
      </c>
      <c r="X192" s="17">
        <v>0</v>
      </c>
      <c r="Y192" s="17">
        <v>0</v>
      </c>
      <c r="Z192" s="15">
        <f t="shared" si="56"/>
        <v>0</v>
      </c>
      <c r="AA192" s="17">
        <v>0</v>
      </c>
      <c r="AB192" s="17">
        <v>0</v>
      </c>
      <c r="AC192" s="15">
        <f t="shared" si="57"/>
        <v>0</v>
      </c>
      <c r="AD192" s="17">
        <v>0</v>
      </c>
      <c r="AE192" s="17">
        <v>0</v>
      </c>
      <c r="AF192" s="15">
        <f t="shared" si="58"/>
        <v>0</v>
      </c>
      <c r="AG192" s="17">
        <v>0</v>
      </c>
      <c r="AH192" s="17">
        <v>0</v>
      </c>
      <c r="AI192" s="15">
        <f t="shared" si="59"/>
        <v>0</v>
      </c>
      <c r="AJ192" s="17"/>
    </row>
    <row r="193" spans="1:36" hidden="1" x14ac:dyDescent="0.3">
      <c r="A193" s="15" t="s">
        <v>240</v>
      </c>
      <c r="B193" s="15">
        <v>100</v>
      </c>
      <c r="C193" s="15" t="s">
        <v>54</v>
      </c>
      <c r="D193" s="15" t="s">
        <v>55</v>
      </c>
      <c r="E193" s="15">
        <f>'26 june'!T193</f>
        <v>34</v>
      </c>
      <c r="F193" s="15">
        <f>'26 june'!U193</f>
        <v>0</v>
      </c>
      <c r="G193" s="15">
        <f>'26 june'!V193</f>
        <v>0</v>
      </c>
      <c r="H193" s="15">
        <f t="shared" si="50"/>
        <v>34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5">
        <f t="shared" si="51"/>
        <v>34</v>
      </c>
      <c r="T193" s="15">
        <f t="shared" si="52"/>
        <v>34</v>
      </c>
      <c r="U193" s="15">
        <f t="shared" si="53"/>
        <v>0</v>
      </c>
      <c r="V193" s="15">
        <f t="shared" si="54"/>
        <v>0</v>
      </c>
      <c r="W193" s="18" t="str">
        <f t="shared" si="55"/>
        <v/>
      </c>
      <c r="X193" s="17">
        <v>0</v>
      </c>
      <c r="Y193" s="17">
        <v>0</v>
      </c>
      <c r="Z193" s="15">
        <f t="shared" si="56"/>
        <v>0</v>
      </c>
      <c r="AA193" s="17">
        <v>0</v>
      </c>
      <c r="AB193" s="17">
        <v>0</v>
      </c>
      <c r="AC193" s="15">
        <f t="shared" si="57"/>
        <v>0</v>
      </c>
      <c r="AD193" s="17">
        <v>0</v>
      </c>
      <c r="AE193" s="17">
        <v>0</v>
      </c>
      <c r="AF193" s="15">
        <f t="shared" si="58"/>
        <v>0</v>
      </c>
      <c r="AG193" s="17">
        <v>0</v>
      </c>
      <c r="AH193" s="17">
        <v>0</v>
      </c>
      <c r="AI193" s="15">
        <f t="shared" si="59"/>
        <v>0</v>
      </c>
      <c r="AJ193" s="17"/>
    </row>
    <row r="194" spans="1:36" hidden="1" x14ac:dyDescent="0.3">
      <c r="A194" s="15" t="s">
        <v>240</v>
      </c>
      <c r="B194" s="15">
        <v>1000</v>
      </c>
      <c r="C194" s="15" t="s">
        <v>54</v>
      </c>
      <c r="D194" s="15" t="s">
        <v>55</v>
      </c>
      <c r="E194" s="15">
        <v>0</v>
      </c>
      <c r="F194" s="15">
        <v>0</v>
      </c>
      <c r="G194" s="15">
        <v>0</v>
      </c>
      <c r="H194" s="15">
        <f t="shared" si="50"/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5">
        <f t="shared" si="51"/>
        <v>0</v>
      </c>
      <c r="T194" s="15">
        <f t="shared" si="52"/>
        <v>0</v>
      </c>
      <c r="U194" s="15">
        <f t="shared" si="53"/>
        <v>0</v>
      </c>
      <c r="V194" s="15">
        <f t="shared" si="54"/>
        <v>0</v>
      </c>
      <c r="W194" s="18" t="str">
        <f t="shared" si="55"/>
        <v/>
      </c>
      <c r="X194" s="17">
        <v>0</v>
      </c>
      <c r="Y194" s="17">
        <v>0</v>
      </c>
      <c r="Z194" s="15">
        <f t="shared" si="56"/>
        <v>0</v>
      </c>
      <c r="AA194" s="17">
        <v>0</v>
      </c>
      <c r="AB194" s="17">
        <v>0</v>
      </c>
      <c r="AC194" s="15">
        <f t="shared" si="57"/>
        <v>0</v>
      </c>
      <c r="AD194" s="17">
        <v>0</v>
      </c>
      <c r="AE194" s="17">
        <v>0</v>
      </c>
      <c r="AF194" s="15">
        <f t="shared" si="58"/>
        <v>0</v>
      </c>
      <c r="AG194" s="17">
        <v>0</v>
      </c>
      <c r="AH194" s="17">
        <v>0</v>
      </c>
      <c r="AI194" s="15">
        <f t="shared" si="59"/>
        <v>0</v>
      </c>
      <c r="AJ194" s="17"/>
    </row>
    <row r="195" spans="1:36" x14ac:dyDescent="0.3">
      <c r="A195" s="15" t="s">
        <v>241</v>
      </c>
      <c r="B195" s="15">
        <v>25000</v>
      </c>
      <c r="C195" s="15" t="s">
        <v>54</v>
      </c>
      <c r="D195" s="15" t="s">
        <v>68</v>
      </c>
      <c r="E195" s="15">
        <v>0</v>
      </c>
      <c r="F195" s="15">
        <v>0</v>
      </c>
      <c r="G195" s="15">
        <v>0</v>
      </c>
      <c r="H195" s="15">
        <f t="shared" ref="H195:H199" si="60">E195+F195+G195</f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5">
        <f t="shared" ref="S195:S199" si="61">H195+O195+P195+Q195+R195-(I195+J195+K195+L195+M195+N195)</f>
        <v>0</v>
      </c>
      <c r="T195" s="15">
        <f t="shared" si="52"/>
        <v>0</v>
      </c>
      <c r="U195" s="15">
        <f t="shared" si="53"/>
        <v>0</v>
      </c>
      <c r="V195" s="15">
        <f t="shared" si="54"/>
        <v>0</v>
      </c>
      <c r="W195" s="18" t="str">
        <f t="shared" ref="W195:W199" si="62">IF(MIN(T195,U195,V195)&lt;0,"NEGATIVE STOCK - CHECK ENTRIES","")</f>
        <v/>
      </c>
      <c r="X195" s="17">
        <v>0</v>
      </c>
      <c r="Y195" s="17">
        <v>0</v>
      </c>
      <c r="Z195" s="15">
        <f t="shared" ref="Z195:Z199" si="63">X195-Y195</f>
        <v>0</v>
      </c>
      <c r="AA195" s="17">
        <v>0</v>
      </c>
      <c r="AB195" s="17">
        <v>0</v>
      </c>
      <c r="AC195" s="15">
        <f t="shared" ref="AC195:AC199" si="64">AA195-AB195</f>
        <v>0</v>
      </c>
      <c r="AD195" s="17">
        <v>0</v>
      </c>
      <c r="AE195" s="17">
        <v>0</v>
      </c>
      <c r="AF195" s="15">
        <f t="shared" ref="AF195:AF199" si="65">AD195-AE195</f>
        <v>0</v>
      </c>
      <c r="AG195" s="17">
        <v>0</v>
      </c>
      <c r="AH195" s="17">
        <v>0</v>
      </c>
      <c r="AI195" s="15">
        <f t="shared" ref="AI195:AI199" si="66">AG195-AH195</f>
        <v>0</v>
      </c>
      <c r="AJ195" s="17"/>
    </row>
    <row r="196" spans="1:36" x14ac:dyDescent="0.3">
      <c r="A196" s="15" t="s">
        <v>242</v>
      </c>
      <c r="B196" s="15">
        <v>100</v>
      </c>
      <c r="C196" s="15" t="s">
        <v>54</v>
      </c>
      <c r="D196" s="15" t="s">
        <v>68</v>
      </c>
      <c r="E196" s="15">
        <v>0</v>
      </c>
      <c r="F196" s="15">
        <v>0</v>
      </c>
      <c r="G196" s="15">
        <v>0</v>
      </c>
      <c r="H196" s="15">
        <f t="shared" si="60"/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5">
        <f t="shared" si="61"/>
        <v>0</v>
      </c>
      <c r="T196" s="15">
        <f t="shared" si="52"/>
        <v>0</v>
      </c>
      <c r="U196" s="15">
        <f t="shared" si="53"/>
        <v>0</v>
      </c>
      <c r="V196" s="15">
        <f t="shared" si="54"/>
        <v>0</v>
      </c>
      <c r="W196" s="18" t="str">
        <f t="shared" si="62"/>
        <v/>
      </c>
      <c r="X196" s="17">
        <v>0</v>
      </c>
      <c r="Y196" s="17">
        <v>0</v>
      </c>
      <c r="Z196" s="15">
        <f t="shared" si="63"/>
        <v>0</v>
      </c>
      <c r="AA196" s="17">
        <v>0</v>
      </c>
      <c r="AB196" s="17">
        <v>0</v>
      </c>
      <c r="AC196" s="15">
        <f t="shared" si="64"/>
        <v>0</v>
      </c>
      <c r="AD196" s="17">
        <v>0</v>
      </c>
      <c r="AE196" s="17">
        <v>0</v>
      </c>
      <c r="AF196" s="15">
        <f t="shared" si="65"/>
        <v>0</v>
      </c>
      <c r="AG196" s="17">
        <v>0</v>
      </c>
      <c r="AH196" s="17">
        <v>0</v>
      </c>
      <c r="AI196" s="15">
        <f t="shared" si="66"/>
        <v>0</v>
      </c>
      <c r="AJ196" s="17"/>
    </row>
    <row r="197" spans="1:36" x14ac:dyDescent="0.3">
      <c r="A197" s="15" t="s">
        <v>243</v>
      </c>
      <c r="B197" s="15">
        <v>100000</v>
      </c>
      <c r="C197" s="15" t="s">
        <v>54</v>
      </c>
      <c r="D197" s="15" t="s">
        <v>57</v>
      </c>
      <c r="E197" s="15">
        <v>0</v>
      </c>
      <c r="F197" s="15">
        <v>0</v>
      </c>
      <c r="G197" s="15">
        <v>0</v>
      </c>
      <c r="H197" s="15">
        <f t="shared" si="60"/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5">
        <f t="shared" si="61"/>
        <v>0</v>
      </c>
      <c r="T197" s="15">
        <f t="shared" si="52"/>
        <v>0</v>
      </c>
      <c r="U197" s="15">
        <f t="shared" si="53"/>
        <v>0</v>
      </c>
      <c r="V197" s="15">
        <f t="shared" si="54"/>
        <v>0</v>
      </c>
      <c r="W197" s="18" t="str">
        <f t="shared" si="62"/>
        <v/>
      </c>
      <c r="X197" s="17">
        <v>0</v>
      </c>
      <c r="Y197" s="17">
        <v>0</v>
      </c>
      <c r="Z197" s="15">
        <f t="shared" si="63"/>
        <v>0</v>
      </c>
      <c r="AA197" s="17">
        <v>0</v>
      </c>
      <c r="AB197" s="17">
        <v>0</v>
      </c>
      <c r="AC197" s="15">
        <f t="shared" si="64"/>
        <v>0</v>
      </c>
      <c r="AD197" s="17">
        <v>0</v>
      </c>
      <c r="AE197" s="17">
        <v>0</v>
      </c>
      <c r="AF197" s="15">
        <f t="shared" si="65"/>
        <v>0</v>
      </c>
      <c r="AG197" s="17">
        <v>0</v>
      </c>
      <c r="AH197" s="17">
        <v>0</v>
      </c>
      <c r="AI197" s="15">
        <f t="shared" si="66"/>
        <v>0</v>
      </c>
      <c r="AJ197" s="17"/>
    </row>
    <row r="198" spans="1:36" hidden="1" x14ac:dyDescent="0.3">
      <c r="A198" s="15" t="s">
        <v>244</v>
      </c>
      <c r="B198" s="15">
        <v>100000</v>
      </c>
      <c r="C198" s="15"/>
      <c r="D198" s="15" t="s">
        <v>55</v>
      </c>
      <c r="E198" s="15">
        <f>'26 june'!T198</f>
        <v>0</v>
      </c>
      <c r="F198" s="15">
        <f>'26 june'!U198</f>
        <v>0</v>
      </c>
      <c r="G198" s="15">
        <f>'26 june'!V198</f>
        <v>0</v>
      </c>
      <c r="H198" s="15">
        <f t="shared" si="60"/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5">
        <f t="shared" si="61"/>
        <v>0</v>
      </c>
      <c r="T198" s="15">
        <f t="shared" si="52"/>
        <v>0</v>
      </c>
      <c r="U198" s="15">
        <f t="shared" si="53"/>
        <v>0</v>
      </c>
      <c r="V198" s="15">
        <f t="shared" si="54"/>
        <v>0</v>
      </c>
      <c r="W198" s="18" t="str">
        <f t="shared" si="62"/>
        <v/>
      </c>
      <c r="X198" s="17">
        <v>0</v>
      </c>
      <c r="Y198" s="17">
        <v>0</v>
      </c>
      <c r="Z198" s="15">
        <f t="shared" si="63"/>
        <v>0</v>
      </c>
      <c r="AA198" s="17">
        <v>0</v>
      </c>
      <c r="AB198" s="17">
        <v>0</v>
      </c>
      <c r="AC198" s="15">
        <f t="shared" si="64"/>
        <v>0</v>
      </c>
      <c r="AD198" s="17">
        <v>0</v>
      </c>
      <c r="AE198" s="17">
        <v>0</v>
      </c>
      <c r="AF198" s="15">
        <f t="shared" si="65"/>
        <v>0</v>
      </c>
      <c r="AG198" s="17">
        <v>0</v>
      </c>
      <c r="AH198" s="17">
        <v>0</v>
      </c>
      <c r="AI198" s="15">
        <f t="shared" si="66"/>
        <v>0</v>
      </c>
      <c r="AJ198" s="17"/>
    </row>
    <row r="199" spans="1:36" x14ac:dyDescent="0.3">
      <c r="A199" s="15" t="s">
        <v>245</v>
      </c>
      <c r="B199" s="15">
        <v>25000</v>
      </c>
      <c r="C199" s="15" t="s">
        <v>54</v>
      </c>
      <c r="D199" s="15" t="s">
        <v>57</v>
      </c>
      <c r="E199" s="15">
        <v>0</v>
      </c>
      <c r="F199" s="15">
        <v>0</v>
      </c>
      <c r="G199" s="15">
        <v>0</v>
      </c>
      <c r="H199" s="15">
        <f t="shared" si="60"/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5">
        <f t="shared" si="61"/>
        <v>0</v>
      </c>
      <c r="T199" s="15">
        <f t="shared" si="52"/>
        <v>0</v>
      </c>
      <c r="U199" s="15">
        <f t="shared" si="53"/>
        <v>0</v>
      </c>
      <c r="V199" s="15">
        <f t="shared" si="54"/>
        <v>0</v>
      </c>
      <c r="W199" s="18" t="str">
        <f t="shared" si="62"/>
        <v/>
      </c>
      <c r="X199" s="17">
        <v>0</v>
      </c>
      <c r="Y199" s="17">
        <v>0</v>
      </c>
      <c r="Z199" s="15">
        <f t="shared" si="63"/>
        <v>0</v>
      </c>
      <c r="AA199" s="17">
        <v>0</v>
      </c>
      <c r="AB199" s="17">
        <v>0</v>
      </c>
      <c r="AC199" s="15">
        <f t="shared" si="64"/>
        <v>0</v>
      </c>
      <c r="AD199" s="17">
        <v>0</v>
      </c>
      <c r="AE199" s="17">
        <v>0</v>
      </c>
      <c r="AF199" s="15">
        <f t="shared" si="65"/>
        <v>0</v>
      </c>
      <c r="AG199" s="17">
        <v>0</v>
      </c>
      <c r="AH199" s="17">
        <v>0</v>
      </c>
      <c r="AI199" s="15">
        <f t="shared" si="66"/>
        <v>0</v>
      </c>
      <c r="AJ199" s="17"/>
    </row>
  </sheetData>
  <autoFilter ref="A2:AJ199" xr:uid="{00000000-0001-0000-0400-000000000000}">
    <filterColumn colId="3">
      <filters>
        <filter val="CUSTOM&amp;TRIAL"/>
        <filter val="MASIFIO CUSTOM"/>
      </filters>
    </filterColumn>
  </autoFilter>
  <mergeCells count="5">
    <mergeCell ref="A1:D1"/>
    <mergeCell ref="E1:H1"/>
    <mergeCell ref="I1:R1"/>
    <mergeCell ref="S1:V1"/>
    <mergeCell ref="X1:AI1"/>
  </mergeCells>
  <conditionalFormatting sqref="T3:V199">
    <cfRule type="expression" dxfId="25" priority="3">
      <formula>T3&lt;0</formula>
    </cfRule>
  </conditionalFormatting>
  <conditionalFormatting sqref="W3:W199">
    <cfRule type="expression" dxfId="24" priority="2">
      <formula>W3&lt;&gt;""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199"/>
  <sheetViews>
    <sheetView showGridLines="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27" sqref="E27"/>
    </sheetView>
  </sheetViews>
  <sheetFormatPr defaultColWidth="8.6640625" defaultRowHeight="14.4" x14ac:dyDescent="0.3"/>
  <cols>
    <col min="1" max="1" width="30" customWidth="1"/>
    <col min="2" max="2" width="10" customWidth="1"/>
    <col min="3" max="3" width="12" customWidth="1"/>
    <col min="4" max="4" width="16" customWidth="1"/>
    <col min="5" max="5" width="12.44140625" customWidth="1"/>
    <col min="6" max="35" width="11" customWidth="1"/>
    <col min="36" max="36" width="22" customWidth="1"/>
  </cols>
  <sheetData>
    <row r="1" spans="1:36" ht="19.5" customHeight="1" x14ac:dyDescent="0.3">
      <c r="A1" s="40" t="s">
        <v>246</v>
      </c>
      <c r="B1" s="40"/>
      <c r="C1" s="40"/>
      <c r="D1" s="46"/>
      <c r="E1" s="41" t="s">
        <v>247</v>
      </c>
      <c r="F1" s="41"/>
      <c r="G1" s="41"/>
      <c r="H1" s="41"/>
      <c r="I1" s="42" t="s">
        <v>248</v>
      </c>
      <c r="J1" s="42"/>
      <c r="K1" s="42"/>
      <c r="L1" s="42"/>
      <c r="M1" s="42"/>
      <c r="N1" s="42"/>
      <c r="O1" s="42"/>
      <c r="P1" s="42"/>
      <c r="Q1" s="42"/>
      <c r="R1" s="42"/>
      <c r="S1" s="41" t="s">
        <v>249</v>
      </c>
      <c r="T1" s="41"/>
      <c r="U1" s="41"/>
      <c r="V1" s="41"/>
      <c r="W1" s="3" t="s">
        <v>250</v>
      </c>
      <c r="X1" s="43" t="s">
        <v>251</v>
      </c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" t="s">
        <v>252</v>
      </c>
    </row>
    <row r="2" spans="1:36" ht="33.75" customHeight="1" x14ac:dyDescent="0.3">
      <c r="A2" s="4" t="s">
        <v>45</v>
      </c>
      <c r="B2" s="4" t="s">
        <v>46</v>
      </c>
      <c r="C2" s="4" t="s">
        <v>47</v>
      </c>
      <c r="D2" s="39" t="s">
        <v>48</v>
      </c>
      <c r="E2" s="3" t="s">
        <v>253</v>
      </c>
      <c r="F2" s="3" t="s">
        <v>254</v>
      </c>
      <c r="G2" s="3" t="s">
        <v>255</v>
      </c>
      <c r="H2" s="3" t="s">
        <v>256</v>
      </c>
      <c r="I2" s="2" t="s">
        <v>257</v>
      </c>
      <c r="J2" s="2" t="s">
        <v>258</v>
      </c>
      <c r="K2" s="2" t="s">
        <v>259</v>
      </c>
      <c r="L2" s="2" t="s">
        <v>260</v>
      </c>
      <c r="M2" s="2" t="s">
        <v>261</v>
      </c>
      <c r="N2" s="2" t="s">
        <v>262</v>
      </c>
      <c r="O2" s="2" t="s">
        <v>263</v>
      </c>
      <c r="P2" s="2" t="s">
        <v>264</v>
      </c>
      <c r="Q2" s="2" t="s">
        <v>265</v>
      </c>
      <c r="R2" s="2" t="s">
        <v>266</v>
      </c>
      <c r="S2" s="3" t="s">
        <v>267</v>
      </c>
      <c r="T2" s="3" t="s">
        <v>268</v>
      </c>
      <c r="U2" s="3" t="s">
        <v>269</v>
      </c>
      <c r="V2" s="3" t="s">
        <v>270</v>
      </c>
      <c r="W2" s="3" t="s">
        <v>271</v>
      </c>
      <c r="X2" s="1" t="s">
        <v>272</v>
      </c>
      <c r="Y2" s="1" t="s">
        <v>273</v>
      </c>
      <c r="Z2" s="1" t="s">
        <v>274</v>
      </c>
      <c r="AA2" s="1" t="s">
        <v>275</v>
      </c>
      <c r="AB2" s="1" t="s">
        <v>276</v>
      </c>
      <c r="AC2" s="1" t="s">
        <v>277</v>
      </c>
      <c r="AD2" s="1" t="s">
        <v>278</v>
      </c>
      <c r="AE2" s="1" t="s">
        <v>279</v>
      </c>
      <c r="AF2" s="1" t="s">
        <v>280</v>
      </c>
      <c r="AG2" s="1" t="s">
        <v>281</v>
      </c>
      <c r="AH2" s="1" t="s">
        <v>282</v>
      </c>
      <c r="AI2" s="1" t="s">
        <v>283</v>
      </c>
      <c r="AJ2" s="4" t="s">
        <v>284</v>
      </c>
    </row>
    <row r="3" spans="1:36" hidden="1" x14ac:dyDescent="0.3">
      <c r="A3" s="15" t="s">
        <v>53</v>
      </c>
      <c r="B3" s="15">
        <v>1000</v>
      </c>
      <c r="C3" s="15" t="s">
        <v>54</v>
      </c>
      <c r="D3" s="15" t="s">
        <v>55</v>
      </c>
      <c r="E3" s="15">
        <v>0</v>
      </c>
      <c r="F3" s="15">
        <v>0</v>
      </c>
      <c r="G3" s="15">
        <v>0</v>
      </c>
      <c r="H3" s="15">
        <f t="shared" ref="H3:H34" si="0">E3+F3+G3</f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5">
        <f t="shared" ref="S3:S34" si="1">H3+O3+P3+Q3+R3-(I3+J3+K3+L3+M3+N3)</f>
        <v>0</v>
      </c>
      <c r="T3" s="15">
        <f t="shared" ref="T3:T34" si="2">E3+O3-I3-L3</f>
        <v>0</v>
      </c>
      <c r="U3" s="15">
        <f t="shared" ref="U3:U34" si="3">F3+P3-J3-M3</f>
        <v>0</v>
      </c>
      <c r="V3" s="15">
        <f t="shared" ref="V3:V34" si="4">G3+Q3-K3-N3</f>
        <v>0</v>
      </c>
      <c r="W3" s="18" t="str">
        <f t="shared" ref="W3:W34" si="5">IF(MIN(T3,U3,V3)&lt;0,"NEGATIVE STOCK - CHECK ENTRIES","")</f>
        <v/>
      </c>
      <c r="X3" s="17">
        <v>0</v>
      </c>
      <c r="Y3" s="17">
        <v>0</v>
      </c>
      <c r="Z3" s="15">
        <f t="shared" ref="Z3:Z34" si="6">X3-Y3</f>
        <v>0</v>
      </c>
      <c r="AA3" s="17">
        <v>0</v>
      </c>
      <c r="AB3" s="17">
        <v>0</v>
      </c>
      <c r="AC3" s="15">
        <f t="shared" ref="AC3:AC34" si="7">AA3-AB3</f>
        <v>0</v>
      </c>
      <c r="AD3" s="17">
        <v>0</v>
      </c>
      <c r="AE3" s="17">
        <v>0</v>
      </c>
      <c r="AF3" s="15">
        <f t="shared" ref="AF3:AF34" si="8">AD3-AE3</f>
        <v>0</v>
      </c>
      <c r="AG3" s="17">
        <v>0</v>
      </c>
      <c r="AH3" s="17">
        <v>0</v>
      </c>
      <c r="AI3" s="15">
        <f t="shared" ref="AI3:AI34" si="9">AG3-AH3</f>
        <v>0</v>
      </c>
      <c r="AJ3" s="17"/>
    </row>
    <row r="4" spans="1:36" x14ac:dyDescent="0.3">
      <c r="A4" s="15" t="s">
        <v>56</v>
      </c>
      <c r="B4" s="15">
        <v>500</v>
      </c>
      <c r="C4" s="15" t="s">
        <v>54</v>
      </c>
      <c r="D4" s="15" t="s">
        <v>57</v>
      </c>
      <c r="E4" s="17">
        <v>2</v>
      </c>
      <c r="F4" s="17">
        <v>0</v>
      </c>
      <c r="G4" s="17">
        <v>0</v>
      </c>
      <c r="H4" s="15">
        <f t="shared" si="0"/>
        <v>2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5">
        <f t="shared" si="1"/>
        <v>2</v>
      </c>
      <c r="T4" s="15">
        <f t="shared" si="2"/>
        <v>2</v>
      </c>
      <c r="U4" s="15">
        <f t="shared" si="3"/>
        <v>0</v>
      </c>
      <c r="V4" s="15">
        <f t="shared" si="4"/>
        <v>0</v>
      </c>
      <c r="W4" s="18" t="str">
        <f t="shared" si="5"/>
        <v/>
      </c>
      <c r="X4" s="17">
        <v>0</v>
      </c>
      <c r="Y4" s="17">
        <v>0</v>
      </c>
      <c r="Z4" s="15">
        <f t="shared" si="6"/>
        <v>0</v>
      </c>
      <c r="AA4" s="17">
        <v>0</v>
      </c>
      <c r="AB4" s="17">
        <v>0</v>
      </c>
      <c r="AC4" s="15">
        <f t="shared" si="7"/>
        <v>0</v>
      </c>
      <c r="AD4" s="17">
        <v>0</v>
      </c>
      <c r="AE4" s="17">
        <v>0</v>
      </c>
      <c r="AF4" s="15">
        <f t="shared" si="8"/>
        <v>0</v>
      </c>
      <c r="AG4" s="17">
        <v>0</v>
      </c>
      <c r="AH4" s="17">
        <v>0</v>
      </c>
      <c r="AI4" s="15">
        <f t="shared" si="9"/>
        <v>0</v>
      </c>
      <c r="AJ4" s="17"/>
    </row>
    <row r="5" spans="1:36" hidden="1" x14ac:dyDescent="0.3">
      <c r="A5" s="15" t="s">
        <v>58</v>
      </c>
      <c r="B5" s="15">
        <v>100</v>
      </c>
      <c r="C5" s="15" t="s">
        <v>54</v>
      </c>
      <c r="D5" s="15" t="s">
        <v>55</v>
      </c>
      <c r="E5" s="15">
        <f>'3-july2026'!T5</f>
        <v>236</v>
      </c>
      <c r="F5" s="15">
        <f>'3-july2026'!U5</f>
        <v>69</v>
      </c>
      <c r="G5" s="15">
        <f>'3-july2026'!V5</f>
        <v>186</v>
      </c>
      <c r="H5" s="15">
        <f t="shared" si="0"/>
        <v>491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5">
        <f t="shared" si="1"/>
        <v>491</v>
      </c>
      <c r="T5" s="15">
        <f t="shared" si="2"/>
        <v>236</v>
      </c>
      <c r="U5" s="15">
        <f t="shared" si="3"/>
        <v>69</v>
      </c>
      <c r="V5" s="15">
        <f t="shared" si="4"/>
        <v>186</v>
      </c>
      <c r="W5" s="18" t="str">
        <f t="shared" si="5"/>
        <v/>
      </c>
      <c r="X5" s="17">
        <v>0</v>
      </c>
      <c r="Y5" s="17">
        <v>0</v>
      </c>
      <c r="Z5" s="15">
        <f t="shared" si="6"/>
        <v>0</v>
      </c>
      <c r="AA5" s="17">
        <v>0</v>
      </c>
      <c r="AB5" s="17">
        <v>0</v>
      </c>
      <c r="AC5" s="15">
        <f t="shared" si="7"/>
        <v>0</v>
      </c>
      <c r="AD5" s="17">
        <v>0</v>
      </c>
      <c r="AE5" s="17">
        <v>0</v>
      </c>
      <c r="AF5" s="15">
        <f t="shared" si="8"/>
        <v>0</v>
      </c>
      <c r="AG5" s="17">
        <v>0</v>
      </c>
      <c r="AH5" s="17">
        <v>0</v>
      </c>
      <c r="AI5" s="15">
        <f t="shared" si="9"/>
        <v>0</v>
      </c>
      <c r="AJ5" s="17"/>
    </row>
    <row r="6" spans="1:36" hidden="1" x14ac:dyDescent="0.3">
      <c r="A6" s="15" t="s">
        <v>59</v>
      </c>
      <c r="B6" s="15">
        <v>100</v>
      </c>
      <c r="C6" s="15" t="s">
        <v>54</v>
      </c>
      <c r="D6" s="15" t="s">
        <v>55</v>
      </c>
      <c r="E6" s="15">
        <f>'3-july2026'!T6</f>
        <v>233</v>
      </c>
      <c r="F6" s="15">
        <f>'3-july2026'!U6</f>
        <v>38</v>
      </c>
      <c r="G6" s="15">
        <f>'3-july2026'!V6</f>
        <v>49</v>
      </c>
      <c r="H6" s="15">
        <f t="shared" si="0"/>
        <v>320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5">
        <f t="shared" si="1"/>
        <v>320</v>
      </c>
      <c r="T6" s="15">
        <f t="shared" si="2"/>
        <v>233</v>
      </c>
      <c r="U6" s="15">
        <f t="shared" si="3"/>
        <v>38</v>
      </c>
      <c r="V6" s="15">
        <f t="shared" si="4"/>
        <v>49</v>
      </c>
      <c r="W6" s="18" t="str">
        <f t="shared" si="5"/>
        <v/>
      </c>
      <c r="X6" s="17">
        <v>0</v>
      </c>
      <c r="Y6" s="17">
        <v>0</v>
      </c>
      <c r="Z6" s="15">
        <f t="shared" si="6"/>
        <v>0</v>
      </c>
      <c r="AA6" s="17">
        <v>0</v>
      </c>
      <c r="AB6" s="17">
        <v>0</v>
      </c>
      <c r="AC6" s="15">
        <f t="shared" si="7"/>
        <v>0</v>
      </c>
      <c r="AD6" s="17">
        <v>0</v>
      </c>
      <c r="AE6" s="17">
        <v>0</v>
      </c>
      <c r="AF6" s="15">
        <f t="shared" si="8"/>
        <v>0</v>
      </c>
      <c r="AG6" s="17">
        <v>0</v>
      </c>
      <c r="AH6" s="17">
        <v>0</v>
      </c>
      <c r="AI6" s="15">
        <f t="shared" si="9"/>
        <v>0</v>
      </c>
      <c r="AJ6" s="17"/>
    </row>
    <row r="7" spans="1:36" hidden="1" x14ac:dyDescent="0.3">
      <c r="A7" s="15" t="s">
        <v>60</v>
      </c>
      <c r="B7" s="15">
        <v>100</v>
      </c>
      <c r="C7" s="15" t="s">
        <v>54</v>
      </c>
      <c r="D7" s="15" t="s">
        <v>55</v>
      </c>
      <c r="E7" s="15">
        <f>'3-july2026'!T7</f>
        <v>0</v>
      </c>
      <c r="F7" s="15">
        <f>'3-july2026'!U7</f>
        <v>20</v>
      </c>
      <c r="G7" s="15">
        <f>'3-july2026'!V7</f>
        <v>0</v>
      </c>
      <c r="H7" s="15">
        <f t="shared" si="0"/>
        <v>20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5">
        <f t="shared" si="1"/>
        <v>20</v>
      </c>
      <c r="T7" s="15">
        <f t="shared" si="2"/>
        <v>0</v>
      </c>
      <c r="U7" s="15">
        <f t="shared" si="3"/>
        <v>20</v>
      </c>
      <c r="V7" s="15">
        <f t="shared" si="4"/>
        <v>0</v>
      </c>
      <c r="W7" s="18" t="str">
        <f t="shared" si="5"/>
        <v/>
      </c>
      <c r="X7" s="17">
        <v>0</v>
      </c>
      <c r="Y7" s="17">
        <v>0</v>
      </c>
      <c r="Z7" s="15">
        <f t="shared" si="6"/>
        <v>0</v>
      </c>
      <c r="AA7" s="17">
        <v>0</v>
      </c>
      <c r="AB7" s="17">
        <v>0</v>
      </c>
      <c r="AC7" s="15">
        <f t="shared" si="7"/>
        <v>0</v>
      </c>
      <c r="AD7" s="17">
        <v>0</v>
      </c>
      <c r="AE7" s="17">
        <v>0</v>
      </c>
      <c r="AF7" s="15">
        <f t="shared" si="8"/>
        <v>0</v>
      </c>
      <c r="AG7" s="17">
        <v>0</v>
      </c>
      <c r="AH7" s="17">
        <v>0</v>
      </c>
      <c r="AI7" s="15">
        <f t="shared" si="9"/>
        <v>0</v>
      </c>
      <c r="AJ7" s="17"/>
    </row>
    <row r="8" spans="1:36" hidden="1" x14ac:dyDescent="0.3">
      <c r="A8" s="15" t="s">
        <v>61</v>
      </c>
      <c r="B8" s="15">
        <v>100</v>
      </c>
      <c r="C8" s="15" t="s">
        <v>54</v>
      </c>
      <c r="D8" s="15" t="s">
        <v>55</v>
      </c>
      <c r="E8" s="15">
        <f>'3-july2026'!T8</f>
        <v>0</v>
      </c>
      <c r="F8" s="15">
        <f>'3-july2026'!U8</f>
        <v>17</v>
      </c>
      <c r="G8" s="15">
        <f>'3-july2026'!V8</f>
        <v>19</v>
      </c>
      <c r="H8" s="15">
        <f t="shared" si="0"/>
        <v>36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5</v>
      </c>
      <c r="P8" s="17">
        <v>0</v>
      </c>
      <c r="Q8" s="17">
        <v>0</v>
      </c>
      <c r="R8" s="17">
        <v>0</v>
      </c>
      <c r="S8" s="15">
        <f t="shared" si="1"/>
        <v>41</v>
      </c>
      <c r="T8" s="15">
        <f t="shared" si="2"/>
        <v>5</v>
      </c>
      <c r="U8" s="15">
        <f t="shared" si="3"/>
        <v>17</v>
      </c>
      <c r="V8" s="15">
        <f t="shared" si="4"/>
        <v>19</v>
      </c>
      <c r="W8" s="18" t="str">
        <f t="shared" si="5"/>
        <v/>
      </c>
      <c r="X8" s="17">
        <v>0</v>
      </c>
      <c r="Y8" s="17">
        <v>0</v>
      </c>
      <c r="Z8" s="15">
        <f t="shared" si="6"/>
        <v>0</v>
      </c>
      <c r="AA8" s="17">
        <v>0</v>
      </c>
      <c r="AB8" s="17">
        <v>0</v>
      </c>
      <c r="AC8" s="15">
        <f t="shared" si="7"/>
        <v>0</v>
      </c>
      <c r="AD8" s="17">
        <v>0</v>
      </c>
      <c r="AE8" s="17">
        <v>0</v>
      </c>
      <c r="AF8" s="15">
        <f t="shared" si="8"/>
        <v>0</v>
      </c>
      <c r="AG8" s="17">
        <v>0</v>
      </c>
      <c r="AH8" s="17">
        <v>0</v>
      </c>
      <c r="AI8" s="15">
        <f t="shared" si="9"/>
        <v>0</v>
      </c>
      <c r="AJ8" s="17"/>
    </row>
    <row r="9" spans="1:36" hidden="1" x14ac:dyDescent="0.3">
      <c r="A9" s="15" t="s">
        <v>62</v>
      </c>
      <c r="B9" s="15">
        <v>100</v>
      </c>
      <c r="C9" s="15" t="s">
        <v>54</v>
      </c>
      <c r="D9" s="15" t="s">
        <v>55</v>
      </c>
      <c r="E9" s="15">
        <f>'3-july2026'!T9</f>
        <v>0</v>
      </c>
      <c r="F9" s="15">
        <f>'3-july2026'!U9</f>
        <v>0</v>
      </c>
      <c r="G9" s="15">
        <f>'3-july2026'!V9</f>
        <v>1</v>
      </c>
      <c r="H9" s="15">
        <f t="shared" si="0"/>
        <v>1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5">
        <f t="shared" si="1"/>
        <v>1</v>
      </c>
      <c r="T9" s="15">
        <f t="shared" si="2"/>
        <v>0</v>
      </c>
      <c r="U9" s="15">
        <f t="shared" si="3"/>
        <v>0</v>
      </c>
      <c r="V9" s="15">
        <f t="shared" si="4"/>
        <v>1</v>
      </c>
      <c r="W9" s="18" t="str">
        <f t="shared" si="5"/>
        <v/>
      </c>
      <c r="X9" s="17">
        <v>0</v>
      </c>
      <c r="Y9" s="17">
        <v>0</v>
      </c>
      <c r="Z9" s="15">
        <f t="shared" si="6"/>
        <v>0</v>
      </c>
      <c r="AA9" s="17">
        <v>0</v>
      </c>
      <c r="AB9" s="17">
        <v>0</v>
      </c>
      <c r="AC9" s="15">
        <f t="shared" si="7"/>
        <v>0</v>
      </c>
      <c r="AD9" s="17">
        <v>0</v>
      </c>
      <c r="AE9" s="17">
        <v>0</v>
      </c>
      <c r="AF9" s="15">
        <f t="shared" si="8"/>
        <v>0</v>
      </c>
      <c r="AG9" s="17">
        <v>0</v>
      </c>
      <c r="AH9" s="17">
        <v>0</v>
      </c>
      <c r="AI9" s="15">
        <f t="shared" si="9"/>
        <v>0</v>
      </c>
      <c r="AJ9" s="17"/>
    </row>
    <row r="10" spans="1:36" hidden="1" x14ac:dyDescent="0.3">
      <c r="A10" s="15" t="s">
        <v>62</v>
      </c>
      <c r="B10" s="15">
        <v>500</v>
      </c>
      <c r="C10" s="15" t="s">
        <v>54</v>
      </c>
      <c r="D10" s="15" t="s">
        <v>55</v>
      </c>
      <c r="E10" s="15">
        <f>'3-july2026'!T10</f>
        <v>-2</v>
      </c>
      <c r="F10" s="15">
        <f>'3-july2026'!U10</f>
        <v>0</v>
      </c>
      <c r="G10" s="15">
        <f>'3-july2026'!V10</f>
        <v>0</v>
      </c>
      <c r="H10" s="15">
        <f t="shared" si="0"/>
        <v>-2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5">
        <f t="shared" si="1"/>
        <v>-2</v>
      </c>
      <c r="T10" s="15">
        <f t="shared" si="2"/>
        <v>-2</v>
      </c>
      <c r="U10" s="15">
        <f t="shared" si="3"/>
        <v>0</v>
      </c>
      <c r="V10" s="15">
        <f t="shared" si="4"/>
        <v>0</v>
      </c>
      <c r="W10" s="18" t="str">
        <f t="shared" si="5"/>
        <v>NEGATIVE STOCK - CHECK ENTRIES</v>
      </c>
      <c r="X10" s="17">
        <v>0</v>
      </c>
      <c r="Y10" s="17">
        <v>0</v>
      </c>
      <c r="Z10" s="15">
        <f t="shared" si="6"/>
        <v>0</v>
      </c>
      <c r="AA10" s="17">
        <v>0</v>
      </c>
      <c r="AB10" s="17">
        <v>0</v>
      </c>
      <c r="AC10" s="15">
        <f t="shared" si="7"/>
        <v>0</v>
      </c>
      <c r="AD10" s="17">
        <v>0</v>
      </c>
      <c r="AE10" s="17">
        <v>0</v>
      </c>
      <c r="AF10" s="15">
        <f t="shared" si="8"/>
        <v>0</v>
      </c>
      <c r="AG10" s="17">
        <v>0</v>
      </c>
      <c r="AH10" s="17">
        <v>0</v>
      </c>
      <c r="AI10" s="15">
        <f t="shared" si="9"/>
        <v>0</v>
      </c>
      <c r="AJ10" s="17"/>
    </row>
    <row r="11" spans="1:36" hidden="1" x14ac:dyDescent="0.3">
      <c r="A11" s="15" t="s">
        <v>63</v>
      </c>
      <c r="B11" s="15">
        <v>100</v>
      </c>
      <c r="C11" s="15" t="s">
        <v>54</v>
      </c>
      <c r="D11" s="15" t="s">
        <v>55</v>
      </c>
      <c r="E11" s="15">
        <f>'3-july2026'!T11</f>
        <v>322</v>
      </c>
      <c r="F11" s="15">
        <f>'3-july2026'!U11</f>
        <v>195</v>
      </c>
      <c r="G11" s="15">
        <f>'3-july2026'!V11</f>
        <v>16</v>
      </c>
      <c r="H11" s="15">
        <f t="shared" si="0"/>
        <v>533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8</v>
      </c>
      <c r="P11" s="17">
        <v>0</v>
      </c>
      <c r="Q11" s="17">
        <v>0</v>
      </c>
      <c r="R11" s="17">
        <v>0</v>
      </c>
      <c r="S11" s="15">
        <f t="shared" si="1"/>
        <v>541</v>
      </c>
      <c r="T11" s="15">
        <f t="shared" si="2"/>
        <v>330</v>
      </c>
      <c r="U11" s="15">
        <f t="shared" si="3"/>
        <v>195</v>
      </c>
      <c r="V11" s="15">
        <f t="shared" si="4"/>
        <v>16</v>
      </c>
      <c r="W11" s="18" t="str">
        <f t="shared" si="5"/>
        <v/>
      </c>
      <c r="X11" s="17">
        <v>0</v>
      </c>
      <c r="Y11" s="17">
        <v>0</v>
      </c>
      <c r="Z11" s="15">
        <f t="shared" si="6"/>
        <v>0</v>
      </c>
      <c r="AA11" s="17">
        <v>0</v>
      </c>
      <c r="AB11" s="17">
        <v>0</v>
      </c>
      <c r="AC11" s="15">
        <f t="shared" si="7"/>
        <v>0</v>
      </c>
      <c r="AD11" s="17">
        <v>0</v>
      </c>
      <c r="AE11" s="17">
        <v>0</v>
      </c>
      <c r="AF11" s="15">
        <f t="shared" si="8"/>
        <v>0</v>
      </c>
      <c r="AG11" s="17">
        <v>0</v>
      </c>
      <c r="AH11" s="17">
        <v>0</v>
      </c>
      <c r="AI11" s="15">
        <f t="shared" si="9"/>
        <v>0</v>
      </c>
      <c r="AJ11" s="17"/>
    </row>
    <row r="12" spans="1:36" hidden="1" x14ac:dyDescent="0.3">
      <c r="A12" s="15" t="s">
        <v>64</v>
      </c>
      <c r="B12" s="15">
        <v>500</v>
      </c>
      <c r="C12" s="15" t="s">
        <v>54</v>
      </c>
      <c r="D12" s="15" t="s">
        <v>55</v>
      </c>
      <c r="E12" s="15">
        <f>'3-july2026'!T12</f>
        <v>8</v>
      </c>
      <c r="F12" s="15">
        <f>'3-july2026'!U12</f>
        <v>0</v>
      </c>
      <c r="G12" s="15">
        <f>'3-july2026'!V12</f>
        <v>0</v>
      </c>
      <c r="H12" s="15">
        <f t="shared" si="0"/>
        <v>8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5">
        <f t="shared" si="1"/>
        <v>8</v>
      </c>
      <c r="T12" s="15">
        <f t="shared" si="2"/>
        <v>8</v>
      </c>
      <c r="U12" s="15">
        <f t="shared" si="3"/>
        <v>0</v>
      </c>
      <c r="V12" s="15">
        <f t="shared" si="4"/>
        <v>0</v>
      </c>
      <c r="W12" s="18" t="str">
        <f t="shared" si="5"/>
        <v/>
      </c>
      <c r="X12" s="17">
        <v>0</v>
      </c>
      <c r="Y12" s="17">
        <v>0</v>
      </c>
      <c r="Z12" s="15">
        <f t="shared" si="6"/>
        <v>0</v>
      </c>
      <c r="AA12" s="17">
        <v>0</v>
      </c>
      <c r="AB12" s="17">
        <v>0</v>
      </c>
      <c r="AC12" s="15">
        <f t="shared" si="7"/>
        <v>0</v>
      </c>
      <c r="AD12" s="17">
        <v>0</v>
      </c>
      <c r="AE12" s="17">
        <v>0</v>
      </c>
      <c r="AF12" s="15">
        <f t="shared" si="8"/>
        <v>0</v>
      </c>
      <c r="AG12" s="17">
        <v>0</v>
      </c>
      <c r="AH12" s="17">
        <v>0</v>
      </c>
      <c r="AI12" s="15">
        <f t="shared" si="9"/>
        <v>0</v>
      </c>
      <c r="AJ12" s="17"/>
    </row>
    <row r="13" spans="1:36" hidden="1" x14ac:dyDescent="0.3">
      <c r="A13" s="15" t="s">
        <v>65</v>
      </c>
      <c r="B13" s="15">
        <v>100</v>
      </c>
      <c r="C13" s="15" t="s">
        <v>54</v>
      </c>
      <c r="D13" s="15" t="s">
        <v>55</v>
      </c>
      <c r="E13" s="15">
        <f>'3-july2026'!T13</f>
        <v>1252</v>
      </c>
      <c r="F13" s="15">
        <f>'3-july2026'!U13</f>
        <v>297</v>
      </c>
      <c r="G13" s="15">
        <f>'3-july2026'!V13</f>
        <v>119</v>
      </c>
      <c r="H13" s="15">
        <f t="shared" si="0"/>
        <v>1668</v>
      </c>
      <c r="I13" s="17">
        <v>16</v>
      </c>
      <c r="J13" s="17">
        <v>0</v>
      </c>
      <c r="K13" s="17">
        <v>160</v>
      </c>
      <c r="L13" s="17">
        <v>210</v>
      </c>
      <c r="M13" s="17">
        <v>155</v>
      </c>
      <c r="N13" s="17">
        <v>0</v>
      </c>
      <c r="O13" s="17">
        <v>0</v>
      </c>
      <c r="P13" s="17">
        <v>0</v>
      </c>
      <c r="Q13" s="17">
        <v>210</v>
      </c>
      <c r="R13" s="17">
        <v>0</v>
      </c>
      <c r="S13" s="15">
        <f t="shared" si="1"/>
        <v>1337</v>
      </c>
      <c r="T13" s="15">
        <f t="shared" si="2"/>
        <v>1026</v>
      </c>
      <c r="U13" s="15">
        <f t="shared" si="3"/>
        <v>142</v>
      </c>
      <c r="V13" s="15">
        <f t="shared" si="4"/>
        <v>169</v>
      </c>
      <c r="W13" s="18" t="str">
        <f t="shared" si="5"/>
        <v/>
      </c>
      <c r="X13" s="17">
        <v>0</v>
      </c>
      <c r="Y13" s="17">
        <v>0</v>
      </c>
      <c r="Z13" s="15">
        <f t="shared" si="6"/>
        <v>0</v>
      </c>
      <c r="AA13" s="17">
        <v>0</v>
      </c>
      <c r="AB13" s="17">
        <v>0</v>
      </c>
      <c r="AC13" s="15">
        <f t="shared" si="7"/>
        <v>0</v>
      </c>
      <c r="AD13" s="17">
        <v>0</v>
      </c>
      <c r="AE13" s="17">
        <v>0</v>
      </c>
      <c r="AF13" s="15">
        <f t="shared" si="8"/>
        <v>0</v>
      </c>
      <c r="AG13" s="17">
        <v>0</v>
      </c>
      <c r="AH13" s="17">
        <v>0</v>
      </c>
      <c r="AI13" s="15">
        <f t="shared" si="9"/>
        <v>0</v>
      </c>
      <c r="AJ13" s="17"/>
    </row>
    <row r="14" spans="1:36" hidden="1" x14ac:dyDescent="0.3">
      <c r="A14" s="15" t="s">
        <v>65</v>
      </c>
      <c r="B14" s="15">
        <v>500</v>
      </c>
      <c r="C14" s="15" t="s">
        <v>54</v>
      </c>
      <c r="D14" s="15" t="s">
        <v>55</v>
      </c>
      <c r="E14" s="15">
        <f>'3-july2026'!T14</f>
        <v>101</v>
      </c>
      <c r="F14" s="15">
        <f>'3-july2026'!U14</f>
        <v>60</v>
      </c>
      <c r="G14" s="15">
        <f>'3-july2026'!V14</f>
        <v>15</v>
      </c>
      <c r="H14" s="15">
        <f t="shared" si="0"/>
        <v>176</v>
      </c>
      <c r="I14" s="17">
        <v>0</v>
      </c>
      <c r="J14" s="17">
        <v>0</v>
      </c>
      <c r="K14" s="17">
        <v>0</v>
      </c>
      <c r="L14" s="17">
        <v>94</v>
      </c>
      <c r="M14" s="17">
        <v>60</v>
      </c>
      <c r="N14" s="17">
        <v>0</v>
      </c>
      <c r="O14" s="17">
        <v>0</v>
      </c>
      <c r="P14" s="17">
        <v>0</v>
      </c>
      <c r="Q14" s="17">
        <v>30</v>
      </c>
      <c r="R14" s="17">
        <v>0</v>
      </c>
      <c r="S14" s="15">
        <f t="shared" si="1"/>
        <v>52</v>
      </c>
      <c r="T14" s="15">
        <f t="shared" si="2"/>
        <v>7</v>
      </c>
      <c r="U14" s="15">
        <f t="shared" si="3"/>
        <v>0</v>
      </c>
      <c r="V14" s="15">
        <f t="shared" si="4"/>
        <v>45</v>
      </c>
      <c r="W14" s="18" t="str">
        <f t="shared" si="5"/>
        <v/>
      </c>
      <c r="X14" s="17">
        <v>0</v>
      </c>
      <c r="Y14" s="17">
        <v>0</v>
      </c>
      <c r="Z14" s="15">
        <f t="shared" si="6"/>
        <v>0</v>
      </c>
      <c r="AA14" s="17">
        <v>0</v>
      </c>
      <c r="AB14" s="17">
        <v>0</v>
      </c>
      <c r="AC14" s="15">
        <f t="shared" si="7"/>
        <v>0</v>
      </c>
      <c r="AD14" s="17">
        <v>0</v>
      </c>
      <c r="AE14" s="17">
        <v>0</v>
      </c>
      <c r="AF14" s="15">
        <f t="shared" si="8"/>
        <v>0</v>
      </c>
      <c r="AG14" s="17">
        <v>0</v>
      </c>
      <c r="AH14" s="17">
        <v>0</v>
      </c>
      <c r="AI14" s="15">
        <f t="shared" si="9"/>
        <v>0</v>
      </c>
      <c r="AJ14" s="17"/>
    </row>
    <row r="15" spans="1:36" hidden="1" x14ac:dyDescent="0.3">
      <c r="A15" s="15" t="s">
        <v>66</v>
      </c>
      <c r="B15" s="15">
        <v>100</v>
      </c>
      <c r="C15" s="15" t="s">
        <v>54</v>
      </c>
      <c r="D15" s="15" t="s">
        <v>55</v>
      </c>
      <c r="E15" s="15">
        <f>'3-july2026'!T15</f>
        <v>302</v>
      </c>
      <c r="F15" s="15">
        <f>'3-july2026'!U15</f>
        <v>41</v>
      </c>
      <c r="G15" s="15">
        <f>'3-july2026'!V15</f>
        <v>11</v>
      </c>
      <c r="H15" s="15">
        <f t="shared" si="0"/>
        <v>354</v>
      </c>
      <c r="I15" s="17">
        <v>100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5">
        <f t="shared" si="1"/>
        <v>254</v>
      </c>
      <c r="T15" s="15">
        <f t="shared" si="2"/>
        <v>202</v>
      </c>
      <c r="U15" s="15">
        <f t="shared" si="3"/>
        <v>41</v>
      </c>
      <c r="V15" s="15">
        <f t="shared" si="4"/>
        <v>11</v>
      </c>
      <c r="W15" s="18" t="str">
        <f t="shared" si="5"/>
        <v/>
      </c>
      <c r="X15" s="17">
        <v>0</v>
      </c>
      <c r="Y15" s="17">
        <v>0</v>
      </c>
      <c r="Z15" s="15">
        <f t="shared" si="6"/>
        <v>0</v>
      </c>
      <c r="AA15" s="17">
        <v>0</v>
      </c>
      <c r="AB15" s="17">
        <v>0</v>
      </c>
      <c r="AC15" s="15">
        <f t="shared" si="7"/>
        <v>0</v>
      </c>
      <c r="AD15" s="17">
        <v>0</v>
      </c>
      <c r="AE15" s="17">
        <v>0</v>
      </c>
      <c r="AF15" s="15">
        <f t="shared" si="8"/>
        <v>0</v>
      </c>
      <c r="AG15" s="17">
        <v>0</v>
      </c>
      <c r="AH15" s="17">
        <v>0</v>
      </c>
      <c r="AI15" s="15">
        <f t="shared" si="9"/>
        <v>0</v>
      </c>
      <c r="AJ15" s="17"/>
    </row>
    <row r="16" spans="1:36" hidden="1" x14ac:dyDescent="0.3">
      <c r="A16" s="15" t="s">
        <v>66</v>
      </c>
      <c r="B16" s="15">
        <v>1000</v>
      </c>
      <c r="C16" s="15" t="s">
        <v>54</v>
      </c>
      <c r="D16" s="15" t="s">
        <v>55</v>
      </c>
      <c r="E16" s="15">
        <f>'3-july2026'!T16</f>
        <v>1</v>
      </c>
      <c r="F16" s="15">
        <f>'3-july2026'!U16</f>
        <v>0</v>
      </c>
      <c r="G16" s="15">
        <f>'3-july2026'!V16</f>
        <v>0</v>
      </c>
      <c r="H16" s="15">
        <f t="shared" si="0"/>
        <v>1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5">
        <f t="shared" si="1"/>
        <v>1</v>
      </c>
      <c r="T16" s="15">
        <f t="shared" si="2"/>
        <v>1</v>
      </c>
      <c r="U16" s="15">
        <f t="shared" si="3"/>
        <v>0</v>
      </c>
      <c r="V16" s="15">
        <f t="shared" si="4"/>
        <v>0</v>
      </c>
      <c r="W16" s="18" t="str">
        <f t="shared" si="5"/>
        <v/>
      </c>
      <c r="X16" s="17">
        <v>0</v>
      </c>
      <c r="Y16" s="17">
        <v>0</v>
      </c>
      <c r="Z16" s="15">
        <f t="shared" si="6"/>
        <v>0</v>
      </c>
      <c r="AA16" s="17">
        <v>0</v>
      </c>
      <c r="AB16" s="17">
        <v>0</v>
      </c>
      <c r="AC16" s="15">
        <f t="shared" si="7"/>
        <v>0</v>
      </c>
      <c r="AD16" s="17">
        <v>0</v>
      </c>
      <c r="AE16" s="17">
        <v>0</v>
      </c>
      <c r="AF16" s="15">
        <f t="shared" si="8"/>
        <v>0</v>
      </c>
      <c r="AG16" s="17">
        <v>0</v>
      </c>
      <c r="AH16" s="17">
        <v>0</v>
      </c>
      <c r="AI16" s="15">
        <f t="shared" si="9"/>
        <v>0</v>
      </c>
      <c r="AJ16" s="17"/>
    </row>
    <row r="17" spans="1:36" x14ac:dyDescent="0.3">
      <c r="A17" s="15" t="s">
        <v>67</v>
      </c>
      <c r="B17" s="15">
        <v>1000</v>
      </c>
      <c r="C17" s="15" t="s">
        <v>54</v>
      </c>
      <c r="D17" s="15" t="s">
        <v>68</v>
      </c>
      <c r="E17" s="17">
        <v>3</v>
      </c>
      <c r="F17" s="17">
        <v>0</v>
      </c>
      <c r="G17" s="17">
        <v>0</v>
      </c>
      <c r="H17" s="15">
        <f t="shared" si="0"/>
        <v>3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5">
        <f t="shared" si="1"/>
        <v>3</v>
      </c>
      <c r="T17" s="15">
        <f t="shared" si="2"/>
        <v>3</v>
      </c>
      <c r="U17" s="15">
        <f t="shared" si="3"/>
        <v>0</v>
      </c>
      <c r="V17" s="15">
        <f t="shared" si="4"/>
        <v>0</v>
      </c>
      <c r="W17" s="18" t="str">
        <f t="shared" si="5"/>
        <v/>
      </c>
      <c r="X17" s="17">
        <v>0</v>
      </c>
      <c r="Y17" s="17">
        <v>0</v>
      </c>
      <c r="Z17" s="15">
        <f t="shared" si="6"/>
        <v>0</v>
      </c>
      <c r="AA17" s="17">
        <v>0</v>
      </c>
      <c r="AB17" s="17">
        <v>0</v>
      </c>
      <c r="AC17" s="15">
        <f t="shared" si="7"/>
        <v>0</v>
      </c>
      <c r="AD17" s="17">
        <v>0</v>
      </c>
      <c r="AE17" s="17">
        <v>0</v>
      </c>
      <c r="AF17" s="15">
        <f t="shared" si="8"/>
        <v>0</v>
      </c>
      <c r="AG17" s="17">
        <v>0</v>
      </c>
      <c r="AH17" s="17">
        <v>0</v>
      </c>
      <c r="AI17" s="15">
        <f t="shared" si="9"/>
        <v>0</v>
      </c>
      <c r="AJ17" s="17"/>
    </row>
    <row r="18" spans="1:36" x14ac:dyDescent="0.3">
      <c r="A18" s="15" t="s">
        <v>69</v>
      </c>
      <c r="B18" s="15">
        <v>100000</v>
      </c>
      <c r="C18" s="15" t="s">
        <v>54</v>
      </c>
      <c r="D18" s="15" t="s">
        <v>68</v>
      </c>
      <c r="E18" s="17">
        <v>2</v>
      </c>
      <c r="F18" s="17">
        <v>0</v>
      </c>
      <c r="G18" s="17">
        <v>0</v>
      </c>
      <c r="H18" s="15">
        <f t="shared" si="0"/>
        <v>2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5">
        <f t="shared" si="1"/>
        <v>2</v>
      </c>
      <c r="T18" s="15">
        <f t="shared" si="2"/>
        <v>2</v>
      </c>
      <c r="U18" s="15">
        <f t="shared" si="3"/>
        <v>0</v>
      </c>
      <c r="V18" s="15">
        <f t="shared" si="4"/>
        <v>0</v>
      </c>
      <c r="W18" s="18" t="str">
        <f t="shared" si="5"/>
        <v/>
      </c>
      <c r="X18" s="17">
        <v>0</v>
      </c>
      <c r="Y18" s="17">
        <v>0</v>
      </c>
      <c r="Z18" s="15">
        <f t="shared" si="6"/>
        <v>0</v>
      </c>
      <c r="AA18" s="17">
        <v>0</v>
      </c>
      <c r="AB18" s="17">
        <v>0</v>
      </c>
      <c r="AC18" s="15">
        <f t="shared" si="7"/>
        <v>0</v>
      </c>
      <c r="AD18" s="17">
        <v>0</v>
      </c>
      <c r="AE18" s="17">
        <v>0</v>
      </c>
      <c r="AF18" s="15">
        <f t="shared" si="8"/>
        <v>0</v>
      </c>
      <c r="AG18" s="17">
        <v>0</v>
      </c>
      <c r="AH18" s="17">
        <v>0</v>
      </c>
      <c r="AI18" s="15">
        <f t="shared" si="9"/>
        <v>0</v>
      </c>
      <c r="AJ18" s="17"/>
    </row>
    <row r="19" spans="1:36" hidden="1" x14ac:dyDescent="0.3">
      <c r="A19" s="15" t="s">
        <v>70</v>
      </c>
      <c r="B19" s="15">
        <v>1000</v>
      </c>
      <c r="C19" s="15" t="s">
        <v>54</v>
      </c>
      <c r="D19" s="15" t="s">
        <v>55</v>
      </c>
      <c r="E19" s="15">
        <f>'3-july2026'!T19</f>
        <v>8</v>
      </c>
      <c r="F19" s="15">
        <f>'3-july2026'!U19</f>
        <v>0</v>
      </c>
      <c r="G19" s="15">
        <f>'3-july2026'!V19</f>
        <v>0</v>
      </c>
      <c r="H19" s="15">
        <f t="shared" si="0"/>
        <v>8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5">
        <f t="shared" si="1"/>
        <v>8</v>
      </c>
      <c r="T19" s="15">
        <f t="shared" si="2"/>
        <v>8</v>
      </c>
      <c r="U19" s="15">
        <f t="shared" si="3"/>
        <v>0</v>
      </c>
      <c r="V19" s="15">
        <f t="shared" si="4"/>
        <v>0</v>
      </c>
      <c r="W19" s="18" t="str">
        <f t="shared" si="5"/>
        <v/>
      </c>
      <c r="X19" s="17">
        <v>0</v>
      </c>
      <c r="Y19" s="17">
        <v>0</v>
      </c>
      <c r="Z19" s="15">
        <f t="shared" si="6"/>
        <v>0</v>
      </c>
      <c r="AA19" s="17">
        <v>0</v>
      </c>
      <c r="AB19" s="17">
        <v>0</v>
      </c>
      <c r="AC19" s="15">
        <f t="shared" si="7"/>
        <v>0</v>
      </c>
      <c r="AD19" s="17">
        <v>0</v>
      </c>
      <c r="AE19" s="17">
        <v>0</v>
      </c>
      <c r="AF19" s="15">
        <f t="shared" si="8"/>
        <v>0</v>
      </c>
      <c r="AG19" s="17">
        <v>0</v>
      </c>
      <c r="AH19" s="17">
        <v>0</v>
      </c>
      <c r="AI19" s="15">
        <f t="shared" si="9"/>
        <v>0</v>
      </c>
      <c r="AJ19" s="17"/>
    </row>
    <row r="20" spans="1:36" x14ac:dyDescent="0.3">
      <c r="A20" s="15" t="s">
        <v>70</v>
      </c>
      <c r="B20" s="15">
        <v>1000</v>
      </c>
      <c r="C20" s="15" t="s">
        <v>54</v>
      </c>
      <c r="D20" s="15" t="s">
        <v>57</v>
      </c>
      <c r="E20" s="17">
        <v>1</v>
      </c>
      <c r="F20" s="17">
        <v>0</v>
      </c>
      <c r="G20" s="17">
        <v>0</v>
      </c>
      <c r="H20" s="15">
        <f t="shared" si="0"/>
        <v>1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5">
        <f t="shared" si="1"/>
        <v>1</v>
      </c>
      <c r="T20" s="15">
        <f t="shared" si="2"/>
        <v>1</v>
      </c>
      <c r="U20" s="15">
        <f t="shared" si="3"/>
        <v>0</v>
      </c>
      <c r="V20" s="15">
        <f t="shared" si="4"/>
        <v>0</v>
      </c>
      <c r="W20" s="18" t="str">
        <f t="shared" si="5"/>
        <v/>
      </c>
      <c r="X20" s="17">
        <v>0</v>
      </c>
      <c r="Y20" s="17">
        <v>0</v>
      </c>
      <c r="Z20" s="15">
        <f t="shared" si="6"/>
        <v>0</v>
      </c>
      <c r="AA20" s="17">
        <v>0</v>
      </c>
      <c r="AB20" s="17">
        <v>0</v>
      </c>
      <c r="AC20" s="15">
        <f t="shared" si="7"/>
        <v>0</v>
      </c>
      <c r="AD20" s="17">
        <v>0</v>
      </c>
      <c r="AE20" s="17">
        <v>0</v>
      </c>
      <c r="AF20" s="15">
        <f t="shared" si="8"/>
        <v>0</v>
      </c>
      <c r="AG20" s="17">
        <v>0</v>
      </c>
      <c r="AH20" s="17">
        <v>0</v>
      </c>
      <c r="AI20" s="15">
        <f t="shared" si="9"/>
        <v>0</v>
      </c>
      <c r="AJ20" s="17"/>
    </row>
    <row r="21" spans="1:36" hidden="1" x14ac:dyDescent="0.3">
      <c r="A21" s="15" t="s">
        <v>71</v>
      </c>
      <c r="B21" s="15">
        <v>100</v>
      </c>
      <c r="C21" s="15" t="s">
        <v>54</v>
      </c>
      <c r="D21" s="15" t="s">
        <v>55</v>
      </c>
      <c r="E21" s="15">
        <f>'3-july2026'!T21</f>
        <v>4</v>
      </c>
      <c r="F21" s="15">
        <f>'3-july2026'!U21</f>
        <v>0</v>
      </c>
      <c r="G21" s="15">
        <f>'3-july2026'!V21</f>
        <v>0</v>
      </c>
      <c r="H21" s="15">
        <f t="shared" si="0"/>
        <v>4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5">
        <f t="shared" si="1"/>
        <v>4</v>
      </c>
      <c r="T21" s="15">
        <f t="shared" si="2"/>
        <v>4</v>
      </c>
      <c r="U21" s="15">
        <f t="shared" si="3"/>
        <v>0</v>
      </c>
      <c r="V21" s="15">
        <f t="shared" si="4"/>
        <v>0</v>
      </c>
      <c r="W21" s="18" t="str">
        <f t="shared" si="5"/>
        <v/>
      </c>
      <c r="X21" s="17">
        <v>0</v>
      </c>
      <c r="Y21" s="17">
        <v>0</v>
      </c>
      <c r="Z21" s="15">
        <f t="shared" si="6"/>
        <v>0</v>
      </c>
      <c r="AA21" s="17">
        <v>0</v>
      </c>
      <c r="AB21" s="17">
        <v>0</v>
      </c>
      <c r="AC21" s="15">
        <f t="shared" si="7"/>
        <v>0</v>
      </c>
      <c r="AD21" s="17">
        <v>0</v>
      </c>
      <c r="AE21" s="17">
        <v>0</v>
      </c>
      <c r="AF21" s="15">
        <f t="shared" si="8"/>
        <v>0</v>
      </c>
      <c r="AG21" s="17">
        <v>0</v>
      </c>
      <c r="AH21" s="17">
        <v>0</v>
      </c>
      <c r="AI21" s="15">
        <f t="shared" si="9"/>
        <v>0</v>
      </c>
      <c r="AJ21" s="17"/>
    </row>
    <row r="22" spans="1:36" hidden="1" x14ac:dyDescent="0.3">
      <c r="A22" s="15" t="s">
        <v>71</v>
      </c>
      <c r="B22" s="15">
        <v>1000</v>
      </c>
      <c r="C22" s="15" t="s">
        <v>54</v>
      </c>
      <c r="D22" s="15" t="s">
        <v>55</v>
      </c>
      <c r="E22" s="15">
        <f>'3-july2026'!T22</f>
        <v>8</v>
      </c>
      <c r="F22" s="15">
        <f>'3-july2026'!U22</f>
        <v>0</v>
      </c>
      <c r="G22" s="15">
        <f>'3-july2026'!V22</f>
        <v>0</v>
      </c>
      <c r="H22" s="15">
        <f t="shared" si="0"/>
        <v>8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5">
        <f t="shared" si="1"/>
        <v>8</v>
      </c>
      <c r="T22" s="15">
        <f t="shared" si="2"/>
        <v>8</v>
      </c>
      <c r="U22" s="15">
        <f t="shared" si="3"/>
        <v>0</v>
      </c>
      <c r="V22" s="15">
        <f t="shared" si="4"/>
        <v>0</v>
      </c>
      <c r="W22" s="18" t="str">
        <f t="shared" si="5"/>
        <v/>
      </c>
      <c r="X22" s="17">
        <v>0</v>
      </c>
      <c r="Y22" s="17">
        <v>0</v>
      </c>
      <c r="Z22" s="15">
        <f t="shared" si="6"/>
        <v>0</v>
      </c>
      <c r="AA22" s="17">
        <v>0</v>
      </c>
      <c r="AB22" s="17">
        <v>0</v>
      </c>
      <c r="AC22" s="15">
        <f t="shared" si="7"/>
        <v>0</v>
      </c>
      <c r="AD22" s="17">
        <v>0</v>
      </c>
      <c r="AE22" s="17">
        <v>0</v>
      </c>
      <c r="AF22" s="15">
        <f t="shared" si="8"/>
        <v>0</v>
      </c>
      <c r="AG22" s="17">
        <v>0</v>
      </c>
      <c r="AH22" s="17">
        <v>0</v>
      </c>
      <c r="AI22" s="15">
        <f t="shared" si="9"/>
        <v>0</v>
      </c>
      <c r="AJ22" s="17"/>
    </row>
    <row r="23" spans="1:36" x14ac:dyDescent="0.3">
      <c r="A23" s="15" t="s">
        <v>72</v>
      </c>
      <c r="B23" s="15">
        <v>100</v>
      </c>
      <c r="C23" s="15" t="s">
        <v>54</v>
      </c>
      <c r="D23" s="15" t="s">
        <v>57</v>
      </c>
      <c r="E23" s="17">
        <v>20</v>
      </c>
      <c r="F23" s="17">
        <v>0</v>
      </c>
      <c r="G23" s="17">
        <v>0</v>
      </c>
      <c r="H23" s="15">
        <f t="shared" si="0"/>
        <v>20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5">
        <f t="shared" si="1"/>
        <v>20</v>
      </c>
      <c r="T23" s="15">
        <f t="shared" si="2"/>
        <v>20</v>
      </c>
      <c r="U23" s="15">
        <f t="shared" si="3"/>
        <v>0</v>
      </c>
      <c r="V23" s="15">
        <f t="shared" si="4"/>
        <v>0</v>
      </c>
      <c r="W23" s="18" t="str">
        <f t="shared" si="5"/>
        <v/>
      </c>
      <c r="X23" s="17">
        <v>0</v>
      </c>
      <c r="Y23" s="17">
        <v>0</v>
      </c>
      <c r="Z23" s="15">
        <f t="shared" si="6"/>
        <v>0</v>
      </c>
      <c r="AA23" s="17">
        <v>0</v>
      </c>
      <c r="AB23" s="17">
        <v>0</v>
      </c>
      <c r="AC23" s="15">
        <f t="shared" si="7"/>
        <v>0</v>
      </c>
      <c r="AD23" s="17">
        <v>0</v>
      </c>
      <c r="AE23" s="17">
        <v>0</v>
      </c>
      <c r="AF23" s="15">
        <f t="shared" si="8"/>
        <v>0</v>
      </c>
      <c r="AG23" s="17">
        <v>0</v>
      </c>
      <c r="AH23" s="17">
        <v>0</v>
      </c>
      <c r="AI23" s="15">
        <f t="shared" si="9"/>
        <v>0</v>
      </c>
      <c r="AJ23" s="17"/>
    </row>
    <row r="24" spans="1:36" x14ac:dyDescent="0.3">
      <c r="A24" s="15" t="s">
        <v>72</v>
      </c>
      <c r="B24" s="15">
        <v>500</v>
      </c>
      <c r="C24" s="15" t="s">
        <v>54</v>
      </c>
      <c r="D24" s="15" t="s">
        <v>57</v>
      </c>
      <c r="E24" s="17">
        <v>2</v>
      </c>
      <c r="F24" s="17">
        <v>0</v>
      </c>
      <c r="G24" s="17">
        <v>0</v>
      </c>
      <c r="H24" s="15">
        <f t="shared" si="0"/>
        <v>2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5">
        <f t="shared" si="1"/>
        <v>2</v>
      </c>
      <c r="T24" s="15">
        <f t="shared" si="2"/>
        <v>2</v>
      </c>
      <c r="U24" s="15">
        <f t="shared" si="3"/>
        <v>0</v>
      </c>
      <c r="V24" s="15">
        <f t="shared" si="4"/>
        <v>0</v>
      </c>
      <c r="W24" s="18" t="str">
        <f t="shared" si="5"/>
        <v/>
      </c>
      <c r="X24" s="17">
        <v>0</v>
      </c>
      <c r="Y24" s="17">
        <v>0</v>
      </c>
      <c r="Z24" s="15">
        <f t="shared" si="6"/>
        <v>0</v>
      </c>
      <c r="AA24" s="17">
        <v>0</v>
      </c>
      <c r="AB24" s="17">
        <v>0</v>
      </c>
      <c r="AC24" s="15">
        <f t="shared" si="7"/>
        <v>0</v>
      </c>
      <c r="AD24" s="17">
        <v>0</v>
      </c>
      <c r="AE24" s="17">
        <v>0</v>
      </c>
      <c r="AF24" s="15">
        <f t="shared" si="8"/>
        <v>0</v>
      </c>
      <c r="AG24" s="17">
        <v>0</v>
      </c>
      <c r="AH24" s="17">
        <v>0</v>
      </c>
      <c r="AI24" s="15">
        <f t="shared" si="9"/>
        <v>0</v>
      </c>
      <c r="AJ24" s="17"/>
    </row>
    <row r="25" spans="1:36" hidden="1" x14ac:dyDescent="0.3">
      <c r="A25" s="15" t="s">
        <v>73</v>
      </c>
      <c r="B25" s="15">
        <v>100</v>
      </c>
      <c r="C25" s="15" t="s">
        <v>54</v>
      </c>
      <c r="D25" s="15" t="s">
        <v>55</v>
      </c>
      <c r="E25" s="15">
        <f>'3-july2026'!T25</f>
        <v>1</v>
      </c>
      <c r="F25" s="15">
        <f>'3-july2026'!U25</f>
        <v>151</v>
      </c>
      <c r="G25" s="15">
        <f>'3-july2026'!V25</f>
        <v>0</v>
      </c>
      <c r="H25" s="15">
        <f t="shared" si="0"/>
        <v>152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5">
        <f t="shared" si="1"/>
        <v>152</v>
      </c>
      <c r="T25" s="15">
        <f t="shared" si="2"/>
        <v>1</v>
      </c>
      <c r="U25" s="15">
        <f t="shared" si="3"/>
        <v>151</v>
      </c>
      <c r="V25" s="15">
        <f t="shared" si="4"/>
        <v>0</v>
      </c>
      <c r="W25" s="18" t="str">
        <f t="shared" si="5"/>
        <v/>
      </c>
      <c r="X25" s="17">
        <v>0</v>
      </c>
      <c r="Y25" s="17">
        <v>0</v>
      </c>
      <c r="Z25" s="15">
        <f t="shared" si="6"/>
        <v>0</v>
      </c>
      <c r="AA25" s="17">
        <v>0</v>
      </c>
      <c r="AB25" s="17">
        <v>0</v>
      </c>
      <c r="AC25" s="15">
        <f t="shared" si="7"/>
        <v>0</v>
      </c>
      <c r="AD25" s="17">
        <v>0</v>
      </c>
      <c r="AE25" s="17">
        <v>0</v>
      </c>
      <c r="AF25" s="15">
        <f t="shared" si="8"/>
        <v>0</v>
      </c>
      <c r="AG25" s="17">
        <v>0</v>
      </c>
      <c r="AH25" s="17">
        <v>0</v>
      </c>
      <c r="AI25" s="15">
        <f t="shared" si="9"/>
        <v>0</v>
      </c>
      <c r="AJ25" s="17"/>
    </row>
    <row r="26" spans="1:36" hidden="1" x14ac:dyDescent="0.3">
      <c r="A26" s="15" t="s">
        <v>74</v>
      </c>
      <c r="B26" s="15">
        <v>100</v>
      </c>
      <c r="C26" s="15" t="s">
        <v>54</v>
      </c>
      <c r="D26" s="15" t="s">
        <v>55</v>
      </c>
      <c r="E26" s="15">
        <f>'3-july2026'!T26</f>
        <v>89</v>
      </c>
      <c r="F26" s="15">
        <f>'3-july2026'!U26</f>
        <v>28</v>
      </c>
      <c r="G26" s="15">
        <f>'3-july2026'!V26</f>
        <v>4</v>
      </c>
      <c r="H26" s="15">
        <f t="shared" si="0"/>
        <v>121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5">
        <f t="shared" si="1"/>
        <v>121</v>
      </c>
      <c r="T26" s="15">
        <f t="shared" si="2"/>
        <v>89</v>
      </c>
      <c r="U26" s="15">
        <f t="shared" si="3"/>
        <v>28</v>
      </c>
      <c r="V26" s="15">
        <f t="shared" si="4"/>
        <v>4</v>
      </c>
      <c r="W26" s="18" t="str">
        <f t="shared" si="5"/>
        <v/>
      </c>
      <c r="X26" s="17">
        <v>0</v>
      </c>
      <c r="Y26" s="17">
        <v>0</v>
      </c>
      <c r="Z26" s="15">
        <f t="shared" si="6"/>
        <v>0</v>
      </c>
      <c r="AA26" s="17">
        <v>0</v>
      </c>
      <c r="AB26" s="17">
        <v>0</v>
      </c>
      <c r="AC26" s="15">
        <f t="shared" si="7"/>
        <v>0</v>
      </c>
      <c r="AD26" s="17">
        <v>0</v>
      </c>
      <c r="AE26" s="17">
        <v>0</v>
      </c>
      <c r="AF26" s="15">
        <f t="shared" si="8"/>
        <v>0</v>
      </c>
      <c r="AG26" s="17">
        <v>0</v>
      </c>
      <c r="AH26" s="17">
        <v>0</v>
      </c>
      <c r="AI26" s="15">
        <f t="shared" si="9"/>
        <v>0</v>
      </c>
      <c r="AJ26" s="17"/>
    </row>
    <row r="27" spans="1:36" x14ac:dyDescent="0.3">
      <c r="A27" s="15" t="s">
        <v>75</v>
      </c>
      <c r="B27" s="15">
        <v>1000</v>
      </c>
      <c r="C27" s="15" t="s">
        <v>54</v>
      </c>
      <c r="D27" s="15" t="s">
        <v>68</v>
      </c>
      <c r="E27" s="17">
        <v>2</v>
      </c>
      <c r="F27" s="17">
        <v>0</v>
      </c>
      <c r="G27" s="17">
        <v>0</v>
      </c>
      <c r="H27" s="15">
        <f t="shared" si="0"/>
        <v>2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5">
        <f t="shared" si="1"/>
        <v>2</v>
      </c>
      <c r="T27" s="15">
        <f t="shared" si="2"/>
        <v>2</v>
      </c>
      <c r="U27" s="15">
        <f t="shared" si="3"/>
        <v>0</v>
      </c>
      <c r="V27" s="15">
        <f t="shared" si="4"/>
        <v>0</v>
      </c>
      <c r="W27" s="18" t="str">
        <f t="shared" si="5"/>
        <v/>
      </c>
      <c r="X27" s="17">
        <v>0</v>
      </c>
      <c r="Y27" s="17">
        <v>0</v>
      </c>
      <c r="Z27" s="15">
        <f t="shared" si="6"/>
        <v>0</v>
      </c>
      <c r="AA27" s="17">
        <v>0</v>
      </c>
      <c r="AB27" s="17">
        <v>0</v>
      </c>
      <c r="AC27" s="15">
        <f t="shared" si="7"/>
        <v>0</v>
      </c>
      <c r="AD27" s="17">
        <v>0</v>
      </c>
      <c r="AE27" s="17">
        <v>0</v>
      </c>
      <c r="AF27" s="15">
        <f t="shared" si="8"/>
        <v>0</v>
      </c>
      <c r="AG27" s="17">
        <v>0</v>
      </c>
      <c r="AH27" s="17">
        <v>0</v>
      </c>
      <c r="AI27" s="15">
        <f t="shared" si="9"/>
        <v>0</v>
      </c>
      <c r="AJ27" s="17"/>
    </row>
    <row r="28" spans="1:36" x14ac:dyDescent="0.3">
      <c r="A28" s="15" t="s">
        <v>76</v>
      </c>
      <c r="B28" s="15">
        <v>100</v>
      </c>
      <c r="C28" s="15" t="s">
        <v>54</v>
      </c>
      <c r="D28" s="15" t="s">
        <v>68</v>
      </c>
      <c r="E28" s="17">
        <v>6</v>
      </c>
      <c r="F28" s="17">
        <v>0</v>
      </c>
      <c r="G28" s="17">
        <v>0</v>
      </c>
      <c r="H28" s="15">
        <f t="shared" si="0"/>
        <v>6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5">
        <f t="shared" si="1"/>
        <v>6</v>
      </c>
      <c r="T28" s="15">
        <f t="shared" si="2"/>
        <v>6</v>
      </c>
      <c r="U28" s="15">
        <f t="shared" si="3"/>
        <v>0</v>
      </c>
      <c r="V28" s="15">
        <f t="shared" si="4"/>
        <v>0</v>
      </c>
      <c r="W28" s="18" t="str">
        <f t="shared" si="5"/>
        <v/>
      </c>
      <c r="X28" s="17">
        <v>0</v>
      </c>
      <c r="Y28" s="17">
        <v>0</v>
      </c>
      <c r="Z28" s="15">
        <f t="shared" si="6"/>
        <v>0</v>
      </c>
      <c r="AA28" s="17">
        <v>0</v>
      </c>
      <c r="AB28" s="17">
        <v>0</v>
      </c>
      <c r="AC28" s="15">
        <f t="shared" si="7"/>
        <v>0</v>
      </c>
      <c r="AD28" s="17">
        <v>0</v>
      </c>
      <c r="AE28" s="17">
        <v>0</v>
      </c>
      <c r="AF28" s="15">
        <f t="shared" si="8"/>
        <v>0</v>
      </c>
      <c r="AG28" s="17">
        <v>0</v>
      </c>
      <c r="AH28" s="17">
        <v>0</v>
      </c>
      <c r="AI28" s="15">
        <f t="shared" si="9"/>
        <v>0</v>
      </c>
      <c r="AJ28" s="17"/>
    </row>
    <row r="29" spans="1:36" hidden="1" x14ac:dyDescent="0.3">
      <c r="A29" s="15" t="s">
        <v>77</v>
      </c>
      <c r="B29" s="15">
        <v>100</v>
      </c>
      <c r="C29" s="15" t="s">
        <v>54</v>
      </c>
      <c r="D29" s="15" t="s">
        <v>55</v>
      </c>
      <c r="E29" s="15">
        <f>'3-july2026'!T29</f>
        <v>34</v>
      </c>
      <c r="F29" s="15">
        <f>'3-july2026'!U29</f>
        <v>0</v>
      </c>
      <c r="G29" s="15">
        <f>'3-july2026'!V29</f>
        <v>0</v>
      </c>
      <c r="H29" s="15">
        <f t="shared" si="0"/>
        <v>34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5">
        <f t="shared" si="1"/>
        <v>34</v>
      </c>
      <c r="T29" s="15">
        <f t="shared" si="2"/>
        <v>34</v>
      </c>
      <c r="U29" s="15">
        <f t="shared" si="3"/>
        <v>0</v>
      </c>
      <c r="V29" s="15">
        <f t="shared" si="4"/>
        <v>0</v>
      </c>
      <c r="W29" s="18" t="str">
        <f t="shared" si="5"/>
        <v/>
      </c>
      <c r="X29" s="17">
        <v>0</v>
      </c>
      <c r="Y29" s="17">
        <v>0</v>
      </c>
      <c r="Z29" s="15">
        <f t="shared" si="6"/>
        <v>0</v>
      </c>
      <c r="AA29" s="17">
        <v>0</v>
      </c>
      <c r="AB29" s="17">
        <v>0</v>
      </c>
      <c r="AC29" s="15">
        <f t="shared" si="7"/>
        <v>0</v>
      </c>
      <c r="AD29" s="17">
        <v>0</v>
      </c>
      <c r="AE29" s="17">
        <v>0</v>
      </c>
      <c r="AF29" s="15">
        <f t="shared" si="8"/>
        <v>0</v>
      </c>
      <c r="AG29" s="17">
        <v>0</v>
      </c>
      <c r="AH29" s="17">
        <v>0</v>
      </c>
      <c r="AI29" s="15">
        <f t="shared" si="9"/>
        <v>0</v>
      </c>
      <c r="AJ29" s="17"/>
    </row>
    <row r="30" spans="1:36" hidden="1" x14ac:dyDescent="0.3">
      <c r="A30" s="15" t="s">
        <v>78</v>
      </c>
      <c r="B30" s="15">
        <v>1000</v>
      </c>
      <c r="C30" s="15" t="s">
        <v>54</v>
      </c>
      <c r="D30" s="15" t="s">
        <v>55</v>
      </c>
      <c r="E30" s="15">
        <f>'3-july2026'!T30</f>
        <v>0</v>
      </c>
      <c r="F30" s="15">
        <f>'3-july2026'!U30</f>
        <v>7</v>
      </c>
      <c r="G30" s="15">
        <f>'3-july2026'!V30</f>
        <v>25</v>
      </c>
      <c r="H30" s="15">
        <f t="shared" si="0"/>
        <v>32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5">
        <f t="shared" si="1"/>
        <v>32</v>
      </c>
      <c r="T30" s="15">
        <f t="shared" si="2"/>
        <v>0</v>
      </c>
      <c r="U30" s="15">
        <f t="shared" si="3"/>
        <v>7</v>
      </c>
      <c r="V30" s="15">
        <f t="shared" si="4"/>
        <v>25</v>
      </c>
      <c r="W30" s="18" t="str">
        <f t="shared" si="5"/>
        <v/>
      </c>
      <c r="X30" s="17">
        <v>0</v>
      </c>
      <c r="Y30" s="17">
        <v>0</v>
      </c>
      <c r="Z30" s="15">
        <f t="shared" si="6"/>
        <v>0</v>
      </c>
      <c r="AA30" s="17">
        <v>0</v>
      </c>
      <c r="AB30" s="17">
        <v>0</v>
      </c>
      <c r="AC30" s="15">
        <f t="shared" si="7"/>
        <v>0</v>
      </c>
      <c r="AD30" s="17">
        <v>0</v>
      </c>
      <c r="AE30" s="17">
        <v>0</v>
      </c>
      <c r="AF30" s="15">
        <f t="shared" si="8"/>
        <v>0</v>
      </c>
      <c r="AG30" s="17">
        <v>0</v>
      </c>
      <c r="AH30" s="17">
        <v>0</v>
      </c>
      <c r="AI30" s="15">
        <f t="shared" si="9"/>
        <v>0</v>
      </c>
      <c r="AJ30" s="17"/>
    </row>
    <row r="31" spans="1:36" hidden="1" x14ac:dyDescent="0.3">
      <c r="A31" s="15" t="s">
        <v>79</v>
      </c>
      <c r="B31" s="15">
        <v>1000</v>
      </c>
      <c r="C31" s="15" t="s">
        <v>54</v>
      </c>
      <c r="D31" s="15" t="s">
        <v>55</v>
      </c>
      <c r="E31" s="15">
        <f>'3-july2026'!T31</f>
        <v>9</v>
      </c>
      <c r="F31" s="15">
        <f>'3-july2026'!U31</f>
        <v>5</v>
      </c>
      <c r="G31" s="15">
        <f>'3-july2026'!V31</f>
        <v>27</v>
      </c>
      <c r="H31" s="15">
        <f t="shared" si="0"/>
        <v>41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5">
        <f t="shared" si="1"/>
        <v>41</v>
      </c>
      <c r="T31" s="15">
        <f t="shared" si="2"/>
        <v>9</v>
      </c>
      <c r="U31" s="15">
        <f t="shared" si="3"/>
        <v>5</v>
      </c>
      <c r="V31" s="15">
        <f t="shared" si="4"/>
        <v>27</v>
      </c>
      <c r="W31" s="18" t="str">
        <f t="shared" si="5"/>
        <v/>
      </c>
      <c r="X31" s="17">
        <v>0</v>
      </c>
      <c r="Y31" s="17">
        <v>0</v>
      </c>
      <c r="Z31" s="15">
        <f t="shared" si="6"/>
        <v>0</v>
      </c>
      <c r="AA31" s="17">
        <v>0</v>
      </c>
      <c r="AB31" s="17">
        <v>0</v>
      </c>
      <c r="AC31" s="15">
        <f t="shared" si="7"/>
        <v>0</v>
      </c>
      <c r="AD31" s="17">
        <v>0</v>
      </c>
      <c r="AE31" s="17">
        <v>0</v>
      </c>
      <c r="AF31" s="15">
        <f t="shared" si="8"/>
        <v>0</v>
      </c>
      <c r="AG31" s="17">
        <v>0</v>
      </c>
      <c r="AH31" s="17">
        <v>0</v>
      </c>
      <c r="AI31" s="15">
        <f t="shared" si="9"/>
        <v>0</v>
      </c>
      <c r="AJ31" s="17"/>
    </row>
    <row r="32" spans="1:36" hidden="1" x14ac:dyDescent="0.3">
      <c r="A32" s="15" t="s">
        <v>80</v>
      </c>
      <c r="B32" s="15">
        <v>25000</v>
      </c>
      <c r="C32" s="15" t="s">
        <v>54</v>
      </c>
      <c r="D32" s="15" t="s">
        <v>55</v>
      </c>
      <c r="E32" s="15">
        <f>'3-july2026'!T32</f>
        <v>4</v>
      </c>
      <c r="F32" s="15">
        <f>'3-july2026'!U32</f>
        <v>0</v>
      </c>
      <c r="G32" s="15">
        <f>'3-july2026'!V32</f>
        <v>0</v>
      </c>
      <c r="H32" s="15">
        <f t="shared" si="0"/>
        <v>4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5">
        <f t="shared" si="1"/>
        <v>4</v>
      </c>
      <c r="T32" s="15">
        <f t="shared" si="2"/>
        <v>4</v>
      </c>
      <c r="U32" s="15">
        <f t="shared" si="3"/>
        <v>0</v>
      </c>
      <c r="V32" s="15">
        <f t="shared" si="4"/>
        <v>0</v>
      </c>
      <c r="W32" s="18" t="str">
        <f t="shared" si="5"/>
        <v/>
      </c>
      <c r="X32" s="17">
        <v>0</v>
      </c>
      <c r="Y32" s="17">
        <v>0</v>
      </c>
      <c r="Z32" s="15">
        <f t="shared" si="6"/>
        <v>0</v>
      </c>
      <c r="AA32" s="17">
        <v>0</v>
      </c>
      <c r="AB32" s="17">
        <v>0</v>
      </c>
      <c r="AC32" s="15">
        <f t="shared" si="7"/>
        <v>0</v>
      </c>
      <c r="AD32" s="17">
        <v>0</v>
      </c>
      <c r="AE32" s="17">
        <v>0</v>
      </c>
      <c r="AF32" s="15">
        <f t="shared" si="8"/>
        <v>0</v>
      </c>
      <c r="AG32" s="17">
        <v>0</v>
      </c>
      <c r="AH32" s="17">
        <v>0</v>
      </c>
      <c r="AI32" s="15">
        <f t="shared" si="9"/>
        <v>0</v>
      </c>
      <c r="AJ32" s="17"/>
    </row>
    <row r="33" spans="1:36" hidden="1" x14ac:dyDescent="0.3">
      <c r="A33" s="15" t="s">
        <v>81</v>
      </c>
      <c r="B33" s="15">
        <v>25000</v>
      </c>
      <c r="C33" s="15" t="s">
        <v>54</v>
      </c>
      <c r="D33" s="15" t="s">
        <v>55</v>
      </c>
      <c r="E33" s="15">
        <f>'3-july2026'!T33</f>
        <v>10</v>
      </c>
      <c r="F33" s="15">
        <f>'3-july2026'!U33</f>
        <v>0</v>
      </c>
      <c r="G33" s="15">
        <f>'3-july2026'!V33</f>
        <v>0</v>
      </c>
      <c r="H33" s="15">
        <f t="shared" si="0"/>
        <v>10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5">
        <f t="shared" si="1"/>
        <v>10</v>
      </c>
      <c r="T33" s="15">
        <f t="shared" si="2"/>
        <v>10</v>
      </c>
      <c r="U33" s="15">
        <f t="shared" si="3"/>
        <v>0</v>
      </c>
      <c r="V33" s="15">
        <f t="shared" si="4"/>
        <v>0</v>
      </c>
      <c r="W33" s="18" t="str">
        <f t="shared" si="5"/>
        <v/>
      </c>
      <c r="X33" s="17">
        <v>0</v>
      </c>
      <c r="Y33" s="17">
        <v>0</v>
      </c>
      <c r="Z33" s="15">
        <f t="shared" si="6"/>
        <v>0</v>
      </c>
      <c r="AA33" s="17">
        <v>0</v>
      </c>
      <c r="AB33" s="17">
        <v>0</v>
      </c>
      <c r="AC33" s="15">
        <f t="shared" si="7"/>
        <v>0</v>
      </c>
      <c r="AD33" s="17">
        <v>0</v>
      </c>
      <c r="AE33" s="17">
        <v>0</v>
      </c>
      <c r="AF33" s="15">
        <f t="shared" si="8"/>
        <v>0</v>
      </c>
      <c r="AG33" s="17">
        <v>0</v>
      </c>
      <c r="AH33" s="17">
        <v>0</v>
      </c>
      <c r="AI33" s="15">
        <f t="shared" si="9"/>
        <v>0</v>
      </c>
      <c r="AJ33" s="17"/>
    </row>
    <row r="34" spans="1:36" x14ac:dyDescent="0.3">
      <c r="A34" s="15" t="s">
        <v>82</v>
      </c>
      <c r="B34" s="15">
        <v>1000</v>
      </c>
      <c r="C34" s="15" t="s">
        <v>54</v>
      </c>
      <c r="D34" s="15" t="s">
        <v>68</v>
      </c>
      <c r="E34" s="17">
        <v>2</v>
      </c>
      <c r="F34" s="17">
        <v>0</v>
      </c>
      <c r="G34" s="17">
        <v>0</v>
      </c>
      <c r="H34" s="15">
        <f t="shared" si="0"/>
        <v>2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5">
        <f t="shared" si="1"/>
        <v>2</v>
      </c>
      <c r="T34" s="15">
        <f t="shared" si="2"/>
        <v>2</v>
      </c>
      <c r="U34" s="15">
        <f t="shared" si="3"/>
        <v>0</v>
      </c>
      <c r="V34" s="15">
        <f t="shared" si="4"/>
        <v>0</v>
      </c>
      <c r="W34" s="18" t="str">
        <f t="shared" si="5"/>
        <v/>
      </c>
      <c r="X34" s="17">
        <v>0</v>
      </c>
      <c r="Y34" s="17">
        <v>0</v>
      </c>
      <c r="Z34" s="15">
        <f t="shared" si="6"/>
        <v>0</v>
      </c>
      <c r="AA34" s="17">
        <v>0</v>
      </c>
      <c r="AB34" s="17">
        <v>0</v>
      </c>
      <c r="AC34" s="15">
        <f t="shared" si="7"/>
        <v>0</v>
      </c>
      <c r="AD34" s="17">
        <v>0</v>
      </c>
      <c r="AE34" s="17">
        <v>0</v>
      </c>
      <c r="AF34" s="15">
        <f t="shared" si="8"/>
        <v>0</v>
      </c>
      <c r="AG34" s="17">
        <v>0</v>
      </c>
      <c r="AH34" s="17">
        <v>0</v>
      </c>
      <c r="AI34" s="15">
        <f t="shared" si="9"/>
        <v>0</v>
      </c>
      <c r="AJ34" s="17"/>
    </row>
    <row r="35" spans="1:36" x14ac:dyDescent="0.3">
      <c r="A35" s="15" t="s">
        <v>83</v>
      </c>
      <c r="B35" s="15">
        <v>100</v>
      </c>
      <c r="C35" s="15" t="s">
        <v>54</v>
      </c>
      <c r="D35" s="15" t="s">
        <v>57</v>
      </c>
      <c r="E35" s="17">
        <v>2</v>
      </c>
      <c r="F35" s="17">
        <v>0</v>
      </c>
      <c r="G35" s="17">
        <v>0</v>
      </c>
      <c r="H35" s="15">
        <f t="shared" ref="H35:H66" si="10">E35+F35+G35</f>
        <v>2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5">
        <f t="shared" ref="S35:S66" si="11">H35+O35+P35+Q35+R35-(I35+J35+K35+L35+M35+N35)</f>
        <v>2</v>
      </c>
      <c r="T35" s="15">
        <f t="shared" ref="T35:T66" si="12">E35+O35-I35-L35</f>
        <v>2</v>
      </c>
      <c r="U35" s="15">
        <f t="shared" ref="U35:U66" si="13">F35+P35-J35-M35</f>
        <v>0</v>
      </c>
      <c r="V35" s="15">
        <f t="shared" ref="V35:V66" si="14">G35+Q35-K35-N35</f>
        <v>0</v>
      </c>
      <c r="W35" s="18" t="str">
        <f t="shared" ref="W35:W66" si="15">IF(MIN(T35,U35,V35)&lt;0,"NEGATIVE STOCK - CHECK ENTRIES","")</f>
        <v/>
      </c>
      <c r="X35" s="17">
        <v>0</v>
      </c>
      <c r="Y35" s="17">
        <v>0</v>
      </c>
      <c r="Z35" s="15">
        <f t="shared" ref="Z35:Z66" si="16">X35-Y35</f>
        <v>0</v>
      </c>
      <c r="AA35" s="17">
        <v>0</v>
      </c>
      <c r="AB35" s="17">
        <v>0</v>
      </c>
      <c r="AC35" s="15">
        <f t="shared" ref="AC35:AC66" si="17">AA35-AB35</f>
        <v>0</v>
      </c>
      <c r="AD35" s="17">
        <v>0</v>
      </c>
      <c r="AE35" s="17">
        <v>0</v>
      </c>
      <c r="AF35" s="15">
        <f t="shared" ref="AF35:AF66" si="18">AD35-AE35</f>
        <v>0</v>
      </c>
      <c r="AG35" s="17">
        <v>0</v>
      </c>
      <c r="AH35" s="17">
        <v>0</v>
      </c>
      <c r="AI35" s="15">
        <f t="shared" ref="AI35:AI66" si="19">AG35-AH35</f>
        <v>0</v>
      </c>
      <c r="AJ35" s="17"/>
    </row>
    <row r="36" spans="1:36" hidden="1" x14ac:dyDescent="0.3">
      <c r="A36" s="15" t="s">
        <v>84</v>
      </c>
      <c r="B36" s="15">
        <v>1000</v>
      </c>
      <c r="C36" s="15" t="s">
        <v>54</v>
      </c>
      <c r="D36" s="15" t="s">
        <v>55</v>
      </c>
      <c r="E36" s="15">
        <f>'3-july2026'!T36</f>
        <v>0</v>
      </c>
      <c r="F36" s="15">
        <f>'3-july2026'!U36</f>
        <v>0</v>
      </c>
      <c r="G36" s="15">
        <f>'3-july2026'!V36</f>
        <v>0</v>
      </c>
      <c r="H36" s="15">
        <f t="shared" si="10"/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5">
        <f t="shared" si="11"/>
        <v>0</v>
      </c>
      <c r="T36" s="15">
        <f t="shared" si="12"/>
        <v>0</v>
      </c>
      <c r="U36" s="15">
        <f t="shared" si="13"/>
        <v>0</v>
      </c>
      <c r="V36" s="15">
        <f t="shared" si="14"/>
        <v>0</v>
      </c>
      <c r="W36" s="18" t="str">
        <f t="shared" si="15"/>
        <v/>
      </c>
      <c r="X36" s="17">
        <v>0</v>
      </c>
      <c r="Y36" s="17">
        <v>0</v>
      </c>
      <c r="Z36" s="15">
        <f t="shared" si="16"/>
        <v>0</v>
      </c>
      <c r="AA36" s="17">
        <v>0</v>
      </c>
      <c r="AB36" s="17">
        <v>0</v>
      </c>
      <c r="AC36" s="15">
        <f t="shared" si="17"/>
        <v>0</v>
      </c>
      <c r="AD36" s="17">
        <v>0</v>
      </c>
      <c r="AE36" s="17">
        <v>0</v>
      </c>
      <c r="AF36" s="15">
        <f t="shared" si="18"/>
        <v>0</v>
      </c>
      <c r="AG36" s="17">
        <v>0</v>
      </c>
      <c r="AH36" s="17">
        <v>0</v>
      </c>
      <c r="AI36" s="15">
        <f t="shared" si="19"/>
        <v>0</v>
      </c>
      <c r="AJ36" s="17"/>
    </row>
    <row r="37" spans="1:36" x14ac:dyDescent="0.3">
      <c r="A37" s="15" t="s">
        <v>85</v>
      </c>
      <c r="B37" s="15">
        <v>1000</v>
      </c>
      <c r="C37" s="15" t="s">
        <v>54</v>
      </c>
      <c r="D37" s="15" t="s">
        <v>68</v>
      </c>
      <c r="E37" s="17">
        <v>5</v>
      </c>
      <c r="F37" s="17">
        <v>0</v>
      </c>
      <c r="G37" s="17">
        <v>0</v>
      </c>
      <c r="H37" s="15">
        <f t="shared" si="10"/>
        <v>5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5">
        <f t="shared" si="11"/>
        <v>5</v>
      </c>
      <c r="T37" s="15">
        <f t="shared" si="12"/>
        <v>5</v>
      </c>
      <c r="U37" s="15">
        <f t="shared" si="13"/>
        <v>0</v>
      </c>
      <c r="V37" s="15">
        <f t="shared" si="14"/>
        <v>0</v>
      </c>
      <c r="W37" s="18" t="str">
        <f t="shared" si="15"/>
        <v/>
      </c>
      <c r="X37" s="17">
        <v>0</v>
      </c>
      <c r="Y37" s="17">
        <v>0</v>
      </c>
      <c r="Z37" s="15">
        <f t="shared" si="16"/>
        <v>0</v>
      </c>
      <c r="AA37" s="17">
        <v>0</v>
      </c>
      <c r="AB37" s="17">
        <v>0</v>
      </c>
      <c r="AC37" s="15">
        <f t="shared" si="17"/>
        <v>0</v>
      </c>
      <c r="AD37" s="17">
        <v>0</v>
      </c>
      <c r="AE37" s="17">
        <v>0</v>
      </c>
      <c r="AF37" s="15">
        <f t="shared" si="18"/>
        <v>0</v>
      </c>
      <c r="AG37" s="17">
        <v>0</v>
      </c>
      <c r="AH37" s="17">
        <v>0</v>
      </c>
      <c r="AI37" s="15">
        <f t="shared" si="19"/>
        <v>0</v>
      </c>
      <c r="AJ37" s="17"/>
    </row>
    <row r="38" spans="1:36" x14ac:dyDescent="0.3">
      <c r="A38" s="15" t="s">
        <v>86</v>
      </c>
      <c r="B38" s="15">
        <v>100</v>
      </c>
      <c r="C38" s="15" t="s">
        <v>54</v>
      </c>
      <c r="D38" s="15" t="s">
        <v>57</v>
      </c>
      <c r="E38" s="17">
        <v>1</v>
      </c>
      <c r="F38" s="17">
        <v>0</v>
      </c>
      <c r="G38" s="17">
        <v>0</v>
      </c>
      <c r="H38" s="15">
        <f t="shared" si="10"/>
        <v>1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5">
        <f t="shared" si="11"/>
        <v>1</v>
      </c>
      <c r="T38" s="15">
        <f t="shared" si="12"/>
        <v>1</v>
      </c>
      <c r="U38" s="15">
        <f t="shared" si="13"/>
        <v>0</v>
      </c>
      <c r="V38" s="15">
        <f t="shared" si="14"/>
        <v>0</v>
      </c>
      <c r="W38" s="18" t="str">
        <f t="shared" si="15"/>
        <v/>
      </c>
      <c r="X38" s="17">
        <v>0</v>
      </c>
      <c r="Y38" s="17">
        <v>0</v>
      </c>
      <c r="Z38" s="15">
        <f t="shared" si="16"/>
        <v>0</v>
      </c>
      <c r="AA38" s="17">
        <v>0</v>
      </c>
      <c r="AB38" s="17">
        <v>0</v>
      </c>
      <c r="AC38" s="15">
        <f t="shared" si="17"/>
        <v>0</v>
      </c>
      <c r="AD38" s="17">
        <v>0</v>
      </c>
      <c r="AE38" s="17">
        <v>0</v>
      </c>
      <c r="AF38" s="15">
        <f t="shared" si="18"/>
        <v>0</v>
      </c>
      <c r="AG38" s="17">
        <v>0</v>
      </c>
      <c r="AH38" s="17">
        <v>0</v>
      </c>
      <c r="AI38" s="15">
        <f t="shared" si="19"/>
        <v>0</v>
      </c>
      <c r="AJ38" s="17"/>
    </row>
    <row r="39" spans="1:36" x14ac:dyDescent="0.3">
      <c r="A39" s="15" t="s">
        <v>87</v>
      </c>
      <c r="B39" s="15">
        <v>100000</v>
      </c>
      <c r="C39" s="15" t="s">
        <v>54</v>
      </c>
      <c r="D39" s="15" t="s">
        <v>68</v>
      </c>
      <c r="E39" s="17">
        <v>2</v>
      </c>
      <c r="F39" s="17">
        <v>0</v>
      </c>
      <c r="G39" s="17">
        <v>0</v>
      </c>
      <c r="H39" s="15">
        <f t="shared" si="10"/>
        <v>2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5">
        <f t="shared" si="11"/>
        <v>2</v>
      </c>
      <c r="T39" s="15">
        <f t="shared" si="12"/>
        <v>2</v>
      </c>
      <c r="U39" s="15">
        <f t="shared" si="13"/>
        <v>0</v>
      </c>
      <c r="V39" s="15">
        <f t="shared" si="14"/>
        <v>0</v>
      </c>
      <c r="W39" s="18" t="str">
        <f t="shared" si="15"/>
        <v/>
      </c>
      <c r="X39" s="17">
        <v>0</v>
      </c>
      <c r="Y39" s="17">
        <v>0</v>
      </c>
      <c r="Z39" s="15">
        <f t="shared" si="16"/>
        <v>0</v>
      </c>
      <c r="AA39" s="17">
        <v>0</v>
      </c>
      <c r="AB39" s="17">
        <v>0</v>
      </c>
      <c r="AC39" s="15">
        <f t="shared" si="17"/>
        <v>0</v>
      </c>
      <c r="AD39" s="17">
        <v>0</v>
      </c>
      <c r="AE39" s="17">
        <v>0</v>
      </c>
      <c r="AF39" s="15">
        <f t="shared" si="18"/>
        <v>0</v>
      </c>
      <c r="AG39" s="17">
        <v>0</v>
      </c>
      <c r="AH39" s="17">
        <v>0</v>
      </c>
      <c r="AI39" s="15">
        <f t="shared" si="19"/>
        <v>0</v>
      </c>
      <c r="AJ39" s="17"/>
    </row>
    <row r="40" spans="1:36" x14ac:dyDescent="0.3">
      <c r="A40" s="15" t="s">
        <v>88</v>
      </c>
      <c r="B40" s="15">
        <v>100000</v>
      </c>
      <c r="C40" s="15" t="s">
        <v>54</v>
      </c>
      <c r="D40" s="15" t="s">
        <v>68</v>
      </c>
      <c r="E40" s="17">
        <v>1</v>
      </c>
      <c r="F40" s="17">
        <v>0</v>
      </c>
      <c r="G40" s="17">
        <v>0</v>
      </c>
      <c r="H40" s="15">
        <f t="shared" si="10"/>
        <v>1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5">
        <f t="shared" si="11"/>
        <v>1</v>
      </c>
      <c r="T40" s="15">
        <f t="shared" si="12"/>
        <v>1</v>
      </c>
      <c r="U40" s="15">
        <f t="shared" si="13"/>
        <v>0</v>
      </c>
      <c r="V40" s="15">
        <f t="shared" si="14"/>
        <v>0</v>
      </c>
      <c r="W40" s="18" t="str">
        <f t="shared" si="15"/>
        <v/>
      </c>
      <c r="X40" s="17">
        <v>0</v>
      </c>
      <c r="Y40" s="17">
        <v>0</v>
      </c>
      <c r="Z40" s="15">
        <f t="shared" si="16"/>
        <v>0</v>
      </c>
      <c r="AA40" s="17">
        <v>0</v>
      </c>
      <c r="AB40" s="17">
        <v>0</v>
      </c>
      <c r="AC40" s="15">
        <f t="shared" si="17"/>
        <v>0</v>
      </c>
      <c r="AD40" s="17">
        <v>0</v>
      </c>
      <c r="AE40" s="17">
        <v>0</v>
      </c>
      <c r="AF40" s="15">
        <f t="shared" si="18"/>
        <v>0</v>
      </c>
      <c r="AG40" s="17">
        <v>0</v>
      </c>
      <c r="AH40" s="17">
        <v>0</v>
      </c>
      <c r="AI40" s="15">
        <f t="shared" si="19"/>
        <v>0</v>
      </c>
      <c r="AJ40" s="17"/>
    </row>
    <row r="41" spans="1:36" hidden="1" x14ac:dyDescent="0.3">
      <c r="A41" s="15" t="s">
        <v>89</v>
      </c>
      <c r="B41" s="15">
        <v>100</v>
      </c>
      <c r="C41" s="15" t="s">
        <v>54</v>
      </c>
      <c r="D41" s="15" t="s">
        <v>55</v>
      </c>
      <c r="E41" s="15">
        <f>'3-july2026'!T41</f>
        <v>9</v>
      </c>
      <c r="F41" s="15">
        <f>'3-july2026'!U41</f>
        <v>0</v>
      </c>
      <c r="G41" s="15">
        <f>'3-july2026'!V41</f>
        <v>0</v>
      </c>
      <c r="H41" s="15">
        <f t="shared" si="10"/>
        <v>9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5">
        <f t="shared" si="11"/>
        <v>9</v>
      </c>
      <c r="T41" s="15">
        <f t="shared" si="12"/>
        <v>9</v>
      </c>
      <c r="U41" s="15">
        <f t="shared" si="13"/>
        <v>0</v>
      </c>
      <c r="V41" s="15">
        <f t="shared" si="14"/>
        <v>0</v>
      </c>
      <c r="W41" s="18" t="str">
        <f t="shared" si="15"/>
        <v/>
      </c>
      <c r="X41" s="17">
        <v>0</v>
      </c>
      <c r="Y41" s="17">
        <v>0</v>
      </c>
      <c r="Z41" s="15">
        <f t="shared" si="16"/>
        <v>0</v>
      </c>
      <c r="AA41" s="17">
        <v>0</v>
      </c>
      <c r="AB41" s="17">
        <v>0</v>
      </c>
      <c r="AC41" s="15">
        <f t="shared" si="17"/>
        <v>0</v>
      </c>
      <c r="AD41" s="17">
        <v>0</v>
      </c>
      <c r="AE41" s="17">
        <v>0</v>
      </c>
      <c r="AF41" s="15">
        <f t="shared" si="18"/>
        <v>0</v>
      </c>
      <c r="AG41" s="17">
        <v>0</v>
      </c>
      <c r="AH41" s="17">
        <v>0</v>
      </c>
      <c r="AI41" s="15">
        <f t="shared" si="19"/>
        <v>0</v>
      </c>
      <c r="AJ41" s="17"/>
    </row>
    <row r="42" spans="1:36" x14ac:dyDescent="0.3">
      <c r="A42" s="15" t="s">
        <v>90</v>
      </c>
      <c r="B42" s="15">
        <v>100</v>
      </c>
      <c r="C42" s="15" t="s">
        <v>54</v>
      </c>
      <c r="D42" s="15" t="s">
        <v>57</v>
      </c>
      <c r="E42" s="17">
        <v>10</v>
      </c>
      <c r="F42" s="17">
        <v>0</v>
      </c>
      <c r="G42" s="17">
        <v>0</v>
      </c>
      <c r="H42" s="15">
        <f t="shared" si="10"/>
        <v>10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5">
        <f t="shared" si="11"/>
        <v>10</v>
      </c>
      <c r="T42" s="15">
        <f t="shared" si="12"/>
        <v>10</v>
      </c>
      <c r="U42" s="15">
        <f t="shared" si="13"/>
        <v>0</v>
      </c>
      <c r="V42" s="15">
        <f t="shared" si="14"/>
        <v>0</v>
      </c>
      <c r="W42" s="18" t="str">
        <f t="shared" si="15"/>
        <v/>
      </c>
      <c r="X42" s="17">
        <v>0</v>
      </c>
      <c r="Y42" s="17">
        <v>0</v>
      </c>
      <c r="Z42" s="15">
        <f t="shared" si="16"/>
        <v>0</v>
      </c>
      <c r="AA42" s="17">
        <v>0</v>
      </c>
      <c r="AB42" s="17">
        <v>0</v>
      </c>
      <c r="AC42" s="15">
        <f t="shared" si="17"/>
        <v>0</v>
      </c>
      <c r="AD42" s="17">
        <v>0</v>
      </c>
      <c r="AE42" s="17">
        <v>0</v>
      </c>
      <c r="AF42" s="15">
        <f t="shared" si="18"/>
        <v>0</v>
      </c>
      <c r="AG42" s="17">
        <v>0</v>
      </c>
      <c r="AH42" s="17">
        <v>0</v>
      </c>
      <c r="AI42" s="15">
        <f t="shared" si="19"/>
        <v>0</v>
      </c>
      <c r="AJ42" s="17"/>
    </row>
    <row r="43" spans="1:36" hidden="1" x14ac:dyDescent="0.3">
      <c r="A43" s="15" t="s">
        <v>91</v>
      </c>
      <c r="B43" s="15">
        <v>1000</v>
      </c>
      <c r="C43" s="15" t="s">
        <v>54</v>
      </c>
      <c r="D43" s="15" t="s">
        <v>55</v>
      </c>
      <c r="E43" s="15">
        <f>'3-july2026'!T43</f>
        <v>70</v>
      </c>
      <c r="F43" s="15">
        <f>'3-july2026'!U43</f>
        <v>142</v>
      </c>
      <c r="G43" s="15">
        <f>'3-july2026'!V43</f>
        <v>5</v>
      </c>
      <c r="H43" s="15">
        <f t="shared" si="10"/>
        <v>217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1</v>
      </c>
      <c r="P43" s="17">
        <v>0</v>
      </c>
      <c r="Q43" s="17">
        <v>0</v>
      </c>
      <c r="R43" s="17">
        <v>0</v>
      </c>
      <c r="S43" s="15">
        <f t="shared" si="11"/>
        <v>218</v>
      </c>
      <c r="T43" s="15">
        <f t="shared" si="12"/>
        <v>71</v>
      </c>
      <c r="U43" s="15">
        <f t="shared" si="13"/>
        <v>142</v>
      </c>
      <c r="V43" s="15">
        <f t="shared" si="14"/>
        <v>5</v>
      </c>
      <c r="W43" s="18" t="str">
        <f t="shared" si="15"/>
        <v/>
      </c>
      <c r="X43" s="17">
        <v>0</v>
      </c>
      <c r="Y43" s="17">
        <v>0</v>
      </c>
      <c r="Z43" s="15">
        <f t="shared" si="16"/>
        <v>0</v>
      </c>
      <c r="AA43" s="17">
        <v>0</v>
      </c>
      <c r="AB43" s="17">
        <v>0</v>
      </c>
      <c r="AC43" s="15">
        <f t="shared" si="17"/>
        <v>0</v>
      </c>
      <c r="AD43" s="17">
        <v>0</v>
      </c>
      <c r="AE43" s="17">
        <v>0</v>
      </c>
      <c r="AF43" s="15">
        <f t="shared" si="18"/>
        <v>0</v>
      </c>
      <c r="AG43" s="17">
        <v>0</v>
      </c>
      <c r="AH43" s="17">
        <v>0</v>
      </c>
      <c r="AI43" s="15">
        <f t="shared" si="19"/>
        <v>0</v>
      </c>
      <c r="AJ43" s="17"/>
    </row>
    <row r="44" spans="1:36" x14ac:dyDescent="0.3">
      <c r="A44" s="15" t="s">
        <v>92</v>
      </c>
      <c r="B44" s="15">
        <v>100</v>
      </c>
      <c r="C44" s="15" t="s">
        <v>54</v>
      </c>
      <c r="D44" s="15" t="s">
        <v>68</v>
      </c>
      <c r="E44" s="17">
        <v>6</v>
      </c>
      <c r="F44" s="17">
        <v>0</v>
      </c>
      <c r="G44" s="17">
        <v>0</v>
      </c>
      <c r="H44" s="15">
        <f t="shared" si="10"/>
        <v>6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5">
        <f t="shared" si="11"/>
        <v>6</v>
      </c>
      <c r="T44" s="15">
        <f t="shared" si="12"/>
        <v>6</v>
      </c>
      <c r="U44" s="15">
        <f t="shared" si="13"/>
        <v>0</v>
      </c>
      <c r="V44" s="15">
        <f t="shared" si="14"/>
        <v>0</v>
      </c>
      <c r="W44" s="18" t="str">
        <f t="shared" si="15"/>
        <v/>
      </c>
      <c r="X44" s="17">
        <v>0</v>
      </c>
      <c r="Y44" s="17">
        <v>0</v>
      </c>
      <c r="Z44" s="15">
        <f t="shared" si="16"/>
        <v>0</v>
      </c>
      <c r="AA44" s="17">
        <v>0</v>
      </c>
      <c r="AB44" s="17">
        <v>0</v>
      </c>
      <c r="AC44" s="15">
        <f t="shared" si="17"/>
        <v>0</v>
      </c>
      <c r="AD44" s="17">
        <v>0</v>
      </c>
      <c r="AE44" s="17">
        <v>0</v>
      </c>
      <c r="AF44" s="15">
        <f t="shared" si="18"/>
        <v>0</v>
      </c>
      <c r="AG44" s="17">
        <v>0</v>
      </c>
      <c r="AH44" s="17">
        <v>0</v>
      </c>
      <c r="AI44" s="15">
        <f t="shared" si="19"/>
        <v>0</v>
      </c>
      <c r="AJ44" s="17"/>
    </row>
    <row r="45" spans="1:36" x14ac:dyDescent="0.3">
      <c r="A45" s="15" t="s">
        <v>93</v>
      </c>
      <c r="B45" s="15">
        <v>100000</v>
      </c>
      <c r="C45" s="15" t="s">
        <v>54</v>
      </c>
      <c r="D45" s="15" t="s">
        <v>68</v>
      </c>
      <c r="E45" s="17">
        <v>2</v>
      </c>
      <c r="F45" s="17">
        <v>0</v>
      </c>
      <c r="G45" s="17">
        <v>0</v>
      </c>
      <c r="H45" s="15">
        <f t="shared" si="10"/>
        <v>2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5">
        <f t="shared" si="11"/>
        <v>2</v>
      </c>
      <c r="T45" s="15">
        <f t="shared" si="12"/>
        <v>2</v>
      </c>
      <c r="U45" s="15">
        <f t="shared" si="13"/>
        <v>0</v>
      </c>
      <c r="V45" s="15">
        <f t="shared" si="14"/>
        <v>0</v>
      </c>
      <c r="W45" s="18" t="str">
        <f t="shared" si="15"/>
        <v/>
      </c>
      <c r="X45" s="17">
        <v>0</v>
      </c>
      <c r="Y45" s="17">
        <v>0</v>
      </c>
      <c r="Z45" s="15">
        <f t="shared" si="16"/>
        <v>0</v>
      </c>
      <c r="AA45" s="17">
        <v>0</v>
      </c>
      <c r="AB45" s="17">
        <v>0</v>
      </c>
      <c r="AC45" s="15">
        <f t="shared" si="17"/>
        <v>0</v>
      </c>
      <c r="AD45" s="17">
        <v>0</v>
      </c>
      <c r="AE45" s="17">
        <v>0</v>
      </c>
      <c r="AF45" s="15">
        <f t="shared" si="18"/>
        <v>0</v>
      </c>
      <c r="AG45" s="17">
        <v>0</v>
      </c>
      <c r="AH45" s="17">
        <v>0</v>
      </c>
      <c r="AI45" s="15">
        <f t="shared" si="19"/>
        <v>0</v>
      </c>
      <c r="AJ45" s="17"/>
    </row>
    <row r="46" spans="1:36" hidden="1" x14ac:dyDescent="0.3">
      <c r="A46" s="15" t="s">
        <v>94</v>
      </c>
      <c r="B46" s="15">
        <v>100</v>
      </c>
      <c r="C46" s="15" t="s">
        <v>54</v>
      </c>
      <c r="D46" s="15" t="s">
        <v>55</v>
      </c>
      <c r="E46" s="15">
        <f>'3-july2026'!T46</f>
        <v>5</v>
      </c>
      <c r="F46" s="15">
        <f>'3-july2026'!U46</f>
        <v>0</v>
      </c>
      <c r="G46" s="15">
        <f>'3-july2026'!V46</f>
        <v>0</v>
      </c>
      <c r="H46" s="15">
        <f t="shared" si="10"/>
        <v>5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5">
        <f t="shared" si="11"/>
        <v>5</v>
      </c>
      <c r="T46" s="15">
        <f t="shared" si="12"/>
        <v>5</v>
      </c>
      <c r="U46" s="15">
        <f t="shared" si="13"/>
        <v>0</v>
      </c>
      <c r="V46" s="15">
        <f t="shared" si="14"/>
        <v>0</v>
      </c>
      <c r="W46" s="18" t="str">
        <f t="shared" si="15"/>
        <v/>
      </c>
      <c r="X46" s="17">
        <v>0</v>
      </c>
      <c r="Y46" s="17">
        <v>0</v>
      </c>
      <c r="Z46" s="15">
        <f t="shared" si="16"/>
        <v>0</v>
      </c>
      <c r="AA46" s="17">
        <v>0</v>
      </c>
      <c r="AB46" s="17">
        <v>0</v>
      </c>
      <c r="AC46" s="15">
        <f t="shared" si="17"/>
        <v>0</v>
      </c>
      <c r="AD46" s="17">
        <v>0</v>
      </c>
      <c r="AE46" s="17">
        <v>0</v>
      </c>
      <c r="AF46" s="15">
        <f t="shared" si="18"/>
        <v>0</v>
      </c>
      <c r="AG46" s="17">
        <v>0</v>
      </c>
      <c r="AH46" s="17">
        <v>0</v>
      </c>
      <c r="AI46" s="15">
        <f t="shared" si="19"/>
        <v>0</v>
      </c>
      <c r="AJ46" s="17"/>
    </row>
    <row r="47" spans="1:36" x14ac:dyDescent="0.3">
      <c r="A47" s="15" t="s">
        <v>94</v>
      </c>
      <c r="B47" s="15">
        <v>100</v>
      </c>
      <c r="C47" s="15" t="s">
        <v>54</v>
      </c>
      <c r="D47" s="15" t="s">
        <v>57</v>
      </c>
      <c r="E47" s="17">
        <v>1</v>
      </c>
      <c r="F47" s="17">
        <v>0</v>
      </c>
      <c r="G47" s="17">
        <v>0</v>
      </c>
      <c r="H47" s="15">
        <f t="shared" si="10"/>
        <v>1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5">
        <f t="shared" si="11"/>
        <v>1</v>
      </c>
      <c r="T47" s="15">
        <f t="shared" si="12"/>
        <v>1</v>
      </c>
      <c r="U47" s="15">
        <f t="shared" si="13"/>
        <v>0</v>
      </c>
      <c r="V47" s="15">
        <f t="shared" si="14"/>
        <v>0</v>
      </c>
      <c r="W47" s="18" t="str">
        <f t="shared" si="15"/>
        <v/>
      </c>
      <c r="X47" s="17">
        <v>0</v>
      </c>
      <c r="Y47" s="17">
        <v>0</v>
      </c>
      <c r="Z47" s="15">
        <f t="shared" si="16"/>
        <v>0</v>
      </c>
      <c r="AA47" s="17">
        <v>0</v>
      </c>
      <c r="AB47" s="17">
        <v>0</v>
      </c>
      <c r="AC47" s="15">
        <f t="shared" si="17"/>
        <v>0</v>
      </c>
      <c r="AD47" s="17">
        <v>0</v>
      </c>
      <c r="AE47" s="17">
        <v>0</v>
      </c>
      <c r="AF47" s="15">
        <f t="shared" si="18"/>
        <v>0</v>
      </c>
      <c r="AG47" s="17">
        <v>0</v>
      </c>
      <c r="AH47" s="17">
        <v>0</v>
      </c>
      <c r="AI47" s="15">
        <f t="shared" si="19"/>
        <v>0</v>
      </c>
      <c r="AJ47" s="17"/>
    </row>
    <row r="48" spans="1:36" x14ac:dyDescent="0.3">
      <c r="A48" s="15" t="s">
        <v>95</v>
      </c>
      <c r="B48" s="15">
        <v>100</v>
      </c>
      <c r="C48" s="15" t="s">
        <v>54</v>
      </c>
      <c r="D48" s="15" t="s">
        <v>57</v>
      </c>
      <c r="E48" s="17">
        <v>1</v>
      </c>
      <c r="F48" s="17">
        <v>0</v>
      </c>
      <c r="G48" s="17">
        <v>0</v>
      </c>
      <c r="H48" s="15">
        <f t="shared" si="10"/>
        <v>1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5">
        <f t="shared" si="11"/>
        <v>1</v>
      </c>
      <c r="T48" s="15">
        <f t="shared" si="12"/>
        <v>1</v>
      </c>
      <c r="U48" s="15">
        <f t="shared" si="13"/>
        <v>0</v>
      </c>
      <c r="V48" s="15">
        <f t="shared" si="14"/>
        <v>0</v>
      </c>
      <c r="W48" s="18" t="str">
        <f t="shared" si="15"/>
        <v/>
      </c>
      <c r="X48" s="17">
        <v>0</v>
      </c>
      <c r="Y48" s="17">
        <v>0</v>
      </c>
      <c r="Z48" s="15">
        <f t="shared" si="16"/>
        <v>0</v>
      </c>
      <c r="AA48" s="17">
        <v>0</v>
      </c>
      <c r="AB48" s="17">
        <v>0</v>
      </c>
      <c r="AC48" s="15">
        <f t="shared" si="17"/>
        <v>0</v>
      </c>
      <c r="AD48" s="17">
        <v>0</v>
      </c>
      <c r="AE48" s="17">
        <v>0</v>
      </c>
      <c r="AF48" s="15">
        <f t="shared" si="18"/>
        <v>0</v>
      </c>
      <c r="AG48" s="17">
        <v>0</v>
      </c>
      <c r="AH48" s="17">
        <v>0</v>
      </c>
      <c r="AI48" s="15">
        <f t="shared" si="19"/>
        <v>0</v>
      </c>
      <c r="AJ48" s="17"/>
    </row>
    <row r="49" spans="1:36" hidden="1" x14ac:dyDescent="0.3">
      <c r="A49" s="15" t="s">
        <v>96</v>
      </c>
      <c r="B49" s="15">
        <v>1000</v>
      </c>
      <c r="C49" s="15"/>
      <c r="D49" s="15" t="s">
        <v>55</v>
      </c>
      <c r="E49" s="15">
        <f>'3-july2026'!T49</f>
        <v>0</v>
      </c>
      <c r="F49" s="15">
        <f>'3-july2026'!U49</f>
        <v>0</v>
      </c>
      <c r="G49" s="15">
        <f>'3-july2026'!V49</f>
        <v>0</v>
      </c>
      <c r="H49" s="15">
        <f t="shared" si="10"/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5">
        <f t="shared" si="11"/>
        <v>0</v>
      </c>
      <c r="T49" s="15">
        <f t="shared" si="12"/>
        <v>0</v>
      </c>
      <c r="U49" s="15">
        <f t="shared" si="13"/>
        <v>0</v>
      </c>
      <c r="V49" s="15">
        <f t="shared" si="14"/>
        <v>0</v>
      </c>
      <c r="W49" s="18" t="str">
        <f t="shared" si="15"/>
        <v/>
      </c>
      <c r="X49" s="17">
        <v>0</v>
      </c>
      <c r="Y49" s="17">
        <v>0</v>
      </c>
      <c r="Z49" s="15">
        <f t="shared" si="16"/>
        <v>0</v>
      </c>
      <c r="AA49" s="17">
        <v>0</v>
      </c>
      <c r="AB49" s="17">
        <v>0</v>
      </c>
      <c r="AC49" s="15">
        <f t="shared" si="17"/>
        <v>0</v>
      </c>
      <c r="AD49" s="17">
        <v>0</v>
      </c>
      <c r="AE49" s="17">
        <v>0</v>
      </c>
      <c r="AF49" s="15">
        <f t="shared" si="18"/>
        <v>0</v>
      </c>
      <c r="AG49" s="17">
        <v>0</v>
      </c>
      <c r="AH49" s="17">
        <v>0</v>
      </c>
      <c r="AI49" s="15">
        <f t="shared" si="19"/>
        <v>0</v>
      </c>
      <c r="AJ49" s="17"/>
    </row>
    <row r="50" spans="1:36" hidden="1" x14ac:dyDescent="0.3">
      <c r="A50" s="15" t="s">
        <v>97</v>
      </c>
      <c r="B50" s="15">
        <v>1000</v>
      </c>
      <c r="C50" s="15" t="s">
        <v>54</v>
      </c>
      <c r="D50" s="15" t="s">
        <v>55</v>
      </c>
      <c r="E50" s="15">
        <v>0</v>
      </c>
      <c r="F50" s="15">
        <v>0</v>
      </c>
      <c r="G50" s="15">
        <v>0</v>
      </c>
      <c r="H50" s="15">
        <f t="shared" si="10"/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5">
        <f t="shared" si="11"/>
        <v>0</v>
      </c>
      <c r="T50" s="15">
        <f t="shared" si="12"/>
        <v>0</v>
      </c>
      <c r="U50" s="15">
        <f t="shared" si="13"/>
        <v>0</v>
      </c>
      <c r="V50" s="15">
        <f t="shared" si="14"/>
        <v>0</v>
      </c>
      <c r="W50" s="18" t="str">
        <f t="shared" si="15"/>
        <v/>
      </c>
      <c r="X50" s="17">
        <v>0</v>
      </c>
      <c r="Y50" s="17">
        <v>0</v>
      </c>
      <c r="Z50" s="15">
        <f t="shared" si="16"/>
        <v>0</v>
      </c>
      <c r="AA50" s="17">
        <v>0</v>
      </c>
      <c r="AB50" s="17">
        <v>0</v>
      </c>
      <c r="AC50" s="15">
        <f t="shared" si="17"/>
        <v>0</v>
      </c>
      <c r="AD50" s="17">
        <v>0</v>
      </c>
      <c r="AE50" s="17">
        <v>0</v>
      </c>
      <c r="AF50" s="15">
        <f t="shared" si="18"/>
        <v>0</v>
      </c>
      <c r="AG50" s="17">
        <v>0</v>
      </c>
      <c r="AH50" s="17">
        <v>0</v>
      </c>
      <c r="AI50" s="15">
        <f t="shared" si="19"/>
        <v>0</v>
      </c>
      <c r="AJ50" s="17"/>
    </row>
    <row r="51" spans="1:36" hidden="1" x14ac:dyDescent="0.3">
      <c r="A51" s="15" t="s">
        <v>98</v>
      </c>
      <c r="B51" s="15">
        <v>1000</v>
      </c>
      <c r="C51" s="15" t="s">
        <v>54</v>
      </c>
      <c r="D51" s="15" t="s">
        <v>55</v>
      </c>
      <c r="E51" s="15">
        <f>'3-july2026'!T51</f>
        <v>3</v>
      </c>
      <c r="F51" s="15">
        <f>'3-july2026'!U51</f>
        <v>17</v>
      </c>
      <c r="G51" s="15">
        <f>'3-july2026'!V51</f>
        <v>0</v>
      </c>
      <c r="H51" s="15">
        <f t="shared" si="10"/>
        <v>20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5">
        <f t="shared" si="11"/>
        <v>20</v>
      </c>
      <c r="T51" s="15">
        <f t="shared" si="12"/>
        <v>3</v>
      </c>
      <c r="U51" s="15">
        <f t="shared" si="13"/>
        <v>17</v>
      </c>
      <c r="V51" s="15">
        <f t="shared" si="14"/>
        <v>0</v>
      </c>
      <c r="W51" s="18" t="str">
        <f t="shared" si="15"/>
        <v/>
      </c>
      <c r="X51" s="17">
        <v>0</v>
      </c>
      <c r="Y51" s="17">
        <v>0</v>
      </c>
      <c r="Z51" s="15">
        <f t="shared" si="16"/>
        <v>0</v>
      </c>
      <c r="AA51" s="17">
        <v>0</v>
      </c>
      <c r="AB51" s="17">
        <v>0</v>
      </c>
      <c r="AC51" s="15">
        <f t="shared" si="17"/>
        <v>0</v>
      </c>
      <c r="AD51" s="17">
        <v>0</v>
      </c>
      <c r="AE51" s="17">
        <v>0</v>
      </c>
      <c r="AF51" s="15">
        <f t="shared" si="18"/>
        <v>0</v>
      </c>
      <c r="AG51" s="17">
        <v>0</v>
      </c>
      <c r="AH51" s="17">
        <v>0</v>
      </c>
      <c r="AI51" s="15">
        <f t="shared" si="19"/>
        <v>0</v>
      </c>
      <c r="AJ51" s="17"/>
    </row>
    <row r="52" spans="1:36" hidden="1" x14ac:dyDescent="0.3">
      <c r="A52" s="15" t="s">
        <v>99</v>
      </c>
      <c r="B52" s="15">
        <v>1000</v>
      </c>
      <c r="C52" s="15" t="s">
        <v>54</v>
      </c>
      <c r="D52" s="15" t="s">
        <v>55</v>
      </c>
      <c r="E52" s="15">
        <f>'3-july2026'!T52</f>
        <v>5</v>
      </c>
      <c r="F52" s="15">
        <f>'3-july2026'!U52</f>
        <v>1</v>
      </c>
      <c r="G52" s="15">
        <f>'3-july2026'!V52</f>
        <v>2</v>
      </c>
      <c r="H52" s="15">
        <f t="shared" si="10"/>
        <v>8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5">
        <f t="shared" si="11"/>
        <v>8</v>
      </c>
      <c r="T52" s="15">
        <f t="shared" si="12"/>
        <v>5</v>
      </c>
      <c r="U52" s="15">
        <f t="shared" si="13"/>
        <v>1</v>
      </c>
      <c r="V52" s="15">
        <f t="shared" si="14"/>
        <v>2</v>
      </c>
      <c r="W52" s="18" t="str">
        <f t="shared" si="15"/>
        <v/>
      </c>
      <c r="X52" s="17">
        <v>0</v>
      </c>
      <c r="Y52" s="17">
        <v>0</v>
      </c>
      <c r="Z52" s="15">
        <f t="shared" si="16"/>
        <v>0</v>
      </c>
      <c r="AA52" s="17">
        <v>0</v>
      </c>
      <c r="AB52" s="17">
        <v>0</v>
      </c>
      <c r="AC52" s="15">
        <f t="shared" si="17"/>
        <v>0</v>
      </c>
      <c r="AD52" s="17">
        <v>0</v>
      </c>
      <c r="AE52" s="17">
        <v>0</v>
      </c>
      <c r="AF52" s="15">
        <f t="shared" si="18"/>
        <v>0</v>
      </c>
      <c r="AG52" s="17">
        <v>0</v>
      </c>
      <c r="AH52" s="17">
        <v>0</v>
      </c>
      <c r="AI52" s="15">
        <f t="shared" si="19"/>
        <v>0</v>
      </c>
      <c r="AJ52" s="17"/>
    </row>
    <row r="53" spans="1:36" x14ac:dyDescent="0.3">
      <c r="A53" s="15" t="s">
        <v>100</v>
      </c>
      <c r="B53" s="15">
        <v>100</v>
      </c>
      <c r="C53" s="15" t="s">
        <v>54</v>
      </c>
      <c r="D53" s="15" t="s">
        <v>68</v>
      </c>
      <c r="E53" s="17">
        <v>3</v>
      </c>
      <c r="F53" s="17">
        <v>0</v>
      </c>
      <c r="G53" s="17">
        <v>0</v>
      </c>
      <c r="H53" s="15">
        <f t="shared" si="10"/>
        <v>3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5">
        <f t="shared" si="11"/>
        <v>3</v>
      </c>
      <c r="T53" s="15">
        <f t="shared" si="12"/>
        <v>3</v>
      </c>
      <c r="U53" s="15">
        <f t="shared" si="13"/>
        <v>0</v>
      </c>
      <c r="V53" s="15">
        <f t="shared" si="14"/>
        <v>0</v>
      </c>
      <c r="W53" s="18" t="str">
        <f t="shared" si="15"/>
        <v/>
      </c>
      <c r="X53" s="17">
        <v>0</v>
      </c>
      <c r="Y53" s="17">
        <v>0</v>
      </c>
      <c r="Z53" s="15">
        <f t="shared" si="16"/>
        <v>0</v>
      </c>
      <c r="AA53" s="17">
        <v>0</v>
      </c>
      <c r="AB53" s="17">
        <v>0</v>
      </c>
      <c r="AC53" s="15">
        <f t="shared" si="17"/>
        <v>0</v>
      </c>
      <c r="AD53" s="17">
        <v>0</v>
      </c>
      <c r="AE53" s="17">
        <v>0</v>
      </c>
      <c r="AF53" s="15">
        <f t="shared" si="18"/>
        <v>0</v>
      </c>
      <c r="AG53" s="17">
        <v>0</v>
      </c>
      <c r="AH53" s="17">
        <v>0</v>
      </c>
      <c r="AI53" s="15">
        <f t="shared" si="19"/>
        <v>0</v>
      </c>
      <c r="AJ53" s="17"/>
    </row>
    <row r="54" spans="1:36" x14ac:dyDescent="0.3">
      <c r="A54" s="15" t="s">
        <v>101</v>
      </c>
      <c r="B54" s="15">
        <v>1000</v>
      </c>
      <c r="C54" s="15" t="s">
        <v>54</v>
      </c>
      <c r="D54" s="15" t="s">
        <v>68</v>
      </c>
      <c r="E54" s="17">
        <v>7</v>
      </c>
      <c r="F54" s="17">
        <v>0</v>
      </c>
      <c r="G54" s="17">
        <v>0</v>
      </c>
      <c r="H54" s="15">
        <f t="shared" si="10"/>
        <v>7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5">
        <f t="shared" si="11"/>
        <v>7</v>
      </c>
      <c r="T54" s="15">
        <f t="shared" si="12"/>
        <v>7</v>
      </c>
      <c r="U54" s="15">
        <f t="shared" si="13"/>
        <v>0</v>
      </c>
      <c r="V54" s="15">
        <f t="shared" si="14"/>
        <v>0</v>
      </c>
      <c r="W54" s="18" t="str">
        <f t="shared" si="15"/>
        <v/>
      </c>
      <c r="X54" s="17">
        <v>0</v>
      </c>
      <c r="Y54" s="17">
        <v>0</v>
      </c>
      <c r="Z54" s="15">
        <f t="shared" si="16"/>
        <v>0</v>
      </c>
      <c r="AA54" s="17">
        <v>0</v>
      </c>
      <c r="AB54" s="17">
        <v>0</v>
      </c>
      <c r="AC54" s="15">
        <f t="shared" si="17"/>
        <v>0</v>
      </c>
      <c r="AD54" s="17">
        <v>0</v>
      </c>
      <c r="AE54" s="17">
        <v>0</v>
      </c>
      <c r="AF54" s="15">
        <f t="shared" si="18"/>
        <v>0</v>
      </c>
      <c r="AG54" s="17">
        <v>0</v>
      </c>
      <c r="AH54" s="17">
        <v>0</v>
      </c>
      <c r="AI54" s="15">
        <f t="shared" si="19"/>
        <v>0</v>
      </c>
      <c r="AJ54" s="17"/>
    </row>
    <row r="55" spans="1:36" x14ac:dyDescent="0.3">
      <c r="A55" s="15" t="s">
        <v>102</v>
      </c>
      <c r="B55" s="15">
        <v>5000</v>
      </c>
      <c r="C55" s="15" t="s">
        <v>54</v>
      </c>
      <c r="D55" s="15" t="s">
        <v>57</v>
      </c>
      <c r="E55" s="17">
        <v>1</v>
      </c>
      <c r="F55" s="17">
        <v>0</v>
      </c>
      <c r="G55" s="17">
        <v>0</v>
      </c>
      <c r="H55" s="15">
        <f t="shared" si="10"/>
        <v>1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5">
        <f t="shared" si="11"/>
        <v>1</v>
      </c>
      <c r="T55" s="15">
        <f t="shared" si="12"/>
        <v>1</v>
      </c>
      <c r="U55" s="15">
        <f t="shared" si="13"/>
        <v>0</v>
      </c>
      <c r="V55" s="15">
        <f t="shared" si="14"/>
        <v>0</v>
      </c>
      <c r="W55" s="18" t="str">
        <f t="shared" si="15"/>
        <v/>
      </c>
      <c r="X55" s="17">
        <v>0</v>
      </c>
      <c r="Y55" s="17">
        <v>0</v>
      </c>
      <c r="Z55" s="15">
        <f t="shared" si="16"/>
        <v>0</v>
      </c>
      <c r="AA55" s="17">
        <v>0</v>
      </c>
      <c r="AB55" s="17">
        <v>0</v>
      </c>
      <c r="AC55" s="15">
        <f t="shared" si="17"/>
        <v>0</v>
      </c>
      <c r="AD55" s="17">
        <v>0</v>
      </c>
      <c r="AE55" s="17">
        <v>0</v>
      </c>
      <c r="AF55" s="15">
        <f t="shared" si="18"/>
        <v>0</v>
      </c>
      <c r="AG55" s="17">
        <v>0</v>
      </c>
      <c r="AH55" s="17">
        <v>0</v>
      </c>
      <c r="AI55" s="15">
        <f t="shared" si="19"/>
        <v>0</v>
      </c>
      <c r="AJ55" s="17"/>
    </row>
    <row r="56" spans="1:36" x14ac:dyDescent="0.3">
      <c r="A56" s="15" t="s">
        <v>103</v>
      </c>
      <c r="B56" s="15">
        <v>1000</v>
      </c>
      <c r="C56" s="15" t="s">
        <v>54</v>
      </c>
      <c r="D56" s="15" t="s">
        <v>68</v>
      </c>
      <c r="E56" s="17">
        <v>1</v>
      </c>
      <c r="F56" s="17">
        <v>0</v>
      </c>
      <c r="G56" s="17">
        <v>0</v>
      </c>
      <c r="H56" s="15">
        <f t="shared" si="10"/>
        <v>1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5">
        <f t="shared" si="11"/>
        <v>1</v>
      </c>
      <c r="T56" s="15">
        <f t="shared" si="12"/>
        <v>1</v>
      </c>
      <c r="U56" s="15">
        <f t="shared" si="13"/>
        <v>0</v>
      </c>
      <c r="V56" s="15">
        <f t="shared" si="14"/>
        <v>0</v>
      </c>
      <c r="W56" s="18" t="str">
        <f t="shared" si="15"/>
        <v/>
      </c>
      <c r="X56" s="17">
        <v>0</v>
      </c>
      <c r="Y56" s="17">
        <v>0</v>
      </c>
      <c r="Z56" s="15">
        <f t="shared" si="16"/>
        <v>0</v>
      </c>
      <c r="AA56" s="17">
        <v>0</v>
      </c>
      <c r="AB56" s="17">
        <v>0</v>
      </c>
      <c r="AC56" s="15">
        <f t="shared" si="17"/>
        <v>0</v>
      </c>
      <c r="AD56" s="17">
        <v>0</v>
      </c>
      <c r="AE56" s="17">
        <v>0</v>
      </c>
      <c r="AF56" s="15">
        <f t="shared" si="18"/>
        <v>0</v>
      </c>
      <c r="AG56" s="17">
        <v>0</v>
      </c>
      <c r="AH56" s="17">
        <v>0</v>
      </c>
      <c r="AI56" s="15">
        <f t="shared" si="19"/>
        <v>0</v>
      </c>
      <c r="AJ56" s="17"/>
    </row>
    <row r="57" spans="1:36" hidden="1" x14ac:dyDescent="0.3">
      <c r="A57" s="15" t="s">
        <v>104</v>
      </c>
      <c r="B57" s="15">
        <v>1000</v>
      </c>
      <c r="C57" s="15" t="s">
        <v>54</v>
      </c>
      <c r="D57" s="15" t="s">
        <v>55</v>
      </c>
      <c r="E57" s="15">
        <f>'3-july2026'!T57</f>
        <v>0</v>
      </c>
      <c r="F57" s="15">
        <f>'3-july2026'!U57</f>
        <v>2</v>
      </c>
      <c r="G57" s="15">
        <f>'3-july2026'!V57</f>
        <v>0</v>
      </c>
      <c r="H57" s="15">
        <f t="shared" si="10"/>
        <v>2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5">
        <f t="shared" si="11"/>
        <v>2</v>
      </c>
      <c r="T57" s="15">
        <f t="shared" si="12"/>
        <v>0</v>
      </c>
      <c r="U57" s="15">
        <f t="shared" si="13"/>
        <v>2</v>
      </c>
      <c r="V57" s="15">
        <f t="shared" si="14"/>
        <v>0</v>
      </c>
      <c r="W57" s="18" t="str">
        <f t="shared" si="15"/>
        <v/>
      </c>
      <c r="X57" s="17">
        <v>0</v>
      </c>
      <c r="Y57" s="17">
        <v>0</v>
      </c>
      <c r="Z57" s="15">
        <f t="shared" si="16"/>
        <v>0</v>
      </c>
      <c r="AA57" s="17">
        <v>0</v>
      </c>
      <c r="AB57" s="17">
        <v>0</v>
      </c>
      <c r="AC57" s="15">
        <f t="shared" si="17"/>
        <v>0</v>
      </c>
      <c r="AD57" s="17">
        <v>0</v>
      </c>
      <c r="AE57" s="17">
        <v>0</v>
      </c>
      <c r="AF57" s="15">
        <f t="shared" si="18"/>
        <v>0</v>
      </c>
      <c r="AG57" s="17">
        <v>0</v>
      </c>
      <c r="AH57" s="17">
        <v>0</v>
      </c>
      <c r="AI57" s="15">
        <f t="shared" si="19"/>
        <v>0</v>
      </c>
      <c r="AJ57" s="17"/>
    </row>
    <row r="58" spans="1:36" x14ac:dyDescent="0.3">
      <c r="A58" s="15" t="s">
        <v>105</v>
      </c>
      <c r="B58" s="15">
        <v>100000</v>
      </c>
      <c r="C58" s="15" t="s">
        <v>54</v>
      </c>
      <c r="D58" s="15" t="s">
        <v>68</v>
      </c>
      <c r="E58" s="17">
        <v>2</v>
      </c>
      <c r="F58" s="17">
        <v>0</v>
      </c>
      <c r="G58" s="17">
        <v>0</v>
      </c>
      <c r="H58" s="15">
        <f t="shared" si="10"/>
        <v>2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5">
        <f t="shared" si="11"/>
        <v>2</v>
      </c>
      <c r="T58" s="15">
        <f t="shared" si="12"/>
        <v>2</v>
      </c>
      <c r="U58" s="15">
        <f t="shared" si="13"/>
        <v>0</v>
      </c>
      <c r="V58" s="15">
        <f t="shared" si="14"/>
        <v>0</v>
      </c>
      <c r="W58" s="18" t="str">
        <f t="shared" si="15"/>
        <v/>
      </c>
      <c r="X58" s="17">
        <v>0</v>
      </c>
      <c r="Y58" s="17">
        <v>0</v>
      </c>
      <c r="Z58" s="15">
        <f t="shared" si="16"/>
        <v>0</v>
      </c>
      <c r="AA58" s="17">
        <v>0</v>
      </c>
      <c r="AB58" s="17">
        <v>0</v>
      </c>
      <c r="AC58" s="15">
        <f t="shared" si="17"/>
        <v>0</v>
      </c>
      <c r="AD58" s="17">
        <v>0</v>
      </c>
      <c r="AE58" s="17">
        <v>0</v>
      </c>
      <c r="AF58" s="15">
        <f t="shared" si="18"/>
        <v>0</v>
      </c>
      <c r="AG58" s="17">
        <v>0</v>
      </c>
      <c r="AH58" s="17">
        <v>0</v>
      </c>
      <c r="AI58" s="15">
        <f t="shared" si="19"/>
        <v>0</v>
      </c>
      <c r="AJ58" s="17"/>
    </row>
    <row r="59" spans="1:36" hidden="1" x14ac:dyDescent="0.3">
      <c r="A59" s="15" t="s">
        <v>106</v>
      </c>
      <c r="B59" s="15">
        <v>100</v>
      </c>
      <c r="C59" s="15" t="s">
        <v>54</v>
      </c>
      <c r="D59" s="15" t="s">
        <v>55</v>
      </c>
      <c r="E59" s="15">
        <f>'3-july2026'!T59</f>
        <v>0</v>
      </c>
      <c r="F59" s="15">
        <f>'3-july2026'!U59</f>
        <v>0</v>
      </c>
      <c r="G59" s="15">
        <f>'3-july2026'!V59</f>
        <v>6</v>
      </c>
      <c r="H59" s="15">
        <f t="shared" si="10"/>
        <v>6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5">
        <f t="shared" si="11"/>
        <v>6</v>
      </c>
      <c r="T59" s="15">
        <f t="shared" si="12"/>
        <v>0</v>
      </c>
      <c r="U59" s="15">
        <f t="shared" si="13"/>
        <v>0</v>
      </c>
      <c r="V59" s="15">
        <f t="shared" si="14"/>
        <v>6</v>
      </c>
      <c r="W59" s="18" t="str">
        <f t="shared" si="15"/>
        <v/>
      </c>
      <c r="X59" s="17">
        <v>0</v>
      </c>
      <c r="Y59" s="17">
        <v>0</v>
      </c>
      <c r="Z59" s="15">
        <f t="shared" si="16"/>
        <v>0</v>
      </c>
      <c r="AA59" s="17">
        <v>0</v>
      </c>
      <c r="AB59" s="17">
        <v>0</v>
      </c>
      <c r="AC59" s="15">
        <f t="shared" si="17"/>
        <v>0</v>
      </c>
      <c r="AD59" s="17">
        <v>0</v>
      </c>
      <c r="AE59" s="17">
        <v>0</v>
      </c>
      <c r="AF59" s="15">
        <f t="shared" si="18"/>
        <v>0</v>
      </c>
      <c r="AG59" s="17">
        <v>0</v>
      </c>
      <c r="AH59" s="17">
        <v>0</v>
      </c>
      <c r="AI59" s="15">
        <f t="shared" si="19"/>
        <v>0</v>
      </c>
      <c r="AJ59" s="17"/>
    </row>
    <row r="60" spans="1:36" x14ac:dyDescent="0.3">
      <c r="A60" s="15" t="s">
        <v>107</v>
      </c>
      <c r="B60" s="15">
        <v>100000</v>
      </c>
      <c r="C60" s="15" t="s">
        <v>54</v>
      </c>
      <c r="D60" s="15" t="s">
        <v>68</v>
      </c>
      <c r="E60" s="17">
        <v>5</v>
      </c>
      <c r="F60" s="17">
        <v>0</v>
      </c>
      <c r="G60" s="17">
        <v>0</v>
      </c>
      <c r="H60" s="15">
        <f t="shared" si="10"/>
        <v>5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5">
        <f t="shared" si="11"/>
        <v>5</v>
      </c>
      <c r="T60" s="15">
        <f t="shared" si="12"/>
        <v>5</v>
      </c>
      <c r="U60" s="15">
        <f t="shared" si="13"/>
        <v>0</v>
      </c>
      <c r="V60" s="15">
        <f t="shared" si="14"/>
        <v>0</v>
      </c>
      <c r="W60" s="18" t="str">
        <f t="shared" si="15"/>
        <v/>
      </c>
      <c r="X60" s="17">
        <v>0</v>
      </c>
      <c r="Y60" s="17">
        <v>0</v>
      </c>
      <c r="Z60" s="15">
        <f t="shared" si="16"/>
        <v>0</v>
      </c>
      <c r="AA60" s="17">
        <v>0</v>
      </c>
      <c r="AB60" s="17">
        <v>0</v>
      </c>
      <c r="AC60" s="15">
        <f t="shared" si="17"/>
        <v>0</v>
      </c>
      <c r="AD60" s="17">
        <v>0</v>
      </c>
      <c r="AE60" s="17">
        <v>0</v>
      </c>
      <c r="AF60" s="15">
        <f t="shared" si="18"/>
        <v>0</v>
      </c>
      <c r="AG60" s="17">
        <v>0</v>
      </c>
      <c r="AH60" s="17">
        <v>0</v>
      </c>
      <c r="AI60" s="15">
        <f t="shared" si="19"/>
        <v>0</v>
      </c>
      <c r="AJ60" s="17"/>
    </row>
    <row r="61" spans="1:36" x14ac:dyDescent="0.3">
      <c r="A61" s="15" t="s">
        <v>108</v>
      </c>
      <c r="B61" s="15">
        <v>100</v>
      </c>
      <c r="C61" s="15" t="s">
        <v>54</v>
      </c>
      <c r="D61" s="15" t="s">
        <v>68</v>
      </c>
      <c r="E61" s="17">
        <v>3</v>
      </c>
      <c r="F61" s="17">
        <v>0</v>
      </c>
      <c r="G61" s="17">
        <v>0</v>
      </c>
      <c r="H61" s="15">
        <f t="shared" si="10"/>
        <v>3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5">
        <f t="shared" si="11"/>
        <v>3</v>
      </c>
      <c r="T61" s="15">
        <f t="shared" si="12"/>
        <v>3</v>
      </c>
      <c r="U61" s="15">
        <f t="shared" si="13"/>
        <v>0</v>
      </c>
      <c r="V61" s="15">
        <f t="shared" si="14"/>
        <v>0</v>
      </c>
      <c r="W61" s="18" t="str">
        <f t="shared" si="15"/>
        <v/>
      </c>
      <c r="X61" s="17">
        <v>0</v>
      </c>
      <c r="Y61" s="17">
        <v>0</v>
      </c>
      <c r="Z61" s="15">
        <f t="shared" si="16"/>
        <v>0</v>
      </c>
      <c r="AA61" s="17">
        <v>0</v>
      </c>
      <c r="AB61" s="17">
        <v>0</v>
      </c>
      <c r="AC61" s="15">
        <f t="shared" si="17"/>
        <v>0</v>
      </c>
      <c r="AD61" s="17">
        <v>0</v>
      </c>
      <c r="AE61" s="17">
        <v>0</v>
      </c>
      <c r="AF61" s="15">
        <f t="shared" si="18"/>
        <v>0</v>
      </c>
      <c r="AG61" s="17">
        <v>0</v>
      </c>
      <c r="AH61" s="17">
        <v>0</v>
      </c>
      <c r="AI61" s="15">
        <f t="shared" si="19"/>
        <v>0</v>
      </c>
      <c r="AJ61" s="17"/>
    </row>
    <row r="62" spans="1:36" hidden="1" x14ac:dyDescent="0.3">
      <c r="A62" s="15" t="s">
        <v>109</v>
      </c>
      <c r="B62" s="15">
        <v>0</v>
      </c>
      <c r="C62" s="15" t="s">
        <v>110</v>
      </c>
      <c r="D62" s="15" t="s">
        <v>55</v>
      </c>
      <c r="E62" s="15">
        <v>0</v>
      </c>
      <c r="F62" s="15">
        <v>0</v>
      </c>
      <c r="G62" s="15">
        <v>0</v>
      </c>
      <c r="H62" s="15">
        <f t="shared" si="10"/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5">
        <f t="shared" si="11"/>
        <v>0</v>
      </c>
      <c r="T62" s="15">
        <f t="shared" si="12"/>
        <v>0</v>
      </c>
      <c r="U62" s="15">
        <f t="shared" si="13"/>
        <v>0</v>
      </c>
      <c r="V62" s="15">
        <f t="shared" si="14"/>
        <v>0</v>
      </c>
      <c r="W62" s="18" t="str">
        <f t="shared" si="15"/>
        <v/>
      </c>
      <c r="X62" s="17">
        <v>0</v>
      </c>
      <c r="Y62" s="17">
        <v>0</v>
      </c>
      <c r="Z62" s="15">
        <f t="shared" si="16"/>
        <v>0</v>
      </c>
      <c r="AA62" s="17">
        <v>0</v>
      </c>
      <c r="AB62" s="17">
        <v>0</v>
      </c>
      <c r="AC62" s="15">
        <f t="shared" si="17"/>
        <v>0</v>
      </c>
      <c r="AD62" s="17">
        <v>0</v>
      </c>
      <c r="AE62" s="17">
        <v>0</v>
      </c>
      <c r="AF62" s="15">
        <f t="shared" si="18"/>
        <v>0</v>
      </c>
      <c r="AG62" s="17">
        <v>0</v>
      </c>
      <c r="AH62" s="17">
        <v>0</v>
      </c>
      <c r="AI62" s="15">
        <f t="shared" si="19"/>
        <v>0</v>
      </c>
      <c r="AJ62" s="17"/>
    </row>
    <row r="63" spans="1:36" x14ac:dyDescent="0.3">
      <c r="A63" s="15" t="s">
        <v>111</v>
      </c>
      <c r="B63" s="15">
        <v>1000</v>
      </c>
      <c r="C63" s="15" t="s">
        <v>54</v>
      </c>
      <c r="D63" s="15" t="s">
        <v>68</v>
      </c>
      <c r="E63" s="17">
        <v>3</v>
      </c>
      <c r="F63" s="17">
        <v>0</v>
      </c>
      <c r="G63" s="17">
        <v>0</v>
      </c>
      <c r="H63" s="15">
        <f t="shared" si="10"/>
        <v>3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5">
        <f t="shared" si="11"/>
        <v>3</v>
      </c>
      <c r="T63" s="15">
        <f t="shared" si="12"/>
        <v>3</v>
      </c>
      <c r="U63" s="15">
        <f t="shared" si="13"/>
        <v>0</v>
      </c>
      <c r="V63" s="15">
        <f t="shared" si="14"/>
        <v>0</v>
      </c>
      <c r="W63" s="18" t="str">
        <f t="shared" si="15"/>
        <v/>
      </c>
      <c r="X63" s="17">
        <v>0</v>
      </c>
      <c r="Y63" s="17">
        <v>0</v>
      </c>
      <c r="Z63" s="15">
        <f t="shared" si="16"/>
        <v>0</v>
      </c>
      <c r="AA63" s="17">
        <v>0</v>
      </c>
      <c r="AB63" s="17">
        <v>0</v>
      </c>
      <c r="AC63" s="15">
        <f t="shared" si="17"/>
        <v>0</v>
      </c>
      <c r="AD63" s="17">
        <v>0</v>
      </c>
      <c r="AE63" s="17">
        <v>0</v>
      </c>
      <c r="AF63" s="15">
        <f t="shared" si="18"/>
        <v>0</v>
      </c>
      <c r="AG63" s="17">
        <v>0</v>
      </c>
      <c r="AH63" s="17">
        <v>0</v>
      </c>
      <c r="AI63" s="15">
        <f t="shared" si="19"/>
        <v>0</v>
      </c>
      <c r="AJ63" s="17"/>
    </row>
    <row r="64" spans="1:36" x14ac:dyDescent="0.3">
      <c r="A64" s="15" t="s">
        <v>112</v>
      </c>
      <c r="B64" s="15">
        <v>1000</v>
      </c>
      <c r="C64" s="15" t="s">
        <v>54</v>
      </c>
      <c r="D64" s="15" t="s">
        <v>68</v>
      </c>
      <c r="E64" s="17">
        <v>2</v>
      </c>
      <c r="F64" s="17">
        <v>0</v>
      </c>
      <c r="G64" s="17">
        <v>0</v>
      </c>
      <c r="H64" s="15">
        <f t="shared" si="10"/>
        <v>2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5">
        <f t="shared" si="11"/>
        <v>2</v>
      </c>
      <c r="T64" s="15">
        <f t="shared" si="12"/>
        <v>2</v>
      </c>
      <c r="U64" s="15">
        <f t="shared" si="13"/>
        <v>0</v>
      </c>
      <c r="V64" s="15">
        <f t="shared" si="14"/>
        <v>0</v>
      </c>
      <c r="W64" s="18" t="str">
        <f t="shared" si="15"/>
        <v/>
      </c>
      <c r="X64" s="17">
        <v>0</v>
      </c>
      <c r="Y64" s="17">
        <v>0</v>
      </c>
      <c r="Z64" s="15">
        <f t="shared" si="16"/>
        <v>0</v>
      </c>
      <c r="AA64" s="17">
        <v>0</v>
      </c>
      <c r="AB64" s="17">
        <v>0</v>
      </c>
      <c r="AC64" s="15">
        <f t="shared" si="17"/>
        <v>0</v>
      </c>
      <c r="AD64" s="17">
        <v>0</v>
      </c>
      <c r="AE64" s="17">
        <v>0</v>
      </c>
      <c r="AF64" s="15">
        <f t="shared" si="18"/>
        <v>0</v>
      </c>
      <c r="AG64" s="17">
        <v>0</v>
      </c>
      <c r="AH64" s="17">
        <v>0</v>
      </c>
      <c r="AI64" s="15">
        <f t="shared" si="19"/>
        <v>0</v>
      </c>
      <c r="AJ64" s="17"/>
    </row>
    <row r="65" spans="1:36" x14ac:dyDescent="0.3">
      <c r="A65" s="15" t="s">
        <v>113</v>
      </c>
      <c r="B65" s="15">
        <v>1000</v>
      </c>
      <c r="C65" s="15" t="s">
        <v>54</v>
      </c>
      <c r="D65" s="15" t="s">
        <v>68</v>
      </c>
      <c r="E65" s="17">
        <v>4</v>
      </c>
      <c r="F65" s="17">
        <v>0</v>
      </c>
      <c r="G65" s="17">
        <v>0</v>
      </c>
      <c r="H65" s="15">
        <f t="shared" si="10"/>
        <v>4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5">
        <f t="shared" si="11"/>
        <v>4</v>
      </c>
      <c r="T65" s="15">
        <f t="shared" si="12"/>
        <v>4</v>
      </c>
      <c r="U65" s="15">
        <f t="shared" si="13"/>
        <v>0</v>
      </c>
      <c r="V65" s="15">
        <f t="shared" si="14"/>
        <v>0</v>
      </c>
      <c r="W65" s="18" t="str">
        <f t="shared" si="15"/>
        <v/>
      </c>
      <c r="X65" s="17">
        <v>0</v>
      </c>
      <c r="Y65" s="17">
        <v>0</v>
      </c>
      <c r="Z65" s="15">
        <f t="shared" si="16"/>
        <v>0</v>
      </c>
      <c r="AA65" s="17">
        <v>0</v>
      </c>
      <c r="AB65" s="17">
        <v>0</v>
      </c>
      <c r="AC65" s="15">
        <f t="shared" si="17"/>
        <v>0</v>
      </c>
      <c r="AD65" s="17">
        <v>0</v>
      </c>
      <c r="AE65" s="17">
        <v>0</v>
      </c>
      <c r="AF65" s="15">
        <f t="shared" si="18"/>
        <v>0</v>
      </c>
      <c r="AG65" s="17">
        <v>0</v>
      </c>
      <c r="AH65" s="17">
        <v>0</v>
      </c>
      <c r="AI65" s="15">
        <f t="shared" si="19"/>
        <v>0</v>
      </c>
      <c r="AJ65" s="17"/>
    </row>
    <row r="66" spans="1:36" x14ac:dyDescent="0.3">
      <c r="A66" s="15" t="s">
        <v>114</v>
      </c>
      <c r="B66" s="15">
        <v>100</v>
      </c>
      <c r="C66" s="15" t="s">
        <v>54</v>
      </c>
      <c r="D66" s="15" t="s">
        <v>57</v>
      </c>
      <c r="E66" s="17">
        <v>4</v>
      </c>
      <c r="F66" s="17">
        <v>0</v>
      </c>
      <c r="G66" s="17">
        <v>0</v>
      </c>
      <c r="H66" s="15">
        <f t="shared" si="10"/>
        <v>4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5">
        <f t="shared" si="11"/>
        <v>4</v>
      </c>
      <c r="T66" s="15">
        <f t="shared" si="12"/>
        <v>4</v>
      </c>
      <c r="U66" s="15">
        <f t="shared" si="13"/>
        <v>0</v>
      </c>
      <c r="V66" s="15">
        <f t="shared" si="14"/>
        <v>0</v>
      </c>
      <c r="W66" s="18" t="str">
        <f t="shared" si="15"/>
        <v/>
      </c>
      <c r="X66" s="17">
        <v>0</v>
      </c>
      <c r="Y66" s="17">
        <v>0</v>
      </c>
      <c r="Z66" s="15">
        <f t="shared" si="16"/>
        <v>0</v>
      </c>
      <c r="AA66" s="17">
        <v>0</v>
      </c>
      <c r="AB66" s="17">
        <v>0</v>
      </c>
      <c r="AC66" s="15">
        <f t="shared" si="17"/>
        <v>0</v>
      </c>
      <c r="AD66" s="17">
        <v>0</v>
      </c>
      <c r="AE66" s="17">
        <v>0</v>
      </c>
      <c r="AF66" s="15">
        <f t="shared" si="18"/>
        <v>0</v>
      </c>
      <c r="AG66" s="17">
        <v>0</v>
      </c>
      <c r="AH66" s="17">
        <v>0</v>
      </c>
      <c r="AI66" s="15">
        <f t="shared" si="19"/>
        <v>0</v>
      </c>
      <c r="AJ66" s="17"/>
    </row>
    <row r="67" spans="1:36" hidden="1" x14ac:dyDescent="0.3">
      <c r="A67" s="15" t="s">
        <v>115</v>
      </c>
      <c r="B67" s="15">
        <v>1000</v>
      </c>
      <c r="C67" s="15" t="s">
        <v>54</v>
      </c>
      <c r="D67" s="15" t="s">
        <v>55</v>
      </c>
      <c r="E67" s="15">
        <f>'3-july2026'!T67</f>
        <v>2</v>
      </c>
      <c r="F67" s="15">
        <f>'3-july2026'!U67</f>
        <v>0</v>
      </c>
      <c r="G67" s="15">
        <f>'3-july2026'!V67</f>
        <v>0</v>
      </c>
      <c r="H67" s="15">
        <f t="shared" ref="H67:H98" si="20">E67+F67+G67</f>
        <v>2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5">
        <f t="shared" ref="S67:S98" si="21">H67+O67+P67+Q67+R67-(I67+J67+K67+L67+M67+N67)</f>
        <v>2</v>
      </c>
      <c r="T67" s="15">
        <f t="shared" ref="T67:T98" si="22">E67+O67-I67-L67</f>
        <v>2</v>
      </c>
      <c r="U67" s="15">
        <f t="shared" ref="U67:U98" si="23">F67+P67-J67-M67</f>
        <v>0</v>
      </c>
      <c r="V67" s="15">
        <f t="shared" ref="V67:V98" si="24">G67+Q67-K67-N67</f>
        <v>0</v>
      </c>
      <c r="W67" s="18" t="str">
        <f t="shared" ref="W67:W98" si="25">IF(MIN(T67,U67,V67)&lt;0,"NEGATIVE STOCK - CHECK ENTRIES","")</f>
        <v/>
      </c>
      <c r="X67" s="17">
        <v>0</v>
      </c>
      <c r="Y67" s="17">
        <v>0</v>
      </c>
      <c r="Z67" s="15">
        <f t="shared" ref="Z67:Z98" si="26">X67-Y67</f>
        <v>0</v>
      </c>
      <c r="AA67" s="17">
        <v>0</v>
      </c>
      <c r="AB67" s="17">
        <v>0</v>
      </c>
      <c r="AC67" s="15">
        <f t="shared" ref="AC67:AC98" si="27">AA67-AB67</f>
        <v>0</v>
      </c>
      <c r="AD67" s="17">
        <v>0</v>
      </c>
      <c r="AE67" s="17">
        <v>0</v>
      </c>
      <c r="AF67" s="15">
        <f t="shared" ref="AF67:AF98" si="28">AD67-AE67</f>
        <v>0</v>
      </c>
      <c r="AG67" s="17">
        <v>0</v>
      </c>
      <c r="AH67" s="17">
        <v>0</v>
      </c>
      <c r="AI67" s="15">
        <f t="shared" ref="AI67:AI98" si="29">AG67-AH67</f>
        <v>0</v>
      </c>
      <c r="AJ67" s="17"/>
    </row>
    <row r="68" spans="1:36" x14ac:dyDescent="0.3">
      <c r="A68" s="15" t="s">
        <v>116</v>
      </c>
      <c r="B68" s="15">
        <v>5000</v>
      </c>
      <c r="C68" s="15" t="s">
        <v>54</v>
      </c>
      <c r="D68" s="15" t="s">
        <v>68</v>
      </c>
      <c r="E68" s="17">
        <v>1</v>
      </c>
      <c r="F68" s="17">
        <v>0</v>
      </c>
      <c r="G68" s="17">
        <v>0</v>
      </c>
      <c r="H68" s="15">
        <f t="shared" si="20"/>
        <v>1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5">
        <f t="shared" si="21"/>
        <v>1</v>
      </c>
      <c r="T68" s="15">
        <f t="shared" si="22"/>
        <v>1</v>
      </c>
      <c r="U68" s="15">
        <f t="shared" si="23"/>
        <v>0</v>
      </c>
      <c r="V68" s="15">
        <f t="shared" si="24"/>
        <v>0</v>
      </c>
      <c r="W68" s="18" t="str">
        <f t="shared" si="25"/>
        <v/>
      </c>
      <c r="X68" s="17">
        <v>0</v>
      </c>
      <c r="Y68" s="17">
        <v>0</v>
      </c>
      <c r="Z68" s="15">
        <f t="shared" si="26"/>
        <v>0</v>
      </c>
      <c r="AA68" s="17">
        <v>0</v>
      </c>
      <c r="AB68" s="17">
        <v>0</v>
      </c>
      <c r="AC68" s="15">
        <f t="shared" si="27"/>
        <v>0</v>
      </c>
      <c r="AD68" s="17">
        <v>0</v>
      </c>
      <c r="AE68" s="17">
        <v>0</v>
      </c>
      <c r="AF68" s="15">
        <f t="shared" si="28"/>
        <v>0</v>
      </c>
      <c r="AG68" s="17">
        <v>0</v>
      </c>
      <c r="AH68" s="17">
        <v>0</v>
      </c>
      <c r="AI68" s="15">
        <f t="shared" si="29"/>
        <v>0</v>
      </c>
      <c r="AJ68" s="17"/>
    </row>
    <row r="69" spans="1:36" x14ac:dyDescent="0.3">
      <c r="A69" s="15" t="s">
        <v>117</v>
      </c>
      <c r="B69" s="15">
        <v>100</v>
      </c>
      <c r="C69" s="15" t="s">
        <v>54</v>
      </c>
      <c r="D69" s="15" t="s">
        <v>57</v>
      </c>
      <c r="E69" s="17">
        <v>10</v>
      </c>
      <c r="F69" s="17">
        <v>0</v>
      </c>
      <c r="G69" s="17">
        <v>0</v>
      </c>
      <c r="H69" s="15">
        <f t="shared" si="20"/>
        <v>10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5">
        <f t="shared" si="21"/>
        <v>10</v>
      </c>
      <c r="T69" s="15">
        <f t="shared" si="22"/>
        <v>10</v>
      </c>
      <c r="U69" s="15">
        <f t="shared" si="23"/>
        <v>0</v>
      </c>
      <c r="V69" s="15">
        <f t="shared" si="24"/>
        <v>0</v>
      </c>
      <c r="W69" s="18" t="str">
        <f t="shared" si="25"/>
        <v/>
      </c>
      <c r="X69" s="17">
        <v>0</v>
      </c>
      <c r="Y69" s="17">
        <v>0</v>
      </c>
      <c r="Z69" s="15">
        <f t="shared" si="26"/>
        <v>0</v>
      </c>
      <c r="AA69" s="17">
        <v>0</v>
      </c>
      <c r="AB69" s="17">
        <v>0</v>
      </c>
      <c r="AC69" s="15">
        <f t="shared" si="27"/>
        <v>0</v>
      </c>
      <c r="AD69" s="17">
        <v>0</v>
      </c>
      <c r="AE69" s="17">
        <v>0</v>
      </c>
      <c r="AF69" s="15">
        <f t="shared" si="28"/>
        <v>0</v>
      </c>
      <c r="AG69" s="17">
        <v>0</v>
      </c>
      <c r="AH69" s="17">
        <v>0</v>
      </c>
      <c r="AI69" s="15">
        <f t="shared" si="29"/>
        <v>0</v>
      </c>
      <c r="AJ69" s="17"/>
    </row>
    <row r="70" spans="1:36" x14ac:dyDescent="0.3">
      <c r="A70" s="15" t="s">
        <v>118</v>
      </c>
      <c r="B70" s="15">
        <v>5000</v>
      </c>
      <c r="C70" s="15" t="s">
        <v>54</v>
      </c>
      <c r="D70" s="15" t="s">
        <v>68</v>
      </c>
      <c r="E70" s="17">
        <v>3</v>
      </c>
      <c r="F70" s="17">
        <v>0</v>
      </c>
      <c r="G70" s="17">
        <v>0</v>
      </c>
      <c r="H70" s="15">
        <f t="shared" si="20"/>
        <v>3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5">
        <f t="shared" si="21"/>
        <v>3</v>
      </c>
      <c r="T70" s="15">
        <f t="shared" si="22"/>
        <v>3</v>
      </c>
      <c r="U70" s="15">
        <f t="shared" si="23"/>
        <v>0</v>
      </c>
      <c r="V70" s="15">
        <f t="shared" si="24"/>
        <v>0</v>
      </c>
      <c r="W70" s="18" t="str">
        <f t="shared" si="25"/>
        <v/>
      </c>
      <c r="X70" s="17">
        <v>0</v>
      </c>
      <c r="Y70" s="17">
        <v>0</v>
      </c>
      <c r="Z70" s="15">
        <f t="shared" si="26"/>
        <v>0</v>
      </c>
      <c r="AA70" s="17">
        <v>0</v>
      </c>
      <c r="AB70" s="17">
        <v>0</v>
      </c>
      <c r="AC70" s="15">
        <f t="shared" si="27"/>
        <v>0</v>
      </c>
      <c r="AD70" s="17">
        <v>0</v>
      </c>
      <c r="AE70" s="17">
        <v>0</v>
      </c>
      <c r="AF70" s="15">
        <f t="shared" si="28"/>
        <v>0</v>
      </c>
      <c r="AG70" s="17">
        <v>0</v>
      </c>
      <c r="AH70" s="17">
        <v>0</v>
      </c>
      <c r="AI70" s="15">
        <f t="shared" si="29"/>
        <v>0</v>
      </c>
      <c r="AJ70" s="17"/>
    </row>
    <row r="71" spans="1:36" x14ac:dyDescent="0.3">
      <c r="A71" s="15" t="s">
        <v>119</v>
      </c>
      <c r="B71" s="15">
        <v>100</v>
      </c>
      <c r="C71" s="15" t="s">
        <v>54</v>
      </c>
      <c r="D71" s="15" t="s">
        <v>68</v>
      </c>
      <c r="E71" s="17">
        <v>2</v>
      </c>
      <c r="F71" s="17">
        <v>0</v>
      </c>
      <c r="G71" s="17">
        <v>0</v>
      </c>
      <c r="H71" s="15">
        <f t="shared" si="20"/>
        <v>2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5">
        <f t="shared" si="21"/>
        <v>2</v>
      </c>
      <c r="T71" s="15">
        <f t="shared" si="22"/>
        <v>2</v>
      </c>
      <c r="U71" s="15">
        <f t="shared" si="23"/>
        <v>0</v>
      </c>
      <c r="V71" s="15">
        <f t="shared" si="24"/>
        <v>0</v>
      </c>
      <c r="W71" s="18" t="str">
        <f t="shared" si="25"/>
        <v/>
      </c>
      <c r="X71" s="17">
        <v>0</v>
      </c>
      <c r="Y71" s="17">
        <v>0</v>
      </c>
      <c r="Z71" s="15">
        <f t="shared" si="26"/>
        <v>0</v>
      </c>
      <c r="AA71" s="17">
        <v>0</v>
      </c>
      <c r="AB71" s="17">
        <v>0</v>
      </c>
      <c r="AC71" s="15">
        <f t="shared" si="27"/>
        <v>0</v>
      </c>
      <c r="AD71" s="17">
        <v>0</v>
      </c>
      <c r="AE71" s="17">
        <v>0</v>
      </c>
      <c r="AF71" s="15">
        <f t="shared" si="28"/>
        <v>0</v>
      </c>
      <c r="AG71" s="17">
        <v>0</v>
      </c>
      <c r="AH71" s="17">
        <v>0</v>
      </c>
      <c r="AI71" s="15">
        <f t="shared" si="29"/>
        <v>0</v>
      </c>
      <c r="AJ71" s="17"/>
    </row>
    <row r="72" spans="1:36" x14ac:dyDescent="0.3">
      <c r="A72" s="15" t="s">
        <v>120</v>
      </c>
      <c r="B72" s="15">
        <v>100</v>
      </c>
      <c r="C72" s="15" t="s">
        <v>54</v>
      </c>
      <c r="D72" s="15" t="s">
        <v>57</v>
      </c>
      <c r="E72" s="17">
        <v>2</v>
      </c>
      <c r="F72" s="17">
        <v>0</v>
      </c>
      <c r="G72" s="17">
        <v>0</v>
      </c>
      <c r="H72" s="15">
        <f t="shared" si="20"/>
        <v>2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5">
        <f t="shared" si="21"/>
        <v>2</v>
      </c>
      <c r="T72" s="15">
        <f t="shared" si="22"/>
        <v>2</v>
      </c>
      <c r="U72" s="15">
        <f t="shared" si="23"/>
        <v>0</v>
      </c>
      <c r="V72" s="15">
        <f t="shared" si="24"/>
        <v>0</v>
      </c>
      <c r="W72" s="18" t="str">
        <f t="shared" si="25"/>
        <v/>
      </c>
      <c r="X72" s="17">
        <v>0</v>
      </c>
      <c r="Y72" s="17">
        <v>0</v>
      </c>
      <c r="Z72" s="15">
        <f t="shared" si="26"/>
        <v>0</v>
      </c>
      <c r="AA72" s="17">
        <v>0</v>
      </c>
      <c r="AB72" s="17">
        <v>0</v>
      </c>
      <c r="AC72" s="15">
        <f t="shared" si="27"/>
        <v>0</v>
      </c>
      <c r="AD72" s="17">
        <v>0</v>
      </c>
      <c r="AE72" s="17">
        <v>0</v>
      </c>
      <c r="AF72" s="15">
        <f t="shared" si="28"/>
        <v>0</v>
      </c>
      <c r="AG72" s="17">
        <v>0</v>
      </c>
      <c r="AH72" s="17">
        <v>0</v>
      </c>
      <c r="AI72" s="15">
        <f t="shared" si="29"/>
        <v>0</v>
      </c>
      <c r="AJ72" s="17"/>
    </row>
    <row r="73" spans="1:36" x14ac:dyDescent="0.3">
      <c r="A73" s="15" t="s">
        <v>121</v>
      </c>
      <c r="B73" s="15">
        <v>100</v>
      </c>
      <c r="C73" s="15" t="s">
        <v>54</v>
      </c>
      <c r="D73" s="15" t="s">
        <v>68</v>
      </c>
      <c r="E73" s="17">
        <v>5</v>
      </c>
      <c r="F73" s="17">
        <v>0</v>
      </c>
      <c r="G73" s="17">
        <v>0</v>
      </c>
      <c r="H73" s="15">
        <f t="shared" si="20"/>
        <v>5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5">
        <f t="shared" si="21"/>
        <v>5</v>
      </c>
      <c r="T73" s="15">
        <f t="shared" si="22"/>
        <v>5</v>
      </c>
      <c r="U73" s="15">
        <f t="shared" si="23"/>
        <v>0</v>
      </c>
      <c r="V73" s="15">
        <f t="shared" si="24"/>
        <v>0</v>
      </c>
      <c r="W73" s="18" t="str">
        <f t="shared" si="25"/>
        <v/>
      </c>
      <c r="X73" s="17">
        <v>0</v>
      </c>
      <c r="Y73" s="17">
        <v>0</v>
      </c>
      <c r="Z73" s="15">
        <f t="shared" si="26"/>
        <v>0</v>
      </c>
      <c r="AA73" s="17">
        <v>0</v>
      </c>
      <c r="AB73" s="17">
        <v>0</v>
      </c>
      <c r="AC73" s="15">
        <f t="shared" si="27"/>
        <v>0</v>
      </c>
      <c r="AD73" s="17">
        <v>0</v>
      </c>
      <c r="AE73" s="17">
        <v>0</v>
      </c>
      <c r="AF73" s="15">
        <f t="shared" si="28"/>
        <v>0</v>
      </c>
      <c r="AG73" s="17">
        <v>0</v>
      </c>
      <c r="AH73" s="17">
        <v>0</v>
      </c>
      <c r="AI73" s="15">
        <f t="shared" si="29"/>
        <v>0</v>
      </c>
      <c r="AJ73" s="17"/>
    </row>
    <row r="74" spans="1:36" x14ac:dyDescent="0.3">
      <c r="A74" s="15" t="s">
        <v>122</v>
      </c>
      <c r="B74" s="15">
        <v>1000</v>
      </c>
      <c r="C74" s="15" t="s">
        <v>54</v>
      </c>
      <c r="D74" s="15" t="s">
        <v>68</v>
      </c>
      <c r="E74" s="17">
        <v>2</v>
      </c>
      <c r="F74" s="17">
        <v>0</v>
      </c>
      <c r="G74" s="17">
        <v>0</v>
      </c>
      <c r="H74" s="15">
        <f t="shared" si="20"/>
        <v>2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5">
        <f t="shared" si="21"/>
        <v>2</v>
      </c>
      <c r="T74" s="15">
        <f t="shared" si="22"/>
        <v>2</v>
      </c>
      <c r="U74" s="15">
        <f t="shared" si="23"/>
        <v>0</v>
      </c>
      <c r="V74" s="15">
        <f t="shared" si="24"/>
        <v>0</v>
      </c>
      <c r="W74" s="18" t="str">
        <f t="shared" si="25"/>
        <v/>
      </c>
      <c r="X74" s="17">
        <v>0</v>
      </c>
      <c r="Y74" s="17">
        <v>0</v>
      </c>
      <c r="Z74" s="15">
        <f t="shared" si="26"/>
        <v>0</v>
      </c>
      <c r="AA74" s="17">
        <v>0</v>
      </c>
      <c r="AB74" s="17">
        <v>0</v>
      </c>
      <c r="AC74" s="15">
        <f t="shared" si="27"/>
        <v>0</v>
      </c>
      <c r="AD74" s="17">
        <v>0</v>
      </c>
      <c r="AE74" s="17">
        <v>0</v>
      </c>
      <c r="AF74" s="15">
        <f t="shared" si="28"/>
        <v>0</v>
      </c>
      <c r="AG74" s="17">
        <v>0</v>
      </c>
      <c r="AH74" s="17">
        <v>0</v>
      </c>
      <c r="AI74" s="15">
        <f t="shared" si="29"/>
        <v>0</v>
      </c>
      <c r="AJ74" s="17"/>
    </row>
    <row r="75" spans="1:36" hidden="1" x14ac:dyDescent="0.3">
      <c r="A75" s="15" t="s">
        <v>123</v>
      </c>
      <c r="B75" s="15" t="s">
        <v>124</v>
      </c>
      <c r="C75" s="15" t="s">
        <v>123</v>
      </c>
      <c r="D75" s="15" t="s">
        <v>55</v>
      </c>
      <c r="E75" s="17">
        <v>1</v>
      </c>
      <c r="F75" s="17">
        <v>0</v>
      </c>
      <c r="G75" s="17">
        <v>0</v>
      </c>
      <c r="H75" s="15">
        <f t="shared" si="20"/>
        <v>1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5">
        <f t="shared" si="21"/>
        <v>1</v>
      </c>
      <c r="T75" s="15">
        <f t="shared" si="22"/>
        <v>1</v>
      </c>
      <c r="U75" s="15">
        <f t="shared" si="23"/>
        <v>0</v>
      </c>
      <c r="V75" s="15">
        <f t="shared" si="24"/>
        <v>0</v>
      </c>
      <c r="W75" s="18" t="str">
        <f t="shared" si="25"/>
        <v/>
      </c>
      <c r="X75" s="17">
        <v>0</v>
      </c>
      <c r="Y75" s="17">
        <v>0</v>
      </c>
      <c r="Z75" s="15">
        <f t="shared" si="26"/>
        <v>0</v>
      </c>
      <c r="AA75" s="17">
        <v>0</v>
      </c>
      <c r="AB75" s="17">
        <v>0</v>
      </c>
      <c r="AC75" s="15">
        <f t="shared" si="27"/>
        <v>0</v>
      </c>
      <c r="AD75" s="17">
        <v>0</v>
      </c>
      <c r="AE75" s="17">
        <v>0</v>
      </c>
      <c r="AF75" s="15">
        <f t="shared" si="28"/>
        <v>0</v>
      </c>
      <c r="AG75" s="17">
        <v>0</v>
      </c>
      <c r="AH75" s="17">
        <v>0</v>
      </c>
      <c r="AI75" s="15">
        <f t="shared" si="29"/>
        <v>0</v>
      </c>
      <c r="AJ75" s="17"/>
    </row>
    <row r="76" spans="1:36" x14ac:dyDescent="0.3">
      <c r="A76" s="15" t="s">
        <v>125</v>
      </c>
      <c r="B76" s="15">
        <v>1000</v>
      </c>
      <c r="C76" s="15" t="s">
        <v>54</v>
      </c>
      <c r="D76" s="15" t="s">
        <v>68</v>
      </c>
      <c r="E76" s="17">
        <v>4</v>
      </c>
      <c r="F76" s="17">
        <v>0</v>
      </c>
      <c r="G76" s="17">
        <v>0</v>
      </c>
      <c r="H76" s="15">
        <f t="shared" si="20"/>
        <v>4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5">
        <f t="shared" si="21"/>
        <v>4</v>
      </c>
      <c r="T76" s="15">
        <f t="shared" si="22"/>
        <v>4</v>
      </c>
      <c r="U76" s="15">
        <f t="shared" si="23"/>
        <v>0</v>
      </c>
      <c r="V76" s="15">
        <f t="shared" si="24"/>
        <v>0</v>
      </c>
      <c r="W76" s="18" t="str">
        <f t="shared" si="25"/>
        <v/>
      </c>
      <c r="X76" s="17">
        <v>0</v>
      </c>
      <c r="Y76" s="17">
        <v>0</v>
      </c>
      <c r="Z76" s="15">
        <f t="shared" si="26"/>
        <v>0</v>
      </c>
      <c r="AA76" s="17">
        <v>0</v>
      </c>
      <c r="AB76" s="17">
        <v>0</v>
      </c>
      <c r="AC76" s="15">
        <f t="shared" si="27"/>
        <v>0</v>
      </c>
      <c r="AD76" s="17">
        <v>0</v>
      </c>
      <c r="AE76" s="17">
        <v>0</v>
      </c>
      <c r="AF76" s="15">
        <f t="shared" si="28"/>
        <v>0</v>
      </c>
      <c r="AG76" s="17">
        <v>0</v>
      </c>
      <c r="AH76" s="17">
        <v>0</v>
      </c>
      <c r="AI76" s="15">
        <f t="shared" si="29"/>
        <v>0</v>
      </c>
      <c r="AJ76" s="17"/>
    </row>
    <row r="77" spans="1:36" x14ac:dyDescent="0.3">
      <c r="A77" s="15" t="s">
        <v>126</v>
      </c>
      <c r="B77" s="15">
        <v>1000</v>
      </c>
      <c r="C77" s="15" t="s">
        <v>54</v>
      </c>
      <c r="D77" s="15" t="s">
        <v>68</v>
      </c>
      <c r="E77" s="17">
        <v>4</v>
      </c>
      <c r="F77" s="17">
        <v>0</v>
      </c>
      <c r="G77" s="17">
        <v>0</v>
      </c>
      <c r="H77" s="15">
        <f t="shared" si="20"/>
        <v>4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5">
        <f t="shared" si="21"/>
        <v>4</v>
      </c>
      <c r="T77" s="15">
        <f t="shared" si="22"/>
        <v>4</v>
      </c>
      <c r="U77" s="15">
        <f t="shared" si="23"/>
        <v>0</v>
      </c>
      <c r="V77" s="15">
        <f t="shared" si="24"/>
        <v>0</v>
      </c>
      <c r="W77" s="18" t="str">
        <f t="shared" si="25"/>
        <v/>
      </c>
      <c r="X77" s="17">
        <v>0</v>
      </c>
      <c r="Y77" s="17">
        <v>0</v>
      </c>
      <c r="Z77" s="15">
        <f t="shared" si="26"/>
        <v>0</v>
      </c>
      <c r="AA77" s="17">
        <v>0</v>
      </c>
      <c r="AB77" s="17">
        <v>0</v>
      </c>
      <c r="AC77" s="15">
        <f t="shared" si="27"/>
        <v>0</v>
      </c>
      <c r="AD77" s="17">
        <v>0</v>
      </c>
      <c r="AE77" s="17">
        <v>0</v>
      </c>
      <c r="AF77" s="15">
        <f t="shared" si="28"/>
        <v>0</v>
      </c>
      <c r="AG77" s="17">
        <v>0</v>
      </c>
      <c r="AH77" s="17">
        <v>0</v>
      </c>
      <c r="AI77" s="15">
        <f t="shared" si="29"/>
        <v>0</v>
      </c>
      <c r="AJ77" s="17"/>
    </row>
    <row r="78" spans="1:36" hidden="1" x14ac:dyDescent="0.3">
      <c r="A78" s="15" t="s">
        <v>127</v>
      </c>
      <c r="B78" s="15">
        <v>0</v>
      </c>
      <c r="C78" s="15" t="s">
        <v>128</v>
      </c>
      <c r="D78" s="15" t="s">
        <v>55</v>
      </c>
      <c r="E78" s="15">
        <f>'3-july2026'!T78</f>
        <v>107</v>
      </c>
      <c r="F78" s="15">
        <f>'3-july2026'!U78</f>
        <v>6</v>
      </c>
      <c r="G78" s="15">
        <f>'3-july2026'!V78</f>
        <v>4</v>
      </c>
      <c r="H78" s="15">
        <f t="shared" si="20"/>
        <v>117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5">
        <f t="shared" si="21"/>
        <v>117</v>
      </c>
      <c r="T78" s="15">
        <f t="shared" si="22"/>
        <v>107</v>
      </c>
      <c r="U78" s="15">
        <f t="shared" si="23"/>
        <v>6</v>
      </c>
      <c r="V78" s="15">
        <f t="shared" si="24"/>
        <v>4</v>
      </c>
      <c r="W78" s="18" t="str">
        <f t="shared" si="25"/>
        <v/>
      </c>
      <c r="X78" s="17">
        <v>0</v>
      </c>
      <c r="Y78" s="17">
        <v>0</v>
      </c>
      <c r="Z78" s="15">
        <f t="shared" si="26"/>
        <v>0</v>
      </c>
      <c r="AA78" s="17">
        <v>0</v>
      </c>
      <c r="AB78" s="17">
        <v>0</v>
      </c>
      <c r="AC78" s="15">
        <f t="shared" si="27"/>
        <v>0</v>
      </c>
      <c r="AD78" s="17">
        <v>0</v>
      </c>
      <c r="AE78" s="17">
        <v>0</v>
      </c>
      <c r="AF78" s="15">
        <f t="shared" si="28"/>
        <v>0</v>
      </c>
      <c r="AG78" s="17">
        <v>0</v>
      </c>
      <c r="AH78" s="17">
        <v>0</v>
      </c>
      <c r="AI78" s="15">
        <f t="shared" si="29"/>
        <v>0</v>
      </c>
      <c r="AJ78" s="17"/>
    </row>
    <row r="79" spans="1:36" hidden="1" x14ac:dyDescent="0.3">
      <c r="A79" s="15" t="s">
        <v>129</v>
      </c>
      <c r="B79" s="15">
        <v>0</v>
      </c>
      <c r="C79" s="15" t="s">
        <v>128</v>
      </c>
      <c r="D79" s="15" t="s">
        <v>55</v>
      </c>
      <c r="E79" s="15">
        <f>'3-july2026'!T79</f>
        <v>96</v>
      </c>
      <c r="F79" s="15">
        <f>'3-july2026'!U79</f>
        <v>4</v>
      </c>
      <c r="G79" s="15">
        <f>'3-july2026'!V79</f>
        <v>9</v>
      </c>
      <c r="H79" s="15">
        <f t="shared" si="20"/>
        <v>109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5">
        <f t="shared" si="21"/>
        <v>109</v>
      </c>
      <c r="T79" s="15">
        <f t="shared" si="22"/>
        <v>96</v>
      </c>
      <c r="U79" s="15">
        <f t="shared" si="23"/>
        <v>4</v>
      </c>
      <c r="V79" s="15">
        <f t="shared" si="24"/>
        <v>9</v>
      </c>
      <c r="W79" s="18" t="str">
        <f t="shared" si="25"/>
        <v/>
      </c>
      <c r="X79" s="17">
        <v>0</v>
      </c>
      <c r="Y79" s="17">
        <v>0</v>
      </c>
      <c r="Z79" s="15">
        <f t="shared" si="26"/>
        <v>0</v>
      </c>
      <c r="AA79" s="17">
        <v>0</v>
      </c>
      <c r="AB79" s="17">
        <v>0</v>
      </c>
      <c r="AC79" s="15">
        <f t="shared" si="27"/>
        <v>0</v>
      </c>
      <c r="AD79" s="17">
        <v>0</v>
      </c>
      <c r="AE79" s="17">
        <v>0</v>
      </c>
      <c r="AF79" s="15">
        <f t="shared" si="28"/>
        <v>0</v>
      </c>
      <c r="AG79" s="17">
        <v>0</v>
      </c>
      <c r="AH79" s="17">
        <v>0</v>
      </c>
      <c r="AI79" s="15">
        <f t="shared" si="29"/>
        <v>0</v>
      </c>
      <c r="AJ79" s="17"/>
    </row>
    <row r="80" spans="1:36" hidden="1" x14ac:dyDescent="0.3">
      <c r="A80" s="15" t="s">
        <v>130</v>
      </c>
      <c r="B80" s="15">
        <v>100</v>
      </c>
      <c r="C80" s="15" t="s">
        <v>54</v>
      </c>
      <c r="D80" s="15" t="s">
        <v>55</v>
      </c>
      <c r="E80" s="15">
        <f>'3-july2026'!T80</f>
        <v>48</v>
      </c>
      <c r="F80" s="15">
        <f>'3-july2026'!U80</f>
        <v>131</v>
      </c>
      <c r="G80" s="15">
        <f>'3-july2026'!V80</f>
        <v>104</v>
      </c>
      <c r="H80" s="15">
        <f t="shared" si="20"/>
        <v>283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2</v>
      </c>
      <c r="P80" s="17">
        <v>0</v>
      </c>
      <c r="Q80" s="17">
        <v>0</v>
      </c>
      <c r="R80" s="17">
        <v>0</v>
      </c>
      <c r="S80" s="15">
        <f t="shared" si="21"/>
        <v>285</v>
      </c>
      <c r="T80" s="15">
        <f t="shared" si="22"/>
        <v>50</v>
      </c>
      <c r="U80" s="15">
        <f t="shared" si="23"/>
        <v>131</v>
      </c>
      <c r="V80" s="15">
        <f t="shared" si="24"/>
        <v>104</v>
      </c>
      <c r="W80" s="18" t="str">
        <f t="shared" si="25"/>
        <v/>
      </c>
      <c r="X80" s="17">
        <v>0</v>
      </c>
      <c r="Y80" s="17">
        <v>0</v>
      </c>
      <c r="Z80" s="15">
        <f t="shared" si="26"/>
        <v>0</v>
      </c>
      <c r="AA80" s="17">
        <v>0</v>
      </c>
      <c r="AB80" s="17">
        <v>0</v>
      </c>
      <c r="AC80" s="15">
        <f t="shared" si="27"/>
        <v>0</v>
      </c>
      <c r="AD80" s="17">
        <v>0</v>
      </c>
      <c r="AE80" s="17">
        <v>0</v>
      </c>
      <c r="AF80" s="15">
        <f t="shared" si="28"/>
        <v>0</v>
      </c>
      <c r="AG80" s="17">
        <v>0</v>
      </c>
      <c r="AH80" s="17">
        <v>0</v>
      </c>
      <c r="AI80" s="15">
        <f t="shared" si="29"/>
        <v>0</v>
      </c>
      <c r="AJ80" s="17"/>
    </row>
    <row r="81" spans="1:36" hidden="1" x14ac:dyDescent="0.3">
      <c r="A81" s="15" t="s">
        <v>131</v>
      </c>
      <c r="B81" s="15">
        <v>500</v>
      </c>
      <c r="C81" s="15" t="s">
        <v>54</v>
      </c>
      <c r="D81" s="15" t="s">
        <v>55</v>
      </c>
      <c r="E81" s="15">
        <f>'3-july2026'!T81</f>
        <v>7</v>
      </c>
      <c r="F81" s="15">
        <f>'3-july2026'!U81</f>
        <v>0</v>
      </c>
      <c r="G81" s="15">
        <f>'3-july2026'!V81</f>
        <v>0</v>
      </c>
      <c r="H81" s="15">
        <f t="shared" si="20"/>
        <v>7</v>
      </c>
      <c r="I81" s="17">
        <v>0</v>
      </c>
      <c r="J81" s="17">
        <v>0</v>
      </c>
      <c r="K81" s="17">
        <v>0</v>
      </c>
      <c r="L81" s="17">
        <v>1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1</v>
      </c>
      <c r="S81" s="15">
        <f t="shared" si="21"/>
        <v>7</v>
      </c>
      <c r="T81" s="15">
        <f t="shared" si="22"/>
        <v>6</v>
      </c>
      <c r="U81" s="15">
        <f t="shared" si="23"/>
        <v>0</v>
      </c>
      <c r="V81" s="15">
        <f t="shared" si="24"/>
        <v>0</v>
      </c>
      <c r="W81" s="18" t="str">
        <f t="shared" si="25"/>
        <v/>
      </c>
      <c r="X81" s="17">
        <v>0</v>
      </c>
      <c r="Y81" s="17">
        <v>0</v>
      </c>
      <c r="Z81" s="15">
        <f t="shared" si="26"/>
        <v>0</v>
      </c>
      <c r="AA81" s="17">
        <v>0</v>
      </c>
      <c r="AB81" s="17">
        <v>0</v>
      </c>
      <c r="AC81" s="15">
        <f t="shared" si="27"/>
        <v>0</v>
      </c>
      <c r="AD81" s="17">
        <v>0</v>
      </c>
      <c r="AE81" s="17">
        <v>0</v>
      </c>
      <c r="AF81" s="15">
        <f t="shared" si="28"/>
        <v>0</v>
      </c>
      <c r="AG81" s="17">
        <v>0</v>
      </c>
      <c r="AH81" s="17">
        <v>0</v>
      </c>
      <c r="AI81" s="15">
        <f t="shared" si="29"/>
        <v>0</v>
      </c>
      <c r="AJ81" s="17"/>
    </row>
    <row r="82" spans="1:36" hidden="1" x14ac:dyDescent="0.3">
      <c r="A82" s="15" t="s">
        <v>132</v>
      </c>
      <c r="B82" s="15">
        <v>100</v>
      </c>
      <c r="C82" s="15" t="s">
        <v>54</v>
      </c>
      <c r="D82" s="15" t="s">
        <v>55</v>
      </c>
      <c r="E82" s="15">
        <f>'3-july2026'!T82</f>
        <v>77</v>
      </c>
      <c r="F82" s="15">
        <f>'3-july2026'!U82</f>
        <v>277</v>
      </c>
      <c r="G82" s="15">
        <f>'3-july2026'!V82</f>
        <v>35</v>
      </c>
      <c r="H82" s="15">
        <f t="shared" si="20"/>
        <v>389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5">
        <f t="shared" si="21"/>
        <v>389</v>
      </c>
      <c r="T82" s="15">
        <f t="shared" si="22"/>
        <v>77</v>
      </c>
      <c r="U82" s="15">
        <f t="shared" si="23"/>
        <v>277</v>
      </c>
      <c r="V82" s="15">
        <f t="shared" si="24"/>
        <v>35</v>
      </c>
      <c r="W82" s="18" t="str">
        <f t="shared" si="25"/>
        <v/>
      </c>
      <c r="X82" s="17">
        <v>0</v>
      </c>
      <c r="Y82" s="17">
        <v>0</v>
      </c>
      <c r="Z82" s="15">
        <f t="shared" si="26"/>
        <v>0</v>
      </c>
      <c r="AA82" s="17">
        <v>0</v>
      </c>
      <c r="AB82" s="17">
        <v>0</v>
      </c>
      <c r="AC82" s="15">
        <f t="shared" si="27"/>
        <v>0</v>
      </c>
      <c r="AD82" s="17">
        <v>0</v>
      </c>
      <c r="AE82" s="17">
        <v>0</v>
      </c>
      <c r="AF82" s="15">
        <f t="shared" si="28"/>
        <v>0</v>
      </c>
      <c r="AG82" s="17">
        <v>0</v>
      </c>
      <c r="AH82" s="17">
        <v>0</v>
      </c>
      <c r="AI82" s="15">
        <f t="shared" si="29"/>
        <v>0</v>
      </c>
      <c r="AJ82" s="17"/>
    </row>
    <row r="83" spans="1:36" hidden="1" x14ac:dyDescent="0.3">
      <c r="A83" s="15" t="s">
        <v>133</v>
      </c>
      <c r="B83" s="15">
        <v>1000</v>
      </c>
      <c r="C83" s="15" t="s">
        <v>54</v>
      </c>
      <c r="D83" s="15" t="s">
        <v>55</v>
      </c>
      <c r="E83" s="15">
        <f>'3-july2026'!T83</f>
        <v>-3</v>
      </c>
      <c r="F83" s="15">
        <f>'3-july2026'!U83</f>
        <v>0</v>
      </c>
      <c r="G83" s="15">
        <f>'3-july2026'!V83</f>
        <v>0</v>
      </c>
      <c r="H83" s="15">
        <f t="shared" si="20"/>
        <v>-3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5">
        <f t="shared" si="21"/>
        <v>-3</v>
      </c>
      <c r="T83" s="15">
        <f t="shared" si="22"/>
        <v>-3</v>
      </c>
      <c r="U83" s="15">
        <f t="shared" si="23"/>
        <v>0</v>
      </c>
      <c r="V83" s="15">
        <f t="shared" si="24"/>
        <v>0</v>
      </c>
      <c r="W83" s="18" t="str">
        <f t="shared" si="25"/>
        <v>NEGATIVE STOCK - CHECK ENTRIES</v>
      </c>
      <c r="X83" s="17">
        <v>0</v>
      </c>
      <c r="Y83" s="17">
        <v>0</v>
      </c>
      <c r="Z83" s="15">
        <f t="shared" si="26"/>
        <v>0</v>
      </c>
      <c r="AA83" s="17">
        <v>0</v>
      </c>
      <c r="AB83" s="17">
        <v>0</v>
      </c>
      <c r="AC83" s="15">
        <f t="shared" si="27"/>
        <v>0</v>
      </c>
      <c r="AD83" s="17">
        <v>0</v>
      </c>
      <c r="AE83" s="17">
        <v>0</v>
      </c>
      <c r="AF83" s="15">
        <f t="shared" si="28"/>
        <v>0</v>
      </c>
      <c r="AG83" s="17">
        <v>0</v>
      </c>
      <c r="AH83" s="17">
        <v>0</v>
      </c>
      <c r="AI83" s="15">
        <f t="shared" si="29"/>
        <v>0</v>
      </c>
      <c r="AJ83" s="17"/>
    </row>
    <row r="84" spans="1:36" x14ac:dyDescent="0.3">
      <c r="A84" s="15" t="s">
        <v>134</v>
      </c>
      <c r="B84" s="15">
        <v>100</v>
      </c>
      <c r="C84" s="15" t="s">
        <v>54</v>
      </c>
      <c r="D84" s="15" t="s">
        <v>57</v>
      </c>
      <c r="E84" s="17">
        <v>3</v>
      </c>
      <c r="F84" s="17">
        <v>0</v>
      </c>
      <c r="G84" s="17">
        <v>0</v>
      </c>
      <c r="H84" s="15">
        <f t="shared" si="20"/>
        <v>3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5">
        <f t="shared" si="21"/>
        <v>3</v>
      </c>
      <c r="T84" s="15">
        <f t="shared" si="22"/>
        <v>3</v>
      </c>
      <c r="U84" s="15">
        <f t="shared" si="23"/>
        <v>0</v>
      </c>
      <c r="V84" s="15">
        <f t="shared" si="24"/>
        <v>0</v>
      </c>
      <c r="W84" s="18" t="str">
        <f t="shared" si="25"/>
        <v/>
      </c>
      <c r="X84" s="17">
        <v>0</v>
      </c>
      <c r="Y84" s="17">
        <v>0</v>
      </c>
      <c r="Z84" s="15">
        <f t="shared" si="26"/>
        <v>0</v>
      </c>
      <c r="AA84" s="17">
        <v>0</v>
      </c>
      <c r="AB84" s="17">
        <v>0</v>
      </c>
      <c r="AC84" s="15">
        <f t="shared" si="27"/>
        <v>0</v>
      </c>
      <c r="AD84" s="17">
        <v>0</v>
      </c>
      <c r="AE84" s="17">
        <v>0</v>
      </c>
      <c r="AF84" s="15">
        <f t="shared" si="28"/>
        <v>0</v>
      </c>
      <c r="AG84" s="17">
        <v>0</v>
      </c>
      <c r="AH84" s="17">
        <v>0</v>
      </c>
      <c r="AI84" s="15">
        <f t="shared" si="29"/>
        <v>0</v>
      </c>
      <c r="AJ84" s="17"/>
    </row>
    <row r="85" spans="1:36" x14ac:dyDescent="0.3">
      <c r="A85" s="15" t="s">
        <v>135</v>
      </c>
      <c r="B85" s="15">
        <v>100</v>
      </c>
      <c r="C85" s="15" t="s">
        <v>54</v>
      </c>
      <c r="D85" s="15" t="s">
        <v>57</v>
      </c>
      <c r="E85" s="17">
        <v>4</v>
      </c>
      <c r="F85" s="17">
        <v>0</v>
      </c>
      <c r="G85" s="17">
        <v>0</v>
      </c>
      <c r="H85" s="15">
        <f t="shared" si="20"/>
        <v>4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5">
        <f t="shared" si="21"/>
        <v>4</v>
      </c>
      <c r="T85" s="15">
        <f t="shared" si="22"/>
        <v>4</v>
      </c>
      <c r="U85" s="15">
        <f t="shared" si="23"/>
        <v>0</v>
      </c>
      <c r="V85" s="15">
        <f t="shared" si="24"/>
        <v>0</v>
      </c>
      <c r="W85" s="18" t="str">
        <f t="shared" si="25"/>
        <v/>
      </c>
      <c r="X85" s="17">
        <v>0</v>
      </c>
      <c r="Y85" s="17">
        <v>0</v>
      </c>
      <c r="Z85" s="15">
        <f t="shared" si="26"/>
        <v>0</v>
      </c>
      <c r="AA85" s="17">
        <v>0</v>
      </c>
      <c r="AB85" s="17">
        <v>0</v>
      </c>
      <c r="AC85" s="15">
        <f t="shared" si="27"/>
        <v>0</v>
      </c>
      <c r="AD85" s="17">
        <v>0</v>
      </c>
      <c r="AE85" s="17">
        <v>0</v>
      </c>
      <c r="AF85" s="15">
        <f t="shared" si="28"/>
        <v>0</v>
      </c>
      <c r="AG85" s="17">
        <v>0</v>
      </c>
      <c r="AH85" s="17">
        <v>0</v>
      </c>
      <c r="AI85" s="15">
        <f t="shared" si="29"/>
        <v>0</v>
      </c>
      <c r="AJ85" s="17"/>
    </row>
    <row r="86" spans="1:36" x14ac:dyDescent="0.3">
      <c r="A86" s="15" t="s">
        <v>135</v>
      </c>
      <c r="B86" s="15">
        <v>1000</v>
      </c>
      <c r="C86" s="15" t="s">
        <v>54</v>
      </c>
      <c r="D86" s="15" t="s">
        <v>57</v>
      </c>
      <c r="E86" s="17">
        <v>1</v>
      </c>
      <c r="F86" s="17">
        <v>0</v>
      </c>
      <c r="G86" s="17">
        <v>0</v>
      </c>
      <c r="H86" s="15">
        <f t="shared" si="20"/>
        <v>1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5">
        <f t="shared" si="21"/>
        <v>1</v>
      </c>
      <c r="T86" s="15">
        <f t="shared" si="22"/>
        <v>1</v>
      </c>
      <c r="U86" s="15">
        <f t="shared" si="23"/>
        <v>0</v>
      </c>
      <c r="V86" s="15">
        <f t="shared" si="24"/>
        <v>0</v>
      </c>
      <c r="W86" s="18" t="str">
        <f t="shared" si="25"/>
        <v/>
      </c>
      <c r="X86" s="17">
        <v>0</v>
      </c>
      <c r="Y86" s="17">
        <v>0</v>
      </c>
      <c r="Z86" s="15">
        <f t="shared" si="26"/>
        <v>0</v>
      </c>
      <c r="AA86" s="17">
        <v>0</v>
      </c>
      <c r="AB86" s="17">
        <v>0</v>
      </c>
      <c r="AC86" s="15">
        <f t="shared" si="27"/>
        <v>0</v>
      </c>
      <c r="AD86" s="17">
        <v>0</v>
      </c>
      <c r="AE86" s="17">
        <v>0</v>
      </c>
      <c r="AF86" s="15">
        <f t="shared" si="28"/>
        <v>0</v>
      </c>
      <c r="AG86" s="17">
        <v>0</v>
      </c>
      <c r="AH86" s="17">
        <v>0</v>
      </c>
      <c r="AI86" s="15">
        <f t="shared" si="29"/>
        <v>0</v>
      </c>
      <c r="AJ86" s="17"/>
    </row>
    <row r="87" spans="1:36" x14ac:dyDescent="0.3">
      <c r="A87" s="15" t="s">
        <v>136</v>
      </c>
      <c r="B87" s="15">
        <v>100000</v>
      </c>
      <c r="C87" s="15" t="s">
        <v>54</v>
      </c>
      <c r="D87" s="15" t="s">
        <v>68</v>
      </c>
      <c r="E87" s="17">
        <v>1</v>
      </c>
      <c r="F87" s="17">
        <v>0</v>
      </c>
      <c r="G87" s="17">
        <v>0</v>
      </c>
      <c r="H87" s="15">
        <f t="shared" si="20"/>
        <v>1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5">
        <f t="shared" si="21"/>
        <v>1</v>
      </c>
      <c r="T87" s="15">
        <f t="shared" si="22"/>
        <v>1</v>
      </c>
      <c r="U87" s="15">
        <f t="shared" si="23"/>
        <v>0</v>
      </c>
      <c r="V87" s="15">
        <f t="shared" si="24"/>
        <v>0</v>
      </c>
      <c r="W87" s="18" t="str">
        <f t="shared" si="25"/>
        <v/>
      </c>
      <c r="X87" s="17">
        <v>0</v>
      </c>
      <c r="Y87" s="17">
        <v>0</v>
      </c>
      <c r="Z87" s="15">
        <f t="shared" si="26"/>
        <v>0</v>
      </c>
      <c r="AA87" s="17">
        <v>0</v>
      </c>
      <c r="AB87" s="17">
        <v>0</v>
      </c>
      <c r="AC87" s="15">
        <f t="shared" si="27"/>
        <v>0</v>
      </c>
      <c r="AD87" s="17">
        <v>0</v>
      </c>
      <c r="AE87" s="17">
        <v>0</v>
      </c>
      <c r="AF87" s="15">
        <f t="shared" si="28"/>
        <v>0</v>
      </c>
      <c r="AG87" s="17">
        <v>0</v>
      </c>
      <c r="AH87" s="17">
        <v>0</v>
      </c>
      <c r="AI87" s="15">
        <f t="shared" si="29"/>
        <v>0</v>
      </c>
      <c r="AJ87" s="17"/>
    </row>
    <row r="88" spans="1:36" x14ac:dyDescent="0.3">
      <c r="A88" s="15" t="s">
        <v>137</v>
      </c>
      <c r="B88" s="15">
        <v>1000</v>
      </c>
      <c r="C88" s="15" t="s">
        <v>54</v>
      </c>
      <c r="D88" s="15" t="s">
        <v>68</v>
      </c>
      <c r="E88" s="17">
        <v>5</v>
      </c>
      <c r="F88" s="17">
        <v>0</v>
      </c>
      <c r="G88" s="17">
        <v>0</v>
      </c>
      <c r="H88" s="15">
        <f t="shared" si="20"/>
        <v>5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5">
        <f t="shared" si="21"/>
        <v>5</v>
      </c>
      <c r="T88" s="15">
        <f t="shared" si="22"/>
        <v>5</v>
      </c>
      <c r="U88" s="15">
        <f t="shared" si="23"/>
        <v>0</v>
      </c>
      <c r="V88" s="15">
        <f t="shared" si="24"/>
        <v>0</v>
      </c>
      <c r="W88" s="18" t="str">
        <f t="shared" si="25"/>
        <v/>
      </c>
      <c r="X88" s="17">
        <v>0</v>
      </c>
      <c r="Y88" s="17">
        <v>0</v>
      </c>
      <c r="Z88" s="15">
        <f t="shared" si="26"/>
        <v>0</v>
      </c>
      <c r="AA88" s="17">
        <v>0</v>
      </c>
      <c r="AB88" s="17">
        <v>0</v>
      </c>
      <c r="AC88" s="15">
        <f t="shared" si="27"/>
        <v>0</v>
      </c>
      <c r="AD88" s="17">
        <v>0</v>
      </c>
      <c r="AE88" s="17">
        <v>0</v>
      </c>
      <c r="AF88" s="15">
        <f t="shared" si="28"/>
        <v>0</v>
      </c>
      <c r="AG88" s="17">
        <v>0</v>
      </c>
      <c r="AH88" s="17">
        <v>0</v>
      </c>
      <c r="AI88" s="15">
        <f t="shared" si="29"/>
        <v>0</v>
      </c>
      <c r="AJ88" s="17"/>
    </row>
    <row r="89" spans="1:36" x14ac:dyDescent="0.3">
      <c r="A89" s="15" t="s">
        <v>138</v>
      </c>
      <c r="B89" s="15">
        <v>100</v>
      </c>
      <c r="C89" s="15" t="s">
        <v>54</v>
      </c>
      <c r="D89" s="15" t="s">
        <v>57</v>
      </c>
      <c r="E89" s="17">
        <v>4</v>
      </c>
      <c r="F89" s="17">
        <v>0</v>
      </c>
      <c r="G89" s="17">
        <v>0</v>
      </c>
      <c r="H89" s="15">
        <f t="shared" si="20"/>
        <v>4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5">
        <f t="shared" si="21"/>
        <v>4</v>
      </c>
      <c r="T89" s="15">
        <f t="shared" si="22"/>
        <v>4</v>
      </c>
      <c r="U89" s="15">
        <f t="shared" si="23"/>
        <v>0</v>
      </c>
      <c r="V89" s="15">
        <f t="shared" si="24"/>
        <v>0</v>
      </c>
      <c r="W89" s="18" t="str">
        <f t="shared" si="25"/>
        <v/>
      </c>
      <c r="X89" s="17">
        <v>0</v>
      </c>
      <c r="Y89" s="17">
        <v>0</v>
      </c>
      <c r="Z89" s="15">
        <f t="shared" si="26"/>
        <v>0</v>
      </c>
      <c r="AA89" s="17">
        <v>0</v>
      </c>
      <c r="AB89" s="17">
        <v>0</v>
      </c>
      <c r="AC89" s="15">
        <f t="shared" si="27"/>
        <v>0</v>
      </c>
      <c r="AD89" s="17">
        <v>0</v>
      </c>
      <c r="AE89" s="17">
        <v>0</v>
      </c>
      <c r="AF89" s="15">
        <f t="shared" si="28"/>
        <v>0</v>
      </c>
      <c r="AG89" s="17">
        <v>0</v>
      </c>
      <c r="AH89" s="17">
        <v>0</v>
      </c>
      <c r="AI89" s="15">
        <f t="shared" si="29"/>
        <v>0</v>
      </c>
      <c r="AJ89" s="17"/>
    </row>
    <row r="90" spans="1:36" x14ac:dyDescent="0.3">
      <c r="A90" s="15" t="s">
        <v>139</v>
      </c>
      <c r="B90" s="15">
        <v>100</v>
      </c>
      <c r="C90" s="15" t="s">
        <v>54</v>
      </c>
      <c r="D90" s="15" t="s">
        <v>68</v>
      </c>
      <c r="E90" s="17">
        <v>8</v>
      </c>
      <c r="F90" s="17">
        <v>0</v>
      </c>
      <c r="G90" s="17">
        <v>0</v>
      </c>
      <c r="H90" s="15">
        <f t="shared" si="20"/>
        <v>8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5">
        <f t="shared" si="21"/>
        <v>8</v>
      </c>
      <c r="T90" s="15">
        <f t="shared" si="22"/>
        <v>8</v>
      </c>
      <c r="U90" s="15">
        <f t="shared" si="23"/>
        <v>0</v>
      </c>
      <c r="V90" s="15">
        <f t="shared" si="24"/>
        <v>0</v>
      </c>
      <c r="W90" s="18" t="str">
        <f t="shared" si="25"/>
        <v/>
      </c>
      <c r="X90" s="17">
        <v>0</v>
      </c>
      <c r="Y90" s="17">
        <v>0</v>
      </c>
      <c r="Z90" s="15">
        <f t="shared" si="26"/>
        <v>0</v>
      </c>
      <c r="AA90" s="17">
        <v>0</v>
      </c>
      <c r="AB90" s="17">
        <v>0</v>
      </c>
      <c r="AC90" s="15">
        <f t="shared" si="27"/>
        <v>0</v>
      </c>
      <c r="AD90" s="17">
        <v>0</v>
      </c>
      <c r="AE90" s="17">
        <v>0</v>
      </c>
      <c r="AF90" s="15">
        <f t="shared" si="28"/>
        <v>0</v>
      </c>
      <c r="AG90" s="17">
        <v>0</v>
      </c>
      <c r="AH90" s="17">
        <v>0</v>
      </c>
      <c r="AI90" s="15">
        <f t="shared" si="29"/>
        <v>0</v>
      </c>
      <c r="AJ90" s="17"/>
    </row>
    <row r="91" spans="1:36" x14ac:dyDescent="0.3">
      <c r="A91" s="15" t="s">
        <v>140</v>
      </c>
      <c r="B91" s="15">
        <v>1000</v>
      </c>
      <c r="C91" s="15" t="s">
        <v>54</v>
      </c>
      <c r="D91" s="15" t="s">
        <v>68</v>
      </c>
      <c r="E91" s="17">
        <v>7</v>
      </c>
      <c r="F91" s="17">
        <v>0</v>
      </c>
      <c r="G91" s="17">
        <v>0</v>
      </c>
      <c r="H91" s="15">
        <f t="shared" si="20"/>
        <v>7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5">
        <f t="shared" si="21"/>
        <v>7</v>
      </c>
      <c r="T91" s="15">
        <f t="shared" si="22"/>
        <v>7</v>
      </c>
      <c r="U91" s="15">
        <f t="shared" si="23"/>
        <v>0</v>
      </c>
      <c r="V91" s="15">
        <f t="shared" si="24"/>
        <v>0</v>
      </c>
      <c r="W91" s="18" t="str">
        <f t="shared" si="25"/>
        <v/>
      </c>
      <c r="X91" s="17">
        <v>0</v>
      </c>
      <c r="Y91" s="17">
        <v>0</v>
      </c>
      <c r="Z91" s="15">
        <f t="shared" si="26"/>
        <v>0</v>
      </c>
      <c r="AA91" s="17">
        <v>0</v>
      </c>
      <c r="AB91" s="17">
        <v>0</v>
      </c>
      <c r="AC91" s="15">
        <f t="shared" si="27"/>
        <v>0</v>
      </c>
      <c r="AD91" s="17">
        <v>0</v>
      </c>
      <c r="AE91" s="17">
        <v>0</v>
      </c>
      <c r="AF91" s="15">
        <f t="shared" si="28"/>
        <v>0</v>
      </c>
      <c r="AG91" s="17">
        <v>0</v>
      </c>
      <c r="AH91" s="17">
        <v>0</v>
      </c>
      <c r="AI91" s="15">
        <f t="shared" si="29"/>
        <v>0</v>
      </c>
      <c r="AJ91" s="17"/>
    </row>
    <row r="92" spans="1:36" hidden="1" x14ac:dyDescent="0.3">
      <c r="A92" s="15" t="s">
        <v>141</v>
      </c>
      <c r="B92" s="15">
        <v>1000</v>
      </c>
      <c r="C92" s="15" t="s">
        <v>54</v>
      </c>
      <c r="D92" s="15" t="s">
        <v>55</v>
      </c>
      <c r="E92" s="15">
        <f>'3-july2026'!T92</f>
        <v>4</v>
      </c>
      <c r="F92" s="15">
        <f>'3-july2026'!U92</f>
        <v>0</v>
      </c>
      <c r="G92" s="15">
        <f>'3-july2026'!V92</f>
        <v>0</v>
      </c>
      <c r="H92" s="15">
        <f t="shared" si="20"/>
        <v>4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5">
        <f t="shared" si="21"/>
        <v>4</v>
      </c>
      <c r="T92" s="15">
        <f t="shared" si="22"/>
        <v>4</v>
      </c>
      <c r="U92" s="15">
        <f t="shared" si="23"/>
        <v>0</v>
      </c>
      <c r="V92" s="15">
        <f t="shared" si="24"/>
        <v>0</v>
      </c>
      <c r="W92" s="18" t="str">
        <f t="shared" si="25"/>
        <v/>
      </c>
      <c r="X92" s="17">
        <v>0</v>
      </c>
      <c r="Y92" s="17">
        <v>0</v>
      </c>
      <c r="Z92" s="15">
        <f t="shared" si="26"/>
        <v>0</v>
      </c>
      <c r="AA92" s="17">
        <v>0</v>
      </c>
      <c r="AB92" s="17">
        <v>0</v>
      </c>
      <c r="AC92" s="15">
        <f t="shared" si="27"/>
        <v>0</v>
      </c>
      <c r="AD92" s="17">
        <v>0</v>
      </c>
      <c r="AE92" s="17">
        <v>0</v>
      </c>
      <c r="AF92" s="15">
        <f t="shared" si="28"/>
        <v>0</v>
      </c>
      <c r="AG92" s="17">
        <v>0</v>
      </c>
      <c r="AH92" s="17">
        <v>0</v>
      </c>
      <c r="AI92" s="15">
        <f t="shared" si="29"/>
        <v>0</v>
      </c>
      <c r="AJ92" s="17"/>
    </row>
    <row r="93" spans="1:36" hidden="1" x14ac:dyDescent="0.3">
      <c r="A93" s="15" t="s">
        <v>142</v>
      </c>
      <c r="B93" s="15">
        <v>100</v>
      </c>
      <c r="C93" s="15" t="s">
        <v>54</v>
      </c>
      <c r="D93" s="15" t="s">
        <v>55</v>
      </c>
      <c r="E93" s="15">
        <f>'3-july2026'!T93</f>
        <v>1</v>
      </c>
      <c r="F93" s="15">
        <f>'3-july2026'!U93</f>
        <v>0</v>
      </c>
      <c r="G93" s="15">
        <f>'3-july2026'!V93</f>
        <v>0</v>
      </c>
      <c r="H93" s="15">
        <f t="shared" si="20"/>
        <v>1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5">
        <f t="shared" si="21"/>
        <v>1</v>
      </c>
      <c r="T93" s="15">
        <f t="shared" si="22"/>
        <v>1</v>
      </c>
      <c r="U93" s="15">
        <f t="shared" si="23"/>
        <v>0</v>
      </c>
      <c r="V93" s="15">
        <f t="shared" si="24"/>
        <v>0</v>
      </c>
      <c r="W93" s="18" t="str">
        <f t="shared" si="25"/>
        <v/>
      </c>
      <c r="X93" s="17">
        <v>0</v>
      </c>
      <c r="Y93" s="17">
        <v>0</v>
      </c>
      <c r="Z93" s="15">
        <f t="shared" si="26"/>
        <v>0</v>
      </c>
      <c r="AA93" s="17">
        <v>0</v>
      </c>
      <c r="AB93" s="17">
        <v>0</v>
      </c>
      <c r="AC93" s="15">
        <f t="shared" si="27"/>
        <v>0</v>
      </c>
      <c r="AD93" s="17">
        <v>0</v>
      </c>
      <c r="AE93" s="17">
        <v>0</v>
      </c>
      <c r="AF93" s="15">
        <f t="shared" si="28"/>
        <v>0</v>
      </c>
      <c r="AG93" s="17">
        <v>0</v>
      </c>
      <c r="AH93" s="17">
        <v>0</v>
      </c>
      <c r="AI93" s="15">
        <f t="shared" si="29"/>
        <v>0</v>
      </c>
      <c r="AJ93" s="17"/>
    </row>
    <row r="94" spans="1:36" x14ac:dyDescent="0.3">
      <c r="A94" s="15" t="s">
        <v>143</v>
      </c>
      <c r="B94" s="15">
        <v>1000</v>
      </c>
      <c r="C94" s="15" t="s">
        <v>54</v>
      </c>
      <c r="D94" s="15" t="s">
        <v>57</v>
      </c>
      <c r="E94" s="17">
        <v>1</v>
      </c>
      <c r="F94" s="17">
        <v>0</v>
      </c>
      <c r="G94" s="17">
        <v>0</v>
      </c>
      <c r="H94" s="15">
        <f t="shared" si="20"/>
        <v>1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5">
        <f t="shared" si="21"/>
        <v>1</v>
      </c>
      <c r="T94" s="15">
        <f t="shared" si="22"/>
        <v>1</v>
      </c>
      <c r="U94" s="15">
        <f t="shared" si="23"/>
        <v>0</v>
      </c>
      <c r="V94" s="15">
        <f t="shared" si="24"/>
        <v>0</v>
      </c>
      <c r="W94" s="18" t="str">
        <f t="shared" si="25"/>
        <v/>
      </c>
      <c r="X94" s="17">
        <v>0</v>
      </c>
      <c r="Y94" s="17">
        <v>0</v>
      </c>
      <c r="Z94" s="15">
        <f t="shared" si="26"/>
        <v>0</v>
      </c>
      <c r="AA94" s="17">
        <v>0</v>
      </c>
      <c r="AB94" s="17">
        <v>0</v>
      </c>
      <c r="AC94" s="15">
        <f t="shared" si="27"/>
        <v>0</v>
      </c>
      <c r="AD94" s="17">
        <v>0</v>
      </c>
      <c r="AE94" s="17">
        <v>0</v>
      </c>
      <c r="AF94" s="15">
        <f t="shared" si="28"/>
        <v>0</v>
      </c>
      <c r="AG94" s="17">
        <v>0</v>
      </c>
      <c r="AH94" s="17">
        <v>0</v>
      </c>
      <c r="AI94" s="15">
        <f t="shared" si="29"/>
        <v>0</v>
      </c>
      <c r="AJ94" s="17"/>
    </row>
    <row r="95" spans="1:36" x14ac:dyDescent="0.3">
      <c r="A95" s="15" t="s">
        <v>144</v>
      </c>
      <c r="B95" s="15">
        <v>1000</v>
      </c>
      <c r="C95" s="15" t="s">
        <v>54</v>
      </c>
      <c r="D95" s="15" t="s">
        <v>68</v>
      </c>
      <c r="E95" s="17">
        <v>1</v>
      </c>
      <c r="F95" s="17">
        <v>0</v>
      </c>
      <c r="G95" s="17">
        <v>0</v>
      </c>
      <c r="H95" s="15">
        <f t="shared" si="20"/>
        <v>1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5">
        <f t="shared" si="21"/>
        <v>1</v>
      </c>
      <c r="T95" s="15">
        <f t="shared" si="22"/>
        <v>1</v>
      </c>
      <c r="U95" s="15">
        <f t="shared" si="23"/>
        <v>0</v>
      </c>
      <c r="V95" s="15">
        <f t="shared" si="24"/>
        <v>0</v>
      </c>
      <c r="W95" s="18" t="str">
        <f t="shared" si="25"/>
        <v/>
      </c>
      <c r="X95" s="17">
        <v>0</v>
      </c>
      <c r="Y95" s="17">
        <v>0</v>
      </c>
      <c r="Z95" s="15">
        <f t="shared" si="26"/>
        <v>0</v>
      </c>
      <c r="AA95" s="17">
        <v>0</v>
      </c>
      <c r="AB95" s="17">
        <v>0</v>
      </c>
      <c r="AC95" s="15">
        <f t="shared" si="27"/>
        <v>0</v>
      </c>
      <c r="AD95" s="17">
        <v>0</v>
      </c>
      <c r="AE95" s="17">
        <v>0</v>
      </c>
      <c r="AF95" s="15">
        <f t="shared" si="28"/>
        <v>0</v>
      </c>
      <c r="AG95" s="17">
        <v>0</v>
      </c>
      <c r="AH95" s="17">
        <v>0</v>
      </c>
      <c r="AI95" s="15">
        <f t="shared" si="29"/>
        <v>0</v>
      </c>
      <c r="AJ95" s="17"/>
    </row>
    <row r="96" spans="1:36" x14ac:dyDescent="0.3">
      <c r="A96" s="15" t="s">
        <v>145</v>
      </c>
      <c r="B96" s="15">
        <v>1000</v>
      </c>
      <c r="C96" s="15" t="s">
        <v>54</v>
      </c>
      <c r="D96" s="15" t="s">
        <v>68</v>
      </c>
      <c r="E96" s="17">
        <v>5</v>
      </c>
      <c r="F96" s="17">
        <v>0</v>
      </c>
      <c r="G96" s="17">
        <v>0</v>
      </c>
      <c r="H96" s="15">
        <f t="shared" si="20"/>
        <v>5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5">
        <f t="shared" si="21"/>
        <v>5</v>
      </c>
      <c r="T96" s="15">
        <f t="shared" si="22"/>
        <v>5</v>
      </c>
      <c r="U96" s="15">
        <f t="shared" si="23"/>
        <v>0</v>
      </c>
      <c r="V96" s="15">
        <f t="shared" si="24"/>
        <v>0</v>
      </c>
      <c r="W96" s="18" t="str">
        <f t="shared" si="25"/>
        <v/>
      </c>
      <c r="X96" s="17">
        <v>0</v>
      </c>
      <c r="Y96" s="17">
        <v>0</v>
      </c>
      <c r="Z96" s="15">
        <f t="shared" si="26"/>
        <v>0</v>
      </c>
      <c r="AA96" s="17">
        <v>0</v>
      </c>
      <c r="AB96" s="17">
        <v>0</v>
      </c>
      <c r="AC96" s="15">
        <f t="shared" si="27"/>
        <v>0</v>
      </c>
      <c r="AD96" s="17">
        <v>0</v>
      </c>
      <c r="AE96" s="17">
        <v>0</v>
      </c>
      <c r="AF96" s="15">
        <f t="shared" si="28"/>
        <v>0</v>
      </c>
      <c r="AG96" s="17">
        <v>0</v>
      </c>
      <c r="AH96" s="17">
        <v>0</v>
      </c>
      <c r="AI96" s="15">
        <f t="shared" si="29"/>
        <v>0</v>
      </c>
      <c r="AJ96" s="17"/>
    </row>
    <row r="97" spans="1:36" x14ac:dyDescent="0.3">
      <c r="A97" s="15" t="s">
        <v>146</v>
      </c>
      <c r="B97" s="15">
        <v>1000</v>
      </c>
      <c r="C97" s="15" t="s">
        <v>54</v>
      </c>
      <c r="D97" s="15" t="s">
        <v>68</v>
      </c>
      <c r="E97" s="17">
        <v>4</v>
      </c>
      <c r="F97" s="17">
        <v>0</v>
      </c>
      <c r="G97" s="17">
        <v>0</v>
      </c>
      <c r="H97" s="15">
        <f t="shared" si="20"/>
        <v>4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5">
        <f t="shared" si="21"/>
        <v>4</v>
      </c>
      <c r="T97" s="15">
        <f t="shared" si="22"/>
        <v>4</v>
      </c>
      <c r="U97" s="15">
        <f t="shared" si="23"/>
        <v>0</v>
      </c>
      <c r="V97" s="15">
        <f t="shared" si="24"/>
        <v>0</v>
      </c>
      <c r="W97" s="18" t="str">
        <f t="shared" si="25"/>
        <v/>
      </c>
      <c r="X97" s="17">
        <v>0</v>
      </c>
      <c r="Y97" s="17">
        <v>0</v>
      </c>
      <c r="Z97" s="15">
        <f t="shared" si="26"/>
        <v>0</v>
      </c>
      <c r="AA97" s="17">
        <v>0</v>
      </c>
      <c r="AB97" s="17">
        <v>0</v>
      </c>
      <c r="AC97" s="15">
        <f t="shared" si="27"/>
        <v>0</v>
      </c>
      <c r="AD97" s="17">
        <v>0</v>
      </c>
      <c r="AE97" s="17">
        <v>0</v>
      </c>
      <c r="AF97" s="15">
        <f t="shared" si="28"/>
        <v>0</v>
      </c>
      <c r="AG97" s="17">
        <v>0</v>
      </c>
      <c r="AH97" s="17">
        <v>0</v>
      </c>
      <c r="AI97" s="15">
        <f t="shared" si="29"/>
        <v>0</v>
      </c>
      <c r="AJ97" s="17"/>
    </row>
    <row r="98" spans="1:36" hidden="1" x14ac:dyDescent="0.3">
      <c r="A98" s="15" t="s">
        <v>147</v>
      </c>
      <c r="B98" s="15">
        <v>1000</v>
      </c>
      <c r="C98" s="15" t="s">
        <v>54</v>
      </c>
      <c r="D98" s="15" t="s">
        <v>55</v>
      </c>
      <c r="E98" s="15">
        <f>'3-july2026'!T98</f>
        <v>0</v>
      </c>
      <c r="F98" s="15">
        <f>'3-july2026'!U98</f>
        <v>1</v>
      </c>
      <c r="G98" s="15">
        <f>'3-july2026'!V98</f>
        <v>39</v>
      </c>
      <c r="H98" s="15">
        <f t="shared" si="20"/>
        <v>40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5">
        <f t="shared" si="21"/>
        <v>40</v>
      </c>
      <c r="T98" s="15">
        <f t="shared" si="22"/>
        <v>0</v>
      </c>
      <c r="U98" s="15">
        <f t="shared" si="23"/>
        <v>1</v>
      </c>
      <c r="V98" s="15">
        <f t="shared" si="24"/>
        <v>39</v>
      </c>
      <c r="W98" s="18" t="str">
        <f t="shared" si="25"/>
        <v/>
      </c>
      <c r="X98" s="17">
        <v>0</v>
      </c>
      <c r="Y98" s="17">
        <v>0</v>
      </c>
      <c r="Z98" s="15">
        <f t="shared" si="26"/>
        <v>0</v>
      </c>
      <c r="AA98" s="17">
        <v>0</v>
      </c>
      <c r="AB98" s="17">
        <v>0</v>
      </c>
      <c r="AC98" s="15">
        <f t="shared" si="27"/>
        <v>0</v>
      </c>
      <c r="AD98" s="17">
        <v>0</v>
      </c>
      <c r="AE98" s="17">
        <v>0</v>
      </c>
      <c r="AF98" s="15">
        <f t="shared" si="28"/>
        <v>0</v>
      </c>
      <c r="AG98" s="17">
        <v>0</v>
      </c>
      <c r="AH98" s="17">
        <v>0</v>
      </c>
      <c r="AI98" s="15">
        <f t="shared" si="29"/>
        <v>0</v>
      </c>
      <c r="AJ98" s="17"/>
    </row>
    <row r="99" spans="1:36" x14ac:dyDescent="0.3">
      <c r="A99" s="15" t="s">
        <v>148</v>
      </c>
      <c r="B99" s="15">
        <v>100</v>
      </c>
      <c r="C99" s="15" t="s">
        <v>54</v>
      </c>
      <c r="D99" s="15" t="s">
        <v>57</v>
      </c>
      <c r="E99" s="17">
        <v>2</v>
      </c>
      <c r="F99" s="17">
        <v>0</v>
      </c>
      <c r="G99" s="17">
        <v>0</v>
      </c>
      <c r="H99" s="15">
        <f t="shared" ref="H99:H130" si="30">E99+F99+G99</f>
        <v>2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5">
        <f t="shared" ref="S99:S130" si="31">H99+O99+P99+Q99+R99-(I99+J99+K99+L99+M99+N99)</f>
        <v>2</v>
      </c>
      <c r="T99" s="15">
        <f t="shared" ref="T99:T130" si="32">E99+O99-I99-L99</f>
        <v>2</v>
      </c>
      <c r="U99" s="15">
        <f t="shared" ref="U99:U130" si="33">F99+P99-J99-M99</f>
        <v>0</v>
      </c>
      <c r="V99" s="15">
        <f t="shared" ref="V99:V130" si="34">G99+Q99-K99-N99</f>
        <v>0</v>
      </c>
      <c r="W99" s="18" t="str">
        <f t="shared" ref="W99:W130" si="35">IF(MIN(T99,U99,V99)&lt;0,"NEGATIVE STOCK - CHECK ENTRIES","")</f>
        <v/>
      </c>
      <c r="X99" s="17">
        <v>0</v>
      </c>
      <c r="Y99" s="17">
        <v>0</v>
      </c>
      <c r="Z99" s="15">
        <f t="shared" ref="Z99:Z130" si="36">X99-Y99</f>
        <v>0</v>
      </c>
      <c r="AA99" s="17">
        <v>0</v>
      </c>
      <c r="AB99" s="17">
        <v>0</v>
      </c>
      <c r="AC99" s="15">
        <f t="shared" ref="AC99:AC130" si="37">AA99-AB99</f>
        <v>0</v>
      </c>
      <c r="AD99" s="17">
        <v>0</v>
      </c>
      <c r="AE99" s="17">
        <v>0</v>
      </c>
      <c r="AF99" s="15">
        <f t="shared" ref="AF99:AF130" si="38">AD99-AE99</f>
        <v>0</v>
      </c>
      <c r="AG99" s="17">
        <v>0</v>
      </c>
      <c r="AH99" s="17">
        <v>0</v>
      </c>
      <c r="AI99" s="15">
        <f t="shared" ref="AI99:AI130" si="39">AG99-AH99</f>
        <v>0</v>
      </c>
      <c r="AJ99" s="17"/>
    </row>
    <row r="100" spans="1:36" hidden="1" x14ac:dyDescent="0.3">
      <c r="A100" s="15" t="s">
        <v>149</v>
      </c>
      <c r="B100" s="15">
        <v>250</v>
      </c>
      <c r="C100" s="15" t="s">
        <v>54</v>
      </c>
      <c r="D100" s="15" t="s">
        <v>55</v>
      </c>
      <c r="E100" s="15">
        <v>0</v>
      </c>
      <c r="F100" s="15">
        <v>0</v>
      </c>
      <c r="G100" s="15">
        <v>0</v>
      </c>
      <c r="H100" s="15">
        <f t="shared" si="30"/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5">
        <f t="shared" si="31"/>
        <v>0</v>
      </c>
      <c r="T100" s="15">
        <f t="shared" si="32"/>
        <v>0</v>
      </c>
      <c r="U100" s="15">
        <f t="shared" si="33"/>
        <v>0</v>
      </c>
      <c r="V100" s="15">
        <f t="shared" si="34"/>
        <v>0</v>
      </c>
      <c r="W100" s="18" t="str">
        <f t="shared" si="35"/>
        <v/>
      </c>
      <c r="X100" s="17">
        <v>0</v>
      </c>
      <c r="Y100" s="17">
        <v>0</v>
      </c>
      <c r="Z100" s="15">
        <f t="shared" si="36"/>
        <v>0</v>
      </c>
      <c r="AA100" s="17">
        <v>0</v>
      </c>
      <c r="AB100" s="17">
        <v>0</v>
      </c>
      <c r="AC100" s="15">
        <f t="shared" si="37"/>
        <v>0</v>
      </c>
      <c r="AD100" s="17">
        <v>0</v>
      </c>
      <c r="AE100" s="17">
        <v>0</v>
      </c>
      <c r="AF100" s="15">
        <f t="shared" si="38"/>
        <v>0</v>
      </c>
      <c r="AG100" s="17">
        <v>0</v>
      </c>
      <c r="AH100" s="17">
        <v>0</v>
      </c>
      <c r="AI100" s="15">
        <f t="shared" si="39"/>
        <v>0</v>
      </c>
      <c r="AJ100" s="17"/>
    </row>
    <row r="101" spans="1:36" x14ac:dyDescent="0.3">
      <c r="A101" s="15" t="s">
        <v>150</v>
      </c>
      <c r="B101" s="15">
        <v>10000</v>
      </c>
      <c r="C101" s="15" t="s">
        <v>54</v>
      </c>
      <c r="D101" s="15" t="s">
        <v>68</v>
      </c>
      <c r="E101" s="17">
        <v>1</v>
      </c>
      <c r="F101" s="17">
        <v>0</v>
      </c>
      <c r="G101" s="17">
        <v>0</v>
      </c>
      <c r="H101" s="15">
        <f t="shared" si="30"/>
        <v>1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5">
        <f t="shared" si="31"/>
        <v>1</v>
      </c>
      <c r="T101" s="15">
        <f t="shared" si="32"/>
        <v>1</v>
      </c>
      <c r="U101" s="15">
        <f t="shared" si="33"/>
        <v>0</v>
      </c>
      <c r="V101" s="15">
        <f t="shared" si="34"/>
        <v>0</v>
      </c>
      <c r="W101" s="18" t="str">
        <f t="shared" si="35"/>
        <v/>
      </c>
      <c r="X101" s="17">
        <v>0</v>
      </c>
      <c r="Y101" s="17">
        <v>0</v>
      </c>
      <c r="Z101" s="15">
        <f t="shared" si="36"/>
        <v>0</v>
      </c>
      <c r="AA101" s="17">
        <v>0</v>
      </c>
      <c r="AB101" s="17">
        <v>0</v>
      </c>
      <c r="AC101" s="15">
        <f t="shared" si="37"/>
        <v>0</v>
      </c>
      <c r="AD101" s="17">
        <v>0</v>
      </c>
      <c r="AE101" s="17">
        <v>0</v>
      </c>
      <c r="AF101" s="15">
        <f t="shared" si="38"/>
        <v>0</v>
      </c>
      <c r="AG101" s="17">
        <v>0</v>
      </c>
      <c r="AH101" s="17">
        <v>0</v>
      </c>
      <c r="AI101" s="15">
        <f t="shared" si="39"/>
        <v>0</v>
      </c>
      <c r="AJ101" s="17"/>
    </row>
    <row r="102" spans="1:36" x14ac:dyDescent="0.3">
      <c r="A102" s="15" t="s">
        <v>151</v>
      </c>
      <c r="B102" s="15">
        <v>100000</v>
      </c>
      <c r="C102" s="15" t="s">
        <v>54</v>
      </c>
      <c r="D102" s="15" t="s">
        <v>68</v>
      </c>
      <c r="E102" s="17">
        <v>2</v>
      </c>
      <c r="F102" s="17">
        <v>0</v>
      </c>
      <c r="G102" s="17">
        <v>0</v>
      </c>
      <c r="H102" s="15">
        <f t="shared" si="30"/>
        <v>2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5">
        <f t="shared" si="31"/>
        <v>2</v>
      </c>
      <c r="T102" s="15">
        <f t="shared" si="32"/>
        <v>2</v>
      </c>
      <c r="U102" s="15">
        <f t="shared" si="33"/>
        <v>0</v>
      </c>
      <c r="V102" s="15">
        <f t="shared" si="34"/>
        <v>0</v>
      </c>
      <c r="W102" s="18" t="str">
        <f t="shared" si="35"/>
        <v/>
      </c>
      <c r="X102" s="17">
        <v>0</v>
      </c>
      <c r="Y102" s="17">
        <v>0</v>
      </c>
      <c r="Z102" s="15">
        <f t="shared" si="36"/>
        <v>0</v>
      </c>
      <c r="AA102" s="17">
        <v>0</v>
      </c>
      <c r="AB102" s="17">
        <v>0</v>
      </c>
      <c r="AC102" s="15">
        <f t="shared" si="37"/>
        <v>0</v>
      </c>
      <c r="AD102" s="17">
        <v>0</v>
      </c>
      <c r="AE102" s="17">
        <v>0</v>
      </c>
      <c r="AF102" s="15">
        <f t="shared" si="38"/>
        <v>0</v>
      </c>
      <c r="AG102" s="17">
        <v>0</v>
      </c>
      <c r="AH102" s="17">
        <v>0</v>
      </c>
      <c r="AI102" s="15">
        <f t="shared" si="39"/>
        <v>0</v>
      </c>
      <c r="AJ102" s="17"/>
    </row>
    <row r="103" spans="1:36" x14ac:dyDescent="0.3">
      <c r="A103" s="15" t="s">
        <v>152</v>
      </c>
      <c r="B103" s="15">
        <v>500</v>
      </c>
      <c r="C103" s="15" t="s">
        <v>54</v>
      </c>
      <c r="D103" s="15" t="s">
        <v>57</v>
      </c>
      <c r="E103" s="17">
        <v>1</v>
      </c>
      <c r="F103" s="17">
        <v>0</v>
      </c>
      <c r="G103" s="17">
        <v>0</v>
      </c>
      <c r="H103" s="15">
        <f t="shared" si="30"/>
        <v>1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5">
        <f t="shared" si="31"/>
        <v>1</v>
      </c>
      <c r="T103" s="15">
        <f t="shared" si="32"/>
        <v>1</v>
      </c>
      <c r="U103" s="15">
        <f t="shared" si="33"/>
        <v>0</v>
      </c>
      <c r="V103" s="15">
        <f t="shared" si="34"/>
        <v>0</v>
      </c>
      <c r="W103" s="18" t="str">
        <f t="shared" si="35"/>
        <v/>
      </c>
      <c r="X103" s="17">
        <v>0</v>
      </c>
      <c r="Y103" s="17">
        <v>0</v>
      </c>
      <c r="Z103" s="15">
        <f t="shared" si="36"/>
        <v>0</v>
      </c>
      <c r="AA103" s="17">
        <v>0</v>
      </c>
      <c r="AB103" s="17">
        <v>0</v>
      </c>
      <c r="AC103" s="15">
        <f t="shared" si="37"/>
        <v>0</v>
      </c>
      <c r="AD103" s="17">
        <v>0</v>
      </c>
      <c r="AE103" s="17">
        <v>0</v>
      </c>
      <c r="AF103" s="15">
        <f t="shared" si="38"/>
        <v>0</v>
      </c>
      <c r="AG103" s="17">
        <v>0</v>
      </c>
      <c r="AH103" s="17">
        <v>0</v>
      </c>
      <c r="AI103" s="15">
        <f t="shared" si="39"/>
        <v>0</v>
      </c>
      <c r="AJ103" s="17"/>
    </row>
    <row r="104" spans="1:36" x14ac:dyDescent="0.3">
      <c r="A104" s="15" t="s">
        <v>153</v>
      </c>
      <c r="B104" s="15">
        <v>100</v>
      </c>
      <c r="C104" s="15" t="s">
        <v>54</v>
      </c>
      <c r="D104" s="15" t="s">
        <v>68</v>
      </c>
      <c r="E104" s="15">
        <v>0</v>
      </c>
      <c r="F104" s="15">
        <v>0</v>
      </c>
      <c r="G104" s="15">
        <v>0</v>
      </c>
      <c r="H104" s="15">
        <f t="shared" si="30"/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5">
        <f t="shared" si="31"/>
        <v>0</v>
      </c>
      <c r="T104" s="15">
        <f t="shared" si="32"/>
        <v>0</v>
      </c>
      <c r="U104" s="15">
        <f t="shared" si="33"/>
        <v>0</v>
      </c>
      <c r="V104" s="15">
        <f t="shared" si="34"/>
        <v>0</v>
      </c>
      <c r="W104" s="18" t="str">
        <f t="shared" si="35"/>
        <v/>
      </c>
      <c r="X104" s="17">
        <v>0</v>
      </c>
      <c r="Y104" s="17">
        <v>0</v>
      </c>
      <c r="Z104" s="15">
        <f t="shared" si="36"/>
        <v>0</v>
      </c>
      <c r="AA104" s="17">
        <v>0</v>
      </c>
      <c r="AB104" s="17">
        <v>0</v>
      </c>
      <c r="AC104" s="15">
        <f t="shared" si="37"/>
        <v>0</v>
      </c>
      <c r="AD104" s="17">
        <v>0</v>
      </c>
      <c r="AE104" s="17">
        <v>0</v>
      </c>
      <c r="AF104" s="15">
        <f t="shared" si="38"/>
        <v>0</v>
      </c>
      <c r="AG104" s="17">
        <v>0</v>
      </c>
      <c r="AH104" s="17">
        <v>0</v>
      </c>
      <c r="AI104" s="15">
        <f t="shared" si="39"/>
        <v>0</v>
      </c>
      <c r="AJ104" s="17"/>
    </row>
    <row r="105" spans="1:36" hidden="1" x14ac:dyDescent="0.3">
      <c r="A105" s="15" t="s">
        <v>154</v>
      </c>
      <c r="B105" s="15">
        <v>100</v>
      </c>
      <c r="C105" s="15" t="s">
        <v>54</v>
      </c>
      <c r="D105" s="15" t="s">
        <v>55</v>
      </c>
      <c r="E105" s="15">
        <f>'3-july2026'!T105</f>
        <v>15</v>
      </c>
      <c r="F105" s="15">
        <f>'3-july2026'!U105</f>
        <v>4</v>
      </c>
      <c r="G105" s="15">
        <f>'3-july2026'!V105</f>
        <v>0</v>
      </c>
      <c r="H105" s="15">
        <f t="shared" si="30"/>
        <v>19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5">
        <f t="shared" si="31"/>
        <v>19</v>
      </c>
      <c r="T105" s="15">
        <f t="shared" si="32"/>
        <v>15</v>
      </c>
      <c r="U105" s="15">
        <f t="shared" si="33"/>
        <v>4</v>
      </c>
      <c r="V105" s="15">
        <f t="shared" si="34"/>
        <v>0</v>
      </c>
      <c r="W105" s="18" t="str">
        <f t="shared" si="35"/>
        <v/>
      </c>
      <c r="X105" s="17">
        <v>0</v>
      </c>
      <c r="Y105" s="17">
        <v>0</v>
      </c>
      <c r="Z105" s="15">
        <f t="shared" si="36"/>
        <v>0</v>
      </c>
      <c r="AA105" s="17">
        <v>0</v>
      </c>
      <c r="AB105" s="17">
        <v>0</v>
      </c>
      <c r="AC105" s="15">
        <f t="shared" si="37"/>
        <v>0</v>
      </c>
      <c r="AD105" s="17">
        <v>0</v>
      </c>
      <c r="AE105" s="17">
        <v>0</v>
      </c>
      <c r="AF105" s="15">
        <f t="shared" si="38"/>
        <v>0</v>
      </c>
      <c r="AG105" s="17">
        <v>0</v>
      </c>
      <c r="AH105" s="17">
        <v>0</v>
      </c>
      <c r="AI105" s="15">
        <f t="shared" si="39"/>
        <v>0</v>
      </c>
      <c r="AJ105" s="17"/>
    </row>
    <row r="106" spans="1:36" x14ac:dyDescent="0.3">
      <c r="A106" s="15" t="s">
        <v>155</v>
      </c>
      <c r="B106" s="15">
        <v>100</v>
      </c>
      <c r="C106" s="15" t="s">
        <v>54</v>
      </c>
      <c r="D106" s="15" t="s">
        <v>68</v>
      </c>
      <c r="E106" s="17">
        <v>1</v>
      </c>
      <c r="F106" s="17">
        <v>0</v>
      </c>
      <c r="G106" s="17">
        <v>0</v>
      </c>
      <c r="H106" s="15">
        <f t="shared" si="30"/>
        <v>1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5">
        <f t="shared" si="31"/>
        <v>1</v>
      </c>
      <c r="T106" s="15">
        <f t="shared" si="32"/>
        <v>1</v>
      </c>
      <c r="U106" s="15">
        <f t="shared" si="33"/>
        <v>0</v>
      </c>
      <c r="V106" s="15">
        <f t="shared" si="34"/>
        <v>0</v>
      </c>
      <c r="W106" s="18" t="str">
        <f t="shared" si="35"/>
        <v/>
      </c>
      <c r="X106" s="17">
        <v>0</v>
      </c>
      <c r="Y106" s="17">
        <v>0</v>
      </c>
      <c r="Z106" s="15">
        <f t="shared" si="36"/>
        <v>0</v>
      </c>
      <c r="AA106" s="17">
        <v>0</v>
      </c>
      <c r="AB106" s="17">
        <v>0</v>
      </c>
      <c r="AC106" s="15">
        <f t="shared" si="37"/>
        <v>0</v>
      </c>
      <c r="AD106" s="17">
        <v>0</v>
      </c>
      <c r="AE106" s="17">
        <v>0</v>
      </c>
      <c r="AF106" s="15">
        <f t="shared" si="38"/>
        <v>0</v>
      </c>
      <c r="AG106" s="17">
        <v>0</v>
      </c>
      <c r="AH106" s="17">
        <v>0</v>
      </c>
      <c r="AI106" s="15">
        <f t="shared" si="39"/>
        <v>0</v>
      </c>
      <c r="AJ106" s="17"/>
    </row>
    <row r="107" spans="1:36" x14ac:dyDescent="0.3">
      <c r="A107" s="15" t="s">
        <v>156</v>
      </c>
      <c r="B107" s="15">
        <v>2500</v>
      </c>
      <c r="C107" s="15" t="s">
        <v>54</v>
      </c>
      <c r="D107" s="15" t="s">
        <v>68</v>
      </c>
      <c r="E107" s="17">
        <v>1</v>
      </c>
      <c r="F107" s="17">
        <v>0</v>
      </c>
      <c r="G107" s="17">
        <v>0</v>
      </c>
      <c r="H107" s="15">
        <f t="shared" si="30"/>
        <v>1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5">
        <f t="shared" si="31"/>
        <v>1</v>
      </c>
      <c r="T107" s="15">
        <f t="shared" si="32"/>
        <v>1</v>
      </c>
      <c r="U107" s="15">
        <f t="shared" si="33"/>
        <v>0</v>
      </c>
      <c r="V107" s="15">
        <f t="shared" si="34"/>
        <v>0</v>
      </c>
      <c r="W107" s="18" t="str">
        <f t="shared" si="35"/>
        <v/>
      </c>
      <c r="X107" s="17">
        <v>0</v>
      </c>
      <c r="Y107" s="17">
        <v>0</v>
      </c>
      <c r="Z107" s="15">
        <f t="shared" si="36"/>
        <v>0</v>
      </c>
      <c r="AA107" s="17">
        <v>0</v>
      </c>
      <c r="AB107" s="17">
        <v>0</v>
      </c>
      <c r="AC107" s="15">
        <f t="shared" si="37"/>
        <v>0</v>
      </c>
      <c r="AD107" s="17">
        <v>0</v>
      </c>
      <c r="AE107" s="17">
        <v>0</v>
      </c>
      <c r="AF107" s="15">
        <f t="shared" si="38"/>
        <v>0</v>
      </c>
      <c r="AG107" s="17">
        <v>0</v>
      </c>
      <c r="AH107" s="17">
        <v>0</v>
      </c>
      <c r="AI107" s="15">
        <f t="shared" si="39"/>
        <v>0</v>
      </c>
      <c r="AJ107" s="17"/>
    </row>
    <row r="108" spans="1:36" x14ac:dyDescent="0.3">
      <c r="A108" s="15" t="s">
        <v>157</v>
      </c>
      <c r="B108" s="15">
        <v>100</v>
      </c>
      <c r="C108" s="15" t="s">
        <v>54</v>
      </c>
      <c r="D108" s="15" t="s">
        <v>57</v>
      </c>
      <c r="E108" s="17">
        <v>2</v>
      </c>
      <c r="F108" s="17">
        <v>0</v>
      </c>
      <c r="G108" s="17">
        <v>0</v>
      </c>
      <c r="H108" s="15">
        <f t="shared" si="30"/>
        <v>2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5">
        <f t="shared" si="31"/>
        <v>2</v>
      </c>
      <c r="T108" s="15">
        <f t="shared" si="32"/>
        <v>2</v>
      </c>
      <c r="U108" s="15">
        <f t="shared" si="33"/>
        <v>0</v>
      </c>
      <c r="V108" s="15">
        <f t="shared" si="34"/>
        <v>0</v>
      </c>
      <c r="W108" s="18" t="str">
        <f t="shared" si="35"/>
        <v/>
      </c>
      <c r="X108" s="17">
        <v>0</v>
      </c>
      <c r="Y108" s="17">
        <v>0</v>
      </c>
      <c r="Z108" s="15">
        <f t="shared" si="36"/>
        <v>0</v>
      </c>
      <c r="AA108" s="17">
        <v>0</v>
      </c>
      <c r="AB108" s="17">
        <v>0</v>
      </c>
      <c r="AC108" s="15">
        <f t="shared" si="37"/>
        <v>0</v>
      </c>
      <c r="AD108" s="17">
        <v>0</v>
      </c>
      <c r="AE108" s="17">
        <v>0</v>
      </c>
      <c r="AF108" s="15">
        <f t="shared" si="38"/>
        <v>0</v>
      </c>
      <c r="AG108" s="17">
        <v>0</v>
      </c>
      <c r="AH108" s="17">
        <v>0</v>
      </c>
      <c r="AI108" s="15">
        <f t="shared" si="39"/>
        <v>0</v>
      </c>
      <c r="AJ108" s="17"/>
    </row>
    <row r="109" spans="1:36" hidden="1" x14ac:dyDescent="0.3">
      <c r="A109" s="15" t="s">
        <v>158</v>
      </c>
      <c r="B109" s="15">
        <v>100</v>
      </c>
      <c r="C109" s="15" t="s">
        <v>54</v>
      </c>
      <c r="D109" s="15" t="s">
        <v>55</v>
      </c>
      <c r="E109" s="15">
        <f>'3-july2026'!T109</f>
        <v>27</v>
      </c>
      <c r="F109" s="15">
        <f>'3-july2026'!U109</f>
        <v>0</v>
      </c>
      <c r="G109" s="15">
        <f>'3-july2026'!V109</f>
        <v>0</v>
      </c>
      <c r="H109" s="15">
        <f t="shared" si="30"/>
        <v>27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5">
        <f t="shared" si="31"/>
        <v>27</v>
      </c>
      <c r="T109" s="15">
        <f t="shared" si="32"/>
        <v>27</v>
      </c>
      <c r="U109" s="15">
        <f t="shared" si="33"/>
        <v>0</v>
      </c>
      <c r="V109" s="15">
        <f t="shared" si="34"/>
        <v>0</v>
      </c>
      <c r="W109" s="18" t="str">
        <f t="shared" si="35"/>
        <v/>
      </c>
      <c r="X109" s="17">
        <v>0</v>
      </c>
      <c r="Y109" s="17">
        <v>0</v>
      </c>
      <c r="Z109" s="15">
        <f t="shared" si="36"/>
        <v>0</v>
      </c>
      <c r="AA109" s="17">
        <v>0</v>
      </c>
      <c r="AB109" s="17">
        <v>0</v>
      </c>
      <c r="AC109" s="15">
        <f t="shared" si="37"/>
        <v>0</v>
      </c>
      <c r="AD109" s="17">
        <v>0</v>
      </c>
      <c r="AE109" s="17">
        <v>0</v>
      </c>
      <c r="AF109" s="15">
        <f t="shared" si="38"/>
        <v>0</v>
      </c>
      <c r="AG109" s="17">
        <v>0</v>
      </c>
      <c r="AH109" s="17">
        <v>0</v>
      </c>
      <c r="AI109" s="15">
        <f t="shared" si="39"/>
        <v>0</v>
      </c>
      <c r="AJ109" s="17"/>
    </row>
    <row r="110" spans="1:36" hidden="1" x14ac:dyDescent="0.3">
      <c r="A110" s="15" t="s">
        <v>159</v>
      </c>
      <c r="B110" s="15">
        <v>100</v>
      </c>
      <c r="C110" s="15" t="s">
        <v>54</v>
      </c>
      <c r="D110" s="15" t="s">
        <v>55</v>
      </c>
      <c r="E110" s="15">
        <f>'3-july2026'!T110</f>
        <v>91</v>
      </c>
      <c r="F110" s="15">
        <f>'3-july2026'!U110</f>
        <v>0</v>
      </c>
      <c r="G110" s="15">
        <f>'3-july2026'!V110</f>
        <v>0</v>
      </c>
      <c r="H110" s="15">
        <f t="shared" si="30"/>
        <v>91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8</v>
      </c>
      <c r="P110" s="17">
        <v>0</v>
      </c>
      <c r="Q110" s="17">
        <v>0</v>
      </c>
      <c r="R110" s="17">
        <v>0</v>
      </c>
      <c r="S110" s="15">
        <f t="shared" si="31"/>
        <v>99</v>
      </c>
      <c r="T110" s="15">
        <f t="shared" si="32"/>
        <v>99</v>
      </c>
      <c r="U110" s="15">
        <f t="shared" si="33"/>
        <v>0</v>
      </c>
      <c r="V110" s="15">
        <f t="shared" si="34"/>
        <v>0</v>
      </c>
      <c r="W110" s="18" t="str">
        <f t="shared" si="35"/>
        <v/>
      </c>
      <c r="X110" s="17">
        <v>0</v>
      </c>
      <c r="Y110" s="17">
        <v>0</v>
      </c>
      <c r="Z110" s="15">
        <f t="shared" si="36"/>
        <v>0</v>
      </c>
      <c r="AA110" s="17">
        <v>0</v>
      </c>
      <c r="AB110" s="17">
        <v>0</v>
      </c>
      <c r="AC110" s="15">
        <f t="shared" si="37"/>
        <v>0</v>
      </c>
      <c r="AD110" s="17">
        <v>0</v>
      </c>
      <c r="AE110" s="17">
        <v>0</v>
      </c>
      <c r="AF110" s="15">
        <f t="shared" si="38"/>
        <v>0</v>
      </c>
      <c r="AG110" s="17">
        <v>0</v>
      </c>
      <c r="AH110" s="17">
        <v>0</v>
      </c>
      <c r="AI110" s="15">
        <f t="shared" si="39"/>
        <v>0</v>
      </c>
      <c r="AJ110" s="17"/>
    </row>
    <row r="111" spans="1:36" hidden="1" x14ac:dyDescent="0.3">
      <c r="A111" s="15" t="s">
        <v>160</v>
      </c>
      <c r="B111" s="15">
        <v>100</v>
      </c>
      <c r="C111" s="15" t="s">
        <v>54</v>
      </c>
      <c r="D111" s="15" t="s">
        <v>55</v>
      </c>
      <c r="E111" s="15">
        <f>'3-july2026'!T111</f>
        <v>124</v>
      </c>
      <c r="F111" s="15">
        <f>'3-july2026'!U111</f>
        <v>4</v>
      </c>
      <c r="G111" s="15">
        <f>'3-july2026'!V111</f>
        <v>13</v>
      </c>
      <c r="H111" s="15">
        <f t="shared" si="30"/>
        <v>141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5">
        <f t="shared" si="31"/>
        <v>141</v>
      </c>
      <c r="T111" s="15">
        <f t="shared" si="32"/>
        <v>124</v>
      </c>
      <c r="U111" s="15">
        <f t="shared" si="33"/>
        <v>4</v>
      </c>
      <c r="V111" s="15">
        <f t="shared" si="34"/>
        <v>13</v>
      </c>
      <c r="W111" s="18" t="str">
        <f t="shared" si="35"/>
        <v/>
      </c>
      <c r="X111" s="17">
        <v>0</v>
      </c>
      <c r="Y111" s="17">
        <v>0</v>
      </c>
      <c r="Z111" s="15">
        <f t="shared" si="36"/>
        <v>0</v>
      </c>
      <c r="AA111" s="17">
        <v>0</v>
      </c>
      <c r="AB111" s="17">
        <v>0</v>
      </c>
      <c r="AC111" s="15">
        <f t="shared" si="37"/>
        <v>0</v>
      </c>
      <c r="AD111" s="17">
        <v>0</v>
      </c>
      <c r="AE111" s="17">
        <v>0</v>
      </c>
      <c r="AF111" s="15">
        <f t="shared" si="38"/>
        <v>0</v>
      </c>
      <c r="AG111" s="17">
        <v>0</v>
      </c>
      <c r="AH111" s="17">
        <v>0</v>
      </c>
      <c r="AI111" s="15">
        <f t="shared" si="39"/>
        <v>0</v>
      </c>
      <c r="AJ111" s="17"/>
    </row>
    <row r="112" spans="1:36" hidden="1" x14ac:dyDescent="0.3">
      <c r="A112" s="15" t="s">
        <v>161</v>
      </c>
      <c r="B112" s="15">
        <v>100</v>
      </c>
      <c r="C112" s="15" t="s">
        <v>54</v>
      </c>
      <c r="D112" s="15" t="s">
        <v>55</v>
      </c>
      <c r="E112" s="15">
        <f>'3-july2026'!T112</f>
        <v>267</v>
      </c>
      <c r="F112" s="15">
        <f>'3-july2026'!U112</f>
        <v>60</v>
      </c>
      <c r="G112" s="15">
        <f>'3-july2026'!V112</f>
        <v>62</v>
      </c>
      <c r="H112" s="15">
        <f t="shared" si="30"/>
        <v>389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5">
        <f t="shared" si="31"/>
        <v>389</v>
      </c>
      <c r="T112" s="15">
        <f t="shared" si="32"/>
        <v>267</v>
      </c>
      <c r="U112" s="15">
        <f t="shared" si="33"/>
        <v>60</v>
      </c>
      <c r="V112" s="15">
        <f t="shared" si="34"/>
        <v>62</v>
      </c>
      <c r="W112" s="18" t="str">
        <f t="shared" si="35"/>
        <v/>
      </c>
      <c r="X112" s="17">
        <v>0</v>
      </c>
      <c r="Y112" s="17">
        <v>0</v>
      </c>
      <c r="Z112" s="15">
        <f t="shared" si="36"/>
        <v>0</v>
      </c>
      <c r="AA112" s="17">
        <v>0</v>
      </c>
      <c r="AB112" s="17">
        <v>0</v>
      </c>
      <c r="AC112" s="15">
        <f t="shared" si="37"/>
        <v>0</v>
      </c>
      <c r="AD112" s="17">
        <v>0</v>
      </c>
      <c r="AE112" s="17">
        <v>0</v>
      </c>
      <c r="AF112" s="15">
        <f t="shared" si="38"/>
        <v>0</v>
      </c>
      <c r="AG112" s="17">
        <v>0</v>
      </c>
      <c r="AH112" s="17">
        <v>0</v>
      </c>
      <c r="AI112" s="15">
        <f t="shared" si="39"/>
        <v>0</v>
      </c>
      <c r="AJ112" s="17"/>
    </row>
    <row r="113" spans="1:36" hidden="1" x14ac:dyDescent="0.3">
      <c r="A113" s="15" t="s">
        <v>162</v>
      </c>
      <c r="B113" s="15">
        <v>1000</v>
      </c>
      <c r="C113" s="15" t="s">
        <v>54</v>
      </c>
      <c r="D113" s="15" t="s">
        <v>55</v>
      </c>
      <c r="E113" s="15">
        <f>'3-july2026'!T113</f>
        <v>0</v>
      </c>
      <c r="F113" s="15">
        <f>'3-july2026'!U113</f>
        <v>7</v>
      </c>
      <c r="G113" s="15">
        <f>'3-july2026'!V113</f>
        <v>5</v>
      </c>
      <c r="H113" s="15">
        <f t="shared" si="30"/>
        <v>12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5">
        <f t="shared" si="31"/>
        <v>12</v>
      </c>
      <c r="T113" s="15">
        <f t="shared" si="32"/>
        <v>0</v>
      </c>
      <c r="U113" s="15">
        <f t="shared" si="33"/>
        <v>7</v>
      </c>
      <c r="V113" s="15">
        <f t="shared" si="34"/>
        <v>5</v>
      </c>
      <c r="W113" s="18" t="str">
        <f t="shared" si="35"/>
        <v/>
      </c>
      <c r="X113" s="17">
        <v>0</v>
      </c>
      <c r="Y113" s="17">
        <v>0</v>
      </c>
      <c r="Z113" s="15">
        <f t="shared" si="36"/>
        <v>0</v>
      </c>
      <c r="AA113" s="17">
        <v>0</v>
      </c>
      <c r="AB113" s="17">
        <v>0</v>
      </c>
      <c r="AC113" s="15">
        <f t="shared" si="37"/>
        <v>0</v>
      </c>
      <c r="AD113" s="17">
        <v>0</v>
      </c>
      <c r="AE113" s="17">
        <v>0</v>
      </c>
      <c r="AF113" s="15">
        <f t="shared" si="38"/>
        <v>0</v>
      </c>
      <c r="AG113" s="17">
        <v>0</v>
      </c>
      <c r="AH113" s="17">
        <v>0</v>
      </c>
      <c r="AI113" s="15">
        <f t="shared" si="39"/>
        <v>0</v>
      </c>
      <c r="AJ113" s="17"/>
    </row>
    <row r="114" spans="1:36" hidden="1" x14ac:dyDescent="0.3">
      <c r="A114" s="15" t="s">
        <v>163</v>
      </c>
      <c r="B114" s="15">
        <v>500</v>
      </c>
      <c r="C114" s="15" t="s">
        <v>54</v>
      </c>
      <c r="D114" s="15" t="s">
        <v>55</v>
      </c>
      <c r="E114" s="15">
        <f>'3-july2026'!T114</f>
        <v>0</v>
      </c>
      <c r="F114" s="15">
        <f>'3-july2026'!U114</f>
        <v>2</v>
      </c>
      <c r="G114" s="15">
        <f>'3-july2026'!V114</f>
        <v>1</v>
      </c>
      <c r="H114" s="15">
        <f t="shared" si="30"/>
        <v>3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5">
        <f t="shared" si="31"/>
        <v>3</v>
      </c>
      <c r="T114" s="15">
        <f t="shared" si="32"/>
        <v>0</v>
      </c>
      <c r="U114" s="15">
        <f t="shared" si="33"/>
        <v>2</v>
      </c>
      <c r="V114" s="15">
        <f t="shared" si="34"/>
        <v>1</v>
      </c>
      <c r="W114" s="18" t="str">
        <f t="shared" si="35"/>
        <v/>
      </c>
      <c r="X114" s="17">
        <v>0</v>
      </c>
      <c r="Y114" s="17">
        <v>0</v>
      </c>
      <c r="Z114" s="15">
        <f t="shared" si="36"/>
        <v>0</v>
      </c>
      <c r="AA114" s="17">
        <v>0</v>
      </c>
      <c r="AB114" s="17">
        <v>0</v>
      </c>
      <c r="AC114" s="15">
        <f t="shared" si="37"/>
        <v>0</v>
      </c>
      <c r="AD114" s="17">
        <v>0</v>
      </c>
      <c r="AE114" s="17">
        <v>0</v>
      </c>
      <c r="AF114" s="15">
        <f t="shared" si="38"/>
        <v>0</v>
      </c>
      <c r="AG114" s="17">
        <v>0</v>
      </c>
      <c r="AH114" s="17">
        <v>0</v>
      </c>
      <c r="AI114" s="15">
        <f t="shared" si="39"/>
        <v>0</v>
      </c>
      <c r="AJ114" s="17"/>
    </row>
    <row r="115" spans="1:36" x14ac:dyDescent="0.3">
      <c r="A115" s="15" t="s">
        <v>164</v>
      </c>
      <c r="B115" s="15">
        <v>100</v>
      </c>
      <c r="C115" s="15" t="s">
        <v>54</v>
      </c>
      <c r="D115" s="15" t="s">
        <v>68</v>
      </c>
      <c r="E115" s="17">
        <v>2</v>
      </c>
      <c r="F115" s="17">
        <v>0</v>
      </c>
      <c r="G115" s="17">
        <v>0</v>
      </c>
      <c r="H115" s="15">
        <f t="shared" si="30"/>
        <v>2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5">
        <f t="shared" si="31"/>
        <v>2</v>
      </c>
      <c r="T115" s="15">
        <f t="shared" si="32"/>
        <v>2</v>
      </c>
      <c r="U115" s="15">
        <f t="shared" si="33"/>
        <v>0</v>
      </c>
      <c r="V115" s="15">
        <f t="shared" si="34"/>
        <v>0</v>
      </c>
      <c r="W115" s="18" t="str">
        <f t="shared" si="35"/>
        <v/>
      </c>
      <c r="X115" s="17">
        <v>0</v>
      </c>
      <c r="Y115" s="17">
        <v>0</v>
      </c>
      <c r="Z115" s="15">
        <f t="shared" si="36"/>
        <v>0</v>
      </c>
      <c r="AA115" s="17">
        <v>0</v>
      </c>
      <c r="AB115" s="17">
        <v>0</v>
      </c>
      <c r="AC115" s="15">
        <f t="shared" si="37"/>
        <v>0</v>
      </c>
      <c r="AD115" s="17">
        <v>0</v>
      </c>
      <c r="AE115" s="17">
        <v>0</v>
      </c>
      <c r="AF115" s="15">
        <f t="shared" si="38"/>
        <v>0</v>
      </c>
      <c r="AG115" s="17">
        <v>0</v>
      </c>
      <c r="AH115" s="17">
        <v>0</v>
      </c>
      <c r="AI115" s="15">
        <f t="shared" si="39"/>
        <v>0</v>
      </c>
      <c r="AJ115" s="17"/>
    </row>
    <row r="116" spans="1:36" x14ac:dyDescent="0.3">
      <c r="A116" s="15" t="s">
        <v>165</v>
      </c>
      <c r="B116" s="15">
        <v>100000</v>
      </c>
      <c r="C116" s="15" t="s">
        <v>54</v>
      </c>
      <c r="D116" s="15" t="s">
        <v>68</v>
      </c>
      <c r="E116" s="17">
        <v>2</v>
      </c>
      <c r="F116" s="17">
        <v>0</v>
      </c>
      <c r="G116" s="17">
        <v>0</v>
      </c>
      <c r="H116" s="15">
        <f t="shared" si="30"/>
        <v>2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5">
        <f t="shared" si="31"/>
        <v>2</v>
      </c>
      <c r="T116" s="15">
        <f t="shared" si="32"/>
        <v>2</v>
      </c>
      <c r="U116" s="15">
        <f t="shared" si="33"/>
        <v>0</v>
      </c>
      <c r="V116" s="15">
        <f t="shared" si="34"/>
        <v>0</v>
      </c>
      <c r="W116" s="18" t="str">
        <f t="shared" si="35"/>
        <v/>
      </c>
      <c r="X116" s="17">
        <v>0</v>
      </c>
      <c r="Y116" s="17">
        <v>0</v>
      </c>
      <c r="Z116" s="15">
        <f t="shared" si="36"/>
        <v>0</v>
      </c>
      <c r="AA116" s="17">
        <v>0</v>
      </c>
      <c r="AB116" s="17">
        <v>0</v>
      </c>
      <c r="AC116" s="15">
        <f t="shared" si="37"/>
        <v>0</v>
      </c>
      <c r="AD116" s="17">
        <v>0</v>
      </c>
      <c r="AE116" s="17">
        <v>0</v>
      </c>
      <c r="AF116" s="15">
        <f t="shared" si="38"/>
        <v>0</v>
      </c>
      <c r="AG116" s="17">
        <v>0</v>
      </c>
      <c r="AH116" s="17">
        <v>0</v>
      </c>
      <c r="AI116" s="15">
        <f t="shared" si="39"/>
        <v>0</v>
      </c>
      <c r="AJ116" s="17"/>
    </row>
    <row r="117" spans="1:36" x14ac:dyDescent="0.3">
      <c r="A117" s="15" t="s">
        <v>165</v>
      </c>
      <c r="B117" s="15">
        <v>25000</v>
      </c>
      <c r="C117" s="15" t="s">
        <v>54</v>
      </c>
      <c r="D117" s="15" t="s">
        <v>68</v>
      </c>
      <c r="E117" s="17">
        <v>1</v>
      </c>
      <c r="F117" s="17">
        <v>0</v>
      </c>
      <c r="G117" s="17">
        <v>0</v>
      </c>
      <c r="H117" s="15">
        <f t="shared" si="30"/>
        <v>1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5">
        <f t="shared" si="31"/>
        <v>1</v>
      </c>
      <c r="T117" s="15">
        <f t="shared" si="32"/>
        <v>1</v>
      </c>
      <c r="U117" s="15">
        <f t="shared" si="33"/>
        <v>0</v>
      </c>
      <c r="V117" s="15">
        <f t="shared" si="34"/>
        <v>0</v>
      </c>
      <c r="W117" s="18" t="str">
        <f t="shared" si="35"/>
        <v/>
      </c>
      <c r="X117" s="17">
        <v>0</v>
      </c>
      <c r="Y117" s="17">
        <v>0</v>
      </c>
      <c r="Z117" s="15">
        <f t="shared" si="36"/>
        <v>0</v>
      </c>
      <c r="AA117" s="17">
        <v>0</v>
      </c>
      <c r="AB117" s="17">
        <v>0</v>
      </c>
      <c r="AC117" s="15">
        <f t="shared" si="37"/>
        <v>0</v>
      </c>
      <c r="AD117" s="17">
        <v>0</v>
      </c>
      <c r="AE117" s="17">
        <v>0</v>
      </c>
      <c r="AF117" s="15">
        <f t="shared" si="38"/>
        <v>0</v>
      </c>
      <c r="AG117" s="17">
        <v>0</v>
      </c>
      <c r="AH117" s="17">
        <v>0</v>
      </c>
      <c r="AI117" s="15">
        <f t="shared" si="39"/>
        <v>0</v>
      </c>
      <c r="AJ117" s="17"/>
    </row>
    <row r="118" spans="1:36" x14ac:dyDescent="0.3">
      <c r="A118" s="15" t="s">
        <v>166</v>
      </c>
      <c r="B118" s="15">
        <v>100000</v>
      </c>
      <c r="C118" s="15" t="s">
        <v>54</v>
      </c>
      <c r="D118" s="15" t="s">
        <v>68</v>
      </c>
      <c r="E118" s="17">
        <v>2</v>
      </c>
      <c r="F118" s="17">
        <v>0</v>
      </c>
      <c r="G118" s="17">
        <v>0</v>
      </c>
      <c r="H118" s="15">
        <f t="shared" si="30"/>
        <v>2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5">
        <f t="shared" si="31"/>
        <v>2</v>
      </c>
      <c r="T118" s="15">
        <f t="shared" si="32"/>
        <v>2</v>
      </c>
      <c r="U118" s="15">
        <f t="shared" si="33"/>
        <v>0</v>
      </c>
      <c r="V118" s="15">
        <f t="shared" si="34"/>
        <v>0</v>
      </c>
      <c r="W118" s="18" t="str">
        <f t="shared" si="35"/>
        <v/>
      </c>
      <c r="X118" s="17">
        <v>0</v>
      </c>
      <c r="Y118" s="17">
        <v>0</v>
      </c>
      <c r="Z118" s="15">
        <f t="shared" si="36"/>
        <v>0</v>
      </c>
      <c r="AA118" s="17">
        <v>0</v>
      </c>
      <c r="AB118" s="17">
        <v>0</v>
      </c>
      <c r="AC118" s="15">
        <f t="shared" si="37"/>
        <v>0</v>
      </c>
      <c r="AD118" s="17">
        <v>0</v>
      </c>
      <c r="AE118" s="17">
        <v>0</v>
      </c>
      <c r="AF118" s="15">
        <f t="shared" si="38"/>
        <v>0</v>
      </c>
      <c r="AG118" s="17">
        <v>0</v>
      </c>
      <c r="AH118" s="17">
        <v>0</v>
      </c>
      <c r="AI118" s="15">
        <f t="shared" si="39"/>
        <v>0</v>
      </c>
      <c r="AJ118" s="17"/>
    </row>
    <row r="119" spans="1:36" hidden="1" x14ac:dyDescent="0.3">
      <c r="A119" s="15" t="s">
        <v>167</v>
      </c>
      <c r="B119" s="15">
        <v>100</v>
      </c>
      <c r="C119" s="15" t="s">
        <v>54</v>
      </c>
      <c r="D119" s="15" t="s">
        <v>55</v>
      </c>
      <c r="E119" s="15">
        <f>'3-july2026'!T119</f>
        <v>104</v>
      </c>
      <c r="F119" s="15">
        <f>'3-july2026'!U119</f>
        <v>0</v>
      </c>
      <c r="G119" s="15">
        <f>'3-july2026'!V119</f>
        <v>0</v>
      </c>
      <c r="H119" s="15">
        <f t="shared" si="30"/>
        <v>104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5">
        <f t="shared" si="31"/>
        <v>104</v>
      </c>
      <c r="T119" s="15">
        <f t="shared" si="32"/>
        <v>104</v>
      </c>
      <c r="U119" s="15">
        <f t="shared" si="33"/>
        <v>0</v>
      </c>
      <c r="V119" s="15">
        <f t="shared" si="34"/>
        <v>0</v>
      </c>
      <c r="W119" s="18" t="str">
        <f t="shared" si="35"/>
        <v/>
      </c>
      <c r="X119" s="17">
        <v>0</v>
      </c>
      <c r="Y119" s="17">
        <v>0</v>
      </c>
      <c r="Z119" s="15">
        <f t="shared" si="36"/>
        <v>0</v>
      </c>
      <c r="AA119" s="17">
        <v>0</v>
      </c>
      <c r="AB119" s="17">
        <v>0</v>
      </c>
      <c r="AC119" s="15">
        <f t="shared" si="37"/>
        <v>0</v>
      </c>
      <c r="AD119" s="17">
        <v>0</v>
      </c>
      <c r="AE119" s="17">
        <v>0</v>
      </c>
      <c r="AF119" s="15">
        <f t="shared" si="38"/>
        <v>0</v>
      </c>
      <c r="AG119" s="17">
        <v>0</v>
      </c>
      <c r="AH119" s="17">
        <v>0</v>
      </c>
      <c r="AI119" s="15">
        <f t="shared" si="39"/>
        <v>0</v>
      </c>
      <c r="AJ119" s="17"/>
    </row>
    <row r="120" spans="1:36" x14ac:dyDescent="0.3">
      <c r="A120" s="15" t="s">
        <v>168</v>
      </c>
      <c r="B120" s="15">
        <v>100</v>
      </c>
      <c r="C120" s="15" t="s">
        <v>54</v>
      </c>
      <c r="D120" s="15" t="s">
        <v>68</v>
      </c>
      <c r="E120" s="17">
        <v>1</v>
      </c>
      <c r="F120" s="17">
        <v>0</v>
      </c>
      <c r="G120" s="17">
        <v>0</v>
      </c>
      <c r="H120" s="15">
        <f t="shared" si="30"/>
        <v>1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5">
        <f t="shared" si="31"/>
        <v>1</v>
      </c>
      <c r="T120" s="15">
        <f t="shared" si="32"/>
        <v>1</v>
      </c>
      <c r="U120" s="15">
        <f t="shared" si="33"/>
        <v>0</v>
      </c>
      <c r="V120" s="15">
        <f t="shared" si="34"/>
        <v>0</v>
      </c>
      <c r="W120" s="18" t="str">
        <f t="shared" si="35"/>
        <v/>
      </c>
      <c r="X120" s="17">
        <v>0</v>
      </c>
      <c r="Y120" s="17">
        <v>0</v>
      </c>
      <c r="Z120" s="15">
        <f t="shared" si="36"/>
        <v>0</v>
      </c>
      <c r="AA120" s="17">
        <v>0</v>
      </c>
      <c r="AB120" s="17">
        <v>0</v>
      </c>
      <c r="AC120" s="15">
        <f t="shared" si="37"/>
        <v>0</v>
      </c>
      <c r="AD120" s="17">
        <v>0</v>
      </c>
      <c r="AE120" s="17">
        <v>0</v>
      </c>
      <c r="AF120" s="15">
        <f t="shared" si="38"/>
        <v>0</v>
      </c>
      <c r="AG120" s="17">
        <v>0</v>
      </c>
      <c r="AH120" s="17">
        <v>0</v>
      </c>
      <c r="AI120" s="15">
        <f t="shared" si="39"/>
        <v>0</v>
      </c>
      <c r="AJ120" s="17"/>
    </row>
    <row r="121" spans="1:36" x14ac:dyDescent="0.3">
      <c r="A121" s="15" t="s">
        <v>169</v>
      </c>
      <c r="B121" s="15">
        <v>1000</v>
      </c>
      <c r="C121" s="15" t="s">
        <v>54</v>
      </c>
      <c r="D121" s="15" t="s">
        <v>68</v>
      </c>
      <c r="E121" s="17">
        <v>2</v>
      </c>
      <c r="F121" s="17">
        <v>0</v>
      </c>
      <c r="G121" s="17">
        <v>0</v>
      </c>
      <c r="H121" s="15">
        <f t="shared" si="30"/>
        <v>2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5">
        <f t="shared" si="31"/>
        <v>2</v>
      </c>
      <c r="T121" s="15">
        <f t="shared" si="32"/>
        <v>2</v>
      </c>
      <c r="U121" s="15">
        <f t="shared" si="33"/>
        <v>0</v>
      </c>
      <c r="V121" s="15">
        <f t="shared" si="34"/>
        <v>0</v>
      </c>
      <c r="W121" s="18" t="str">
        <f t="shared" si="35"/>
        <v/>
      </c>
      <c r="X121" s="17">
        <v>0</v>
      </c>
      <c r="Y121" s="17">
        <v>0</v>
      </c>
      <c r="Z121" s="15">
        <f t="shared" si="36"/>
        <v>0</v>
      </c>
      <c r="AA121" s="17">
        <v>0</v>
      </c>
      <c r="AB121" s="17">
        <v>0</v>
      </c>
      <c r="AC121" s="15">
        <f t="shared" si="37"/>
        <v>0</v>
      </c>
      <c r="AD121" s="17">
        <v>0</v>
      </c>
      <c r="AE121" s="17">
        <v>0</v>
      </c>
      <c r="AF121" s="15">
        <f t="shared" si="38"/>
        <v>0</v>
      </c>
      <c r="AG121" s="17">
        <v>0</v>
      </c>
      <c r="AH121" s="17">
        <v>0</v>
      </c>
      <c r="AI121" s="15">
        <f t="shared" si="39"/>
        <v>0</v>
      </c>
      <c r="AJ121" s="17"/>
    </row>
    <row r="122" spans="1:36" hidden="1" x14ac:dyDescent="0.3">
      <c r="A122" s="15" t="s">
        <v>170</v>
      </c>
      <c r="B122" s="15">
        <v>1000</v>
      </c>
      <c r="C122" s="15" t="s">
        <v>54</v>
      </c>
      <c r="D122" s="15" t="s">
        <v>55</v>
      </c>
      <c r="E122" s="15">
        <f>'3-july2026'!T122</f>
        <v>19</v>
      </c>
      <c r="F122" s="15">
        <f>'3-july2026'!U122</f>
        <v>0</v>
      </c>
      <c r="G122" s="15">
        <f>'3-july2026'!V122</f>
        <v>30</v>
      </c>
      <c r="H122" s="15">
        <f t="shared" si="30"/>
        <v>49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5">
        <f t="shared" si="31"/>
        <v>49</v>
      </c>
      <c r="T122" s="15">
        <f t="shared" si="32"/>
        <v>19</v>
      </c>
      <c r="U122" s="15">
        <f t="shared" si="33"/>
        <v>0</v>
      </c>
      <c r="V122" s="15">
        <f t="shared" si="34"/>
        <v>30</v>
      </c>
      <c r="W122" s="18" t="str">
        <f t="shared" si="35"/>
        <v/>
      </c>
      <c r="X122" s="17">
        <v>0</v>
      </c>
      <c r="Y122" s="17">
        <v>0</v>
      </c>
      <c r="Z122" s="15">
        <f t="shared" si="36"/>
        <v>0</v>
      </c>
      <c r="AA122" s="17">
        <v>0</v>
      </c>
      <c r="AB122" s="17">
        <v>0</v>
      </c>
      <c r="AC122" s="15">
        <f t="shared" si="37"/>
        <v>0</v>
      </c>
      <c r="AD122" s="17">
        <v>0</v>
      </c>
      <c r="AE122" s="17">
        <v>0</v>
      </c>
      <c r="AF122" s="15">
        <f t="shared" si="38"/>
        <v>0</v>
      </c>
      <c r="AG122" s="17">
        <v>0</v>
      </c>
      <c r="AH122" s="17">
        <v>0</v>
      </c>
      <c r="AI122" s="15">
        <f t="shared" si="39"/>
        <v>0</v>
      </c>
      <c r="AJ122" s="17"/>
    </row>
    <row r="123" spans="1:36" hidden="1" x14ac:dyDescent="0.3">
      <c r="A123" s="15" t="s">
        <v>171</v>
      </c>
      <c r="B123" s="15">
        <v>1000</v>
      </c>
      <c r="C123" s="15" t="s">
        <v>54</v>
      </c>
      <c r="D123" s="15" t="s">
        <v>55</v>
      </c>
      <c r="E123" s="15">
        <f>'3-july2026'!T123</f>
        <v>1</v>
      </c>
      <c r="F123" s="15">
        <f>'3-july2026'!U123</f>
        <v>9</v>
      </c>
      <c r="G123" s="15">
        <f>'3-july2026'!V123</f>
        <v>5</v>
      </c>
      <c r="H123" s="15">
        <f t="shared" si="30"/>
        <v>15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5">
        <f t="shared" si="31"/>
        <v>15</v>
      </c>
      <c r="T123" s="15">
        <f t="shared" si="32"/>
        <v>1</v>
      </c>
      <c r="U123" s="15">
        <f t="shared" si="33"/>
        <v>9</v>
      </c>
      <c r="V123" s="15">
        <f t="shared" si="34"/>
        <v>5</v>
      </c>
      <c r="W123" s="18" t="str">
        <f t="shared" si="35"/>
        <v/>
      </c>
      <c r="X123" s="17">
        <v>0</v>
      </c>
      <c r="Y123" s="17">
        <v>0</v>
      </c>
      <c r="Z123" s="15">
        <f t="shared" si="36"/>
        <v>0</v>
      </c>
      <c r="AA123" s="17">
        <v>0</v>
      </c>
      <c r="AB123" s="17">
        <v>0</v>
      </c>
      <c r="AC123" s="15">
        <f t="shared" si="37"/>
        <v>0</v>
      </c>
      <c r="AD123" s="17">
        <v>0</v>
      </c>
      <c r="AE123" s="17">
        <v>0</v>
      </c>
      <c r="AF123" s="15">
        <f t="shared" si="38"/>
        <v>0</v>
      </c>
      <c r="AG123" s="17">
        <v>0</v>
      </c>
      <c r="AH123" s="17">
        <v>0</v>
      </c>
      <c r="AI123" s="15">
        <f t="shared" si="39"/>
        <v>0</v>
      </c>
      <c r="AJ123" s="17"/>
    </row>
    <row r="124" spans="1:36" x14ac:dyDescent="0.3">
      <c r="A124" s="15" t="s">
        <v>172</v>
      </c>
      <c r="B124" s="15">
        <v>100</v>
      </c>
      <c r="C124" s="15" t="s">
        <v>54</v>
      </c>
      <c r="D124" s="15" t="s">
        <v>68</v>
      </c>
      <c r="E124" s="17">
        <v>10</v>
      </c>
      <c r="F124" s="17">
        <v>0</v>
      </c>
      <c r="G124" s="17">
        <v>0</v>
      </c>
      <c r="H124" s="15">
        <f t="shared" si="30"/>
        <v>10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5">
        <f t="shared" si="31"/>
        <v>10</v>
      </c>
      <c r="T124" s="15">
        <f t="shared" si="32"/>
        <v>10</v>
      </c>
      <c r="U124" s="15">
        <f t="shared" si="33"/>
        <v>0</v>
      </c>
      <c r="V124" s="15">
        <f t="shared" si="34"/>
        <v>0</v>
      </c>
      <c r="W124" s="18" t="str">
        <f t="shared" si="35"/>
        <v/>
      </c>
      <c r="X124" s="17">
        <v>0</v>
      </c>
      <c r="Y124" s="17">
        <v>0</v>
      </c>
      <c r="Z124" s="15">
        <f t="shared" si="36"/>
        <v>0</v>
      </c>
      <c r="AA124" s="17">
        <v>0</v>
      </c>
      <c r="AB124" s="17">
        <v>0</v>
      </c>
      <c r="AC124" s="15">
        <f t="shared" si="37"/>
        <v>0</v>
      </c>
      <c r="AD124" s="17">
        <v>0</v>
      </c>
      <c r="AE124" s="17">
        <v>0</v>
      </c>
      <c r="AF124" s="15">
        <f t="shared" si="38"/>
        <v>0</v>
      </c>
      <c r="AG124" s="17">
        <v>0</v>
      </c>
      <c r="AH124" s="17">
        <v>0</v>
      </c>
      <c r="AI124" s="15">
        <f t="shared" si="39"/>
        <v>0</v>
      </c>
      <c r="AJ124" s="17"/>
    </row>
    <row r="125" spans="1:36" x14ac:dyDescent="0.3">
      <c r="A125" s="15" t="s">
        <v>173</v>
      </c>
      <c r="B125" s="15">
        <v>100</v>
      </c>
      <c r="C125" s="15" t="s">
        <v>54</v>
      </c>
      <c r="D125" s="15" t="s">
        <v>68</v>
      </c>
      <c r="E125" s="17">
        <v>8</v>
      </c>
      <c r="F125" s="17">
        <v>0</v>
      </c>
      <c r="G125" s="17">
        <v>0</v>
      </c>
      <c r="H125" s="15">
        <f t="shared" si="30"/>
        <v>8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5">
        <f t="shared" si="31"/>
        <v>8</v>
      </c>
      <c r="T125" s="15">
        <f t="shared" si="32"/>
        <v>8</v>
      </c>
      <c r="U125" s="15">
        <f t="shared" si="33"/>
        <v>0</v>
      </c>
      <c r="V125" s="15">
        <f t="shared" si="34"/>
        <v>0</v>
      </c>
      <c r="W125" s="18" t="str">
        <f t="shared" si="35"/>
        <v/>
      </c>
      <c r="X125" s="17">
        <v>0</v>
      </c>
      <c r="Y125" s="17">
        <v>0</v>
      </c>
      <c r="Z125" s="15">
        <f t="shared" si="36"/>
        <v>0</v>
      </c>
      <c r="AA125" s="17">
        <v>0</v>
      </c>
      <c r="AB125" s="17">
        <v>0</v>
      </c>
      <c r="AC125" s="15">
        <f t="shared" si="37"/>
        <v>0</v>
      </c>
      <c r="AD125" s="17">
        <v>0</v>
      </c>
      <c r="AE125" s="17">
        <v>0</v>
      </c>
      <c r="AF125" s="15">
        <f t="shared" si="38"/>
        <v>0</v>
      </c>
      <c r="AG125" s="17">
        <v>0</v>
      </c>
      <c r="AH125" s="17">
        <v>0</v>
      </c>
      <c r="AI125" s="15">
        <f t="shared" si="39"/>
        <v>0</v>
      </c>
      <c r="AJ125" s="17"/>
    </row>
    <row r="126" spans="1:36" x14ac:dyDescent="0.3">
      <c r="A126" s="15" t="s">
        <v>174</v>
      </c>
      <c r="B126" s="15">
        <v>100</v>
      </c>
      <c r="C126" s="15" t="s">
        <v>54</v>
      </c>
      <c r="D126" s="15" t="s">
        <v>68</v>
      </c>
      <c r="E126" s="17">
        <v>4</v>
      </c>
      <c r="F126" s="17">
        <v>0</v>
      </c>
      <c r="G126" s="17">
        <v>0</v>
      </c>
      <c r="H126" s="15">
        <f t="shared" si="30"/>
        <v>4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5">
        <f t="shared" si="31"/>
        <v>4</v>
      </c>
      <c r="T126" s="15">
        <f t="shared" si="32"/>
        <v>4</v>
      </c>
      <c r="U126" s="15">
        <f t="shared" si="33"/>
        <v>0</v>
      </c>
      <c r="V126" s="15">
        <f t="shared" si="34"/>
        <v>0</v>
      </c>
      <c r="W126" s="18" t="str">
        <f t="shared" si="35"/>
        <v/>
      </c>
      <c r="X126" s="17">
        <v>0</v>
      </c>
      <c r="Y126" s="17">
        <v>0</v>
      </c>
      <c r="Z126" s="15">
        <f t="shared" si="36"/>
        <v>0</v>
      </c>
      <c r="AA126" s="17">
        <v>0</v>
      </c>
      <c r="AB126" s="17">
        <v>0</v>
      </c>
      <c r="AC126" s="15">
        <f t="shared" si="37"/>
        <v>0</v>
      </c>
      <c r="AD126" s="17">
        <v>0</v>
      </c>
      <c r="AE126" s="17">
        <v>0</v>
      </c>
      <c r="AF126" s="15">
        <f t="shared" si="38"/>
        <v>0</v>
      </c>
      <c r="AG126" s="17">
        <v>0</v>
      </c>
      <c r="AH126" s="17">
        <v>0</v>
      </c>
      <c r="AI126" s="15">
        <f t="shared" si="39"/>
        <v>0</v>
      </c>
      <c r="AJ126" s="17"/>
    </row>
    <row r="127" spans="1:36" x14ac:dyDescent="0.3">
      <c r="A127" s="15" t="s">
        <v>175</v>
      </c>
      <c r="B127" s="15">
        <v>100</v>
      </c>
      <c r="C127" s="15" t="s">
        <v>54</v>
      </c>
      <c r="D127" s="15" t="s">
        <v>57</v>
      </c>
      <c r="E127" s="17">
        <v>4</v>
      </c>
      <c r="F127" s="17">
        <v>0</v>
      </c>
      <c r="G127" s="17">
        <v>0</v>
      </c>
      <c r="H127" s="15">
        <f t="shared" si="30"/>
        <v>4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5">
        <f t="shared" si="31"/>
        <v>4</v>
      </c>
      <c r="T127" s="15">
        <f t="shared" si="32"/>
        <v>4</v>
      </c>
      <c r="U127" s="15">
        <f t="shared" si="33"/>
        <v>0</v>
      </c>
      <c r="V127" s="15">
        <f t="shared" si="34"/>
        <v>0</v>
      </c>
      <c r="W127" s="18" t="str">
        <f t="shared" si="35"/>
        <v/>
      </c>
      <c r="X127" s="17">
        <v>0</v>
      </c>
      <c r="Y127" s="17">
        <v>0</v>
      </c>
      <c r="Z127" s="15">
        <f t="shared" si="36"/>
        <v>0</v>
      </c>
      <c r="AA127" s="17">
        <v>0</v>
      </c>
      <c r="AB127" s="17">
        <v>0</v>
      </c>
      <c r="AC127" s="15">
        <f t="shared" si="37"/>
        <v>0</v>
      </c>
      <c r="AD127" s="17">
        <v>0</v>
      </c>
      <c r="AE127" s="17">
        <v>0</v>
      </c>
      <c r="AF127" s="15">
        <f t="shared" si="38"/>
        <v>0</v>
      </c>
      <c r="AG127" s="17">
        <v>0</v>
      </c>
      <c r="AH127" s="17">
        <v>0</v>
      </c>
      <c r="AI127" s="15">
        <f t="shared" si="39"/>
        <v>0</v>
      </c>
      <c r="AJ127" s="17"/>
    </row>
    <row r="128" spans="1:36" hidden="1" x14ac:dyDescent="0.3">
      <c r="A128" s="15" t="s">
        <v>176</v>
      </c>
      <c r="B128" s="15" t="s">
        <v>177</v>
      </c>
      <c r="C128" s="15" t="s">
        <v>178</v>
      </c>
      <c r="D128" s="15" t="s">
        <v>55</v>
      </c>
      <c r="E128" s="15">
        <v>0</v>
      </c>
      <c r="F128" s="15">
        <v>0</v>
      </c>
      <c r="G128" s="15">
        <v>0</v>
      </c>
      <c r="H128" s="15">
        <f t="shared" si="30"/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5">
        <f t="shared" si="31"/>
        <v>0</v>
      </c>
      <c r="T128" s="15">
        <f t="shared" si="32"/>
        <v>0</v>
      </c>
      <c r="U128" s="15">
        <f t="shared" si="33"/>
        <v>0</v>
      </c>
      <c r="V128" s="15">
        <f t="shared" si="34"/>
        <v>0</v>
      </c>
      <c r="W128" s="18" t="str">
        <f t="shared" si="35"/>
        <v/>
      </c>
      <c r="X128" s="17">
        <v>0</v>
      </c>
      <c r="Y128" s="17">
        <v>0</v>
      </c>
      <c r="Z128" s="15">
        <f t="shared" si="36"/>
        <v>0</v>
      </c>
      <c r="AA128" s="17">
        <v>0</v>
      </c>
      <c r="AB128" s="17">
        <v>0</v>
      </c>
      <c r="AC128" s="15">
        <f t="shared" si="37"/>
        <v>0</v>
      </c>
      <c r="AD128" s="17">
        <v>0</v>
      </c>
      <c r="AE128" s="17">
        <v>0</v>
      </c>
      <c r="AF128" s="15">
        <f t="shared" si="38"/>
        <v>0</v>
      </c>
      <c r="AG128" s="17">
        <v>0</v>
      </c>
      <c r="AH128" s="17">
        <v>0</v>
      </c>
      <c r="AI128" s="15">
        <f t="shared" si="39"/>
        <v>0</v>
      </c>
      <c r="AJ128" s="17"/>
    </row>
    <row r="129" spans="1:36" x14ac:dyDescent="0.3">
      <c r="A129" s="15" t="s">
        <v>179</v>
      </c>
      <c r="B129" s="15">
        <v>2500</v>
      </c>
      <c r="C129" s="15" t="s">
        <v>54</v>
      </c>
      <c r="D129" s="15" t="s">
        <v>68</v>
      </c>
      <c r="E129" s="17">
        <v>3</v>
      </c>
      <c r="F129" s="17">
        <v>0</v>
      </c>
      <c r="G129" s="17">
        <v>0</v>
      </c>
      <c r="H129" s="15">
        <f t="shared" si="30"/>
        <v>3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5">
        <f t="shared" si="31"/>
        <v>3</v>
      </c>
      <c r="T129" s="15">
        <f t="shared" si="32"/>
        <v>3</v>
      </c>
      <c r="U129" s="15">
        <f t="shared" si="33"/>
        <v>0</v>
      </c>
      <c r="V129" s="15">
        <f t="shared" si="34"/>
        <v>0</v>
      </c>
      <c r="W129" s="18" t="str">
        <f t="shared" si="35"/>
        <v/>
      </c>
      <c r="X129" s="17">
        <v>0</v>
      </c>
      <c r="Y129" s="17">
        <v>0</v>
      </c>
      <c r="Z129" s="15">
        <f t="shared" si="36"/>
        <v>0</v>
      </c>
      <c r="AA129" s="17">
        <v>0</v>
      </c>
      <c r="AB129" s="17">
        <v>0</v>
      </c>
      <c r="AC129" s="15">
        <f t="shared" si="37"/>
        <v>0</v>
      </c>
      <c r="AD129" s="17">
        <v>0</v>
      </c>
      <c r="AE129" s="17">
        <v>0</v>
      </c>
      <c r="AF129" s="15">
        <f t="shared" si="38"/>
        <v>0</v>
      </c>
      <c r="AG129" s="17">
        <v>0</v>
      </c>
      <c r="AH129" s="17">
        <v>0</v>
      </c>
      <c r="AI129" s="15">
        <f t="shared" si="39"/>
        <v>0</v>
      </c>
      <c r="AJ129" s="17"/>
    </row>
    <row r="130" spans="1:36" x14ac:dyDescent="0.3">
      <c r="A130" s="15" t="s">
        <v>180</v>
      </c>
      <c r="B130" s="15">
        <v>1000</v>
      </c>
      <c r="C130" s="15" t="s">
        <v>54</v>
      </c>
      <c r="D130" s="15" t="s">
        <v>68</v>
      </c>
      <c r="E130" s="17">
        <v>2</v>
      </c>
      <c r="F130" s="17">
        <v>0</v>
      </c>
      <c r="G130" s="17">
        <v>0</v>
      </c>
      <c r="H130" s="15">
        <f t="shared" si="30"/>
        <v>2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5">
        <f t="shared" si="31"/>
        <v>2</v>
      </c>
      <c r="T130" s="15">
        <f t="shared" si="32"/>
        <v>2</v>
      </c>
      <c r="U130" s="15">
        <f t="shared" si="33"/>
        <v>0</v>
      </c>
      <c r="V130" s="15">
        <f t="shared" si="34"/>
        <v>0</v>
      </c>
      <c r="W130" s="18" t="str">
        <f t="shared" si="35"/>
        <v/>
      </c>
      <c r="X130" s="17">
        <v>0</v>
      </c>
      <c r="Y130" s="17">
        <v>0</v>
      </c>
      <c r="Z130" s="15">
        <f t="shared" si="36"/>
        <v>0</v>
      </c>
      <c r="AA130" s="17">
        <v>0</v>
      </c>
      <c r="AB130" s="17">
        <v>0</v>
      </c>
      <c r="AC130" s="15">
        <f t="shared" si="37"/>
        <v>0</v>
      </c>
      <c r="AD130" s="17">
        <v>0</v>
      </c>
      <c r="AE130" s="17">
        <v>0</v>
      </c>
      <c r="AF130" s="15">
        <f t="shared" si="38"/>
        <v>0</v>
      </c>
      <c r="AG130" s="17">
        <v>0</v>
      </c>
      <c r="AH130" s="17">
        <v>0</v>
      </c>
      <c r="AI130" s="15">
        <f t="shared" si="39"/>
        <v>0</v>
      </c>
      <c r="AJ130" s="17"/>
    </row>
    <row r="131" spans="1:36" x14ac:dyDescent="0.3">
      <c r="A131" s="15" t="s">
        <v>181</v>
      </c>
      <c r="B131" s="15">
        <v>100</v>
      </c>
      <c r="C131" s="15" t="s">
        <v>54</v>
      </c>
      <c r="D131" s="15" t="s">
        <v>57</v>
      </c>
      <c r="E131" s="17">
        <v>7</v>
      </c>
      <c r="F131" s="17">
        <v>0</v>
      </c>
      <c r="G131" s="17">
        <v>0</v>
      </c>
      <c r="H131" s="15">
        <f t="shared" ref="H131:H162" si="40">E131+F131+G131</f>
        <v>7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5">
        <f t="shared" ref="S131:S162" si="41">H131+O131+P131+Q131+R131-(I131+J131+K131+L131+M131+N131)</f>
        <v>7</v>
      </c>
      <c r="T131" s="15">
        <f t="shared" ref="T131:T162" si="42">E131+O131-I131-L131</f>
        <v>7</v>
      </c>
      <c r="U131" s="15">
        <f t="shared" ref="U131:U162" si="43">F131+P131-J131-M131</f>
        <v>0</v>
      </c>
      <c r="V131" s="15">
        <f t="shared" ref="V131:V162" si="44">G131+Q131-K131-N131</f>
        <v>0</v>
      </c>
      <c r="W131" s="18" t="str">
        <f t="shared" ref="W131:W162" si="45">IF(MIN(T131,U131,V131)&lt;0,"NEGATIVE STOCK - CHECK ENTRIES","")</f>
        <v/>
      </c>
      <c r="X131" s="17">
        <v>0</v>
      </c>
      <c r="Y131" s="17">
        <v>0</v>
      </c>
      <c r="Z131" s="15">
        <f t="shared" ref="Z131:Z162" si="46">X131-Y131</f>
        <v>0</v>
      </c>
      <c r="AA131" s="17">
        <v>0</v>
      </c>
      <c r="AB131" s="17">
        <v>0</v>
      </c>
      <c r="AC131" s="15">
        <f t="shared" ref="AC131:AC162" si="47">AA131-AB131</f>
        <v>0</v>
      </c>
      <c r="AD131" s="17">
        <v>0</v>
      </c>
      <c r="AE131" s="17">
        <v>0</v>
      </c>
      <c r="AF131" s="15">
        <f t="shared" ref="AF131:AF162" si="48">AD131-AE131</f>
        <v>0</v>
      </c>
      <c r="AG131" s="17">
        <v>0</v>
      </c>
      <c r="AH131" s="17">
        <v>0</v>
      </c>
      <c r="AI131" s="15">
        <f t="shared" ref="AI131:AI162" si="49">AG131-AH131</f>
        <v>0</v>
      </c>
      <c r="AJ131" s="17"/>
    </row>
    <row r="132" spans="1:36" x14ac:dyDescent="0.3">
      <c r="A132" s="15" t="s">
        <v>182</v>
      </c>
      <c r="B132" s="15">
        <v>1000</v>
      </c>
      <c r="C132" s="15" t="s">
        <v>54</v>
      </c>
      <c r="D132" s="15" t="s">
        <v>68</v>
      </c>
      <c r="E132" s="17">
        <v>4</v>
      </c>
      <c r="F132" s="17">
        <v>0</v>
      </c>
      <c r="G132" s="17">
        <v>0</v>
      </c>
      <c r="H132" s="15">
        <f t="shared" si="40"/>
        <v>4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5">
        <f t="shared" si="41"/>
        <v>4</v>
      </c>
      <c r="T132" s="15">
        <f t="shared" si="42"/>
        <v>4</v>
      </c>
      <c r="U132" s="15">
        <f t="shared" si="43"/>
        <v>0</v>
      </c>
      <c r="V132" s="15">
        <f t="shared" si="44"/>
        <v>0</v>
      </c>
      <c r="W132" s="18" t="str">
        <f t="shared" si="45"/>
        <v/>
      </c>
      <c r="X132" s="17">
        <v>0</v>
      </c>
      <c r="Y132" s="17">
        <v>0</v>
      </c>
      <c r="Z132" s="15">
        <f t="shared" si="46"/>
        <v>0</v>
      </c>
      <c r="AA132" s="17">
        <v>0</v>
      </c>
      <c r="AB132" s="17">
        <v>0</v>
      </c>
      <c r="AC132" s="15">
        <f t="shared" si="47"/>
        <v>0</v>
      </c>
      <c r="AD132" s="17">
        <v>0</v>
      </c>
      <c r="AE132" s="17">
        <v>0</v>
      </c>
      <c r="AF132" s="15">
        <f t="shared" si="48"/>
        <v>0</v>
      </c>
      <c r="AG132" s="17">
        <v>0</v>
      </c>
      <c r="AH132" s="17">
        <v>0</v>
      </c>
      <c r="AI132" s="15">
        <f t="shared" si="49"/>
        <v>0</v>
      </c>
      <c r="AJ132" s="17"/>
    </row>
    <row r="133" spans="1:36" x14ac:dyDescent="0.3">
      <c r="A133" s="15" t="s">
        <v>183</v>
      </c>
      <c r="B133" s="15">
        <v>100</v>
      </c>
      <c r="C133" s="15" t="s">
        <v>54</v>
      </c>
      <c r="D133" s="15" t="s">
        <v>68</v>
      </c>
      <c r="E133" s="17">
        <v>2</v>
      </c>
      <c r="F133" s="17">
        <v>0</v>
      </c>
      <c r="G133" s="17">
        <v>0</v>
      </c>
      <c r="H133" s="15">
        <f t="shared" si="40"/>
        <v>2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5">
        <f t="shared" si="41"/>
        <v>2</v>
      </c>
      <c r="T133" s="15">
        <f t="shared" si="42"/>
        <v>2</v>
      </c>
      <c r="U133" s="15">
        <f t="shared" si="43"/>
        <v>0</v>
      </c>
      <c r="V133" s="15">
        <f t="shared" si="44"/>
        <v>0</v>
      </c>
      <c r="W133" s="18" t="str">
        <f t="shared" si="45"/>
        <v/>
      </c>
      <c r="X133" s="17">
        <v>0</v>
      </c>
      <c r="Y133" s="17">
        <v>0</v>
      </c>
      <c r="Z133" s="15">
        <f t="shared" si="46"/>
        <v>0</v>
      </c>
      <c r="AA133" s="17">
        <v>0</v>
      </c>
      <c r="AB133" s="17">
        <v>0</v>
      </c>
      <c r="AC133" s="15">
        <f t="shared" si="47"/>
        <v>0</v>
      </c>
      <c r="AD133" s="17">
        <v>0</v>
      </c>
      <c r="AE133" s="17">
        <v>0</v>
      </c>
      <c r="AF133" s="15">
        <f t="shared" si="48"/>
        <v>0</v>
      </c>
      <c r="AG133" s="17">
        <v>0</v>
      </c>
      <c r="AH133" s="17">
        <v>0</v>
      </c>
      <c r="AI133" s="15">
        <f t="shared" si="49"/>
        <v>0</v>
      </c>
      <c r="AJ133" s="17"/>
    </row>
    <row r="134" spans="1:36" hidden="1" x14ac:dyDescent="0.3">
      <c r="A134" s="15" t="s">
        <v>184</v>
      </c>
      <c r="B134" s="15">
        <v>1000</v>
      </c>
      <c r="C134" s="15" t="s">
        <v>54</v>
      </c>
      <c r="D134" s="15" t="s">
        <v>55</v>
      </c>
      <c r="E134" s="15">
        <v>0</v>
      </c>
      <c r="F134" s="15">
        <v>0</v>
      </c>
      <c r="G134" s="15">
        <v>0</v>
      </c>
      <c r="H134" s="15">
        <f t="shared" si="40"/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5">
        <f t="shared" si="41"/>
        <v>0</v>
      </c>
      <c r="T134" s="15">
        <f t="shared" si="42"/>
        <v>0</v>
      </c>
      <c r="U134" s="15">
        <f t="shared" si="43"/>
        <v>0</v>
      </c>
      <c r="V134" s="15">
        <f t="shared" si="44"/>
        <v>0</v>
      </c>
      <c r="W134" s="18" t="str">
        <f t="shared" si="45"/>
        <v/>
      </c>
      <c r="X134" s="17">
        <v>0</v>
      </c>
      <c r="Y134" s="17">
        <v>0</v>
      </c>
      <c r="Z134" s="15">
        <f t="shared" si="46"/>
        <v>0</v>
      </c>
      <c r="AA134" s="17">
        <v>0</v>
      </c>
      <c r="AB134" s="17">
        <v>0</v>
      </c>
      <c r="AC134" s="15">
        <f t="shared" si="47"/>
        <v>0</v>
      </c>
      <c r="AD134" s="17">
        <v>0</v>
      </c>
      <c r="AE134" s="17">
        <v>0</v>
      </c>
      <c r="AF134" s="15">
        <f t="shared" si="48"/>
        <v>0</v>
      </c>
      <c r="AG134" s="17">
        <v>0</v>
      </c>
      <c r="AH134" s="17">
        <v>0</v>
      </c>
      <c r="AI134" s="15">
        <f t="shared" si="49"/>
        <v>0</v>
      </c>
      <c r="AJ134" s="17"/>
    </row>
    <row r="135" spans="1:36" x14ac:dyDescent="0.3">
      <c r="A135" s="15" t="s">
        <v>185</v>
      </c>
      <c r="B135" s="15">
        <v>100</v>
      </c>
      <c r="C135" s="15" t="s">
        <v>54</v>
      </c>
      <c r="D135" s="15" t="s">
        <v>68</v>
      </c>
      <c r="E135" s="17">
        <v>6</v>
      </c>
      <c r="F135" s="17">
        <v>0</v>
      </c>
      <c r="G135" s="17">
        <v>0</v>
      </c>
      <c r="H135" s="15">
        <f t="shared" si="40"/>
        <v>6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5">
        <f t="shared" si="41"/>
        <v>6</v>
      </c>
      <c r="T135" s="15">
        <f t="shared" si="42"/>
        <v>6</v>
      </c>
      <c r="U135" s="15">
        <f t="shared" si="43"/>
        <v>0</v>
      </c>
      <c r="V135" s="15">
        <f t="shared" si="44"/>
        <v>0</v>
      </c>
      <c r="W135" s="18" t="str">
        <f t="shared" si="45"/>
        <v/>
      </c>
      <c r="X135" s="17">
        <v>0</v>
      </c>
      <c r="Y135" s="17">
        <v>0</v>
      </c>
      <c r="Z135" s="15">
        <f t="shared" si="46"/>
        <v>0</v>
      </c>
      <c r="AA135" s="17">
        <v>0</v>
      </c>
      <c r="AB135" s="17">
        <v>0</v>
      </c>
      <c r="AC135" s="15">
        <f t="shared" si="47"/>
        <v>0</v>
      </c>
      <c r="AD135" s="17">
        <v>0</v>
      </c>
      <c r="AE135" s="17">
        <v>0</v>
      </c>
      <c r="AF135" s="15">
        <f t="shared" si="48"/>
        <v>0</v>
      </c>
      <c r="AG135" s="17">
        <v>0</v>
      </c>
      <c r="AH135" s="17">
        <v>0</v>
      </c>
      <c r="AI135" s="15">
        <f t="shared" si="49"/>
        <v>0</v>
      </c>
      <c r="AJ135" s="17"/>
    </row>
    <row r="136" spans="1:36" x14ac:dyDescent="0.3">
      <c r="A136" s="15" t="s">
        <v>186</v>
      </c>
      <c r="B136" s="15">
        <v>100</v>
      </c>
      <c r="C136" s="15" t="s">
        <v>54</v>
      </c>
      <c r="D136" s="15" t="s">
        <v>57</v>
      </c>
      <c r="E136" s="17">
        <v>4</v>
      </c>
      <c r="F136" s="17">
        <v>0</v>
      </c>
      <c r="G136" s="17">
        <v>0</v>
      </c>
      <c r="H136" s="15">
        <f t="shared" si="40"/>
        <v>4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5">
        <f t="shared" si="41"/>
        <v>4</v>
      </c>
      <c r="T136" s="15">
        <f t="shared" si="42"/>
        <v>4</v>
      </c>
      <c r="U136" s="15">
        <f t="shared" si="43"/>
        <v>0</v>
      </c>
      <c r="V136" s="15">
        <f t="shared" si="44"/>
        <v>0</v>
      </c>
      <c r="W136" s="18" t="str">
        <f t="shared" si="45"/>
        <v/>
      </c>
      <c r="X136" s="17">
        <v>0</v>
      </c>
      <c r="Y136" s="17">
        <v>0</v>
      </c>
      <c r="Z136" s="15">
        <f t="shared" si="46"/>
        <v>0</v>
      </c>
      <c r="AA136" s="17">
        <v>0</v>
      </c>
      <c r="AB136" s="17">
        <v>0</v>
      </c>
      <c r="AC136" s="15">
        <f t="shared" si="47"/>
        <v>0</v>
      </c>
      <c r="AD136" s="17">
        <v>0</v>
      </c>
      <c r="AE136" s="17">
        <v>0</v>
      </c>
      <c r="AF136" s="15">
        <f t="shared" si="48"/>
        <v>0</v>
      </c>
      <c r="AG136" s="17">
        <v>0</v>
      </c>
      <c r="AH136" s="17">
        <v>0</v>
      </c>
      <c r="AI136" s="15">
        <f t="shared" si="49"/>
        <v>0</v>
      </c>
      <c r="AJ136" s="17"/>
    </row>
    <row r="137" spans="1:36" x14ac:dyDescent="0.3">
      <c r="A137" s="15" t="s">
        <v>187</v>
      </c>
      <c r="B137" s="15">
        <v>1000</v>
      </c>
      <c r="C137" s="15" t="s">
        <v>54</v>
      </c>
      <c r="D137" s="15" t="s">
        <v>68</v>
      </c>
      <c r="E137" s="17">
        <v>1</v>
      </c>
      <c r="F137" s="17">
        <v>0</v>
      </c>
      <c r="G137" s="17">
        <v>0</v>
      </c>
      <c r="H137" s="15">
        <f t="shared" si="40"/>
        <v>1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5">
        <f t="shared" si="41"/>
        <v>1</v>
      </c>
      <c r="T137" s="15">
        <f t="shared" si="42"/>
        <v>1</v>
      </c>
      <c r="U137" s="15">
        <f t="shared" si="43"/>
        <v>0</v>
      </c>
      <c r="V137" s="15">
        <f t="shared" si="44"/>
        <v>0</v>
      </c>
      <c r="W137" s="18" t="str">
        <f t="shared" si="45"/>
        <v/>
      </c>
      <c r="X137" s="17">
        <v>0</v>
      </c>
      <c r="Y137" s="17">
        <v>0</v>
      </c>
      <c r="Z137" s="15">
        <f t="shared" si="46"/>
        <v>0</v>
      </c>
      <c r="AA137" s="17">
        <v>0</v>
      </c>
      <c r="AB137" s="17">
        <v>0</v>
      </c>
      <c r="AC137" s="15">
        <f t="shared" si="47"/>
        <v>0</v>
      </c>
      <c r="AD137" s="17">
        <v>0</v>
      </c>
      <c r="AE137" s="17">
        <v>0</v>
      </c>
      <c r="AF137" s="15">
        <f t="shared" si="48"/>
        <v>0</v>
      </c>
      <c r="AG137" s="17">
        <v>0</v>
      </c>
      <c r="AH137" s="17">
        <v>0</v>
      </c>
      <c r="AI137" s="15">
        <f t="shared" si="49"/>
        <v>0</v>
      </c>
      <c r="AJ137" s="17"/>
    </row>
    <row r="138" spans="1:36" x14ac:dyDescent="0.3">
      <c r="A138" s="15" t="s">
        <v>188</v>
      </c>
      <c r="B138" s="15">
        <v>100</v>
      </c>
      <c r="C138" s="15" t="s">
        <v>54</v>
      </c>
      <c r="D138" s="15" t="s">
        <v>57</v>
      </c>
      <c r="E138" s="17">
        <v>3</v>
      </c>
      <c r="F138" s="17">
        <v>0</v>
      </c>
      <c r="G138" s="17">
        <v>0</v>
      </c>
      <c r="H138" s="15">
        <f t="shared" si="40"/>
        <v>3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5">
        <f t="shared" si="41"/>
        <v>3</v>
      </c>
      <c r="T138" s="15">
        <f t="shared" si="42"/>
        <v>3</v>
      </c>
      <c r="U138" s="15">
        <f t="shared" si="43"/>
        <v>0</v>
      </c>
      <c r="V138" s="15">
        <f t="shared" si="44"/>
        <v>0</v>
      </c>
      <c r="W138" s="18" t="str">
        <f t="shared" si="45"/>
        <v/>
      </c>
      <c r="X138" s="17">
        <v>0</v>
      </c>
      <c r="Y138" s="17">
        <v>0</v>
      </c>
      <c r="Z138" s="15">
        <f t="shared" si="46"/>
        <v>0</v>
      </c>
      <c r="AA138" s="17">
        <v>0</v>
      </c>
      <c r="AB138" s="17">
        <v>0</v>
      </c>
      <c r="AC138" s="15">
        <f t="shared" si="47"/>
        <v>0</v>
      </c>
      <c r="AD138" s="17">
        <v>0</v>
      </c>
      <c r="AE138" s="17">
        <v>0</v>
      </c>
      <c r="AF138" s="15">
        <f t="shared" si="48"/>
        <v>0</v>
      </c>
      <c r="AG138" s="17">
        <v>0</v>
      </c>
      <c r="AH138" s="17">
        <v>0</v>
      </c>
      <c r="AI138" s="15">
        <f t="shared" si="49"/>
        <v>0</v>
      </c>
      <c r="AJ138" s="17"/>
    </row>
    <row r="139" spans="1:36" x14ac:dyDescent="0.3">
      <c r="A139" s="15" t="s">
        <v>189</v>
      </c>
      <c r="B139" s="15">
        <v>100</v>
      </c>
      <c r="C139" s="15" t="s">
        <v>54</v>
      </c>
      <c r="D139" s="15" t="s">
        <v>68</v>
      </c>
      <c r="E139" s="17">
        <v>4</v>
      </c>
      <c r="F139" s="17">
        <v>0</v>
      </c>
      <c r="G139" s="17">
        <v>0</v>
      </c>
      <c r="H139" s="15">
        <f t="shared" si="40"/>
        <v>4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5">
        <f t="shared" si="41"/>
        <v>4</v>
      </c>
      <c r="T139" s="15">
        <f t="shared" si="42"/>
        <v>4</v>
      </c>
      <c r="U139" s="15">
        <f t="shared" si="43"/>
        <v>0</v>
      </c>
      <c r="V139" s="15">
        <f t="shared" si="44"/>
        <v>0</v>
      </c>
      <c r="W139" s="18" t="str">
        <f t="shared" si="45"/>
        <v/>
      </c>
      <c r="X139" s="17">
        <v>0</v>
      </c>
      <c r="Y139" s="17">
        <v>0</v>
      </c>
      <c r="Z139" s="15">
        <f t="shared" si="46"/>
        <v>0</v>
      </c>
      <c r="AA139" s="17">
        <v>0</v>
      </c>
      <c r="AB139" s="17">
        <v>0</v>
      </c>
      <c r="AC139" s="15">
        <f t="shared" si="47"/>
        <v>0</v>
      </c>
      <c r="AD139" s="17">
        <v>0</v>
      </c>
      <c r="AE139" s="17">
        <v>0</v>
      </c>
      <c r="AF139" s="15">
        <f t="shared" si="48"/>
        <v>0</v>
      </c>
      <c r="AG139" s="17">
        <v>0</v>
      </c>
      <c r="AH139" s="17">
        <v>0</v>
      </c>
      <c r="AI139" s="15">
        <f t="shared" si="49"/>
        <v>0</v>
      </c>
      <c r="AJ139" s="17"/>
    </row>
    <row r="140" spans="1:36" x14ac:dyDescent="0.3">
      <c r="A140" s="15" t="s">
        <v>190</v>
      </c>
      <c r="B140" s="15">
        <v>100</v>
      </c>
      <c r="C140" s="15" t="s">
        <v>54</v>
      </c>
      <c r="D140" s="15" t="s">
        <v>57</v>
      </c>
      <c r="E140" s="17">
        <v>4</v>
      </c>
      <c r="F140" s="17">
        <v>0</v>
      </c>
      <c r="G140" s="17">
        <v>0</v>
      </c>
      <c r="H140" s="15">
        <f t="shared" si="40"/>
        <v>4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5">
        <f t="shared" si="41"/>
        <v>4</v>
      </c>
      <c r="T140" s="15">
        <f t="shared" si="42"/>
        <v>4</v>
      </c>
      <c r="U140" s="15">
        <f t="shared" si="43"/>
        <v>0</v>
      </c>
      <c r="V140" s="15">
        <f t="shared" si="44"/>
        <v>0</v>
      </c>
      <c r="W140" s="18" t="str">
        <f t="shared" si="45"/>
        <v/>
      </c>
      <c r="X140" s="17">
        <v>0</v>
      </c>
      <c r="Y140" s="17">
        <v>0</v>
      </c>
      <c r="Z140" s="15">
        <f t="shared" si="46"/>
        <v>0</v>
      </c>
      <c r="AA140" s="17">
        <v>0</v>
      </c>
      <c r="AB140" s="17">
        <v>0</v>
      </c>
      <c r="AC140" s="15">
        <f t="shared" si="47"/>
        <v>0</v>
      </c>
      <c r="AD140" s="17">
        <v>0</v>
      </c>
      <c r="AE140" s="17">
        <v>0</v>
      </c>
      <c r="AF140" s="15">
        <f t="shared" si="48"/>
        <v>0</v>
      </c>
      <c r="AG140" s="17">
        <v>0</v>
      </c>
      <c r="AH140" s="17">
        <v>0</v>
      </c>
      <c r="AI140" s="15">
        <f t="shared" si="49"/>
        <v>0</v>
      </c>
      <c r="AJ140" s="17"/>
    </row>
    <row r="141" spans="1:36" x14ac:dyDescent="0.3">
      <c r="A141" s="15" t="s">
        <v>191</v>
      </c>
      <c r="B141" s="15">
        <v>100</v>
      </c>
      <c r="C141" s="15" t="s">
        <v>54</v>
      </c>
      <c r="D141" s="15" t="s">
        <v>68</v>
      </c>
      <c r="E141" s="17">
        <v>2</v>
      </c>
      <c r="F141" s="17">
        <v>0</v>
      </c>
      <c r="G141" s="17">
        <v>0</v>
      </c>
      <c r="H141" s="15">
        <f t="shared" si="40"/>
        <v>2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5">
        <f t="shared" si="41"/>
        <v>2</v>
      </c>
      <c r="T141" s="15">
        <f t="shared" si="42"/>
        <v>2</v>
      </c>
      <c r="U141" s="15">
        <f t="shared" si="43"/>
        <v>0</v>
      </c>
      <c r="V141" s="15">
        <f t="shared" si="44"/>
        <v>0</v>
      </c>
      <c r="W141" s="18" t="str">
        <f t="shared" si="45"/>
        <v/>
      </c>
      <c r="X141" s="17">
        <v>0</v>
      </c>
      <c r="Y141" s="17">
        <v>0</v>
      </c>
      <c r="Z141" s="15">
        <f t="shared" si="46"/>
        <v>0</v>
      </c>
      <c r="AA141" s="17">
        <v>0</v>
      </c>
      <c r="AB141" s="17">
        <v>0</v>
      </c>
      <c r="AC141" s="15">
        <f t="shared" si="47"/>
        <v>0</v>
      </c>
      <c r="AD141" s="17">
        <v>0</v>
      </c>
      <c r="AE141" s="17">
        <v>0</v>
      </c>
      <c r="AF141" s="15">
        <f t="shared" si="48"/>
        <v>0</v>
      </c>
      <c r="AG141" s="17">
        <v>0</v>
      </c>
      <c r="AH141" s="17">
        <v>0</v>
      </c>
      <c r="AI141" s="15">
        <f t="shared" si="49"/>
        <v>0</v>
      </c>
      <c r="AJ141" s="17"/>
    </row>
    <row r="142" spans="1:36" hidden="1" x14ac:dyDescent="0.3">
      <c r="A142" s="15" t="s">
        <v>192</v>
      </c>
      <c r="B142" s="15">
        <v>100</v>
      </c>
      <c r="C142" s="15" t="s">
        <v>54</v>
      </c>
      <c r="D142" s="15" t="s">
        <v>55</v>
      </c>
      <c r="E142" s="15">
        <f>'3-july2026'!T142</f>
        <v>124</v>
      </c>
      <c r="F142" s="15">
        <f>'3-july2026'!U142</f>
        <v>161</v>
      </c>
      <c r="G142" s="15">
        <f>'3-july2026'!V142</f>
        <v>10</v>
      </c>
      <c r="H142" s="15">
        <f t="shared" si="40"/>
        <v>295</v>
      </c>
      <c r="I142" s="17">
        <v>81</v>
      </c>
      <c r="J142" s="17">
        <v>151</v>
      </c>
      <c r="K142" s="17">
        <v>0</v>
      </c>
      <c r="L142" s="17">
        <v>11</v>
      </c>
      <c r="M142" s="17">
        <v>1</v>
      </c>
      <c r="N142" s="17">
        <v>0</v>
      </c>
      <c r="O142" s="17">
        <v>40</v>
      </c>
      <c r="P142" s="17">
        <v>10</v>
      </c>
      <c r="Q142" s="17">
        <v>0</v>
      </c>
      <c r="R142" s="17">
        <v>1</v>
      </c>
      <c r="S142" s="15">
        <f t="shared" si="41"/>
        <v>102</v>
      </c>
      <c r="T142" s="15">
        <f t="shared" si="42"/>
        <v>72</v>
      </c>
      <c r="U142" s="15">
        <f t="shared" si="43"/>
        <v>19</v>
      </c>
      <c r="V142" s="15">
        <f t="shared" si="44"/>
        <v>10</v>
      </c>
      <c r="W142" s="18" t="str">
        <f t="shared" si="45"/>
        <v/>
      </c>
      <c r="X142" s="17">
        <v>0</v>
      </c>
      <c r="Y142" s="17">
        <v>0</v>
      </c>
      <c r="Z142" s="15">
        <f t="shared" si="46"/>
        <v>0</v>
      </c>
      <c r="AA142" s="17">
        <v>0</v>
      </c>
      <c r="AB142" s="17">
        <v>0</v>
      </c>
      <c r="AC142" s="15">
        <f t="shared" si="47"/>
        <v>0</v>
      </c>
      <c r="AD142" s="17">
        <v>0</v>
      </c>
      <c r="AE142" s="17">
        <v>0</v>
      </c>
      <c r="AF142" s="15">
        <f t="shared" si="48"/>
        <v>0</v>
      </c>
      <c r="AG142" s="17">
        <v>0</v>
      </c>
      <c r="AH142" s="17">
        <v>0</v>
      </c>
      <c r="AI142" s="15">
        <f t="shared" si="49"/>
        <v>0</v>
      </c>
      <c r="AJ142" s="17"/>
    </row>
    <row r="143" spans="1:36" hidden="1" x14ac:dyDescent="0.3">
      <c r="A143" s="15" t="s">
        <v>192</v>
      </c>
      <c r="B143" s="15">
        <v>500</v>
      </c>
      <c r="C143" s="15" t="s">
        <v>54</v>
      </c>
      <c r="D143" s="15" t="s">
        <v>55</v>
      </c>
      <c r="E143" s="15">
        <f>'3-july2026'!T143</f>
        <v>0</v>
      </c>
      <c r="F143" s="15">
        <f>'3-july2026'!U143</f>
        <v>0</v>
      </c>
      <c r="G143" s="15">
        <f>'3-july2026'!V143</f>
        <v>3</v>
      </c>
      <c r="H143" s="15">
        <f t="shared" si="40"/>
        <v>3</v>
      </c>
      <c r="I143" s="17">
        <v>30</v>
      </c>
      <c r="J143" s="17">
        <v>3</v>
      </c>
      <c r="K143" s="17">
        <v>32</v>
      </c>
      <c r="L143" s="17">
        <v>45</v>
      </c>
      <c r="M143" s="17">
        <v>0</v>
      </c>
      <c r="N143" s="17">
        <v>0</v>
      </c>
      <c r="O143" s="17">
        <v>120</v>
      </c>
      <c r="P143" s="17">
        <v>8</v>
      </c>
      <c r="Q143" s="17">
        <v>36</v>
      </c>
      <c r="R143" s="17">
        <v>1</v>
      </c>
      <c r="S143" s="15">
        <f t="shared" si="41"/>
        <v>58</v>
      </c>
      <c r="T143" s="15">
        <f t="shared" si="42"/>
        <v>45</v>
      </c>
      <c r="U143" s="15">
        <f t="shared" si="43"/>
        <v>5</v>
      </c>
      <c r="V143" s="15">
        <f t="shared" si="44"/>
        <v>7</v>
      </c>
      <c r="W143" s="18" t="str">
        <f t="shared" si="45"/>
        <v/>
      </c>
      <c r="X143" s="17">
        <v>0</v>
      </c>
      <c r="Y143" s="17">
        <v>0</v>
      </c>
      <c r="Z143" s="15">
        <f t="shared" si="46"/>
        <v>0</v>
      </c>
      <c r="AA143" s="17">
        <v>0</v>
      </c>
      <c r="AB143" s="17">
        <v>0</v>
      </c>
      <c r="AC143" s="15">
        <f t="shared" si="47"/>
        <v>0</v>
      </c>
      <c r="AD143" s="17">
        <v>0</v>
      </c>
      <c r="AE143" s="17">
        <v>0</v>
      </c>
      <c r="AF143" s="15">
        <f t="shared" si="48"/>
        <v>0</v>
      </c>
      <c r="AG143" s="17">
        <v>0</v>
      </c>
      <c r="AH143" s="17">
        <v>0</v>
      </c>
      <c r="AI143" s="15">
        <f t="shared" si="49"/>
        <v>0</v>
      </c>
      <c r="AJ143" s="17"/>
    </row>
    <row r="144" spans="1:36" x14ac:dyDescent="0.3">
      <c r="A144" s="15" t="s">
        <v>193</v>
      </c>
      <c r="B144" s="15">
        <v>100</v>
      </c>
      <c r="C144" s="15" t="s">
        <v>54</v>
      </c>
      <c r="D144" s="15" t="s">
        <v>57</v>
      </c>
      <c r="E144" s="17">
        <v>1</v>
      </c>
      <c r="F144" s="17">
        <v>0</v>
      </c>
      <c r="G144" s="17">
        <v>0</v>
      </c>
      <c r="H144" s="15">
        <f t="shared" si="40"/>
        <v>1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5">
        <f t="shared" si="41"/>
        <v>1</v>
      </c>
      <c r="T144" s="15">
        <f t="shared" si="42"/>
        <v>1</v>
      </c>
      <c r="U144" s="15">
        <f t="shared" si="43"/>
        <v>0</v>
      </c>
      <c r="V144" s="15">
        <f t="shared" si="44"/>
        <v>0</v>
      </c>
      <c r="W144" s="18" t="str">
        <f t="shared" si="45"/>
        <v/>
      </c>
      <c r="X144" s="17">
        <v>0</v>
      </c>
      <c r="Y144" s="17">
        <v>0</v>
      </c>
      <c r="Z144" s="15">
        <f t="shared" si="46"/>
        <v>0</v>
      </c>
      <c r="AA144" s="17">
        <v>0</v>
      </c>
      <c r="AB144" s="17">
        <v>0</v>
      </c>
      <c r="AC144" s="15">
        <f t="shared" si="47"/>
        <v>0</v>
      </c>
      <c r="AD144" s="17">
        <v>0</v>
      </c>
      <c r="AE144" s="17">
        <v>0</v>
      </c>
      <c r="AF144" s="15">
        <f t="shared" si="48"/>
        <v>0</v>
      </c>
      <c r="AG144" s="17">
        <v>0</v>
      </c>
      <c r="AH144" s="17">
        <v>0</v>
      </c>
      <c r="AI144" s="15">
        <f t="shared" si="49"/>
        <v>0</v>
      </c>
      <c r="AJ144" s="17"/>
    </row>
    <row r="145" spans="1:36" hidden="1" x14ac:dyDescent="0.3">
      <c r="A145" s="15" t="s">
        <v>194</v>
      </c>
      <c r="B145" s="15">
        <v>1000</v>
      </c>
      <c r="C145" s="15"/>
      <c r="D145" s="15" t="s">
        <v>55</v>
      </c>
      <c r="E145" s="15">
        <f>'3-july2026'!T145</f>
        <v>0</v>
      </c>
      <c r="F145" s="15">
        <f>'3-july2026'!U145</f>
        <v>0</v>
      </c>
      <c r="G145" s="15">
        <f>'3-july2026'!V145</f>
        <v>0</v>
      </c>
      <c r="H145" s="15">
        <f t="shared" si="40"/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5">
        <f t="shared" si="41"/>
        <v>0</v>
      </c>
      <c r="T145" s="15">
        <f t="shared" si="42"/>
        <v>0</v>
      </c>
      <c r="U145" s="15">
        <f t="shared" si="43"/>
        <v>0</v>
      </c>
      <c r="V145" s="15">
        <f t="shared" si="44"/>
        <v>0</v>
      </c>
      <c r="W145" s="18" t="str">
        <f t="shared" si="45"/>
        <v/>
      </c>
      <c r="X145" s="17">
        <v>0</v>
      </c>
      <c r="Y145" s="17">
        <v>0</v>
      </c>
      <c r="Z145" s="15">
        <f t="shared" si="46"/>
        <v>0</v>
      </c>
      <c r="AA145" s="17">
        <v>0</v>
      </c>
      <c r="AB145" s="17">
        <v>0</v>
      </c>
      <c r="AC145" s="15">
        <f t="shared" si="47"/>
        <v>0</v>
      </c>
      <c r="AD145" s="17">
        <v>0</v>
      </c>
      <c r="AE145" s="17">
        <v>0</v>
      </c>
      <c r="AF145" s="15">
        <f t="shared" si="48"/>
        <v>0</v>
      </c>
      <c r="AG145" s="17">
        <v>0</v>
      </c>
      <c r="AH145" s="17">
        <v>0</v>
      </c>
      <c r="AI145" s="15">
        <f t="shared" si="49"/>
        <v>0</v>
      </c>
      <c r="AJ145" s="17"/>
    </row>
    <row r="146" spans="1:36" x14ac:dyDescent="0.3">
      <c r="A146" s="15" t="s">
        <v>195</v>
      </c>
      <c r="B146" s="15">
        <v>1000</v>
      </c>
      <c r="C146" s="15" t="s">
        <v>54</v>
      </c>
      <c r="D146" s="15" t="s">
        <v>68</v>
      </c>
      <c r="E146" s="17">
        <v>2</v>
      </c>
      <c r="F146" s="17">
        <v>0</v>
      </c>
      <c r="G146" s="17">
        <v>0</v>
      </c>
      <c r="H146" s="15">
        <f t="shared" si="40"/>
        <v>2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5">
        <f t="shared" si="41"/>
        <v>2</v>
      </c>
      <c r="T146" s="15">
        <f t="shared" si="42"/>
        <v>2</v>
      </c>
      <c r="U146" s="15">
        <f t="shared" si="43"/>
        <v>0</v>
      </c>
      <c r="V146" s="15">
        <f t="shared" si="44"/>
        <v>0</v>
      </c>
      <c r="W146" s="18" t="str">
        <f t="shared" si="45"/>
        <v/>
      </c>
      <c r="X146" s="17">
        <v>0</v>
      </c>
      <c r="Y146" s="17">
        <v>0</v>
      </c>
      <c r="Z146" s="15">
        <f t="shared" si="46"/>
        <v>0</v>
      </c>
      <c r="AA146" s="17">
        <v>0</v>
      </c>
      <c r="AB146" s="17">
        <v>0</v>
      </c>
      <c r="AC146" s="15">
        <f t="shared" si="47"/>
        <v>0</v>
      </c>
      <c r="AD146" s="17">
        <v>0</v>
      </c>
      <c r="AE146" s="17">
        <v>0</v>
      </c>
      <c r="AF146" s="15">
        <f t="shared" si="48"/>
        <v>0</v>
      </c>
      <c r="AG146" s="17">
        <v>0</v>
      </c>
      <c r="AH146" s="17">
        <v>0</v>
      </c>
      <c r="AI146" s="15">
        <f t="shared" si="49"/>
        <v>0</v>
      </c>
      <c r="AJ146" s="17"/>
    </row>
    <row r="147" spans="1:36" hidden="1" x14ac:dyDescent="0.3">
      <c r="A147" s="15" t="s">
        <v>196</v>
      </c>
      <c r="B147" s="15">
        <v>100</v>
      </c>
      <c r="C147" s="15" t="s">
        <v>54</v>
      </c>
      <c r="D147" s="15" t="s">
        <v>55</v>
      </c>
      <c r="E147" s="15">
        <f>'3-july2026'!T147</f>
        <v>615</v>
      </c>
      <c r="F147" s="15">
        <f>'3-july2026'!U147</f>
        <v>56</v>
      </c>
      <c r="G147" s="15">
        <f>'3-july2026'!V147</f>
        <v>35</v>
      </c>
      <c r="H147" s="15">
        <f t="shared" si="40"/>
        <v>706</v>
      </c>
      <c r="I147" s="17">
        <v>1</v>
      </c>
      <c r="J147" s="17">
        <v>0</v>
      </c>
      <c r="K147" s="17">
        <v>0</v>
      </c>
      <c r="L147" s="17">
        <v>0</v>
      </c>
      <c r="M147" s="17">
        <v>1</v>
      </c>
      <c r="N147" s="17">
        <v>0</v>
      </c>
      <c r="O147" s="17">
        <v>2</v>
      </c>
      <c r="P147" s="17">
        <v>0</v>
      </c>
      <c r="Q147" s="17">
        <v>0</v>
      </c>
      <c r="R147" s="17">
        <v>0</v>
      </c>
      <c r="S147" s="15">
        <f t="shared" si="41"/>
        <v>706</v>
      </c>
      <c r="T147" s="15">
        <f t="shared" si="42"/>
        <v>616</v>
      </c>
      <c r="U147" s="15">
        <f t="shared" si="43"/>
        <v>55</v>
      </c>
      <c r="V147" s="15">
        <f t="shared" si="44"/>
        <v>35</v>
      </c>
      <c r="W147" s="18" t="str">
        <f t="shared" si="45"/>
        <v/>
      </c>
      <c r="X147" s="17">
        <v>0</v>
      </c>
      <c r="Y147" s="17">
        <v>0</v>
      </c>
      <c r="Z147" s="15">
        <f t="shared" si="46"/>
        <v>0</v>
      </c>
      <c r="AA147" s="17">
        <v>0</v>
      </c>
      <c r="AB147" s="17">
        <v>0</v>
      </c>
      <c r="AC147" s="15">
        <f t="shared" si="47"/>
        <v>0</v>
      </c>
      <c r="AD147" s="17">
        <v>0</v>
      </c>
      <c r="AE147" s="17">
        <v>0</v>
      </c>
      <c r="AF147" s="15">
        <f t="shared" si="48"/>
        <v>0</v>
      </c>
      <c r="AG147" s="17">
        <v>0</v>
      </c>
      <c r="AH147" s="17">
        <v>0</v>
      </c>
      <c r="AI147" s="15">
        <f t="shared" si="49"/>
        <v>0</v>
      </c>
      <c r="AJ147" s="17"/>
    </row>
    <row r="148" spans="1:36" hidden="1" x14ac:dyDescent="0.3">
      <c r="A148" s="15" t="s">
        <v>197</v>
      </c>
      <c r="B148" s="15">
        <v>100</v>
      </c>
      <c r="C148" s="15" t="s">
        <v>54</v>
      </c>
      <c r="D148" s="15" t="s">
        <v>55</v>
      </c>
      <c r="E148" s="15">
        <f>'3-july2026'!T148</f>
        <v>0</v>
      </c>
      <c r="F148" s="15">
        <f>'3-july2026'!U148</f>
        <v>0</v>
      </c>
      <c r="G148" s="15">
        <f>'3-july2026'!V148</f>
        <v>0</v>
      </c>
      <c r="H148" s="15">
        <f t="shared" si="40"/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5">
        <f t="shared" si="41"/>
        <v>0</v>
      </c>
      <c r="T148" s="15">
        <f t="shared" si="42"/>
        <v>0</v>
      </c>
      <c r="U148" s="15">
        <f t="shared" si="43"/>
        <v>0</v>
      </c>
      <c r="V148" s="15">
        <f t="shared" si="44"/>
        <v>0</v>
      </c>
      <c r="W148" s="18" t="str">
        <f t="shared" si="45"/>
        <v/>
      </c>
      <c r="X148" s="17">
        <v>0</v>
      </c>
      <c r="Y148" s="17">
        <v>0</v>
      </c>
      <c r="Z148" s="15">
        <f t="shared" si="46"/>
        <v>0</v>
      </c>
      <c r="AA148" s="17">
        <v>0</v>
      </c>
      <c r="AB148" s="17">
        <v>0</v>
      </c>
      <c r="AC148" s="15">
        <f t="shared" si="47"/>
        <v>0</v>
      </c>
      <c r="AD148" s="17">
        <v>0</v>
      </c>
      <c r="AE148" s="17">
        <v>0</v>
      </c>
      <c r="AF148" s="15">
        <f t="shared" si="48"/>
        <v>0</v>
      </c>
      <c r="AG148" s="17">
        <v>0</v>
      </c>
      <c r="AH148" s="17">
        <v>0</v>
      </c>
      <c r="AI148" s="15">
        <f t="shared" si="49"/>
        <v>0</v>
      </c>
      <c r="AJ148" s="17"/>
    </row>
    <row r="149" spans="1:36" hidden="1" x14ac:dyDescent="0.3">
      <c r="A149" s="15" t="s">
        <v>198</v>
      </c>
      <c r="B149" s="15">
        <v>100</v>
      </c>
      <c r="C149" s="15" t="s">
        <v>54</v>
      </c>
      <c r="D149" s="15" t="s">
        <v>55</v>
      </c>
      <c r="E149" s="15">
        <f>'3-july2026'!T149</f>
        <v>290</v>
      </c>
      <c r="F149" s="15">
        <f>'3-july2026'!U149</f>
        <v>42</v>
      </c>
      <c r="G149" s="15">
        <f>'3-july2026'!V149</f>
        <v>34</v>
      </c>
      <c r="H149" s="15">
        <f t="shared" si="40"/>
        <v>366</v>
      </c>
      <c r="I149" s="17">
        <v>0</v>
      </c>
      <c r="J149" s="17">
        <v>0</v>
      </c>
      <c r="K149" s="17">
        <v>0</v>
      </c>
      <c r="L149" s="17">
        <v>0</v>
      </c>
      <c r="M149" s="17">
        <v>1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5">
        <f t="shared" si="41"/>
        <v>365</v>
      </c>
      <c r="T149" s="15">
        <f t="shared" si="42"/>
        <v>290</v>
      </c>
      <c r="U149" s="15">
        <f t="shared" si="43"/>
        <v>41</v>
      </c>
      <c r="V149" s="15">
        <f t="shared" si="44"/>
        <v>34</v>
      </c>
      <c r="W149" s="18" t="str">
        <f t="shared" si="45"/>
        <v/>
      </c>
      <c r="X149" s="17">
        <v>0</v>
      </c>
      <c r="Y149" s="17">
        <v>0</v>
      </c>
      <c r="Z149" s="15">
        <f t="shared" si="46"/>
        <v>0</v>
      </c>
      <c r="AA149" s="17">
        <v>0</v>
      </c>
      <c r="AB149" s="17">
        <v>0</v>
      </c>
      <c r="AC149" s="15">
        <f t="shared" si="47"/>
        <v>0</v>
      </c>
      <c r="AD149" s="17">
        <v>0</v>
      </c>
      <c r="AE149" s="17">
        <v>0</v>
      </c>
      <c r="AF149" s="15">
        <f t="shared" si="48"/>
        <v>0</v>
      </c>
      <c r="AG149" s="17">
        <v>0</v>
      </c>
      <c r="AH149" s="17">
        <v>0</v>
      </c>
      <c r="AI149" s="15">
        <f t="shared" si="49"/>
        <v>0</v>
      </c>
      <c r="AJ149" s="17"/>
    </row>
    <row r="150" spans="1:36" hidden="1" x14ac:dyDescent="0.3">
      <c r="A150" s="15" t="s">
        <v>199</v>
      </c>
      <c r="B150" s="15">
        <v>500</v>
      </c>
      <c r="C150" s="15" t="s">
        <v>54</v>
      </c>
      <c r="D150" s="15" t="s">
        <v>55</v>
      </c>
      <c r="E150" s="15">
        <f>'3-july2026'!T150</f>
        <v>10</v>
      </c>
      <c r="F150" s="15">
        <f>'3-july2026'!U150</f>
        <v>1</v>
      </c>
      <c r="G150" s="15">
        <f>'3-july2026'!V150</f>
        <v>0</v>
      </c>
      <c r="H150" s="15">
        <f t="shared" si="40"/>
        <v>11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5">
        <f t="shared" si="41"/>
        <v>11</v>
      </c>
      <c r="T150" s="15">
        <f t="shared" si="42"/>
        <v>10</v>
      </c>
      <c r="U150" s="15">
        <f t="shared" si="43"/>
        <v>1</v>
      </c>
      <c r="V150" s="15">
        <f t="shared" si="44"/>
        <v>0</v>
      </c>
      <c r="W150" s="18" t="str">
        <f t="shared" si="45"/>
        <v/>
      </c>
      <c r="X150" s="17">
        <v>0</v>
      </c>
      <c r="Y150" s="17">
        <v>0</v>
      </c>
      <c r="Z150" s="15">
        <f t="shared" si="46"/>
        <v>0</v>
      </c>
      <c r="AA150" s="17">
        <v>0</v>
      </c>
      <c r="AB150" s="17">
        <v>0</v>
      </c>
      <c r="AC150" s="15">
        <f t="shared" si="47"/>
        <v>0</v>
      </c>
      <c r="AD150" s="17">
        <v>0</v>
      </c>
      <c r="AE150" s="17">
        <v>0</v>
      </c>
      <c r="AF150" s="15">
        <f t="shared" si="48"/>
        <v>0</v>
      </c>
      <c r="AG150" s="17">
        <v>0</v>
      </c>
      <c r="AH150" s="17">
        <v>0</v>
      </c>
      <c r="AI150" s="15">
        <f t="shared" si="49"/>
        <v>0</v>
      </c>
      <c r="AJ150" s="17"/>
    </row>
    <row r="151" spans="1:36" hidden="1" x14ac:dyDescent="0.3">
      <c r="A151" s="15" t="s">
        <v>200</v>
      </c>
      <c r="B151" s="15">
        <v>100</v>
      </c>
      <c r="C151" s="15" t="s">
        <v>54</v>
      </c>
      <c r="D151" s="15" t="s">
        <v>55</v>
      </c>
      <c r="E151" s="15">
        <f>'3-july2026'!T151</f>
        <v>4</v>
      </c>
      <c r="F151" s="15">
        <f>'3-july2026'!U151</f>
        <v>106</v>
      </c>
      <c r="G151" s="15">
        <f>'3-july2026'!V151</f>
        <v>50</v>
      </c>
      <c r="H151" s="15">
        <f t="shared" si="40"/>
        <v>160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11</v>
      </c>
      <c r="P151" s="17">
        <v>0</v>
      </c>
      <c r="Q151" s="17">
        <v>0</v>
      </c>
      <c r="R151" s="17">
        <v>0</v>
      </c>
      <c r="S151" s="15">
        <f t="shared" si="41"/>
        <v>171</v>
      </c>
      <c r="T151" s="15">
        <f t="shared" si="42"/>
        <v>15</v>
      </c>
      <c r="U151" s="15">
        <f t="shared" si="43"/>
        <v>106</v>
      </c>
      <c r="V151" s="15">
        <f t="shared" si="44"/>
        <v>50</v>
      </c>
      <c r="W151" s="18" t="str">
        <f t="shared" si="45"/>
        <v/>
      </c>
      <c r="X151" s="17">
        <v>0</v>
      </c>
      <c r="Y151" s="17">
        <v>0</v>
      </c>
      <c r="Z151" s="15">
        <f t="shared" si="46"/>
        <v>0</v>
      </c>
      <c r="AA151" s="17">
        <v>0</v>
      </c>
      <c r="AB151" s="17">
        <v>0</v>
      </c>
      <c r="AC151" s="15">
        <f t="shared" si="47"/>
        <v>0</v>
      </c>
      <c r="AD151" s="17">
        <v>0</v>
      </c>
      <c r="AE151" s="17">
        <v>0</v>
      </c>
      <c r="AF151" s="15">
        <f t="shared" si="48"/>
        <v>0</v>
      </c>
      <c r="AG151" s="17">
        <v>0</v>
      </c>
      <c r="AH151" s="17">
        <v>0</v>
      </c>
      <c r="AI151" s="15">
        <f t="shared" si="49"/>
        <v>0</v>
      </c>
      <c r="AJ151" s="17"/>
    </row>
    <row r="152" spans="1:36" hidden="1" x14ac:dyDescent="0.3">
      <c r="A152" s="15" t="s">
        <v>201</v>
      </c>
      <c r="B152" s="15">
        <v>100</v>
      </c>
      <c r="C152" s="15" t="s">
        <v>54</v>
      </c>
      <c r="D152" s="15" t="s">
        <v>55</v>
      </c>
      <c r="E152" s="15">
        <f>'3-july2026'!T152</f>
        <v>288</v>
      </c>
      <c r="F152" s="15">
        <f>'3-july2026'!U152</f>
        <v>31</v>
      </c>
      <c r="G152" s="15">
        <f>'3-july2026'!V152</f>
        <v>44</v>
      </c>
      <c r="H152" s="15">
        <f t="shared" si="40"/>
        <v>363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10</v>
      </c>
      <c r="P152" s="17">
        <v>0</v>
      </c>
      <c r="Q152" s="17">
        <v>0</v>
      </c>
      <c r="R152" s="17">
        <v>0</v>
      </c>
      <c r="S152" s="15">
        <f t="shared" si="41"/>
        <v>373</v>
      </c>
      <c r="T152" s="15">
        <f t="shared" si="42"/>
        <v>298</v>
      </c>
      <c r="U152" s="15">
        <f t="shared" si="43"/>
        <v>31</v>
      </c>
      <c r="V152" s="15">
        <f t="shared" si="44"/>
        <v>44</v>
      </c>
      <c r="W152" s="18" t="str">
        <f t="shared" si="45"/>
        <v/>
      </c>
      <c r="X152" s="17">
        <v>0</v>
      </c>
      <c r="Y152" s="17">
        <v>0</v>
      </c>
      <c r="Z152" s="15">
        <f t="shared" si="46"/>
        <v>0</v>
      </c>
      <c r="AA152" s="17">
        <v>0</v>
      </c>
      <c r="AB152" s="17">
        <v>0</v>
      </c>
      <c r="AC152" s="15">
        <f t="shared" si="47"/>
        <v>0</v>
      </c>
      <c r="AD152" s="17">
        <v>0</v>
      </c>
      <c r="AE152" s="17">
        <v>0</v>
      </c>
      <c r="AF152" s="15">
        <f t="shared" si="48"/>
        <v>0</v>
      </c>
      <c r="AG152" s="17">
        <v>0</v>
      </c>
      <c r="AH152" s="17">
        <v>0</v>
      </c>
      <c r="AI152" s="15">
        <f t="shared" si="49"/>
        <v>0</v>
      </c>
      <c r="AJ152" s="17"/>
    </row>
    <row r="153" spans="1:36" hidden="1" x14ac:dyDescent="0.3">
      <c r="A153" s="15" t="s">
        <v>202</v>
      </c>
      <c r="B153" s="15">
        <v>100</v>
      </c>
      <c r="C153" s="15" t="s">
        <v>54</v>
      </c>
      <c r="D153" s="15" t="s">
        <v>55</v>
      </c>
      <c r="E153" s="15">
        <f>'3-july2026'!T153</f>
        <v>13</v>
      </c>
      <c r="F153" s="15">
        <f>'3-july2026'!U153</f>
        <v>0</v>
      </c>
      <c r="G153" s="15">
        <f>'3-july2026'!V153</f>
        <v>0</v>
      </c>
      <c r="H153" s="15">
        <f t="shared" si="40"/>
        <v>13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5">
        <f t="shared" si="41"/>
        <v>13</v>
      </c>
      <c r="T153" s="15">
        <f t="shared" si="42"/>
        <v>13</v>
      </c>
      <c r="U153" s="15">
        <f t="shared" si="43"/>
        <v>0</v>
      </c>
      <c r="V153" s="15">
        <f t="shared" si="44"/>
        <v>0</v>
      </c>
      <c r="W153" s="18" t="str">
        <f t="shared" si="45"/>
        <v/>
      </c>
      <c r="X153" s="17">
        <v>0</v>
      </c>
      <c r="Y153" s="17">
        <v>0</v>
      </c>
      <c r="Z153" s="15">
        <f t="shared" si="46"/>
        <v>0</v>
      </c>
      <c r="AA153" s="17">
        <v>0</v>
      </c>
      <c r="AB153" s="17">
        <v>0</v>
      </c>
      <c r="AC153" s="15">
        <f t="shared" si="47"/>
        <v>0</v>
      </c>
      <c r="AD153" s="17">
        <v>0</v>
      </c>
      <c r="AE153" s="17">
        <v>0</v>
      </c>
      <c r="AF153" s="15">
        <f t="shared" si="48"/>
        <v>0</v>
      </c>
      <c r="AG153" s="17">
        <v>0</v>
      </c>
      <c r="AH153" s="17">
        <v>0</v>
      </c>
      <c r="AI153" s="15">
        <f t="shared" si="49"/>
        <v>0</v>
      </c>
      <c r="AJ153" s="17"/>
    </row>
    <row r="154" spans="1:36" hidden="1" x14ac:dyDescent="0.3">
      <c r="A154" s="15" t="s">
        <v>203</v>
      </c>
      <c r="B154" s="15">
        <v>100</v>
      </c>
      <c r="C154" s="15" t="s">
        <v>54</v>
      </c>
      <c r="D154" s="15" t="s">
        <v>55</v>
      </c>
      <c r="E154" s="15">
        <f>'3-july2026'!T154</f>
        <v>13</v>
      </c>
      <c r="F154" s="15">
        <f>'3-july2026'!U154</f>
        <v>0</v>
      </c>
      <c r="G154" s="15">
        <f>'3-july2026'!V154</f>
        <v>0</v>
      </c>
      <c r="H154" s="15">
        <f t="shared" si="40"/>
        <v>13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5">
        <f t="shared" si="41"/>
        <v>13</v>
      </c>
      <c r="T154" s="15">
        <f t="shared" si="42"/>
        <v>13</v>
      </c>
      <c r="U154" s="15">
        <f t="shared" si="43"/>
        <v>0</v>
      </c>
      <c r="V154" s="15">
        <f t="shared" si="44"/>
        <v>0</v>
      </c>
      <c r="W154" s="18" t="str">
        <f t="shared" si="45"/>
        <v/>
      </c>
      <c r="X154" s="17">
        <v>0</v>
      </c>
      <c r="Y154" s="17">
        <v>0</v>
      </c>
      <c r="Z154" s="15">
        <f t="shared" si="46"/>
        <v>0</v>
      </c>
      <c r="AA154" s="17">
        <v>0</v>
      </c>
      <c r="AB154" s="17">
        <v>0</v>
      </c>
      <c r="AC154" s="15">
        <f t="shared" si="47"/>
        <v>0</v>
      </c>
      <c r="AD154" s="17">
        <v>0</v>
      </c>
      <c r="AE154" s="17">
        <v>0</v>
      </c>
      <c r="AF154" s="15">
        <f t="shared" si="48"/>
        <v>0</v>
      </c>
      <c r="AG154" s="17">
        <v>0</v>
      </c>
      <c r="AH154" s="17">
        <v>0</v>
      </c>
      <c r="AI154" s="15">
        <f t="shared" si="49"/>
        <v>0</v>
      </c>
      <c r="AJ154" s="17"/>
    </row>
    <row r="155" spans="1:36" hidden="1" x14ac:dyDescent="0.3">
      <c r="A155" s="15" t="s">
        <v>204</v>
      </c>
      <c r="B155" s="15">
        <v>10000</v>
      </c>
      <c r="C155" s="15" t="s">
        <v>54</v>
      </c>
      <c r="D155" s="15" t="s">
        <v>55</v>
      </c>
      <c r="E155" s="15">
        <v>0</v>
      </c>
      <c r="F155" s="15">
        <v>0</v>
      </c>
      <c r="G155" s="15">
        <v>0</v>
      </c>
      <c r="H155" s="15">
        <f t="shared" si="40"/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5">
        <f t="shared" si="41"/>
        <v>0</v>
      </c>
      <c r="T155" s="15">
        <f t="shared" si="42"/>
        <v>0</v>
      </c>
      <c r="U155" s="15">
        <f t="shared" si="43"/>
        <v>0</v>
      </c>
      <c r="V155" s="15">
        <f t="shared" si="44"/>
        <v>0</v>
      </c>
      <c r="W155" s="18" t="str">
        <f t="shared" si="45"/>
        <v/>
      </c>
      <c r="X155" s="17">
        <v>0</v>
      </c>
      <c r="Y155" s="17">
        <v>0</v>
      </c>
      <c r="Z155" s="15">
        <f t="shared" si="46"/>
        <v>0</v>
      </c>
      <c r="AA155" s="17">
        <v>0</v>
      </c>
      <c r="AB155" s="17">
        <v>0</v>
      </c>
      <c r="AC155" s="15">
        <f t="shared" si="47"/>
        <v>0</v>
      </c>
      <c r="AD155" s="17">
        <v>0</v>
      </c>
      <c r="AE155" s="17">
        <v>0</v>
      </c>
      <c r="AF155" s="15">
        <f t="shared" si="48"/>
        <v>0</v>
      </c>
      <c r="AG155" s="17">
        <v>0</v>
      </c>
      <c r="AH155" s="17">
        <v>0</v>
      </c>
      <c r="AI155" s="15">
        <f t="shared" si="49"/>
        <v>0</v>
      </c>
      <c r="AJ155" s="17"/>
    </row>
    <row r="156" spans="1:36" x14ac:dyDescent="0.3">
      <c r="A156" s="15" t="s">
        <v>205</v>
      </c>
      <c r="B156" s="15">
        <v>1000</v>
      </c>
      <c r="C156" s="15" t="s">
        <v>54</v>
      </c>
      <c r="D156" s="15" t="s">
        <v>57</v>
      </c>
      <c r="E156" s="17">
        <v>5</v>
      </c>
      <c r="F156" s="17">
        <v>0</v>
      </c>
      <c r="G156" s="17">
        <v>0</v>
      </c>
      <c r="H156" s="15">
        <f t="shared" si="40"/>
        <v>5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5">
        <f t="shared" si="41"/>
        <v>5</v>
      </c>
      <c r="T156" s="15">
        <f t="shared" si="42"/>
        <v>5</v>
      </c>
      <c r="U156" s="15">
        <f t="shared" si="43"/>
        <v>0</v>
      </c>
      <c r="V156" s="15">
        <f t="shared" si="44"/>
        <v>0</v>
      </c>
      <c r="W156" s="18" t="str">
        <f t="shared" si="45"/>
        <v/>
      </c>
      <c r="X156" s="17">
        <v>0</v>
      </c>
      <c r="Y156" s="17">
        <v>0</v>
      </c>
      <c r="Z156" s="15">
        <f t="shared" si="46"/>
        <v>0</v>
      </c>
      <c r="AA156" s="17">
        <v>0</v>
      </c>
      <c r="AB156" s="17">
        <v>0</v>
      </c>
      <c r="AC156" s="15">
        <f t="shared" si="47"/>
        <v>0</v>
      </c>
      <c r="AD156" s="17">
        <v>0</v>
      </c>
      <c r="AE156" s="17">
        <v>0</v>
      </c>
      <c r="AF156" s="15">
        <f t="shared" si="48"/>
        <v>0</v>
      </c>
      <c r="AG156" s="17">
        <v>0</v>
      </c>
      <c r="AH156" s="17">
        <v>0</v>
      </c>
      <c r="AI156" s="15">
        <f t="shared" si="49"/>
        <v>0</v>
      </c>
      <c r="AJ156" s="17"/>
    </row>
    <row r="157" spans="1:36" x14ac:dyDescent="0.3">
      <c r="A157" s="15" t="s">
        <v>206</v>
      </c>
      <c r="B157" s="15">
        <v>1000</v>
      </c>
      <c r="C157" s="15" t="s">
        <v>54</v>
      </c>
      <c r="D157" s="15" t="s">
        <v>57</v>
      </c>
      <c r="E157" s="17">
        <v>2</v>
      </c>
      <c r="F157" s="17">
        <v>0</v>
      </c>
      <c r="G157" s="17">
        <v>0</v>
      </c>
      <c r="H157" s="15">
        <f t="shared" si="40"/>
        <v>2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5">
        <f t="shared" si="41"/>
        <v>2</v>
      </c>
      <c r="T157" s="15">
        <f t="shared" si="42"/>
        <v>2</v>
      </c>
      <c r="U157" s="15">
        <f t="shared" si="43"/>
        <v>0</v>
      </c>
      <c r="V157" s="15">
        <f t="shared" si="44"/>
        <v>0</v>
      </c>
      <c r="W157" s="18" t="str">
        <f t="shared" si="45"/>
        <v/>
      </c>
      <c r="X157" s="17">
        <v>0</v>
      </c>
      <c r="Y157" s="17">
        <v>0</v>
      </c>
      <c r="Z157" s="15">
        <f t="shared" si="46"/>
        <v>0</v>
      </c>
      <c r="AA157" s="17">
        <v>0</v>
      </c>
      <c r="AB157" s="17">
        <v>0</v>
      </c>
      <c r="AC157" s="15">
        <f t="shared" si="47"/>
        <v>0</v>
      </c>
      <c r="AD157" s="17">
        <v>0</v>
      </c>
      <c r="AE157" s="17">
        <v>0</v>
      </c>
      <c r="AF157" s="15">
        <f t="shared" si="48"/>
        <v>0</v>
      </c>
      <c r="AG157" s="17">
        <v>0</v>
      </c>
      <c r="AH157" s="17">
        <v>0</v>
      </c>
      <c r="AI157" s="15">
        <f t="shared" si="49"/>
        <v>0</v>
      </c>
      <c r="AJ157" s="17"/>
    </row>
    <row r="158" spans="1:36" x14ac:dyDescent="0.3">
      <c r="A158" s="15" t="s">
        <v>207</v>
      </c>
      <c r="B158" s="15">
        <v>1000</v>
      </c>
      <c r="C158" s="15" t="s">
        <v>54</v>
      </c>
      <c r="D158" s="15" t="s">
        <v>68</v>
      </c>
      <c r="E158" s="17">
        <v>3</v>
      </c>
      <c r="F158" s="17">
        <v>0</v>
      </c>
      <c r="G158" s="17">
        <v>0</v>
      </c>
      <c r="H158" s="15">
        <f t="shared" si="40"/>
        <v>3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5">
        <f t="shared" si="41"/>
        <v>3</v>
      </c>
      <c r="T158" s="15">
        <f t="shared" si="42"/>
        <v>3</v>
      </c>
      <c r="U158" s="15">
        <f t="shared" si="43"/>
        <v>0</v>
      </c>
      <c r="V158" s="15">
        <f t="shared" si="44"/>
        <v>0</v>
      </c>
      <c r="W158" s="18" t="str">
        <f t="shared" si="45"/>
        <v/>
      </c>
      <c r="X158" s="17">
        <v>0</v>
      </c>
      <c r="Y158" s="17">
        <v>0</v>
      </c>
      <c r="Z158" s="15">
        <f t="shared" si="46"/>
        <v>0</v>
      </c>
      <c r="AA158" s="17">
        <v>0</v>
      </c>
      <c r="AB158" s="17">
        <v>0</v>
      </c>
      <c r="AC158" s="15">
        <f t="shared" si="47"/>
        <v>0</v>
      </c>
      <c r="AD158" s="17">
        <v>0</v>
      </c>
      <c r="AE158" s="17">
        <v>0</v>
      </c>
      <c r="AF158" s="15">
        <f t="shared" si="48"/>
        <v>0</v>
      </c>
      <c r="AG158" s="17">
        <v>0</v>
      </c>
      <c r="AH158" s="17">
        <v>0</v>
      </c>
      <c r="AI158" s="15">
        <f t="shared" si="49"/>
        <v>0</v>
      </c>
      <c r="AJ158" s="17"/>
    </row>
    <row r="159" spans="1:36" x14ac:dyDescent="0.3">
      <c r="A159" s="15" t="s">
        <v>208</v>
      </c>
      <c r="B159" s="15">
        <v>1000</v>
      </c>
      <c r="C159" s="15" t="s">
        <v>54</v>
      </c>
      <c r="D159" s="15" t="s">
        <v>68</v>
      </c>
      <c r="E159" s="17">
        <v>9</v>
      </c>
      <c r="F159" s="17">
        <v>0</v>
      </c>
      <c r="G159" s="17">
        <v>0</v>
      </c>
      <c r="H159" s="15">
        <f t="shared" si="40"/>
        <v>9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5">
        <f t="shared" si="41"/>
        <v>9</v>
      </c>
      <c r="T159" s="15">
        <f t="shared" si="42"/>
        <v>9</v>
      </c>
      <c r="U159" s="15">
        <f t="shared" si="43"/>
        <v>0</v>
      </c>
      <c r="V159" s="15">
        <f t="shared" si="44"/>
        <v>0</v>
      </c>
      <c r="W159" s="18" t="str">
        <f t="shared" si="45"/>
        <v/>
      </c>
      <c r="X159" s="17">
        <v>0</v>
      </c>
      <c r="Y159" s="17">
        <v>0</v>
      </c>
      <c r="Z159" s="15">
        <f t="shared" si="46"/>
        <v>0</v>
      </c>
      <c r="AA159" s="17">
        <v>0</v>
      </c>
      <c r="AB159" s="17">
        <v>0</v>
      </c>
      <c r="AC159" s="15">
        <f t="shared" si="47"/>
        <v>0</v>
      </c>
      <c r="AD159" s="17">
        <v>0</v>
      </c>
      <c r="AE159" s="17">
        <v>0</v>
      </c>
      <c r="AF159" s="15">
        <f t="shared" si="48"/>
        <v>0</v>
      </c>
      <c r="AG159" s="17">
        <v>0</v>
      </c>
      <c r="AH159" s="17">
        <v>0</v>
      </c>
      <c r="AI159" s="15">
        <f t="shared" si="49"/>
        <v>0</v>
      </c>
      <c r="AJ159" s="17"/>
    </row>
    <row r="160" spans="1:36" x14ac:dyDescent="0.3">
      <c r="A160" s="15" t="s">
        <v>209</v>
      </c>
      <c r="B160" s="15">
        <v>100</v>
      </c>
      <c r="C160" s="15" t="s">
        <v>54</v>
      </c>
      <c r="D160" s="15" t="s">
        <v>57</v>
      </c>
      <c r="E160" s="17">
        <v>1</v>
      </c>
      <c r="F160" s="17">
        <v>0</v>
      </c>
      <c r="G160" s="17">
        <v>0</v>
      </c>
      <c r="H160" s="15">
        <f t="shared" si="40"/>
        <v>1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5">
        <f t="shared" si="41"/>
        <v>1</v>
      </c>
      <c r="T160" s="15">
        <f t="shared" si="42"/>
        <v>1</v>
      </c>
      <c r="U160" s="15">
        <f t="shared" si="43"/>
        <v>0</v>
      </c>
      <c r="V160" s="15">
        <f t="shared" si="44"/>
        <v>0</v>
      </c>
      <c r="W160" s="18" t="str">
        <f t="shared" si="45"/>
        <v/>
      </c>
      <c r="X160" s="17">
        <v>0</v>
      </c>
      <c r="Y160" s="17">
        <v>0</v>
      </c>
      <c r="Z160" s="15">
        <f t="shared" si="46"/>
        <v>0</v>
      </c>
      <c r="AA160" s="17">
        <v>0</v>
      </c>
      <c r="AB160" s="17">
        <v>0</v>
      </c>
      <c r="AC160" s="15">
        <f t="shared" si="47"/>
        <v>0</v>
      </c>
      <c r="AD160" s="17">
        <v>0</v>
      </c>
      <c r="AE160" s="17">
        <v>0</v>
      </c>
      <c r="AF160" s="15">
        <f t="shared" si="48"/>
        <v>0</v>
      </c>
      <c r="AG160" s="17">
        <v>0</v>
      </c>
      <c r="AH160" s="17">
        <v>0</v>
      </c>
      <c r="AI160" s="15">
        <f t="shared" si="49"/>
        <v>0</v>
      </c>
      <c r="AJ160" s="17"/>
    </row>
    <row r="161" spans="1:36" x14ac:dyDescent="0.3">
      <c r="A161" s="15" t="s">
        <v>210</v>
      </c>
      <c r="B161" s="15">
        <v>1000</v>
      </c>
      <c r="C161" s="15" t="s">
        <v>54</v>
      </c>
      <c r="D161" s="15" t="s">
        <v>68</v>
      </c>
      <c r="E161" s="17">
        <v>3</v>
      </c>
      <c r="F161" s="17">
        <v>0</v>
      </c>
      <c r="G161" s="17">
        <v>0</v>
      </c>
      <c r="H161" s="15">
        <f t="shared" si="40"/>
        <v>3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5">
        <f t="shared" si="41"/>
        <v>3</v>
      </c>
      <c r="T161" s="15">
        <f t="shared" si="42"/>
        <v>3</v>
      </c>
      <c r="U161" s="15">
        <f t="shared" si="43"/>
        <v>0</v>
      </c>
      <c r="V161" s="15">
        <f t="shared" si="44"/>
        <v>0</v>
      </c>
      <c r="W161" s="18" t="str">
        <f t="shared" si="45"/>
        <v/>
      </c>
      <c r="X161" s="17">
        <v>0</v>
      </c>
      <c r="Y161" s="17">
        <v>0</v>
      </c>
      <c r="Z161" s="15">
        <f t="shared" si="46"/>
        <v>0</v>
      </c>
      <c r="AA161" s="17">
        <v>0</v>
      </c>
      <c r="AB161" s="17">
        <v>0</v>
      </c>
      <c r="AC161" s="15">
        <f t="shared" si="47"/>
        <v>0</v>
      </c>
      <c r="AD161" s="17">
        <v>0</v>
      </c>
      <c r="AE161" s="17">
        <v>0</v>
      </c>
      <c r="AF161" s="15">
        <f t="shared" si="48"/>
        <v>0</v>
      </c>
      <c r="AG161" s="17">
        <v>0</v>
      </c>
      <c r="AH161" s="17">
        <v>0</v>
      </c>
      <c r="AI161" s="15">
        <f t="shared" si="49"/>
        <v>0</v>
      </c>
      <c r="AJ161" s="17"/>
    </row>
    <row r="162" spans="1:36" hidden="1" x14ac:dyDescent="0.3">
      <c r="A162" s="15" t="s">
        <v>211</v>
      </c>
      <c r="B162" s="15">
        <v>100</v>
      </c>
      <c r="C162" s="15" t="s">
        <v>54</v>
      </c>
      <c r="D162" s="15" t="s">
        <v>55</v>
      </c>
      <c r="E162" s="15">
        <f>'3-july2026'!T162</f>
        <v>106</v>
      </c>
      <c r="F162" s="15">
        <f>'3-july2026'!U162</f>
        <v>165</v>
      </c>
      <c r="G162" s="15">
        <f>'3-july2026'!V162</f>
        <v>84</v>
      </c>
      <c r="H162" s="15">
        <f t="shared" si="40"/>
        <v>355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5">
        <f t="shared" si="41"/>
        <v>355</v>
      </c>
      <c r="T162" s="15">
        <f t="shared" si="42"/>
        <v>106</v>
      </c>
      <c r="U162" s="15">
        <f t="shared" si="43"/>
        <v>165</v>
      </c>
      <c r="V162" s="15">
        <f t="shared" si="44"/>
        <v>84</v>
      </c>
      <c r="W162" s="18" t="str">
        <f t="shared" si="45"/>
        <v/>
      </c>
      <c r="X162" s="17">
        <v>0</v>
      </c>
      <c r="Y162" s="17">
        <v>0</v>
      </c>
      <c r="Z162" s="15">
        <f t="shared" si="46"/>
        <v>0</v>
      </c>
      <c r="AA162" s="17">
        <v>0</v>
      </c>
      <c r="AB162" s="17">
        <v>0</v>
      </c>
      <c r="AC162" s="15">
        <f t="shared" si="47"/>
        <v>0</v>
      </c>
      <c r="AD162" s="17">
        <v>0</v>
      </c>
      <c r="AE162" s="17">
        <v>0</v>
      </c>
      <c r="AF162" s="15">
        <f t="shared" si="48"/>
        <v>0</v>
      </c>
      <c r="AG162" s="17">
        <v>0</v>
      </c>
      <c r="AH162" s="17">
        <v>0</v>
      </c>
      <c r="AI162" s="15">
        <f t="shared" si="49"/>
        <v>0</v>
      </c>
      <c r="AJ162" s="17"/>
    </row>
    <row r="163" spans="1:36" hidden="1" x14ac:dyDescent="0.3">
      <c r="A163" s="15" t="s">
        <v>212</v>
      </c>
      <c r="B163" s="15">
        <v>100</v>
      </c>
      <c r="C163" s="15" t="s">
        <v>54</v>
      </c>
      <c r="D163" s="15" t="s">
        <v>55</v>
      </c>
      <c r="E163" s="15">
        <f>'3-july2026'!T163</f>
        <v>14</v>
      </c>
      <c r="F163" s="15">
        <f>'3-july2026'!U163</f>
        <v>6</v>
      </c>
      <c r="G163" s="15">
        <f>'3-july2026'!V163</f>
        <v>0</v>
      </c>
      <c r="H163" s="15">
        <f t="shared" ref="H163:H194" si="50">E163+F163+G163</f>
        <v>20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5">
        <f t="shared" ref="S163:S194" si="51">H163+O163+P163+Q163+R163-(I163+J163+K163+L163+M163+N163)</f>
        <v>20</v>
      </c>
      <c r="T163" s="15">
        <f t="shared" ref="T163:T199" si="52">E163+O163-I163-L163</f>
        <v>14</v>
      </c>
      <c r="U163" s="15">
        <f t="shared" ref="U163:U199" si="53">F163+P163-J163-M163</f>
        <v>6</v>
      </c>
      <c r="V163" s="15">
        <f t="shared" ref="V163:V199" si="54">G163+Q163-K163-N163</f>
        <v>0</v>
      </c>
      <c r="W163" s="18" t="str">
        <f t="shared" ref="W163:W194" si="55">IF(MIN(T163,U163,V163)&lt;0,"NEGATIVE STOCK - CHECK ENTRIES","")</f>
        <v/>
      </c>
      <c r="X163" s="17">
        <v>0</v>
      </c>
      <c r="Y163" s="17">
        <v>0</v>
      </c>
      <c r="Z163" s="15">
        <f t="shared" ref="Z163:Z194" si="56">X163-Y163</f>
        <v>0</v>
      </c>
      <c r="AA163" s="17">
        <v>0</v>
      </c>
      <c r="AB163" s="17">
        <v>0</v>
      </c>
      <c r="AC163" s="15">
        <f t="shared" ref="AC163:AC194" si="57">AA163-AB163</f>
        <v>0</v>
      </c>
      <c r="AD163" s="17">
        <v>0</v>
      </c>
      <c r="AE163" s="17">
        <v>0</v>
      </c>
      <c r="AF163" s="15">
        <f t="shared" ref="AF163:AF194" si="58">AD163-AE163</f>
        <v>0</v>
      </c>
      <c r="AG163" s="17">
        <v>0</v>
      </c>
      <c r="AH163" s="17">
        <v>0</v>
      </c>
      <c r="AI163" s="15">
        <f t="shared" ref="AI163:AI194" si="59">AG163-AH163</f>
        <v>0</v>
      </c>
      <c r="AJ163" s="17"/>
    </row>
    <row r="164" spans="1:36" hidden="1" x14ac:dyDescent="0.3">
      <c r="A164" s="15" t="s">
        <v>213</v>
      </c>
      <c r="B164" s="15">
        <v>100</v>
      </c>
      <c r="C164" s="15" t="s">
        <v>54</v>
      </c>
      <c r="D164" s="15" t="s">
        <v>55</v>
      </c>
      <c r="E164" s="15">
        <f>'3-july2026'!T164</f>
        <v>714</v>
      </c>
      <c r="F164" s="15">
        <f>'3-july2026'!U164</f>
        <v>0</v>
      </c>
      <c r="G164" s="15">
        <f>'3-july2026'!V164</f>
        <v>38</v>
      </c>
      <c r="H164" s="15">
        <f t="shared" si="50"/>
        <v>752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5">
        <f t="shared" si="51"/>
        <v>752</v>
      </c>
      <c r="T164" s="15">
        <f t="shared" si="52"/>
        <v>714</v>
      </c>
      <c r="U164" s="15">
        <f t="shared" si="53"/>
        <v>0</v>
      </c>
      <c r="V164" s="15">
        <f t="shared" si="54"/>
        <v>38</v>
      </c>
      <c r="W164" s="18" t="str">
        <f t="shared" si="55"/>
        <v/>
      </c>
      <c r="X164" s="17">
        <v>0</v>
      </c>
      <c r="Y164" s="17">
        <v>0</v>
      </c>
      <c r="Z164" s="15">
        <f t="shared" si="56"/>
        <v>0</v>
      </c>
      <c r="AA164" s="17">
        <v>0</v>
      </c>
      <c r="AB164" s="17">
        <v>0</v>
      </c>
      <c r="AC164" s="15">
        <f t="shared" si="57"/>
        <v>0</v>
      </c>
      <c r="AD164" s="17">
        <v>0</v>
      </c>
      <c r="AE164" s="17">
        <v>0</v>
      </c>
      <c r="AF164" s="15">
        <f t="shared" si="58"/>
        <v>0</v>
      </c>
      <c r="AG164" s="17">
        <v>0</v>
      </c>
      <c r="AH164" s="17">
        <v>0</v>
      </c>
      <c r="AI164" s="15">
        <f t="shared" si="59"/>
        <v>0</v>
      </c>
      <c r="AJ164" s="17"/>
    </row>
    <row r="165" spans="1:36" hidden="1" x14ac:dyDescent="0.3">
      <c r="A165" s="15" t="s">
        <v>213</v>
      </c>
      <c r="B165" s="15">
        <v>1000</v>
      </c>
      <c r="C165" s="15" t="s">
        <v>54</v>
      </c>
      <c r="D165" s="15" t="s">
        <v>55</v>
      </c>
      <c r="E165" s="15">
        <f>'3-july2026'!T165</f>
        <v>480</v>
      </c>
      <c r="F165" s="15">
        <f>'3-july2026'!U165</f>
        <v>131</v>
      </c>
      <c r="G165" s="15">
        <f>'3-july2026'!V165</f>
        <v>17</v>
      </c>
      <c r="H165" s="15">
        <f t="shared" si="50"/>
        <v>628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5">
        <f t="shared" si="51"/>
        <v>628</v>
      </c>
      <c r="T165" s="15">
        <f t="shared" si="52"/>
        <v>480</v>
      </c>
      <c r="U165" s="15">
        <f t="shared" si="53"/>
        <v>131</v>
      </c>
      <c r="V165" s="15">
        <f t="shared" si="54"/>
        <v>17</v>
      </c>
      <c r="W165" s="18" t="str">
        <f t="shared" si="55"/>
        <v/>
      </c>
      <c r="X165" s="17">
        <v>0</v>
      </c>
      <c r="Y165" s="17">
        <v>0</v>
      </c>
      <c r="Z165" s="15">
        <f t="shared" si="56"/>
        <v>0</v>
      </c>
      <c r="AA165" s="17">
        <v>0</v>
      </c>
      <c r="AB165" s="17">
        <v>0</v>
      </c>
      <c r="AC165" s="15">
        <f t="shared" si="57"/>
        <v>0</v>
      </c>
      <c r="AD165" s="17">
        <v>0</v>
      </c>
      <c r="AE165" s="17">
        <v>0</v>
      </c>
      <c r="AF165" s="15">
        <f t="shared" si="58"/>
        <v>0</v>
      </c>
      <c r="AG165" s="17">
        <v>0</v>
      </c>
      <c r="AH165" s="17">
        <v>0</v>
      </c>
      <c r="AI165" s="15">
        <f t="shared" si="59"/>
        <v>0</v>
      </c>
      <c r="AJ165" s="17"/>
    </row>
    <row r="166" spans="1:36" hidden="1" x14ac:dyDescent="0.3">
      <c r="A166" s="15" t="s">
        <v>213</v>
      </c>
      <c r="B166" s="15">
        <v>500</v>
      </c>
      <c r="C166" s="15" t="s">
        <v>54</v>
      </c>
      <c r="D166" s="15" t="s">
        <v>55</v>
      </c>
      <c r="E166" s="15">
        <f>'3-july2026'!T166</f>
        <v>110</v>
      </c>
      <c r="F166" s="15">
        <f>'3-july2026'!U166</f>
        <v>0</v>
      </c>
      <c r="G166" s="15">
        <f>'3-july2026'!V166</f>
        <v>0</v>
      </c>
      <c r="H166" s="15">
        <f t="shared" si="50"/>
        <v>110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5">
        <f t="shared" si="51"/>
        <v>110</v>
      </c>
      <c r="T166" s="15">
        <f t="shared" si="52"/>
        <v>110</v>
      </c>
      <c r="U166" s="15">
        <f t="shared" si="53"/>
        <v>0</v>
      </c>
      <c r="V166" s="15">
        <f t="shared" si="54"/>
        <v>0</v>
      </c>
      <c r="W166" s="18" t="str">
        <f t="shared" si="55"/>
        <v/>
      </c>
      <c r="X166" s="17">
        <v>0</v>
      </c>
      <c r="Y166" s="17">
        <v>0</v>
      </c>
      <c r="Z166" s="15">
        <f t="shared" si="56"/>
        <v>0</v>
      </c>
      <c r="AA166" s="17">
        <v>0</v>
      </c>
      <c r="AB166" s="17">
        <v>0</v>
      </c>
      <c r="AC166" s="15">
        <f t="shared" si="57"/>
        <v>0</v>
      </c>
      <c r="AD166" s="17">
        <v>0</v>
      </c>
      <c r="AE166" s="17">
        <v>0</v>
      </c>
      <c r="AF166" s="15">
        <f t="shared" si="58"/>
        <v>0</v>
      </c>
      <c r="AG166" s="17">
        <v>0</v>
      </c>
      <c r="AH166" s="17">
        <v>0</v>
      </c>
      <c r="AI166" s="15">
        <f t="shared" si="59"/>
        <v>0</v>
      </c>
      <c r="AJ166" s="17"/>
    </row>
    <row r="167" spans="1:36" hidden="1" x14ac:dyDescent="0.3">
      <c r="A167" s="15" t="s">
        <v>214</v>
      </c>
      <c r="B167" s="15">
        <v>1000</v>
      </c>
      <c r="C167" s="15" t="s">
        <v>54</v>
      </c>
      <c r="D167" s="15" t="s">
        <v>55</v>
      </c>
      <c r="E167" s="15">
        <f>'3-july2026'!T167</f>
        <v>5</v>
      </c>
      <c r="F167" s="15">
        <f>'3-july2026'!U167</f>
        <v>0</v>
      </c>
      <c r="G167" s="15">
        <f>'3-july2026'!V167</f>
        <v>22</v>
      </c>
      <c r="H167" s="15">
        <f t="shared" si="50"/>
        <v>27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5">
        <f t="shared" si="51"/>
        <v>27</v>
      </c>
      <c r="T167" s="15">
        <f t="shared" si="52"/>
        <v>5</v>
      </c>
      <c r="U167" s="15">
        <f t="shared" si="53"/>
        <v>0</v>
      </c>
      <c r="V167" s="15">
        <f t="shared" si="54"/>
        <v>22</v>
      </c>
      <c r="W167" s="18" t="str">
        <f t="shared" si="55"/>
        <v/>
      </c>
      <c r="X167" s="17">
        <v>0</v>
      </c>
      <c r="Y167" s="17">
        <v>0</v>
      </c>
      <c r="Z167" s="15">
        <f t="shared" si="56"/>
        <v>0</v>
      </c>
      <c r="AA167" s="17">
        <v>0</v>
      </c>
      <c r="AB167" s="17">
        <v>0</v>
      </c>
      <c r="AC167" s="15">
        <f t="shared" si="57"/>
        <v>0</v>
      </c>
      <c r="AD167" s="17">
        <v>0</v>
      </c>
      <c r="AE167" s="17">
        <v>0</v>
      </c>
      <c r="AF167" s="15">
        <f t="shared" si="58"/>
        <v>0</v>
      </c>
      <c r="AG167" s="17">
        <v>0</v>
      </c>
      <c r="AH167" s="17">
        <v>0</v>
      </c>
      <c r="AI167" s="15">
        <f t="shared" si="59"/>
        <v>0</v>
      </c>
      <c r="AJ167" s="17"/>
    </row>
    <row r="168" spans="1:36" hidden="1" x14ac:dyDescent="0.3">
      <c r="A168" s="15" t="s">
        <v>215</v>
      </c>
      <c r="B168" s="15">
        <v>100</v>
      </c>
      <c r="C168" s="15" t="s">
        <v>54</v>
      </c>
      <c r="D168" s="15" t="s">
        <v>55</v>
      </c>
      <c r="E168" s="15">
        <f>'3-july2026'!T168</f>
        <v>353</v>
      </c>
      <c r="F168" s="15">
        <f>'3-july2026'!U168</f>
        <v>642</v>
      </c>
      <c r="G168" s="15">
        <f>'3-july2026'!V168</f>
        <v>10</v>
      </c>
      <c r="H168" s="15">
        <f t="shared" si="50"/>
        <v>1005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5">
        <f t="shared" si="51"/>
        <v>1005</v>
      </c>
      <c r="T168" s="15">
        <f t="shared" si="52"/>
        <v>353</v>
      </c>
      <c r="U168" s="15">
        <f t="shared" si="53"/>
        <v>642</v>
      </c>
      <c r="V168" s="15">
        <f t="shared" si="54"/>
        <v>10</v>
      </c>
      <c r="W168" s="18" t="str">
        <f t="shared" si="55"/>
        <v/>
      </c>
      <c r="X168" s="17">
        <v>0</v>
      </c>
      <c r="Y168" s="17">
        <v>0</v>
      </c>
      <c r="Z168" s="15">
        <f t="shared" si="56"/>
        <v>0</v>
      </c>
      <c r="AA168" s="17">
        <v>0</v>
      </c>
      <c r="AB168" s="17">
        <v>0</v>
      </c>
      <c r="AC168" s="15">
        <f t="shared" si="57"/>
        <v>0</v>
      </c>
      <c r="AD168" s="17">
        <v>0</v>
      </c>
      <c r="AE168" s="17">
        <v>0</v>
      </c>
      <c r="AF168" s="15">
        <f t="shared" si="58"/>
        <v>0</v>
      </c>
      <c r="AG168" s="17">
        <v>0</v>
      </c>
      <c r="AH168" s="17">
        <v>0</v>
      </c>
      <c r="AI168" s="15">
        <f t="shared" si="59"/>
        <v>0</v>
      </c>
      <c r="AJ168" s="17"/>
    </row>
    <row r="169" spans="1:36" hidden="1" x14ac:dyDescent="0.3">
      <c r="A169" s="15" t="s">
        <v>216</v>
      </c>
      <c r="B169" s="15">
        <v>100</v>
      </c>
      <c r="C169" s="15" t="s">
        <v>54</v>
      </c>
      <c r="D169" s="15" t="s">
        <v>55</v>
      </c>
      <c r="E169" s="15">
        <f>'3-july2026'!T169</f>
        <v>0</v>
      </c>
      <c r="F169" s="15">
        <f>'3-july2026'!U169</f>
        <v>9</v>
      </c>
      <c r="G169" s="15">
        <f>'3-july2026'!V169</f>
        <v>0</v>
      </c>
      <c r="H169" s="15">
        <f t="shared" si="50"/>
        <v>9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5">
        <f t="shared" si="51"/>
        <v>9</v>
      </c>
      <c r="T169" s="15">
        <f t="shared" si="52"/>
        <v>0</v>
      </c>
      <c r="U169" s="15">
        <f t="shared" si="53"/>
        <v>9</v>
      </c>
      <c r="V169" s="15">
        <f t="shared" si="54"/>
        <v>0</v>
      </c>
      <c r="W169" s="18" t="str">
        <f t="shared" si="55"/>
        <v/>
      </c>
      <c r="X169" s="17">
        <v>0</v>
      </c>
      <c r="Y169" s="17">
        <v>0</v>
      </c>
      <c r="Z169" s="15">
        <f t="shared" si="56"/>
        <v>0</v>
      </c>
      <c r="AA169" s="17">
        <v>0</v>
      </c>
      <c r="AB169" s="17">
        <v>0</v>
      </c>
      <c r="AC169" s="15">
        <f t="shared" si="57"/>
        <v>0</v>
      </c>
      <c r="AD169" s="17">
        <v>0</v>
      </c>
      <c r="AE169" s="17">
        <v>0</v>
      </c>
      <c r="AF169" s="15">
        <f t="shared" si="58"/>
        <v>0</v>
      </c>
      <c r="AG169" s="17">
        <v>0</v>
      </c>
      <c r="AH169" s="17">
        <v>0</v>
      </c>
      <c r="AI169" s="15">
        <f t="shared" si="59"/>
        <v>0</v>
      </c>
      <c r="AJ169" s="17"/>
    </row>
    <row r="170" spans="1:36" hidden="1" x14ac:dyDescent="0.3">
      <c r="A170" s="15" t="s">
        <v>217</v>
      </c>
      <c r="B170" s="15">
        <v>100</v>
      </c>
      <c r="C170" s="15" t="s">
        <v>54</v>
      </c>
      <c r="D170" s="15" t="s">
        <v>55</v>
      </c>
      <c r="E170" s="15">
        <f>'3-july2026'!T170</f>
        <v>32</v>
      </c>
      <c r="F170" s="15">
        <f>'3-july2026'!U170</f>
        <v>5</v>
      </c>
      <c r="G170" s="15">
        <f>'3-july2026'!V170</f>
        <v>1</v>
      </c>
      <c r="H170" s="15">
        <f t="shared" si="50"/>
        <v>38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1</v>
      </c>
      <c r="P170" s="17">
        <v>0</v>
      </c>
      <c r="Q170" s="17">
        <v>0</v>
      </c>
      <c r="R170" s="17">
        <v>0</v>
      </c>
      <c r="S170" s="15">
        <f t="shared" si="51"/>
        <v>39</v>
      </c>
      <c r="T170" s="15">
        <f t="shared" si="52"/>
        <v>33</v>
      </c>
      <c r="U170" s="15">
        <f t="shared" si="53"/>
        <v>5</v>
      </c>
      <c r="V170" s="15">
        <f t="shared" si="54"/>
        <v>1</v>
      </c>
      <c r="W170" s="18" t="str">
        <f t="shared" si="55"/>
        <v/>
      </c>
      <c r="X170" s="17">
        <v>0</v>
      </c>
      <c r="Y170" s="17">
        <v>0</v>
      </c>
      <c r="Z170" s="15">
        <f t="shared" si="56"/>
        <v>0</v>
      </c>
      <c r="AA170" s="17">
        <v>0</v>
      </c>
      <c r="AB170" s="17">
        <v>0</v>
      </c>
      <c r="AC170" s="15">
        <f t="shared" si="57"/>
        <v>0</v>
      </c>
      <c r="AD170" s="17">
        <v>0</v>
      </c>
      <c r="AE170" s="17">
        <v>0</v>
      </c>
      <c r="AF170" s="15">
        <f t="shared" si="58"/>
        <v>0</v>
      </c>
      <c r="AG170" s="17">
        <v>0</v>
      </c>
      <c r="AH170" s="17">
        <v>0</v>
      </c>
      <c r="AI170" s="15">
        <f t="shared" si="59"/>
        <v>0</v>
      </c>
      <c r="AJ170" s="17"/>
    </row>
    <row r="171" spans="1:36" hidden="1" x14ac:dyDescent="0.3">
      <c r="A171" s="15" t="s">
        <v>218</v>
      </c>
      <c r="B171" s="15">
        <v>100</v>
      </c>
      <c r="C171" s="15" t="s">
        <v>54</v>
      </c>
      <c r="D171" s="15" t="s">
        <v>55</v>
      </c>
      <c r="E171" s="15">
        <f>'3-july2026'!T171</f>
        <v>293</v>
      </c>
      <c r="F171" s="15">
        <f>'3-july2026'!U171</f>
        <v>47</v>
      </c>
      <c r="G171" s="15">
        <f>'3-july2026'!V171</f>
        <v>42</v>
      </c>
      <c r="H171" s="15">
        <f t="shared" si="50"/>
        <v>382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5">
        <f t="shared" si="51"/>
        <v>382</v>
      </c>
      <c r="T171" s="15">
        <f t="shared" si="52"/>
        <v>293</v>
      </c>
      <c r="U171" s="15">
        <f t="shared" si="53"/>
        <v>47</v>
      </c>
      <c r="V171" s="15">
        <f t="shared" si="54"/>
        <v>42</v>
      </c>
      <c r="W171" s="18" t="str">
        <f t="shared" si="55"/>
        <v/>
      </c>
      <c r="X171" s="17">
        <v>0</v>
      </c>
      <c r="Y171" s="17">
        <v>0</v>
      </c>
      <c r="Z171" s="15">
        <f t="shared" si="56"/>
        <v>0</v>
      </c>
      <c r="AA171" s="17">
        <v>0</v>
      </c>
      <c r="AB171" s="17">
        <v>0</v>
      </c>
      <c r="AC171" s="15">
        <f t="shared" si="57"/>
        <v>0</v>
      </c>
      <c r="AD171" s="17">
        <v>0</v>
      </c>
      <c r="AE171" s="17">
        <v>0</v>
      </c>
      <c r="AF171" s="15">
        <f t="shared" si="58"/>
        <v>0</v>
      </c>
      <c r="AG171" s="17">
        <v>0</v>
      </c>
      <c r="AH171" s="17">
        <v>0</v>
      </c>
      <c r="AI171" s="15">
        <f t="shared" si="59"/>
        <v>0</v>
      </c>
      <c r="AJ171" s="17"/>
    </row>
    <row r="172" spans="1:36" hidden="1" x14ac:dyDescent="0.3">
      <c r="A172" s="15" t="s">
        <v>219</v>
      </c>
      <c r="B172" s="15">
        <v>100</v>
      </c>
      <c r="C172" s="15" t="s">
        <v>54</v>
      </c>
      <c r="D172" s="15" t="s">
        <v>55</v>
      </c>
      <c r="E172" s="15">
        <f>'3-july2026'!T172</f>
        <v>37</v>
      </c>
      <c r="F172" s="15">
        <f>'3-july2026'!U172</f>
        <v>1</v>
      </c>
      <c r="G172" s="15">
        <f>'3-july2026'!V172</f>
        <v>0</v>
      </c>
      <c r="H172" s="15">
        <f t="shared" si="50"/>
        <v>38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5">
        <f t="shared" si="51"/>
        <v>38</v>
      </c>
      <c r="T172" s="15">
        <f t="shared" si="52"/>
        <v>37</v>
      </c>
      <c r="U172" s="15">
        <f t="shared" si="53"/>
        <v>1</v>
      </c>
      <c r="V172" s="15">
        <f t="shared" si="54"/>
        <v>0</v>
      </c>
      <c r="W172" s="18" t="str">
        <f t="shared" si="55"/>
        <v/>
      </c>
      <c r="X172" s="17">
        <v>0</v>
      </c>
      <c r="Y172" s="17">
        <v>0</v>
      </c>
      <c r="Z172" s="15">
        <f t="shared" si="56"/>
        <v>0</v>
      </c>
      <c r="AA172" s="17">
        <v>0</v>
      </c>
      <c r="AB172" s="17">
        <v>0</v>
      </c>
      <c r="AC172" s="15">
        <f t="shared" si="57"/>
        <v>0</v>
      </c>
      <c r="AD172" s="17">
        <v>0</v>
      </c>
      <c r="AE172" s="17">
        <v>0</v>
      </c>
      <c r="AF172" s="15">
        <f t="shared" si="58"/>
        <v>0</v>
      </c>
      <c r="AG172" s="17">
        <v>0</v>
      </c>
      <c r="AH172" s="17">
        <v>0</v>
      </c>
      <c r="AI172" s="15">
        <f t="shared" si="59"/>
        <v>0</v>
      </c>
      <c r="AJ172" s="17"/>
    </row>
    <row r="173" spans="1:36" x14ac:dyDescent="0.3">
      <c r="A173" s="15" t="s">
        <v>220</v>
      </c>
      <c r="B173" s="15">
        <v>1000</v>
      </c>
      <c r="C173" s="15" t="s">
        <v>54</v>
      </c>
      <c r="D173" s="15" t="s">
        <v>57</v>
      </c>
      <c r="E173" s="17">
        <v>5</v>
      </c>
      <c r="F173" s="17">
        <v>0</v>
      </c>
      <c r="G173" s="17">
        <v>0</v>
      </c>
      <c r="H173" s="15">
        <f t="shared" si="50"/>
        <v>5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5">
        <f t="shared" si="51"/>
        <v>5</v>
      </c>
      <c r="T173" s="15">
        <f t="shared" si="52"/>
        <v>5</v>
      </c>
      <c r="U173" s="15">
        <f t="shared" si="53"/>
        <v>0</v>
      </c>
      <c r="V173" s="15">
        <f t="shared" si="54"/>
        <v>0</v>
      </c>
      <c r="W173" s="18" t="str">
        <f t="shared" si="55"/>
        <v/>
      </c>
      <c r="X173" s="17">
        <v>0</v>
      </c>
      <c r="Y173" s="17">
        <v>0</v>
      </c>
      <c r="Z173" s="15">
        <f t="shared" si="56"/>
        <v>0</v>
      </c>
      <c r="AA173" s="17">
        <v>0</v>
      </c>
      <c r="AB173" s="17">
        <v>0</v>
      </c>
      <c r="AC173" s="15">
        <f t="shared" si="57"/>
        <v>0</v>
      </c>
      <c r="AD173" s="17">
        <v>0</v>
      </c>
      <c r="AE173" s="17">
        <v>0</v>
      </c>
      <c r="AF173" s="15">
        <f t="shared" si="58"/>
        <v>0</v>
      </c>
      <c r="AG173" s="17">
        <v>0</v>
      </c>
      <c r="AH173" s="17">
        <v>0</v>
      </c>
      <c r="AI173" s="15">
        <f t="shared" si="59"/>
        <v>0</v>
      </c>
      <c r="AJ173" s="17"/>
    </row>
    <row r="174" spans="1:36" x14ac:dyDescent="0.3">
      <c r="A174" s="15" t="s">
        <v>221</v>
      </c>
      <c r="B174" s="15">
        <v>1000</v>
      </c>
      <c r="C174" s="15" t="s">
        <v>54</v>
      </c>
      <c r="D174" s="15" t="s">
        <v>68</v>
      </c>
      <c r="E174" s="17">
        <v>2</v>
      </c>
      <c r="F174" s="17">
        <v>0</v>
      </c>
      <c r="G174" s="17">
        <v>0</v>
      </c>
      <c r="H174" s="15">
        <f t="shared" si="50"/>
        <v>2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5">
        <f t="shared" si="51"/>
        <v>2</v>
      </c>
      <c r="T174" s="15">
        <f t="shared" si="52"/>
        <v>2</v>
      </c>
      <c r="U174" s="15">
        <f t="shared" si="53"/>
        <v>0</v>
      </c>
      <c r="V174" s="15">
        <f t="shared" si="54"/>
        <v>0</v>
      </c>
      <c r="W174" s="18" t="str">
        <f t="shared" si="55"/>
        <v/>
      </c>
      <c r="X174" s="17">
        <v>0</v>
      </c>
      <c r="Y174" s="17">
        <v>0</v>
      </c>
      <c r="Z174" s="15">
        <f t="shared" si="56"/>
        <v>0</v>
      </c>
      <c r="AA174" s="17">
        <v>0</v>
      </c>
      <c r="AB174" s="17">
        <v>0</v>
      </c>
      <c r="AC174" s="15">
        <f t="shared" si="57"/>
        <v>0</v>
      </c>
      <c r="AD174" s="17">
        <v>0</v>
      </c>
      <c r="AE174" s="17">
        <v>0</v>
      </c>
      <c r="AF174" s="15">
        <f t="shared" si="58"/>
        <v>0</v>
      </c>
      <c r="AG174" s="17">
        <v>0</v>
      </c>
      <c r="AH174" s="17">
        <v>0</v>
      </c>
      <c r="AI174" s="15">
        <f t="shared" si="59"/>
        <v>0</v>
      </c>
      <c r="AJ174" s="17"/>
    </row>
    <row r="175" spans="1:36" x14ac:dyDescent="0.3">
      <c r="A175" s="15" t="s">
        <v>222</v>
      </c>
      <c r="B175" s="15">
        <v>1000</v>
      </c>
      <c r="C175" s="15" t="s">
        <v>54</v>
      </c>
      <c r="D175" s="15" t="s">
        <v>68</v>
      </c>
      <c r="E175" s="17">
        <v>2</v>
      </c>
      <c r="F175" s="17">
        <v>0</v>
      </c>
      <c r="G175" s="17">
        <v>0</v>
      </c>
      <c r="H175" s="15">
        <f t="shared" si="50"/>
        <v>2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5">
        <f t="shared" si="51"/>
        <v>2</v>
      </c>
      <c r="T175" s="15">
        <f t="shared" si="52"/>
        <v>2</v>
      </c>
      <c r="U175" s="15">
        <f t="shared" si="53"/>
        <v>0</v>
      </c>
      <c r="V175" s="15">
        <f t="shared" si="54"/>
        <v>0</v>
      </c>
      <c r="W175" s="18" t="str">
        <f t="shared" si="55"/>
        <v/>
      </c>
      <c r="X175" s="17">
        <v>0</v>
      </c>
      <c r="Y175" s="17">
        <v>0</v>
      </c>
      <c r="Z175" s="15">
        <f t="shared" si="56"/>
        <v>0</v>
      </c>
      <c r="AA175" s="17">
        <v>0</v>
      </c>
      <c r="AB175" s="17">
        <v>0</v>
      </c>
      <c r="AC175" s="15">
        <f t="shared" si="57"/>
        <v>0</v>
      </c>
      <c r="AD175" s="17">
        <v>0</v>
      </c>
      <c r="AE175" s="17">
        <v>0</v>
      </c>
      <c r="AF175" s="15">
        <f t="shared" si="58"/>
        <v>0</v>
      </c>
      <c r="AG175" s="17">
        <v>0</v>
      </c>
      <c r="AH175" s="17">
        <v>0</v>
      </c>
      <c r="AI175" s="15">
        <f t="shared" si="59"/>
        <v>0</v>
      </c>
      <c r="AJ175" s="17"/>
    </row>
    <row r="176" spans="1:36" x14ac:dyDescent="0.3">
      <c r="A176" s="15" t="s">
        <v>223</v>
      </c>
      <c r="B176" s="15">
        <v>100</v>
      </c>
      <c r="C176" s="15" t="s">
        <v>54</v>
      </c>
      <c r="D176" s="15" t="s">
        <v>57</v>
      </c>
      <c r="E176" s="17">
        <v>1</v>
      </c>
      <c r="F176" s="17">
        <v>0</v>
      </c>
      <c r="G176" s="17">
        <v>0</v>
      </c>
      <c r="H176" s="15">
        <f t="shared" si="50"/>
        <v>1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5">
        <f t="shared" si="51"/>
        <v>1</v>
      </c>
      <c r="T176" s="15">
        <f t="shared" si="52"/>
        <v>1</v>
      </c>
      <c r="U176" s="15">
        <f t="shared" si="53"/>
        <v>0</v>
      </c>
      <c r="V176" s="15">
        <f t="shared" si="54"/>
        <v>0</v>
      </c>
      <c r="W176" s="18" t="str">
        <f t="shared" si="55"/>
        <v/>
      </c>
      <c r="X176" s="17">
        <v>0</v>
      </c>
      <c r="Y176" s="17">
        <v>0</v>
      </c>
      <c r="Z176" s="15">
        <f t="shared" si="56"/>
        <v>0</v>
      </c>
      <c r="AA176" s="17">
        <v>0</v>
      </c>
      <c r="AB176" s="17">
        <v>0</v>
      </c>
      <c r="AC176" s="15">
        <f t="shared" si="57"/>
        <v>0</v>
      </c>
      <c r="AD176" s="17">
        <v>0</v>
      </c>
      <c r="AE176" s="17">
        <v>0</v>
      </c>
      <c r="AF176" s="15">
        <f t="shared" si="58"/>
        <v>0</v>
      </c>
      <c r="AG176" s="17">
        <v>0</v>
      </c>
      <c r="AH176" s="17">
        <v>0</v>
      </c>
      <c r="AI176" s="15">
        <f t="shared" si="59"/>
        <v>0</v>
      </c>
      <c r="AJ176" s="17"/>
    </row>
    <row r="177" spans="1:36" hidden="1" x14ac:dyDescent="0.3">
      <c r="A177" s="15" t="s">
        <v>224</v>
      </c>
      <c r="B177" s="15" t="s">
        <v>225</v>
      </c>
      <c r="C177" s="15" t="s">
        <v>54</v>
      </c>
      <c r="D177" s="15" t="s">
        <v>55</v>
      </c>
      <c r="E177" s="15">
        <f>'3-july2026'!T177</f>
        <v>0</v>
      </c>
      <c r="F177" s="15">
        <f>'3-july2026'!U177</f>
        <v>4</v>
      </c>
      <c r="G177" s="15">
        <f>'3-july2026'!V177</f>
        <v>0</v>
      </c>
      <c r="H177" s="15">
        <f t="shared" si="50"/>
        <v>4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5">
        <f t="shared" si="51"/>
        <v>4</v>
      </c>
      <c r="T177" s="15">
        <f t="shared" si="52"/>
        <v>0</v>
      </c>
      <c r="U177" s="15">
        <f t="shared" si="53"/>
        <v>4</v>
      </c>
      <c r="V177" s="15">
        <f t="shared" si="54"/>
        <v>0</v>
      </c>
      <c r="W177" s="18" t="str">
        <f t="shared" si="55"/>
        <v/>
      </c>
      <c r="X177" s="17">
        <v>0</v>
      </c>
      <c r="Y177" s="17">
        <v>0</v>
      </c>
      <c r="Z177" s="15">
        <f t="shared" si="56"/>
        <v>0</v>
      </c>
      <c r="AA177" s="17">
        <v>0</v>
      </c>
      <c r="AB177" s="17">
        <v>0</v>
      </c>
      <c r="AC177" s="15">
        <f t="shared" si="57"/>
        <v>0</v>
      </c>
      <c r="AD177" s="17">
        <v>0</v>
      </c>
      <c r="AE177" s="17">
        <v>0</v>
      </c>
      <c r="AF177" s="15">
        <f t="shared" si="58"/>
        <v>0</v>
      </c>
      <c r="AG177" s="17">
        <v>0</v>
      </c>
      <c r="AH177" s="17">
        <v>0</v>
      </c>
      <c r="AI177" s="15">
        <f t="shared" si="59"/>
        <v>0</v>
      </c>
      <c r="AJ177" s="17"/>
    </row>
    <row r="178" spans="1:36" x14ac:dyDescent="0.3">
      <c r="A178" s="15" t="s">
        <v>226</v>
      </c>
      <c r="B178" s="15">
        <v>100</v>
      </c>
      <c r="C178" s="15" t="s">
        <v>54</v>
      </c>
      <c r="D178" s="15" t="s">
        <v>68</v>
      </c>
      <c r="E178" s="17">
        <v>2</v>
      </c>
      <c r="F178" s="17">
        <v>0</v>
      </c>
      <c r="G178" s="17">
        <v>0</v>
      </c>
      <c r="H178" s="15">
        <f t="shared" si="50"/>
        <v>2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5">
        <f t="shared" si="51"/>
        <v>2</v>
      </c>
      <c r="T178" s="15">
        <f t="shared" si="52"/>
        <v>2</v>
      </c>
      <c r="U178" s="15">
        <f t="shared" si="53"/>
        <v>0</v>
      </c>
      <c r="V178" s="15">
        <f t="shared" si="54"/>
        <v>0</v>
      </c>
      <c r="W178" s="18" t="str">
        <f t="shared" si="55"/>
        <v/>
      </c>
      <c r="X178" s="17">
        <v>0</v>
      </c>
      <c r="Y178" s="17">
        <v>0</v>
      </c>
      <c r="Z178" s="15">
        <f t="shared" si="56"/>
        <v>0</v>
      </c>
      <c r="AA178" s="17">
        <v>0</v>
      </c>
      <c r="AB178" s="17">
        <v>0</v>
      </c>
      <c r="AC178" s="15">
        <f t="shared" si="57"/>
        <v>0</v>
      </c>
      <c r="AD178" s="17">
        <v>0</v>
      </c>
      <c r="AE178" s="17">
        <v>0</v>
      </c>
      <c r="AF178" s="15">
        <f t="shared" si="58"/>
        <v>0</v>
      </c>
      <c r="AG178" s="17">
        <v>0</v>
      </c>
      <c r="AH178" s="17">
        <v>0</v>
      </c>
      <c r="AI178" s="15">
        <f t="shared" si="59"/>
        <v>0</v>
      </c>
      <c r="AJ178" s="17"/>
    </row>
    <row r="179" spans="1:36" hidden="1" x14ac:dyDescent="0.3">
      <c r="A179" s="15" t="s">
        <v>227</v>
      </c>
      <c r="B179" s="15">
        <v>100</v>
      </c>
      <c r="C179" s="15" t="s">
        <v>54</v>
      </c>
      <c r="D179" s="15" t="s">
        <v>55</v>
      </c>
      <c r="E179" s="15">
        <f>'3-july2026'!T179</f>
        <v>81</v>
      </c>
      <c r="F179" s="15">
        <f>'3-july2026'!U179</f>
        <v>0</v>
      </c>
      <c r="G179" s="15">
        <f>'3-july2026'!V179</f>
        <v>0</v>
      </c>
      <c r="H179" s="15">
        <f t="shared" si="50"/>
        <v>81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5">
        <f t="shared" si="51"/>
        <v>81</v>
      </c>
      <c r="T179" s="15">
        <f t="shared" si="52"/>
        <v>81</v>
      </c>
      <c r="U179" s="15">
        <f t="shared" si="53"/>
        <v>0</v>
      </c>
      <c r="V179" s="15">
        <f t="shared" si="54"/>
        <v>0</v>
      </c>
      <c r="W179" s="18" t="str">
        <f t="shared" si="55"/>
        <v/>
      </c>
      <c r="X179" s="17">
        <v>0</v>
      </c>
      <c r="Y179" s="17">
        <v>0</v>
      </c>
      <c r="Z179" s="15">
        <f t="shared" si="56"/>
        <v>0</v>
      </c>
      <c r="AA179" s="17">
        <v>0</v>
      </c>
      <c r="AB179" s="17">
        <v>0</v>
      </c>
      <c r="AC179" s="15">
        <f t="shared" si="57"/>
        <v>0</v>
      </c>
      <c r="AD179" s="17">
        <v>0</v>
      </c>
      <c r="AE179" s="17">
        <v>0</v>
      </c>
      <c r="AF179" s="15">
        <f t="shared" si="58"/>
        <v>0</v>
      </c>
      <c r="AG179" s="17">
        <v>0</v>
      </c>
      <c r="AH179" s="17">
        <v>0</v>
      </c>
      <c r="AI179" s="15">
        <f t="shared" si="59"/>
        <v>0</v>
      </c>
      <c r="AJ179" s="17"/>
    </row>
    <row r="180" spans="1:36" x14ac:dyDescent="0.3">
      <c r="A180" s="15" t="s">
        <v>228</v>
      </c>
      <c r="B180" s="15">
        <v>1000</v>
      </c>
      <c r="C180" s="15" t="s">
        <v>54</v>
      </c>
      <c r="D180" s="15" t="s">
        <v>57</v>
      </c>
      <c r="E180" s="17">
        <v>5</v>
      </c>
      <c r="F180" s="17">
        <v>0</v>
      </c>
      <c r="G180" s="17">
        <v>0</v>
      </c>
      <c r="H180" s="15">
        <f t="shared" si="50"/>
        <v>5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5">
        <f t="shared" si="51"/>
        <v>5</v>
      </c>
      <c r="T180" s="15">
        <f t="shared" si="52"/>
        <v>5</v>
      </c>
      <c r="U180" s="15">
        <f t="shared" si="53"/>
        <v>0</v>
      </c>
      <c r="V180" s="15">
        <f t="shared" si="54"/>
        <v>0</v>
      </c>
      <c r="W180" s="18" t="str">
        <f t="shared" si="55"/>
        <v/>
      </c>
      <c r="X180" s="17">
        <v>0</v>
      </c>
      <c r="Y180" s="17">
        <v>0</v>
      </c>
      <c r="Z180" s="15">
        <f t="shared" si="56"/>
        <v>0</v>
      </c>
      <c r="AA180" s="17">
        <v>0</v>
      </c>
      <c r="AB180" s="17">
        <v>0</v>
      </c>
      <c r="AC180" s="15">
        <f t="shared" si="57"/>
        <v>0</v>
      </c>
      <c r="AD180" s="17">
        <v>0</v>
      </c>
      <c r="AE180" s="17">
        <v>0</v>
      </c>
      <c r="AF180" s="15">
        <f t="shared" si="58"/>
        <v>0</v>
      </c>
      <c r="AG180" s="17">
        <v>0</v>
      </c>
      <c r="AH180" s="17">
        <v>0</v>
      </c>
      <c r="AI180" s="15">
        <f t="shared" si="59"/>
        <v>0</v>
      </c>
      <c r="AJ180" s="17"/>
    </row>
    <row r="181" spans="1:36" x14ac:dyDescent="0.3">
      <c r="A181" s="15" t="s">
        <v>229</v>
      </c>
      <c r="B181" s="15">
        <v>100</v>
      </c>
      <c r="C181" s="15" t="s">
        <v>54</v>
      </c>
      <c r="D181" s="15" t="s">
        <v>68</v>
      </c>
      <c r="E181" s="17">
        <v>3</v>
      </c>
      <c r="F181" s="17">
        <v>0</v>
      </c>
      <c r="G181" s="17">
        <v>0</v>
      </c>
      <c r="H181" s="15">
        <f t="shared" si="50"/>
        <v>3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5">
        <f t="shared" si="51"/>
        <v>3</v>
      </c>
      <c r="T181" s="15">
        <f t="shared" si="52"/>
        <v>3</v>
      </c>
      <c r="U181" s="15">
        <f t="shared" si="53"/>
        <v>0</v>
      </c>
      <c r="V181" s="15">
        <f t="shared" si="54"/>
        <v>0</v>
      </c>
      <c r="W181" s="18" t="str">
        <f t="shared" si="55"/>
        <v/>
      </c>
      <c r="X181" s="17">
        <v>0</v>
      </c>
      <c r="Y181" s="17">
        <v>0</v>
      </c>
      <c r="Z181" s="15">
        <f t="shared" si="56"/>
        <v>0</v>
      </c>
      <c r="AA181" s="17">
        <v>0</v>
      </c>
      <c r="AB181" s="17">
        <v>0</v>
      </c>
      <c r="AC181" s="15">
        <f t="shared" si="57"/>
        <v>0</v>
      </c>
      <c r="AD181" s="17">
        <v>0</v>
      </c>
      <c r="AE181" s="17">
        <v>0</v>
      </c>
      <c r="AF181" s="15">
        <f t="shared" si="58"/>
        <v>0</v>
      </c>
      <c r="AG181" s="17">
        <v>0</v>
      </c>
      <c r="AH181" s="17">
        <v>0</v>
      </c>
      <c r="AI181" s="15">
        <f t="shared" si="59"/>
        <v>0</v>
      </c>
      <c r="AJ181" s="17"/>
    </row>
    <row r="182" spans="1:36" x14ac:dyDescent="0.3">
      <c r="A182" s="15" t="s">
        <v>230</v>
      </c>
      <c r="B182" s="15">
        <v>1000</v>
      </c>
      <c r="C182" s="15" t="s">
        <v>54</v>
      </c>
      <c r="D182" s="15" t="s">
        <v>68</v>
      </c>
      <c r="E182" s="17">
        <v>2</v>
      </c>
      <c r="F182" s="17">
        <v>0</v>
      </c>
      <c r="G182" s="17">
        <v>0</v>
      </c>
      <c r="H182" s="15">
        <f t="shared" si="50"/>
        <v>2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5">
        <f t="shared" si="51"/>
        <v>2</v>
      </c>
      <c r="T182" s="15">
        <f t="shared" si="52"/>
        <v>2</v>
      </c>
      <c r="U182" s="15">
        <f t="shared" si="53"/>
        <v>0</v>
      </c>
      <c r="V182" s="15">
        <f t="shared" si="54"/>
        <v>0</v>
      </c>
      <c r="W182" s="18" t="str">
        <f t="shared" si="55"/>
        <v/>
      </c>
      <c r="X182" s="17">
        <v>0</v>
      </c>
      <c r="Y182" s="17">
        <v>0</v>
      </c>
      <c r="Z182" s="15">
        <f t="shared" si="56"/>
        <v>0</v>
      </c>
      <c r="AA182" s="17">
        <v>0</v>
      </c>
      <c r="AB182" s="17">
        <v>0</v>
      </c>
      <c r="AC182" s="15">
        <f t="shared" si="57"/>
        <v>0</v>
      </c>
      <c r="AD182" s="17">
        <v>0</v>
      </c>
      <c r="AE182" s="17">
        <v>0</v>
      </c>
      <c r="AF182" s="15">
        <f t="shared" si="58"/>
        <v>0</v>
      </c>
      <c r="AG182" s="17">
        <v>0</v>
      </c>
      <c r="AH182" s="17">
        <v>0</v>
      </c>
      <c r="AI182" s="15">
        <f t="shared" si="59"/>
        <v>0</v>
      </c>
      <c r="AJ182" s="17"/>
    </row>
    <row r="183" spans="1:36" x14ac:dyDescent="0.3">
      <c r="A183" s="15" t="s">
        <v>231</v>
      </c>
      <c r="B183" s="15">
        <v>100</v>
      </c>
      <c r="C183" s="15" t="s">
        <v>54</v>
      </c>
      <c r="D183" s="15" t="s">
        <v>57</v>
      </c>
      <c r="E183" s="17">
        <v>1</v>
      </c>
      <c r="F183" s="17">
        <v>0</v>
      </c>
      <c r="G183" s="17">
        <v>0</v>
      </c>
      <c r="H183" s="15">
        <f t="shared" si="50"/>
        <v>1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5">
        <f t="shared" si="51"/>
        <v>1</v>
      </c>
      <c r="T183" s="15">
        <f t="shared" si="52"/>
        <v>1</v>
      </c>
      <c r="U183" s="15">
        <f t="shared" si="53"/>
        <v>0</v>
      </c>
      <c r="V183" s="15">
        <f t="shared" si="54"/>
        <v>0</v>
      </c>
      <c r="W183" s="18" t="str">
        <f t="shared" si="55"/>
        <v/>
      </c>
      <c r="X183" s="17">
        <v>0</v>
      </c>
      <c r="Y183" s="17">
        <v>0</v>
      </c>
      <c r="Z183" s="15">
        <f t="shared" si="56"/>
        <v>0</v>
      </c>
      <c r="AA183" s="17">
        <v>0</v>
      </c>
      <c r="AB183" s="17">
        <v>0</v>
      </c>
      <c r="AC183" s="15">
        <f t="shared" si="57"/>
        <v>0</v>
      </c>
      <c r="AD183" s="17">
        <v>0</v>
      </c>
      <c r="AE183" s="17">
        <v>0</v>
      </c>
      <c r="AF183" s="15">
        <f t="shared" si="58"/>
        <v>0</v>
      </c>
      <c r="AG183" s="17">
        <v>0</v>
      </c>
      <c r="AH183" s="17">
        <v>0</v>
      </c>
      <c r="AI183" s="15">
        <f t="shared" si="59"/>
        <v>0</v>
      </c>
      <c r="AJ183" s="17"/>
    </row>
    <row r="184" spans="1:36" x14ac:dyDescent="0.3">
      <c r="A184" s="15" t="s">
        <v>232</v>
      </c>
      <c r="B184" s="15">
        <v>100000</v>
      </c>
      <c r="C184" s="15" t="s">
        <v>54</v>
      </c>
      <c r="D184" s="15" t="s">
        <v>68</v>
      </c>
      <c r="E184" s="17">
        <v>2</v>
      </c>
      <c r="F184" s="17">
        <v>0</v>
      </c>
      <c r="G184" s="17">
        <v>0</v>
      </c>
      <c r="H184" s="15">
        <f t="shared" si="50"/>
        <v>2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5">
        <f t="shared" si="51"/>
        <v>2</v>
      </c>
      <c r="T184" s="15">
        <f t="shared" si="52"/>
        <v>2</v>
      </c>
      <c r="U184" s="15">
        <f t="shared" si="53"/>
        <v>0</v>
      </c>
      <c r="V184" s="15">
        <f t="shared" si="54"/>
        <v>0</v>
      </c>
      <c r="W184" s="18" t="str">
        <f t="shared" si="55"/>
        <v/>
      </c>
      <c r="X184" s="17">
        <v>0</v>
      </c>
      <c r="Y184" s="17">
        <v>0</v>
      </c>
      <c r="Z184" s="15">
        <f t="shared" si="56"/>
        <v>0</v>
      </c>
      <c r="AA184" s="17">
        <v>0</v>
      </c>
      <c r="AB184" s="17">
        <v>0</v>
      </c>
      <c r="AC184" s="15">
        <f t="shared" si="57"/>
        <v>0</v>
      </c>
      <c r="AD184" s="17">
        <v>0</v>
      </c>
      <c r="AE184" s="17">
        <v>0</v>
      </c>
      <c r="AF184" s="15">
        <f t="shared" si="58"/>
        <v>0</v>
      </c>
      <c r="AG184" s="17">
        <v>0</v>
      </c>
      <c r="AH184" s="17">
        <v>0</v>
      </c>
      <c r="AI184" s="15">
        <f t="shared" si="59"/>
        <v>0</v>
      </c>
      <c r="AJ184" s="17"/>
    </row>
    <row r="185" spans="1:36" x14ac:dyDescent="0.3">
      <c r="A185" s="15" t="s">
        <v>233</v>
      </c>
      <c r="B185" s="15">
        <v>100</v>
      </c>
      <c r="C185" s="15" t="s">
        <v>54</v>
      </c>
      <c r="D185" s="15" t="s">
        <v>57</v>
      </c>
      <c r="E185" s="17">
        <v>3</v>
      </c>
      <c r="F185" s="17">
        <v>0</v>
      </c>
      <c r="G185" s="17">
        <v>0</v>
      </c>
      <c r="H185" s="15">
        <f t="shared" si="50"/>
        <v>3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5">
        <f t="shared" si="51"/>
        <v>3</v>
      </c>
      <c r="T185" s="15">
        <f t="shared" si="52"/>
        <v>3</v>
      </c>
      <c r="U185" s="15">
        <f t="shared" si="53"/>
        <v>0</v>
      </c>
      <c r="V185" s="15">
        <f t="shared" si="54"/>
        <v>0</v>
      </c>
      <c r="W185" s="18" t="str">
        <f t="shared" si="55"/>
        <v/>
      </c>
      <c r="X185" s="17">
        <v>0</v>
      </c>
      <c r="Y185" s="17">
        <v>0</v>
      </c>
      <c r="Z185" s="15">
        <f t="shared" si="56"/>
        <v>0</v>
      </c>
      <c r="AA185" s="17">
        <v>0</v>
      </c>
      <c r="AB185" s="17">
        <v>0</v>
      </c>
      <c r="AC185" s="15">
        <f t="shared" si="57"/>
        <v>0</v>
      </c>
      <c r="AD185" s="17">
        <v>0</v>
      </c>
      <c r="AE185" s="17">
        <v>0</v>
      </c>
      <c r="AF185" s="15">
        <f t="shared" si="58"/>
        <v>0</v>
      </c>
      <c r="AG185" s="17">
        <v>0</v>
      </c>
      <c r="AH185" s="17">
        <v>0</v>
      </c>
      <c r="AI185" s="15">
        <f t="shared" si="59"/>
        <v>0</v>
      </c>
      <c r="AJ185" s="17"/>
    </row>
    <row r="186" spans="1:36" x14ac:dyDescent="0.3">
      <c r="A186" s="15" t="s">
        <v>234</v>
      </c>
      <c r="B186" s="15">
        <v>1000</v>
      </c>
      <c r="C186" s="15" t="s">
        <v>54</v>
      </c>
      <c r="D186" s="15" t="s">
        <v>68</v>
      </c>
      <c r="E186" s="17">
        <v>2</v>
      </c>
      <c r="F186" s="17">
        <v>0</v>
      </c>
      <c r="G186" s="17">
        <v>0</v>
      </c>
      <c r="H186" s="15">
        <f t="shared" si="50"/>
        <v>2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5">
        <f t="shared" si="51"/>
        <v>2</v>
      </c>
      <c r="T186" s="15">
        <f t="shared" si="52"/>
        <v>2</v>
      </c>
      <c r="U186" s="15">
        <f t="shared" si="53"/>
        <v>0</v>
      </c>
      <c r="V186" s="15">
        <f t="shared" si="54"/>
        <v>0</v>
      </c>
      <c r="W186" s="18" t="str">
        <f t="shared" si="55"/>
        <v/>
      </c>
      <c r="X186" s="17">
        <v>0</v>
      </c>
      <c r="Y186" s="17">
        <v>0</v>
      </c>
      <c r="Z186" s="15">
        <f t="shared" si="56"/>
        <v>0</v>
      </c>
      <c r="AA186" s="17">
        <v>0</v>
      </c>
      <c r="AB186" s="17">
        <v>0</v>
      </c>
      <c r="AC186" s="15">
        <f t="shared" si="57"/>
        <v>0</v>
      </c>
      <c r="AD186" s="17">
        <v>0</v>
      </c>
      <c r="AE186" s="17">
        <v>0</v>
      </c>
      <c r="AF186" s="15">
        <f t="shared" si="58"/>
        <v>0</v>
      </c>
      <c r="AG186" s="17">
        <v>0</v>
      </c>
      <c r="AH186" s="17">
        <v>0</v>
      </c>
      <c r="AI186" s="15">
        <f t="shared" si="59"/>
        <v>0</v>
      </c>
      <c r="AJ186" s="17"/>
    </row>
    <row r="187" spans="1:36" x14ac:dyDescent="0.3">
      <c r="A187" s="15" t="s">
        <v>235</v>
      </c>
      <c r="B187" s="15">
        <v>100000</v>
      </c>
      <c r="C187" s="15" t="s">
        <v>54</v>
      </c>
      <c r="D187" s="15" t="s">
        <v>68</v>
      </c>
      <c r="E187" s="17">
        <v>3</v>
      </c>
      <c r="F187" s="17">
        <v>0</v>
      </c>
      <c r="G187" s="17">
        <v>0</v>
      </c>
      <c r="H187" s="15">
        <f t="shared" si="50"/>
        <v>3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5">
        <f t="shared" si="51"/>
        <v>3</v>
      </c>
      <c r="T187" s="15">
        <f t="shared" si="52"/>
        <v>3</v>
      </c>
      <c r="U187" s="15">
        <f t="shared" si="53"/>
        <v>0</v>
      </c>
      <c r="V187" s="15">
        <f t="shared" si="54"/>
        <v>0</v>
      </c>
      <c r="W187" s="18" t="str">
        <f t="shared" si="55"/>
        <v/>
      </c>
      <c r="X187" s="17">
        <v>0</v>
      </c>
      <c r="Y187" s="17">
        <v>0</v>
      </c>
      <c r="Z187" s="15">
        <f t="shared" si="56"/>
        <v>0</v>
      </c>
      <c r="AA187" s="17">
        <v>0</v>
      </c>
      <c r="AB187" s="17">
        <v>0</v>
      </c>
      <c r="AC187" s="15">
        <f t="shared" si="57"/>
        <v>0</v>
      </c>
      <c r="AD187" s="17">
        <v>0</v>
      </c>
      <c r="AE187" s="17">
        <v>0</v>
      </c>
      <c r="AF187" s="15">
        <f t="shared" si="58"/>
        <v>0</v>
      </c>
      <c r="AG187" s="17">
        <v>0</v>
      </c>
      <c r="AH187" s="17">
        <v>0</v>
      </c>
      <c r="AI187" s="15">
        <f t="shared" si="59"/>
        <v>0</v>
      </c>
      <c r="AJ187" s="17"/>
    </row>
    <row r="188" spans="1:36" hidden="1" x14ac:dyDescent="0.3">
      <c r="A188" s="15" t="s">
        <v>236</v>
      </c>
      <c r="B188" s="15">
        <v>1000</v>
      </c>
      <c r="C188" s="15" t="s">
        <v>54</v>
      </c>
      <c r="D188" s="15" t="s">
        <v>55</v>
      </c>
      <c r="E188" s="15">
        <f>'3-july2026'!T188</f>
        <v>14</v>
      </c>
      <c r="F188" s="15">
        <f>'3-july2026'!U188</f>
        <v>0</v>
      </c>
      <c r="G188" s="15">
        <f>'3-july2026'!V188</f>
        <v>0</v>
      </c>
      <c r="H188" s="15">
        <f t="shared" si="50"/>
        <v>14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5">
        <f t="shared" si="51"/>
        <v>14</v>
      </c>
      <c r="T188" s="15">
        <f t="shared" si="52"/>
        <v>14</v>
      </c>
      <c r="U188" s="15">
        <f t="shared" si="53"/>
        <v>0</v>
      </c>
      <c r="V188" s="15">
        <f t="shared" si="54"/>
        <v>0</v>
      </c>
      <c r="W188" s="18" t="str">
        <f t="shared" si="55"/>
        <v/>
      </c>
      <c r="X188" s="17">
        <v>0</v>
      </c>
      <c r="Y188" s="17">
        <v>0</v>
      </c>
      <c r="Z188" s="15">
        <f t="shared" si="56"/>
        <v>0</v>
      </c>
      <c r="AA188" s="17">
        <v>0</v>
      </c>
      <c r="AB188" s="17">
        <v>0</v>
      </c>
      <c r="AC188" s="15">
        <f t="shared" si="57"/>
        <v>0</v>
      </c>
      <c r="AD188" s="17">
        <v>0</v>
      </c>
      <c r="AE188" s="17">
        <v>0</v>
      </c>
      <c r="AF188" s="15">
        <f t="shared" si="58"/>
        <v>0</v>
      </c>
      <c r="AG188" s="17">
        <v>0</v>
      </c>
      <c r="AH188" s="17">
        <v>0</v>
      </c>
      <c r="AI188" s="15">
        <f t="shared" si="59"/>
        <v>0</v>
      </c>
      <c r="AJ188" s="17"/>
    </row>
    <row r="189" spans="1:36" hidden="1" x14ac:dyDescent="0.3">
      <c r="A189" s="15" t="s">
        <v>237</v>
      </c>
      <c r="B189" s="15">
        <v>1000</v>
      </c>
      <c r="C189" s="15" t="s">
        <v>54</v>
      </c>
      <c r="D189" s="15" t="s">
        <v>55</v>
      </c>
      <c r="E189" s="15">
        <f>'3-july2026'!T189</f>
        <v>0</v>
      </c>
      <c r="F189" s="15">
        <f>'3-july2026'!U189</f>
        <v>29</v>
      </c>
      <c r="G189" s="15">
        <f>'3-july2026'!V189</f>
        <v>1</v>
      </c>
      <c r="H189" s="15">
        <f t="shared" si="50"/>
        <v>30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5">
        <f t="shared" si="51"/>
        <v>30</v>
      </c>
      <c r="T189" s="15">
        <f t="shared" si="52"/>
        <v>0</v>
      </c>
      <c r="U189" s="15">
        <f t="shared" si="53"/>
        <v>29</v>
      </c>
      <c r="V189" s="15">
        <f t="shared" si="54"/>
        <v>1</v>
      </c>
      <c r="W189" s="18" t="str">
        <f t="shared" si="55"/>
        <v/>
      </c>
      <c r="X189" s="17">
        <v>0</v>
      </c>
      <c r="Y189" s="17">
        <v>0</v>
      </c>
      <c r="Z189" s="15">
        <f t="shared" si="56"/>
        <v>0</v>
      </c>
      <c r="AA189" s="17">
        <v>0</v>
      </c>
      <c r="AB189" s="17">
        <v>0</v>
      </c>
      <c r="AC189" s="15">
        <f t="shared" si="57"/>
        <v>0</v>
      </c>
      <c r="AD189" s="17">
        <v>0</v>
      </c>
      <c r="AE189" s="17">
        <v>0</v>
      </c>
      <c r="AF189" s="15">
        <f t="shared" si="58"/>
        <v>0</v>
      </c>
      <c r="AG189" s="17">
        <v>0</v>
      </c>
      <c r="AH189" s="17">
        <v>0</v>
      </c>
      <c r="AI189" s="15">
        <f t="shared" si="59"/>
        <v>0</v>
      </c>
      <c r="AJ189" s="17"/>
    </row>
    <row r="190" spans="1:36" hidden="1" x14ac:dyDescent="0.3">
      <c r="A190" s="15" t="s">
        <v>238</v>
      </c>
      <c r="B190" s="15">
        <v>1000</v>
      </c>
      <c r="C190" s="15" t="s">
        <v>54</v>
      </c>
      <c r="D190" s="15" t="s">
        <v>55</v>
      </c>
      <c r="E190" s="15">
        <f>'3-july2026'!T190</f>
        <v>1</v>
      </c>
      <c r="F190" s="15">
        <f>'3-july2026'!U190</f>
        <v>0</v>
      </c>
      <c r="G190" s="15">
        <f>'3-july2026'!V190</f>
        <v>3</v>
      </c>
      <c r="H190" s="15">
        <f t="shared" si="50"/>
        <v>4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5">
        <f t="shared" si="51"/>
        <v>4</v>
      </c>
      <c r="T190" s="15">
        <f t="shared" si="52"/>
        <v>1</v>
      </c>
      <c r="U190" s="15">
        <f t="shared" si="53"/>
        <v>0</v>
      </c>
      <c r="V190" s="15">
        <f t="shared" si="54"/>
        <v>3</v>
      </c>
      <c r="W190" s="18" t="str">
        <f t="shared" si="55"/>
        <v/>
      </c>
      <c r="X190" s="17">
        <v>0</v>
      </c>
      <c r="Y190" s="17">
        <v>0</v>
      </c>
      <c r="Z190" s="15">
        <f t="shared" si="56"/>
        <v>0</v>
      </c>
      <c r="AA190" s="17">
        <v>0</v>
      </c>
      <c r="AB190" s="17">
        <v>0</v>
      </c>
      <c r="AC190" s="15">
        <f t="shared" si="57"/>
        <v>0</v>
      </c>
      <c r="AD190" s="17">
        <v>0</v>
      </c>
      <c r="AE190" s="17">
        <v>0</v>
      </c>
      <c r="AF190" s="15">
        <f t="shared" si="58"/>
        <v>0</v>
      </c>
      <c r="AG190" s="17">
        <v>0</v>
      </c>
      <c r="AH190" s="17">
        <v>0</v>
      </c>
      <c r="AI190" s="15">
        <f t="shared" si="59"/>
        <v>0</v>
      </c>
      <c r="AJ190" s="17"/>
    </row>
    <row r="191" spans="1:36" hidden="1" x14ac:dyDescent="0.3">
      <c r="A191" s="15" t="s">
        <v>239</v>
      </c>
      <c r="B191" s="15">
        <v>1000</v>
      </c>
      <c r="C191" s="15" t="s">
        <v>54</v>
      </c>
      <c r="D191" s="15" t="s">
        <v>55</v>
      </c>
      <c r="E191" s="15">
        <v>0</v>
      </c>
      <c r="F191" s="15">
        <v>0</v>
      </c>
      <c r="G191" s="15">
        <v>0</v>
      </c>
      <c r="H191" s="15">
        <f t="shared" si="50"/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5">
        <f t="shared" si="51"/>
        <v>0</v>
      </c>
      <c r="T191" s="15">
        <f t="shared" si="52"/>
        <v>0</v>
      </c>
      <c r="U191" s="15">
        <f t="shared" si="53"/>
        <v>0</v>
      </c>
      <c r="V191" s="15">
        <f t="shared" si="54"/>
        <v>0</v>
      </c>
      <c r="W191" s="18" t="str">
        <f t="shared" si="55"/>
        <v/>
      </c>
      <c r="X191" s="17">
        <v>0</v>
      </c>
      <c r="Y191" s="17">
        <v>0</v>
      </c>
      <c r="Z191" s="15">
        <f t="shared" si="56"/>
        <v>0</v>
      </c>
      <c r="AA191" s="17">
        <v>0</v>
      </c>
      <c r="AB191" s="17">
        <v>0</v>
      </c>
      <c r="AC191" s="15">
        <f t="shared" si="57"/>
        <v>0</v>
      </c>
      <c r="AD191" s="17">
        <v>0</v>
      </c>
      <c r="AE191" s="17">
        <v>0</v>
      </c>
      <c r="AF191" s="15">
        <f t="shared" si="58"/>
        <v>0</v>
      </c>
      <c r="AG191" s="17">
        <v>0</v>
      </c>
      <c r="AH191" s="17">
        <v>0</v>
      </c>
      <c r="AI191" s="15">
        <f t="shared" si="59"/>
        <v>0</v>
      </c>
      <c r="AJ191" s="17"/>
    </row>
    <row r="192" spans="1:36" hidden="1" x14ac:dyDescent="0.3">
      <c r="A192" s="15" t="s">
        <v>239</v>
      </c>
      <c r="B192" s="15">
        <v>2500</v>
      </c>
      <c r="C192" s="15" t="s">
        <v>54</v>
      </c>
      <c r="D192" s="15" t="s">
        <v>55</v>
      </c>
      <c r="E192" s="15">
        <f>'3-july2026'!T192</f>
        <v>0</v>
      </c>
      <c r="F192" s="15">
        <f>'3-july2026'!U192</f>
        <v>0</v>
      </c>
      <c r="G192" s="15">
        <f>'3-july2026'!V192</f>
        <v>0</v>
      </c>
      <c r="H192" s="15">
        <f t="shared" si="50"/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5">
        <f t="shared" si="51"/>
        <v>0</v>
      </c>
      <c r="T192" s="15">
        <f t="shared" si="52"/>
        <v>0</v>
      </c>
      <c r="U192" s="15">
        <f t="shared" si="53"/>
        <v>0</v>
      </c>
      <c r="V192" s="15">
        <f t="shared" si="54"/>
        <v>0</v>
      </c>
      <c r="W192" s="18" t="str">
        <f t="shared" si="55"/>
        <v/>
      </c>
      <c r="X192" s="17">
        <v>0</v>
      </c>
      <c r="Y192" s="17">
        <v>0</v>
      </c>
      <c r="Z192" s="15">
        <f t="shared" si="56"/>
        <v>0</v>
      </c>
      <c r="AA192" s="17">
        <v>0</v>
      </c>
      <c r="AB192" s="17">
        <v>0</v>
      </c>
      <c r="AC192" s="15">
        <f t="shared" si="57"/>
        <v>0</v>
      </c>
      <c r="AD192" s="17">
        <v>0</v>
      </c>
      <c r="AE192" s="17">
        <v>0</v>
      </c>
      <c r="AF192" s="15">
        <f t="shared" si="58"/>
        <v>0</v>
      </c>
      <c r="AG192" s="17">
        <v>0</v>
      </c>
      <c r="AH192" s="17">
        <v>0</v>
      </c>
      <c r="AI192" s="15">
        <f t="shared" si="59"/>
        <v>0</v>
      </c>
      <c r="AJ192" s="17"/>
    </row>
    <row r="193" spans="1:36" hidden="1" x14ac:dyDescent="0.3">
      <c r="A193" s="15" t="s">
        <v>240</v>
      </c>
      <c r="B193" s="15">
        <v>100</v>
      </c>
      <c r="C193" s="15" t="s">
        <v>54</v>
      </c>
      <c r="D193" s="15" t="s">
        <v>55</v>
      </c>
      <c r="E193" s="15">
        <f>'3-july2026'!T193</f>
        <v>34</v>
      </c>
      <c r="F193" s="15">
        <f>'3-july2026'!U193</f>
        <v>0</v>
      </c>
      <c r="G193" s="15">
        <f>'3-july2026'!V193</f>
        <v>0</v>
      </c>
      <c r="H193" s="15">
        <f t="shared" si="50"/>
        <v>34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5">
        <f t="shared" si="51"/>
        <v>34</v>
      </c>
      <c r="T193" s="15">
        <f t="shared" si="52"/>
        <v>34</v>
      </c>
      <c r="U193" s="15">
        <f t="shared" si="53"/>
        <v>0</v>
      </c>
      <c r="V193" s="15">
        <f t="shared" si="54"/>
        <v>0</v>
      </c>
      <c r="W193" s="18" t="str">
        <f t="shared" si="55"/>
        <v/>
      </c>
      <c r="X193" s="17">
        <v>0</v>
      </c>
      <c r="Y193" s="17">
        <v>0</v>
      </c>
      <c r="Z193" s="15">
        <f t="shared" si="56"/>
        <v>0</v>
      </c>
      <c r="AA193" s="17">
        <v>0</v>
      </c>
      <c r="AB193" s="17">
        <v>0</v>
      </c>
      <c r="AC193" s="15">
        <f t="shared" si="57"/>
        <v>0</v>
      </c>
      <c r="AD193" s="17">
        <v>0</v>
      </c>
      <c r="AE193" s="17">
        <v>0</v>
      </c>
      <c r="AF193" s="15">
        <f t="shared" si="58"/>
        <v>0</v>
      </c>
      <c r="AG193" s="17">
        <v>0</v>
      </c>
      <c r="AH193" s="17">
        <v>0</v>
      </c>
      <c r="AI193" s="15">
        <f t="shared" si="59"/>
        <v>0</v>
      </c>
      <c r="AJ193" s="17"/>
    </row>
    <row r="194" spans="1:36" hidden="1" x14ac:dyDescent="0.3">
      <c r="A194" s="15" t="s">
        <v>240</v>
      </c>
      <c r="B194" s="15">
        <v>1000</v>
      </c>
      <c r="C194" s="15" t="s">
        <v>54</v>
      </c>
      <c r="D194" s="15" t="s">
        <v>55</v>
      </c>
      <c r="E194" s="15">
        <v>0</v>
      </c>
      <c r="F194" s="15">
        <v>0</v>
      </c>
      <c r="G194" s="15">
        <v>0</v>
      </c>
      <c r="H194" s="15">
        <f t="shared" si="50"/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5">
        <f t="shared" si="51"/>
        <v>0</v>
      </c>
      <c r="T194" s="15">
        <f t="shared" si="52"/>
        <v>0</v>
      </c>
      <c r="U194" s="15">
        <f t="shared" si="53"/>
        <v>0</v>
      </c>
      <c r="V194" s="15">
        <f t="shared" si="54"/>
        <v>0</v>
      </c>
      <c r="W194" s="18" t="str">
        <f t="shared" si="55"/>
        <v/>
      </c>
      <c r="X194" s="17">
        <v>0</v>
      </c>
      <c r="Y194" s="17">
        <v>0</v>
      </c>
      <c r="Z194" s="15">
        <f t="shared" si="56"/>
        <v>0</v>
      </c>
      <c r="AA194" s="17">
        <v>0</v>
      </c>
      <c r="AB194" s="17">
        <v>0</v>
      </c>
      <c r="AC194" s="15">
        <f t="shared" si="57"/>
        <v>0</v>
      </c>
      <c r="AD194" s="17">
        <v>0</v>
      </c>
      <c r="AE194" s="17">
        <v>0</v>
      </c>
      <c r="AF194" s="15">
        <f t="shared" si="58"/>
        <v>0</v>
      </c>
      <c r="AG194" s="17">
        <v>0</v>
      </c>
      <c r="AH194" s="17">
        <v>0</v>
      </c>
      <c r="AI194" s="15">
        <f t="shared" si="59"/>
        <v>0</v>
      </c>
      <c r="AJ194" s="17"/>
    </row>
    <row r="195" spans="1:36" x14ac:dyDescent="0.3">
      <c r="A195" s="15" t="s">
        <v>241</v>
      </c>
      <c r="B195" s="15">
        <v>25000</v>
      </c>
      <c r="C195" s="15" t="s">
        <v>54</v>
      </c>
      <c r="D195" s="15" t="s">
        <v>68</v>
      </c>
      <c r="E195" s="17">
        <v>2</v>
      </c>
      <c r="F195" s="17">
        <v>0</v>
      </c>
      <c r="G195" s="17">
        <v>0</v>
      </c>
      <c r="H195" s="15">
        <f t="shared" ref="H195:H199" si="60">E195+F195+G195</f>
        <v>2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5">
        <f t="shared" ref="S195:S199" si="61">H195+O195+P195+Q195+R195-(I195+J195+K195+L195+M195+N195)</f>
        <v>2</v>
      </c>
      <c r="T195" s="15">
        <f t="shared" si="52"/>
        <v>2</v>
      </c>
      <c r="U195" s="15">
        <f t="shared" si="53"/>
        <v>0</v>
      </c>
      <c r="V195" s="15">
        <f t="shared" si="54"/>
        <v>0</v>
      </c>
      <c r="W195" s="18" t="str">
        <f t="shared" ref="W195:W199" si="62">IF(MIN(T195,U195,V195)&lt;0,"NEGATIVE STOCK - CHECK ENTRIES","")</f>
        <v/>
      </c>
      <c r="X195" s="17">
        <v>0</v>
      </c>
      <c r="Y195" s="17">
        <v>0</v>
      </c>
      <c r="Z195" s="15">
        <f t="shared" ref="Z195:Z199" si="63">X195-Y195</f>
        <v>0</v>
      </c>
      <c r="AA195" s="17">
        <v>0</v>
      </c>
      <c r="AB195" s="17">
        <v>0</v>
      </c>
      <c r="AC195" s="15">
        <f t="shared" ref="AC195:AC199" si="64">AA195-AB195</f>
        <v>0</v>
      </c>
      <c r="AD195" s="17">
        <v>0</v>
      </c>
      <c r="AE195" s="17">
        <v>0</v>
      </c>
      <c r="AF195" s="15">
        <f t="shared" ref="AF195:AF199" si="65">AD195-AE195</f>
        <v>0</v>
      </c>
      <c r="AG195" s="17">
        <v>0</v>
      </c>
      <c r="AH195" s="17">
        <v>0</v>
      </c>
      <c r="AI195" s="15">
        <f t="shared" ref="AI195:AI199" si="66">AG195-AH195</f>
        <v>0</v>
      </c>
      <c r="AJ195" s="17"/>
    </row>
    <row r="196" spans="1:36" x14ac:dyDescent="0.3">
      <c r="A196" s="15" t="s">
        <v>242</v>
      </c>
      <c r="B196" s="15">
        <v>100</v>
      </c>
      <c r="C196" s="15" t="s">
        <v>54</v>
      </c>
      <c r="D196" s="15" t="s">
        <v>68</v>
      </c>
      <c r="E196" s="17">
        <v>6</v>
      </c>
      <c r="F196" s="17">
        <v>0</v>
      </c>
      <c r="G196" s="17">
        <v>0</v>
      </c>
      <c r="H196" s="15">
        <f t="shared" si="60"/>
        <v>6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5">
        <f t="shared" si="61"/>
        <v>6</v>
      </c>
      <c r="T196" s="15">
        <f t="shared" si="52"/>
        <v>6</v>
      </c>
      <c r="U196" s="15">
        <f t="shared" si="53"/>
        <v>0</v>
      </c>
      <c r="V196" s="15">
        <f t="shared" si="54"/>
        <v>0</v>
      </c>
      <c r="W196" s="18" t="str">
        <f t="shared" si="62"/>
        <v/>
      </c>
      <c r="X196" s="17">
        <v>0</v>
      </c>
      <c r="Y196" s="17">
        <v>0</v>
      </c>
      <c r="Z196" s="15">
        <f t="shared" si="63"/>
        <v>0</v>
      </c>
      <c r="AA196" s="17">
        <v>0</v>
      </c>
      <c r="AB196" s="17">
        <v>0</v>
      </c>
      <c r="AC196" s="15">
        <f t="shared" si="64"/>
        <v>0</v>
      </c>
      <c r="AD196" s="17">
        <v>0</v>
      </c>
      <c r="AE196" s="17">
        <v>0</v>
      </c>
      <c r="AF196" s="15">
        <f t="shared" si="65"/>
        <v>0</v>
      </c>
      <c r="AG196" s="17">
        <v>0</v>
      </c>
      <c r="AH196" s="17">
        <v>0</v>
      </c>
      <c r="AI196" s="15">
        <f t="shared" si="66"/>
        <v>0</v>
      </c>
      <c r="AJ196" s="17"/>
    </row>
    <row r="197" spans="1:36" x14ac:dyDescent="0.3">
      <c r="A197" s="15" t="s">
        <v>243</v>
      </c>
      <c r="B197" s="15">
        <v>100000</v>
      </c>
      <c r="C197" s="15" t="s">
        <v>54</v>
      </c>
      <c r="D197" s="15" t="s">
        <v>57</v>
      </c>
      <c r="E197" s="17">
        <v>6</v>
      </c>
      <c r="F197" s="17">
        <v>0</v>
      </c>
      <c r="G197" s="17">
        <v>0</v>
      </c>
      <c r="H197" s="15">
        <f t="shared" si="60"/>
        <v>6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5">
        <f t="shared" si="61"/>
        <v>6</v>
      </c>
      <c r="T197" s="15">
        <f t="shared" si="52"/>
        <v>6</v>
      </c>
      <c r="U197" s="15">
        <f t="shared" si="53"/>
        <v>0</v>
      </c>
      <c r="V197" s="15">
        <f t="shared" si="54"/>
        <v>0</v>
      </c>
      <c r="W197" s="18" t="str">
        <f t="shared" si="62"/>
        <v/>
      </c>
      <c r="X197" s="17">
        <v>0</v>
      </c>
      <c r="Y197" s="17">
        <v>0</v>
      </c>
      <c r="Z197" s="15">
        <f t="shared" si="63"/>
        <v>0</v>
      </c>
      <c r="AA197" s="17">
        <v>0</v>
      </c>
      <c r="AB197" s="17">
        <v>0</v>
      </c>
      <c r="AC197" s="15">
        <f t="shared" si="64"/>
        <v>0</v>
      </c>
      <c r="AD197" s="17">
        <v>0</v>
      </c>
      <c r="AE197" s="17">
        <v>0</v>
      </c>
      <c r="AF197" s="15">
        <f t="shared" si="65"/>
        <v>0</v>
      </c>
      <c r="AG197" s="17">
        <v>0</v>
      </c>
      <c r="AH197" s="17">
        <v>0</v>
      </c>
      <c r="AI197" s="15">
        <f t="shared" si="66"/>
        <v>0</v>
      </c>
      <c r="AJ197" s="17"/>
    </row>
    <row r="198" spans="1:36" hidden="1" x14ac:dyDescent="0.3">
      <c r="A198" s="15" t="s">
        <v>244</v>
      </c>
      <c r="B198" s="15">
        <v>100000</v>
      </c>
      <c r="C198" s="15"/>
      <c r="D198" s="15" t="s">
        <v>55</v>
      </c>
      <c r="E198" s="15">
        <f>'3-july2026'!T198</f>
        <v>0</v>
      </c>
      <c r="F198" s="15">
        <f>'3-july2026'!U198</f>
        <v>0</v>
      </c>
      <c r="G198" s="15">
        <f>'3-july2026'!V198</f>
        <v>0</v>
      </c>
      <c r="H198" s="15">
        <f t="shared" si="60"/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5">
        <f t="shared" si="61"/>
        <v>0</v>
      </c>
      <c r="T198" s="15">
        <f t="shared" si="52"/>
        <v>0</v>
      </c>
      <c r="U198" s="15">
        <f t="shared" si="53"/>
        <v>0</v>
      </c>
      <c r="V198" s="15">
        <f t="shared" si="54"/>
        <v>0</v>
      </c>
      <c r="W198" s="18" t="str">
        <f t="shared" si="62"/>
        <v/>
      </c>
      <c r="X198" s="17">
        <v>0</v>
      </c>
      <c r="Y198" s="17">
        <v>0</v>
      </c>
      <c r="Z198" s="15">
        <f t="shared" si="63"/>
        <v>0</v>
      </c>
      <c r="AA198" s="17">
        <v>0</v>
      </c>
      <c r="AB198" s="17">
        <v>0</v>
      </c>
      <c r="AC198" s="15">
        <f t="shared" si="64"/>
        <v>0</v>
      </c>
      <c r="AD198" s="17">
        <v>0</v>
      </c>
      <c r="AE198" s="17">
        <v>0</v>
      </c>
      <c r="AF198" s="15">
        <f t="shared" si="65"/>
        <v>0</v>
      </c>
      <c r="AG198" s="17">
        <v>0</v>
      </c>
      <c r="AH198" s="17">
        <v>0</v>
      </c>
      <c r="AI198" s="15">
        <f t="shared" si="66"/>
        <v>0</v>
      </c>
      <c r="AJ198" s="17"/>
    </row>
    <row r="199" spans="1:36" x14ac:dyDescent="0.3">
      <c r="A199" s="15" t="s">
        <v>245</v>
      </c>
      <c r="B199" s="15">
        <v>25000</v>
      </c>
      <c r="C199" s="15" t="s">
        <v>54</v>
      </c>
      <c r="D199" s="15" t="s">
        <v>57</v>
      </c>
      <c r="E199" s="17">
        <v>2</v>
      </c>
      <c r="F199" s="17">
        <v>0</v>
      </c>
      <c r="G199" s="17">
        <v>0</v>
      </c>
      <c r="H199" s="15">
        <f t="shared" si="60"/>
        <v>2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5">
        <f t="shared" si="61"/>
        <v>2</v>
      </c>
      <c r="T199" s="15">
        <f t="shared" si="52"/>
        <v>2</v>
      </c>
      <c r="U199" s="15">
        <f t="shared" si="53"/>
        <v>0</v>
      </c>
      <c r="V199" s="15">
        <f t="shared" si="54"/>
        <v>0</v>
      </c>
      <c r="W199" s="18" t="str">
        <f t="shared" si="62"/>
        <v/>
      </c>
      <c r="X199" s="17">
        <v>0</v>
      </c>
      <c r="Y199" s="17">
        <v>0</v>
      </c>
      <c r="Z199" s="15">
        <f t="shared" si="63"/>
        <v>0</v>
      </c>
      <c r="AA199" s="17">
        <v>0</v>
      </c>
      <c r="AB199" s="17">
        <v>0</v>
      </c>
      <c r="AC199" s="15">
        <f t="shared" si="64"/>
        <v>0</v>
      </c>
      <c r="AD199" s="17">
        <v>0</v>
      </c>
      <c r="AE199" s="17">
        <v>0</v>
      </c>
      <c r="AF199" s="15">
        <f t="shared" si="65"/>
        <v>0</v>
      </c>
      <c r="AG199" s="17">
        <v>0</v>
      </c>
      <c r="AH199" s="17">
        <v>0</v>
      </c>
      <c r="AI199" s="15">
        <f t="shared" si="66"/>
        <v>0</v>
      </c>
      <c r="AJ199" s="17"/>
    </row>
  </sheetData>
  <autoFilter ref="A2:AJ199" xr:uid="{00000000-0001-0000-0500-000000000000}">
    <filterColumn colId="3">
      <filters>
        <filter val="CUSTOM&amp;TRIAL"/>
        <filter val="MASIFIO CUSTOM"/>
      </filters>
    </filterColumn>
  </autoFilter>
  <mergeCells count="5">
    <mergeCell ref="A1:D1"/>
    <mergeCell ref="E1:H1"/>
    <mergeCell ref="I1:R1"/>
    <mergeCell ref="S1:V1"/>
    <mergeCell ref="X1:AI1"/>
  </mergeCells>
  <conditionalFormatting sqref="T3:V199">
    <cfRule type="expression" dxfId="23" priority="3">
      <formula>T3&lt;0</formula>
    </cfRule>
  </conditionalFormatting>
  <conditionalFormatting sqref="W3:W199">
    <cfRule type="expression" dxfId="22" priority="2">
      <formula>W3&lt;&gt;""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AJ199"/>
  <sheetViews>
    <sheetView showGridLines="0" zoomScaleNormal="100" workbookViewId="0">
      <pane xSplit="4" ySplit="2" topLeftCell="E124" activePane="bottomRight" state="frozen"/>
      <selection pane="topRight" activeCell="E1" sqref="E1"/>
      <selection pane="bottomLeft" activeCell="A3" sqref="A3"/>
      <selection pane="bottomRight" activeCell="E24" sqref="E24"/>
    </sheetView>
  </sheetViews>
  <sheetFormatPr defaultColWidth="8.6640625" defaultRowHeight="14.4" x14ac:dyDescent="0.3"/>
  <cols>
    <col min="1" max="1" width="30" customWidth="1"/>
    <col min="2" max="2" width="10" customWidth="1"/>
    <col min="3" max="3" width="12" customWidth="1"/>
    <col min="4" max="4" width="14" customWidth="1"/>
    <col min="5" max="35" width="11" customWidth="1"/>
    <col min="36" max="36" width="22" customWidth="1"/>
  </cols>
  <sheetData>
    <row r="1" spans="1:36" ht="19.5" customHeight="1" x14ac:dyDescent="0.3">
      <c r="A1" s="40" t="s">
        <v>246</v>
      </c>
      <c r="B1" s="40"/>
      <c r="C1" s="40"/>
      <c r="D1" s="40"/>
      <c r="E1" s="41" t="s">
        <v>247</v>
      </c>
      <c r="F1" s="41"/>
      <c r="G1" s="41"/>
      <c r="H1" s="41"/>
      <c r="I1" s="42" t="s">
        <v>248</v>
      </c>
      <c r="J1" s="42"/>
      <c r="K1" s="42"/>
      <c r="L1" s="42"/>
      <c r="M1" s="42"/>
      <c r="N1" s="42"/>
      <c r="O1" s="42"/>
      <c r="P1" s="42"/>
      <c r="Q1" s="42"/>
      <c r="R1" s="42"/>
      <c r="S1" s="41" t="s">
        <v>249</v>
      </c>
      <c r="T1" s="41"/>
      <c r="U1" s="41"/>
      <c r="V1" s="41"/>
      <c r="W1" s="3" t="s">
        <v>250</v>
      </c>
      <c r="X1" s="43" t="s">
        <v>251</v>
      </c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" t="s">
        <v>252</v>
      </c>
    </row>
    <row r="2" spans="1:36" ht="33.75" customHeight="1" x14ac:dyDescent="0.3">
      <c r="A2" s="4" t="s">
        <v>45</v>
      </c>
      <c r="B2" s="4" t="s">
        <v>46</v>
      </c>
      <c r="C2" s="4" t="s">
        <v>47</v>
      </c>
      <c r="D2" s="4" t="s">
        <v>48</v>
      </c>
      <c r="E2" s="3" t="s">
        <v>253</v>
      </c>
      <c r="F2" s="3" t="s">
        <v>254</v>
      </c>
      <c r="G2" s="3" t="s">
        <v>255</v>
      </c>
      <c r="H2" s="3" t="s">
        <v>256</v>
      </c>
      <c r="I2" s="2" t="s">
        <v>257</v>
      </c>
      <c r="J2" s="2" t="s">
        <v>258</v>
      </c>
      <c r="K2" s="2" t="s">
        <v>259</v>
      </c>
      <c r="L2" s="2" t="s">
        <v>260</v>
      </c>
      <c r="M2" s="2" t="s">
        <v>261</v>
      </c>
      <c r="N2" s="2" t="s">
        <v>262</v>
      </c>
      <c r="O2" s="2" t="s">
        <v>263</v>
      </c>
      <c r="P2" s="2" t="s">
        <v>264</v>
      </c>
      <c r="Q2" s="2" t="s">
        <v>265</v>
      </c>
      <c r="R2" s="2" t="s">
        <v>266</v>
      </c>
      <c r="S2" s="3" t="s">
        <v>267</v>
      </c>
      <c r="T2" s="3" t="s">
        <v>268</v>
      </c>
      <c r="U2" s="3" t="s">
        <v>269</v>
      </c>
      <c r="V2" s="3" t="s">
        <v>270</v>
      </c>
      <c r="W2" s="3" t="s">
        <v>271</v>
      </c>
      <c r="X2" s="1" t="s">
        <v>272</v>
      </c>
      <c r="Y2" s="1" t="s">
        <v>273</v>
      </c>
      <c r="Z2" s="1" t="s">
        <v>274</v>
      </c>
      <c r="AA2" s="1" t="s">
        <v>275</v>
      </c>
      <c r="AB2" s="1" t="s">
        <v>276</v>
      </c>
      <c r="AC2" s="1" t="s">
        <v>277</v>
      </c>
      <c r="AD2" s="1" t="s">
        <v>278</v>
      </c>
      <c r="AE2" s="1" t="s">
        <v>279</v>
      </c>
      <c r="AF2" s="1" t="s">
        <v>280</v>
      </c>
      <c r="AG2" s="1" t="s">
        <v>281</v>
      </c>
      <c r="AH2" s="1" t="s">
        <v>282</v>
      </c>
      <c r="AI2" s="1" t="s">
        <v>283</v>
      </c>
      <c r="AJ2" s="4" t="s">
        <v>284</v>
      </c>
    </row>
    <row r="3" spans="1:36" hidden="1" x14ac:dyDescent="0.3">
      <c r="A3" s="15" t="s">
        <v>53</v>
      </c>
      <c r="B3" s="15">
        <v>1000</v>
      </c>
      <c r="C3" s="15" t="s">
        <v>54</v>
      </c>
      <c r="D3" s="15" t="s">
        <v>55</v>
      </c>
      <c r="E3" s="15">
        <v>0</v>
      </c>
      <c r="F3" s="15">
        <v>0</v>
      </c>
      <c r="G3" s="15">
        <v>0</v>
      </c>
      <c r="H3" s="15">
        <f t="shared" ref="H3:H34" si="0">E3+F3+G3</f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5">
        <f t="shared" ref="S3:S34" si="1">H3+O3+P3+Q3+R3-(I3+J3+K3+L3+M3+N3)</f>
        <v>0</v>
      </c>
      <c r="T3" s="15">
        <f t="shared" ref="T3:T34" si="2">E3+O3-I3-L3</f>
        <v>0</v>
      </c>
      <c r="U3" s="15">
        <f t="shared" ref="U3:U34" si="3">F3+P3-J3-M3</f>
        <v>0</v>
      </c>
      <c r="V3" s="15">
        <f t="shared" ref="V3:V34" si="4">G3+Q3-K3-N3</f>
        <v>0</v>
      </c>
      <c r="W3" s="18" t="str">
        <f t="shared" ref="W3:W34" si="5">IF(MIN(T3,U3,V3)&lt;0,"NEGATIVE STOCK - CHECK ENTRIES","")</f>
        <v/>
      </c>
      <c r="X3" s="17">
        <v>0</v>
      </c>
      <c r="Y3" s="17">
        <v>0</v>
      </c>
      <c r="Z3" s="15">
        <f t="shared" ref="Z3:Z34" si="6">X3-Y3</f>
        <v>0</v>
      </c>
      <c r="AA3" s="17">
        <v>0</v>
      </c>
      <c r="AB3" s="17">
        <v>0</v>
      </c>
      <c r="AC3" s="15">
        <f t="shared" ref="AC3:AC34" si="7">AA3-AB3</f>
        <v>0</v>
      </c>
      <c r="AD3" s="17">
        <v>0</v>
      </c>
      <c r="AE3" s="17">
        <v>0</v>
      </c>
      <c r="AF3" s="15">
        <f t="shared" ref="AF3:AF34" si="8">AD3-AE3</f>
        <v>0</v>
      </c>
      <c r="AG3" s="17">
        <v>0</v>
      </c>
      <c r="AH3" s="17">
        <v>0</v>
      </c>
      <c r="AI3" s="15">
        <f t="shared" ref="AI3:AI34" si="9">AG3-AH3</f>
        <v>0</v>
      </c>
      <c r="AJ3" s="17"/>
    </row>
    <row r="4" spans="1:36" x14ac:dyDescent="0.3">
      <c r="A4" s="15" t="s">
        <v>56</v>
      </c>
      <c r="B4" s="15">
        <v>500</v>
      </c>
      <c r="C4" s="15" t="s">
        <v>54</v>
      </c>
      <c r="D4" s="15" t="s">
        <v>57</v>
      </c>
      <c r="E4" s="15">
        <f>'10-JULY2026'!T4</f>
        <v>2</v>
      </c>
      <c r="F4" s="15">
        <f>'10-JULY2026'!U4</f>
        <v>0</v>
      </c>
      <c r="G4" s="15">
        <f>'10-JULY2026'!V4</f>
        <v>0</v>
      </c>
      <c r="H4" s="15">
        <f t="shared" si="0"/>
        <v>2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5">
        <f t="shared" si="1"/>
        <v>2</v>
      </c>
      <c r="T4" s="15">
        <f t="shared" si="2"/>
        <v>2</v>
      </c>
      <c r="U4" s="15">
        <f t="shared" si="3"/>
        <v>0</v>
      </c>
      <c r="V4" s="15">
        <f t="shared" si="4"/>
        <v>0</v>
      </c>
      <c r="W4" s="18" t="str">
        <f t="shared" si="5"/>
        <v/>
      </c>
      <c r="X4" s="17">
        <v>0</v>
      </c>
      <c r="Y4" s="17">
        <v>0</v>
      </c>
      <c r="Z4" s="15">
        <f t="shared" si="6"/>
        <v>0</v>
      </c>
      <c r="AA4" s="17">
        <v>0</v>
      </c>
      <c r="AB4" s="17">
        <v>0</v>
      </c>
      <c r="AC4" s="15">
        <f t="shared" si="7"/>
        <v>0</v>
      </c>
      <c r="AD4" s="17">
        <v>0</v>
      </c>
      <c r="AE4" s="17">
        <v>0</v>
      </c>
      <c r="AF4" s="15">
        <f t="shared" si="8"/>
        <v>0</v>
      </c>
      <c r="AG4" s="17">
        <v>0</v>
      </c>
      <c r="AH4" s="17">
        <v>0</v>
      </c>
      <c r="AI4" s="15">
        <f t="shared" si="9"/>
        <v>0</v>
      </c>
      <c r="AJ4" s="17"/>
    </row>
    <row r="5" spans="1:36" hidden="1" x14ac:dyDescent="0.3">
      <c r="A5" s="15" t="s">
        <v>58</v>
      </c>
      <c r="B5" s="15">
        <v>100</v>
      </c>
      <c r="C5" s="15" t="s">
        <v>54</v>
      </c>
      <c r="D5" s="15" t="s">
        <v>55</v>
      </c>
      <c r="E5" s="15">
        <f>'10-JULY2026'!T5</f>
        <v>236</v>
      </c>
      <c r="F5" s="15">
        <f>'10-JULY2026'!U5</f>
        <v>69</v>
      </c>
      <c r="G5" s="15">
        <f>'10-JULY2026'!V5</f>
        <v>186</v>
      </c>
      <c r="H5" s="15">
        <f t="shared" si="0"/>
        <v>491</v>
      </c>
      <c r="I5" s="17">
        <v>0</v>
      </c>
      <c r="J5" s="17">
        <v>1</v>
      </c>
      <c r="K5" s="17">
        <v>0</v>
      </c>
      <c r="L5" s="17">
        <v>200</v>
      </c>
      <c r="M5" s="17">
        <v>0</v>
      </c>
      <c r="N5" s="17">
        <v>0</v>
      </c>
      <c r="O5" s="17">
        <v>0</v>
      </c>
      <c r="P5" s="17">
        <v>200</v>
      </c>
      <c r="Q5" s="17">
        <v>0</v>
      </c>
      <c r="R5" s="17">
        <v>0</v>
      </c>
      <c r="S5" s="15">
        <f t="shared" si="1"/>
        <v>490</v>
      </c>
      <c r="T5" s="15">
        <f t="shared" si="2"/>
        <v>36</v>
      </c>
      <c r="U5" s="15">
        <f t="shared" si="3"/>
        <v>268</v>
      </c>
      <c r="V5" s="15">
        <f t="shared" si="4"/>
        <v>186</v>
      </c>
      <c r="W5" s="18" t="str">
        <f t="shared" si="5"/>
        <v/>
      </c>
      <c r="X5" s="17">
        <v>0</v>
      </c>
      <c r="Y5" s="17">
        <v>0</v>
      </c>
      <c r="Z5" s="15">
        <f t="shared" si="6"/>
        <v>0</v>
      </c>
      <c r="AA5" s="17">
        <v>0</v>
      </c>
      <c r="AB5" s="17">
        <v>0</v>
      </c>
      <c r="AC5" s="15">
        <f t="shared" si="7"/>
        <v>0</v>
      </c>
      <c r="AD5" s="17">
        <v>0</v>
      </c>
      <c r="AE5" s="17">
        <v>0</v>
      </c>
      <c r="AF5" s="15">
        <f t="shared" si="8"/>
        <v>0</v>
      </c>
      <c r="AG5" s="17">
        <v>0</v>
      </c>
      <c r="AH5" s="17">
        <v>0</v>
      </c>
      <c r="AI5" s="15">
        <f t="shared" si="9"/>
        <v>0</v>
      </c>
      <c r="AJ5" s="17"/>
    </row>
    <row r="6" spans="1:36" hidden="1" x14ac:dyDescent="0.3">
      <c r="A6" s="15" t="s">
        <v>59</v>
      </c>
      <c r="B6" s="15">
        <v>100</v>
      </c>
      <c r="C6" s="15" t="s">
        <v>54</v>
      </c>
      <c r="D6" s="15" t="s">
        <v>55</v>
      </c>
      <c r="E6" s="15">
        <f>'10-JULY2026'!T6</f>
        <v>233</v>
      </c>
      <c r="F6" s="15">
        <f>'10-JULY2026'!U6</f>
        <v>38</v>
      </c>
      <c r="G6" s="15">
        <f>'10-JULY2026'!V6</f>
        <v>49</v>
      </c>
      <c r="H6" s="15">
        <f t="shared" si="0"/>
        <v>320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5">
        <f t="shared" si="1"/>
        <v>320</v>
      </c>
      <c r="T6" s="15">
        <f t="shared" si="2"/>
        <v>233</v>
      </c>
      <c r="U6" s="15">
        <f t="shared" si="3"/>
        <v>38</v>
      </c>
      <c r="V6" s="15">
        <f t="shared" si="4"/>
        <v>49</v>
      </c>
      <c r="W6" s="18" t="str">
        <f t="shared" si="5"/>
        <v/>
      </c>
      <c r="X6" s="17">
        <v>0</v>
      </c>
      <c r="Y6" s="17">
        <v>0</v>
      </c>
      <c r="Z6" s="15">
        <f t="shared" si="6"/>
        <v>0</v>
      </c>
      <c r="AA6" s="17">
        <v>0</v>
      </c>
      <c r="AB6" s="17">
        <v>0</v>
      </c>
      <c r="AC6" s="15">
        <f t="shared" si="7"/>
        <v>0</v>
      </c>
      <c r="AD6" s="17">
        <v>0</v>
      </c>
      <c r="AE6" s="17">
        <v>0</v>
      </c>
      <c r="AF6" s="15">
        <f t="shared" si="8"/>
        <v>0</v>
      </c>
      <c r="AG6" s="17">
        <v>0</v>
      </c>
      <c r="AH6" s="17">
        <v>0</v>
      </c>
      <c r="AI6" s="15">
        <f t="shared" si="9"/>
        <v>0</v>
      </c>
      <c r="AJ6" s="17"/>
    </row>
    <row r="7" spans="1:36" hidden="1" x14ac:dyDescent="0.3">
      <c r="A7" s="15" t="s">
        <v>60</v>
      </c>
      <c r="B7" s="15">
        <v>100</v>
      </c>
      <c r="C7" s="15" t="s">
        <v>54</v>
      </c>
      <c r="D7" s="15" t="s">
        <v>55</v>
      </c>
      <c r="E7" s="15">
        <f>'10-JULY2026'!T7</f>
        <v>0</v>
      </c>
      <c r="F7" s="15">
        <f>'10-JULY2026'!U7</f>
        <v>20</v>
      </c>
      <c r="G7" s="15">
        <f>'10-JULY2026'!V7</f>
        <v>0</v>
      </c>
      <c r="H7" s="15">
        <f t="shared" si="0"/>
        <v>20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5">
        <f t="shared" si="1"/>
        <v>20</v>
      </c>
      <c r="T7" s="15">
        <f t="shared" si="2"/>
        <v>0</v>
      </c>
      <c r="U7" s="15">
        <f t="shared" si="3"/>
        <v>20</v>
      </c>
      <c r="V7" s="15">
        <f t="shared" si="4"/>
        <v>0</v>
      </c>
      <c r="W7" s="18" t="str">
        <f t="shared" si="5"/>
        <v/>
      </c>
      <c r="X7" s="17">
        <v>0</v>
      </c>
      <c r="Y7" s="17">
        <v>0</v>
      </c>
      <c r="Z7" s="15">
        <f t="shared" si="6"/>
        <v>0</v>
      </c>
      <c r="AA7" s="17">
        <v>0</v>
      </c>
      <c r="AB7" s="17">
        <v>0</v>
      </c>
      <c r="AC7" s="15">
        <f t="shared" si="7"/>
        <v>0</v>
      </c>
      <c r="AD7" s="17">
        <v>0</v>
      </c>
      <c r="AE7" s="17">
        <v>0</v>
      </c>
      <c r="AF7" s="15">
        <f t="shared" si="8"/>
        <v>0</v>
      </c>
      <c r="AG7" s="17">
        <v>0</v>
      </c>
      <c r="AH7" s="17">
        <v>0</v>
      </c>
      <c r="AI7" s="15">
        <f t="shared" si="9"/>
        <v>0</v>
      </c>
      <c r="AJ7" s="17"/>
    </row>
    <row r="8" spans="1:36" hidden="1" x14ac:dyDescent="0.3">
      <c r="A8" s="15" t="s">
        <v>61</v>
      </c>
      <c r="B8" s="15">
        <v>100</v>
      </c>
      <c r="C8" s="15" t="s">
        <v>54</v>
      </c>
      <c r="D8" s="15" t="s">
        <v>55</v>
      </c>
      <c r="E8" s="15">
        <f>'10-JULY2026'!T8</f>
        <v>5</v>
      </c>
      <c r="F8" s="15">
        <f>'10-JULY2026'!U8</f>
        <v>17</v>
      </c>
      <c r="G8" s="15">
        <f>'10-JULY2026'!V8</f>
        <v>19</v>
      </c>
      <c r="H8" s="15">
        <f t="shared" si="0"/>
        <v>41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5">
        <f t="shared" si="1"/>
        <v>41</v>
      </c>
      <c r="T8" s="15">
        <f t="shared" si="2"/>
        <v>5</v>
      </c>
      <c r="U8" s="15">
        <f t="shared" si="3"/>
        <v>17</v>
      </c>
      <c r="V8" s="15">
        <f t="shared" si="4"/>
        <v>19</v>
      </c>
      <c r="W8" s="18" t="str">
        <f t="shared" si="5"/>
        <v/>
      </c>
      <c r="X8" s="17">
        <v>0</v>
      </c>
      <c r="Y8" s="17">
        <v>0</v>
      </c>
      <c r="Z8" s="15">
        <f t="shared" si="6"/>
        <v>0</v>
      </c>
      <c r="AA8" s="17">
        <v>0</v>
      </c>
      <c r="AB8" s="17">
        <v>0</v>
      </c>
      <c r="AC8" s="15">
        <f t="shared" si="7"/>
        <v>0</v>
      </c>
      <c r="AD8" s="17">
        <v>0</v>
      </c>
      <c r="AE8" s="17">
        <v>0</v>
      </c>
      <c r="AF8" s="15">
        <f t="shared" si="8"/>
        <v>0</v>
      </c>
      <c r="AG8" s="17">
        <v>0</v>
      </c>
      <c r="AH8" s="17">
        <v>0</v>
      </c>
      <c r="AI8" s="15">
        <f t="shared" si="9"/>
        <v>0</v>
      </c>
      <c r="AJ8" s="17"/>
    </row>
    <row r="9" spans="1:36" hidden="1" x14ac:dyDescent="0.3">
      <c r="A9" s="15" t="s">
        <v>62</v>
      </c>
      <c r="B9" s="15">
        <v>100</v>
      </c>
      <c r="C9" s="15" t="s">
        <v>54</v>
      </c>
      <c r="D9" s="15" t="s">
        <v>55</v>
      </c>
      <c r="E9" s="15">
        <f>'10-JULY2026'!T9</f>
        <v>0</v>
      </c>
      <c r="F9" s="15">
        <f>'10-JULY2026'!U9</f>
        <v>0</v>
      </c>
      <c r="G9" s="15">
        <f>'10-JULY2026'!V9</f>
        <v>1</v>
      </c>
      <c r="H9" s="15">
        <f t="shared" si="0"/>
        <v>1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5">
        <f t="shared" si="1"/>
        <v>1</v>
      </c>
      <c r="T9" s="15">
        <f t="shared" si="2"/>
        <v>0</v>
      </c>
      <c r="U9" s="15">
        <f t="shared" si="3"/>
        <v>0</v>
      </c>
      <c r="V9" s="15">
        <f t="shared" si="4"/>
        <v>1</v>
      </c>
      <c r="W9" s="18" t="str">
        <f t="shared" si="5"/>
        <v/>
      </c>
      <c r="X9" s="17">
        <v>0</v>
      </c>
      <c r="Y9" s="17">
        <v>0</v>
      </c>
      <c r="Z9" s="15">
        <f t="shared" si="6"/>
        <v>0</v>
      </c>
      <c r="AA9" s="17">
        <v>0</v>
      </c>
      <c r="AB9" s="17">
        <v>0</v>
      </c>
      <c r="AC9" s="15">
        <f t="shared" si="7"/>
        <v>0</v>
      </c>
      <c r="AD9" s="17">
        <v>0</v>
      </c>
      <c r="AE9" s="17">
        <v>0</v>
      </c>
      <c r="AF9" s="15">
        <f t="shared" si="8"/>
        <v>0</v>
      </c>
      <c r="AG9" s="17">
        <v>0</v>
      </c>
      <c r="AH9" s="17">
        <v>0</v>
      </c>
      <c r="AI9" s="15">
        <f t="shared" si="9"/>
        <v>0</v>
      </c>
      <c r="AJ9" s="17"/>
    </row>
    <row r="10" spans="1:36" hidden="1" x14ac:dyDescent="0.3">
      <c r="A10" s="15" t="s">
        <v>62</v>
      </c>
      <c r="B10" s="15">
        <v>500</v>
      </c>
      <c r="C10" s="15" t="s">
        <v>54</v>
      </c>
      <c r="D10" s="15" t="s">
        <v>55</v>
      </c>
      <c r="E10" s="15">
        <f>'10-JULY2026'!T10</f>
        <v>-2</v>
      </c>
      <c r="F10" s="15">
        <f>'10-JULY2026'!U10</f>
        <v>0</v>
      </c>
      <c r="G10" s="15">
        <f>'10-JULY2026'!V10</f>
        <v>0</v>
      </c>
      <c r="H10" s="15">
        <f t="shared" si="0"/>
        <v>-2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5">
        <f t="shared" si="1"/>
        <v>-2</v>
      </c>
      <c r="T10" s="15">
        <f t="shared" si="2"/>
        <v>-2</v>
      </c>
      <c r="U10" s="15">
        <f t="shared" si="3"/>
        <v>0</v>
      </c>
      <c r="V10" s="15">
        <f t="shared" si="4"/>
        <v>0</v>
      </c>
      <c r="W10" s="18" t="str">
        <f t="shared" si="5"/>
        <v>NEGATIVE STOCK - CHECK ENTRIES</v>
      </c>
      <c r="X10" s="17">
        <v>0</v>
      </c>
      <c r="Y10" s="17">
        <v>0</v>
      </c>
      <c r="Z10" s="15">
        <f t="shared" si="6"/>
        <v>0</v>
      </c>
      <c r="AA10" s="17">
        <v>0</v>
      </c>
      <c r="AB10" s="17">
        <v>0</v>
      </c>
      <c r="AC10" s="15">
        <f t="shared" si="7"/>
        <v>0</v>
      </c>
      <c r="AD10" s="17">
        <v>0</v>
      </c>
      <c r="AE10" s="17">
        <v>0</v>
      </c>
      <c r="AF10" s="15">
        <f t="shared" si="8"/>
        <v>0</v>
      </c>
      <c r="AG10" s="17">
        <v>0</v>
      </c>
      <c r="AH10" s="17">
        <v>0</v>
      </c>
      <c r="AI10" s="15">
        <f t="shared" si="9"/>
        <v>0</v>
      </c>
      <c r="AJ10" s="17"/>
    </row>
    <row r="11" spans="1:36" hidden="1" x14ac:dyDescent="0.3">
      <c r="A11" s="15" t="s">
        <v>63</v>
      </c>
      <c r="B11" s="15">
        <v>100</v>
      </c>
      <c r="C11" s="15" t="s">
        <v>54</v>
      </c>
      <c r="D11" s="15" t="s">
        <v>55</v>
      </c>
      <c r="E11" s="15">
        <f>'10-JULY2026'!T11</f>
        <v>330</v>
      </c>
      <c r="F11" s="15">
        <f>'10-JULY2026'!U11</f>
        <v>195</v>
      </c>
      <c r="G11" s="15">
        <f>'10-JULY2026'!V11</f>
        <v>16</v>
      </c>
      <c r="H11" s="15">
        <f t="shared" si="0"/>
        <v>541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5">
        <f t="shared" si="1"/>
        <v>541</v>
      </c>
      <c r="T11" s="15">
        <f t="shared" si="2"/>
        <v>330</v>
      </c>
      <c r="U11" s="15">
        <f t="shared" si="3"/>
        <v>195</v>
      </c>
      <c r="V11" s="15">
        <f t="shared" si="4"/>
        <v>16</v>
      </c>
      <c r="W11" s="18" t="str">
        <f t="shared" si="5"/>
        <v/>
      </c>
      <c r="X11" s="17">
        <v>0</v>
      </c>
      <c r="Y11" s="17">
        <v>0</v>
      </c>
      <c r="Z11" s="15">
        <f t="shared" si="6"/>
        <v>0</v>
      </c>
      <c r="AA11" s="17">
        <v>0</v>
      </c>
      <c r="AB11" s="17">
        <v>0</v>
      </c>
      <c r="AC11" s="15">
        <f t="shared" si="7"/>
        <v>0</v>
      </c>
      <c r="AD11" s="17">
        <v>0</v>
      </c>
      <c r="AE11" s="17">
        <v>0</v>
      </c>
      <c r="AF11" s="15">
        <f t="shared" si="8"/>
        <v>0</v>
      </c>
      <c r="AG11" s="17">
        <v>0</v>
      </c>
      <c r="AH11" s="17">
        <v>0</v>
      </c>
      <c r="AI11" s="15">
        <f t="shared" si="9"/>
        <v>0</v>
      </c>
      <c r="AJ11" s="17"/>
    </row>
    <row r="12" spans="1:36" hidden="1" x14ac:dyDescent="0.3">
      <c r="A12" s="15" t="s">
        <v>64</v>
      </c>
      <c r="B12" s="15">
        <v>500</v>
      </c>
      <c r="C12" s="15" t="s">
        <v>54</v>
      </c>
      <c r="D12" s="15" t="s">
        <v>55</v>
      </c>
      <c r="E12" s="15">
        <f>'10-JULY2026'!T12</f>
        <v>8</v>
      </c>
      <c r="F12" s="15">
        <f>'10-JULY2026'!U12</f>
        <v>0</v>
      </c>
      <c r="G12" s="15">
        <f>'10-JULY2026'!V12</f>
        <v>0</v>
      </c>
      <c r="H12" s="15">
        <f t="shared" si="0"/>
        <v>8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5">
        <f t="shared" si="1"/>
        <v>8</v>
      </c>
      <c r="T12" s="15">
        <f t="shared" si="2"/>
        <v>8</v>
      </c>
      <c r="U12" s="15">
        <f t="shared" si="3"/>
        <v>0</v>
      </c>
      <c r="V12" s="15">
        <f t="shared" si="4"/>
        <v>0</v>
      </c>
      <c r="W12" s="18" t="str">
        <f t="shared" si="5"/>
        <v/>
      </c>
      <c r="X12" s="17">
        <v>0</v>
      </c>
      <c r="Y12" s="17">
        <v>0</v>
      </c>
      <c r="Z12" s="15">
        <f t="shared" si="6"/>
        <v>0</v>
      </c>
      <c r="AA12" s="17">
        <v>0</v>
      </c>
      <c r="AB12" s="17">
        <v>0</v>
      </c>
      <c r="AC12" s="15">
        <f t="shared" si="7"/>
        <v>0</v>
      </c>
      <c r="AD12" s="17">
        <v>0</v>
      </c>
      <c r="AE12" s="17">
        <v>0</v>
      </c>
      <c r="AF12" s="15">
        <f t="shared" si="8"/>
        <v>0</v>
      </c>
      <c r="AG12" s="17">
        <v>0</v>
      </c>
      <c r="AH12" s="17">
        <v>0</v>
      </c>
      <c r="AI12" s="15">
        <f t="shared" si="9"/>
        <v>0</v>
      </c>
      <c r="AJ12" s="17"/>
    </row>
    <row r="13" spans="1:36" hidden="1" x14ac:dyDescent="0.3">
      <c r="A13" s="15" t="s">
        <v>65</v>
      </c>
      <c r="B13" s="15">
        <v>100</v>
      </c>
      <c r="C13" s="15" t="s">
        <v>54</v>
      </c>
      <c r="D13" s="15" t="s">
        <v>55</v>
      </c>
      <c r="E13" s="15">
        <f>'10-JULY2026'!T13</f>
        <v>1026</v>
      </c>
      <c r="F13" s="15">
        <f>'10-JULY2026'!U13</f>
        <v>142</v>
      </c>
      <c r="G13" s="15">
        <f>'10-JULY2026'!V13</f>
        <v>169</v>
      </c>
      <c r="H13" s="15">
        <f t="shared" si="0"/>
        <v>1337</v>
      </c>
      <c r="I13" s="17">
        <v>0</v>
      </c>
      <c r="J13" s="17">
        <v>160</v>
      </c>
      <c r="K13" s="17">
        <v>53</v>
      </c>
      <c r="L13" s="17">
        <v>750</v>
      </c>
      <c r="M13" s="17">
        <v>0</v>
      </c>
      <c r="N13" s="17">
        <v>0</v>
      </c>
      <c r="O13" s="17">
        <v>0</v>
      </c>
      <c r="P13" s="17">
        <v>500</v>
      </c>
      <c r="Q13" s="17">
        <v>10</v>
      </c>
      <c r="R13" s="17">
        <v>0</v>
      </c>
      <c r="S13" s="15">
        <f t="shared" si="1"/>
        <v>884</v>
      </c>
      <c r="T13" s="15">
        <f t="shared" si="2"/>
        <v>276</v>
      </c>
      <c r="U13" s="15">
        <f t="shared" si="3"/>
        <v>482</v>
      </c>
      <c r="V13" s="15">
        <f t="shared" si="4"/>
        <v>126</v>
      </c>
      <c r="W13" s="18" t="str">
        <f t="shared" si="5"/>
        <v/>
      </c>
      <c r="X13" s="17">
        <v>0</v>
      </c>
      <c r="Y13" s="17">
        <v>0</v>
      </c>
      <c r="Z13" s="15">
        <f t="shared" si="6"/>
        <v>0</v>
      </c>
      <c r="AA13" s="17">
        <v>0</v>
      </c>
      <c r="AB13" s="17">
        <v>0</v>
      </c>
      <c r="AC13" s="15">
        <f t="shared" si="7"/>
        <v>0</v>
      </c>
      <c r="AD13" s="17">
        <v>0</v>
      </c>
      <c r="AE13" s="17">
        <v>0</v>
      </c>
      <c r="AF13" s="15">
        <f t="shared" si="8"/>
        <v>0</v>
      </c>
      <c r="AG13" s="17">
        <v>0</v>
      </c>
      <c r="AH13" s="17">
        <v>0</v>
      </c>
      <c r="AI13" s="15">
        <f t="shared" si="9"/>
        <v>0</v>
      </c>
      <c r="AJ13" s="17"/>
    </row>
    <row r="14" spans="1:36" hidden="1" x14ac:dyDescent="0.3">
      <c r="A14" s="15" t="s">
        <v>65</v>
      </c>
      <c r="B14" s="15">
        <v>500</v>
      </c>
      <c r="C14" s="15" t="s">
        <v>54</v>
      </c>
      <c r="D14" s="15" t="s">
        <v>55</v>
      </c>
      <c r="E14" s="15">
        <f>'10-JULY2026'!T14</f>
        <v>7</v>
      </c>
      <c r="F14" s="15">
        <f>'10-JULY2026'!U14</f>
        <v>0</v>
      </c>
      <c r="G14" s="15">
        <f>'10-JULY2026'!V14</f>
        <v>45</v>
      </c>
      <c r="H14" s="15">
        <f t="shared" si="0"/>
        <v>52</v>
      </c>
      <c r="I14" s="17">
        <v>0</v>
      </c>
      <c r="J14" s="17">
        <v>0</v>
      </c>
      <c r="K14" s="17">
        <v>0</v>
      </c>
      <c r="L14" s="17">
        <v>6</v>
      </c>
      <c r="M14" s="17">
        <v>0</v>
      </c>
      <c r="N14" s="17">
        <v>0</v>
      </c>
      <c r="O14" s="17">
        <v>0</v>
      </c>
      <c r="P14" s="17">
        <v>0</v>
      </c>
      <c r="Q14" s="17">
        <v>6</v>
      </c>
      <c r="R14" s="17">
        <v>0</v>
      </c>
      <c r="S14" s="15">
        <f t="shared" si="1"/>
        <v>52</v>
      </c>
      <c r="T14" s="15">
        <f t="shared" si="2"/>
        <v>1</v>
      </c>
      <c r="U14" s="15">
        <f t="shared" si="3"/>
        <v>0</v>
      </c>
      <c r="V14" s="15">
        <f t="shared" si="4"/>
        <v>51</v>
      </c>
      <c r="W14" s="18" t="str">
        <f t="shared" si="5"/>
        <v/>
      </c>
      <c r="X14" s="17">
        <v>0</v>
      </c>
      <c r="Y14" s="17">
        <v>0</v>
      </c>
      <c r="Z14" s="15">
        <f t="shared" si="6"/>
        <v>0</v>
      </c>
      <c r="AA14" s="17">
        <v>0</v>
      </c>
      <c r="AB14" s="17">
        <v>0</v>
      </c>
      <c r="AC14" s="15">
        <f t="shared" si="7"/>
        <v>0</v>
      </c>
      <c r="AD14" s="17">
        <v>0</v>
      </c>
      <c r="AE14" s="17">
        <v>0</v>
      </c>
      <c r="AF14" s="15">
        <f t="shared" si="8"/>
        <v>0</v>
      </c>
      <c r="AG14" s="17">
        <v>0</v>
      </c>
      <c r="AH14" s="17">
        <v>0</v>
      </c>
      <c r="AI14" s="15">
        <f t="shared" si="9"/>
        <v>0</v>
      </c>
      <c r="AJ14" s="17"/>
    </row>
    <row r="15" spans="1:36" hidden="1" x14ac:dyDescent="0.3">
      <c r="A15" s="15" t="s">
        <v>66</v>
      </c>
      <c r="B15" s="15">
        <v>100</v>
      </c>
      <c r="C15" s="15" t="s">
        <v>54</v>
      </c>
      <c r="D15" s="15" t="s">
        <v>55</v>
      </c>
      <c r="E15" s="15">
        <f>'10-JULY2026'!T15</f>
        <v>202</v>
      </c>
      <c r="F15" s="15">
        <f>'10-JULY2026'!U15</f>
        <v>41</v>
      </c>
      <c r="G15" s="15">
        <f>'10-JULY2026'!V15</f>
        <v>11</v>
      </c>
      <c r="H15" s="15">
        <f t="shared" si="0"/>
        <v>254</v>
      </c>
      <c r="I15" s="17">
        <v>0</v>
      </c>
      <c r="J15" s="17">
        <v>0</v>
      </c>
      <c r="K15" s="17">
        <v>1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5">
        <f t="shared" si="1"/>
        <v>253</v>
      </c>
      <c r="T15" s="15">
        <f t="shared" si="2"/>
        <v>202</v>
      </c>
      <c r="U15" s="15">
        <f t="shared" si="3"/>
        <v>41</v>
      </c>
      <c r="V15" s="15">
        <f t="shared" si="4"/>
        <v>10</v>
      </c>
      <c r="W15" s="18" t="str">
        <f t="shared" si="5"/>
        <v/>
      </c>
      <c r="X15" s="17">
        <v>0</v>
      </c>
      <c r="Y15" s="17">
        <v>0</v>
      </c>
      <c r="Z15" s="15">
        <f t="shared" si="6"/>
        <v>0</v>
      </c>
      <c r="AA15" s="17">
        <v>0</v>
      </c>
      <c r="AB15" s="17">
        <v>0</v>
      </c>
      <c r="AC15" s="15">
        <f t="shared" si="7"/>
        <v>0</v>
      </c>
      <c r="AD15" s="17">
        <v>0</v>
      </c>
      <c r="AE15" s="17">
        <v>0</v>
      </c>
      <c r="AF15" s="15">
        <f t="shared" si="8"/>
        <v>0</v>
      </c>
      <c r="AG15" s="17">
        <v>0</v>
      </c>
      <c r="AH15" s="17">
        <v>0</v>
      </c>
      <c r="AI15" s="15">
        <f t="shared" si="9"/>
        <v>0</v>
      </c>
      <c r="AJ15" s="17"/>
    </row>
    <row r="16" spans="1:36" hidden="1" x14ac:dyDescent="0.3">
      <c r="A16" s="15" t="s">
        <v>66</v>
      </c>
      <c r="B16" s="15">
        <v>1000</v>
      </c>
      <c r="C16" s="15" t="s">
        <v>54</v>
      </c>
      <c r="D16" s="15" t="s">
        <v>55</v>
      </c>
      <c r="E16" s="15">
        <f>'10-JULY2026'!T16</f>
        <v>1</v>
      </c>
      <c r="F16" s="15">
        <f>'10-JULY2026'!U16</f>
        <v>0</v>
      </c>
      <c r="G16" s="15">
        <f>'10-JULY2026'!V16</f>
        <v>0</v>
      </c>
      <c r="H16" s="15">
        <f t="shared" si="0"/>
        <v>1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5">
        <f t="shared" si="1"/>
        <v>1</v>
      </c>
      <c r="T16" s="15">
        <f t="shared" si="2"/>
        <v>1</v>
      </c>
      <c r="U16" s="15">
        <f t="shared" si="3"/>
        <v>0</v>
      </c>
      <c r="V16" s="15">
        <f t="shared" si="4"/>
        <v>0</v>
      </c>
      <c r="W16" s="18" t="str">
        <f t="shared" si="5"/>
        <v/>
      </c>
      <c r="X16" s="17">
        <v>0</v>
      </c>
      <c r="Y16" s="17">
        <v>0</v>
      </c>
      <c r="Z16" s="15">
        <f t="shared" si="6"/>
        <v>0</v>
      </c>
      <c r="AA16" s="17">
        <v>0</v>
      </c>
      <c r="AB16" s="17">
        <v>0</v>
      </c>
      <c r="AC16" s="15">
        <f t="shared" si="7"/>
        <v>0</v>
      </c>
      <c r="AD16" s="17">
        <v>0</v>
      </c>
      <c r="AE16" s="17">
        <v>0</v>
      </c>
      <c r="AF16" s="15">
        <f t="shared" si="8"/>
        <v>0</v>
      </c>
      <c r="AG16" s="17">
        <v>0</v>
      </c>
      <c r="AH16" s="17">
        <v>0</v>
      </c>
      <c r="AI16" s="15">
        <f t="shared" si="9"/>
        <v>0</v>
      </c>
      <c r="AJ16" s="17"/>
    </row>
    <row r="17" spans="1:36" x14ac:dyDescent="0.3">
      <c r="A17" s="15" t="s">
        <v>67</v>
      </c>
      <c r="B17" s="15">
        <v>1000</v>
      </c>
      <c r="C17" s="15" t="s">
        <v>54</v>
      </c>
      <c r="D17" s="15" t="s">
        <v>68</v>
      </c>
      <c r="E17" s="15">
        <f>'10-JULY2026'!T17</f>
        <v>3</v>
      </c>
      <c r="F17" s="15">
        <f>'10-JULY2026'!U17</f>
        <v>0</v>
      </c>
      <c r="G17" s="15">
        <f>'10-JULY2026'!V17</f>
        <v>0</v>
      </c>
      <c r="H17" s="15">
        <f t="shared" si="0"/>
        <v>3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5">
        <f t="shared" si="1"/>
        <v>3</v>
      </c>
      <c r="T17" s="15">
        <f t="shared" si="2"/>
        <v>3</v>
      </c>
      <c r="U17" s="15">
        <f t="shared" si="3"/>
        <v>0</v>
      </c>
      <c r="V17" s="15">
        <f t="shared" si="4"/>
        <v>0</v>
      </c>
      <c r="W17" s="18" t="str">
        <f t="shared" si="5"/>
        <v/>
      </c>
      <c r="X17" s="17">
        <v>0</v>
      </c>
      <c r="Y17" s="17">
        <v>0</v>
      </c>
      <c r="Z17" s="15">
        <f t="shared" si="6"/>
        <v>0</v>
      </c>
      <c r="AA17" s="17">
        <v>0</v>
      </c>
      <c r="AB17" s="17">
        <v>0</v>
      </c>
      <c r="AC17" s="15">
        <f t="shared" si="7"/>
        <v>0</v>
      </c>
      <c r="AD17" s="17">
        <v>0</v>
      </c>
      <c r="AE17" s="17">
        <v>0</v>
      </c>
      <c r="AF17" s="15">
        <f t="shared" si="8"/>
        <v>0</v>
      </c>
      <c r="AG17" s="17">
        <v>0</v>
      </c>
      <c r="AH17" s="17">
        <v>0</v>
      </c>
      <c r="AI17" s="15">
        <f t="shared" si="9"/>
        <v>0</v>
      </c>
      <c r="AJ17" s="17"/>
    </row>
    <row r="18" spans="1:36" x14ac:dyDescent="0.3">
      <c r="A18" s="15" t="s">
        <v>69</v>
      </c>
      <c r="B18" s="15">
        <v>100000</v>
      </c>
      <c r="C18" s="15" t="s">
        <v>54</v>
      </c>
      <c r="D18" s="15" t="s">
        <v>68</v>
      </c>
      <c r="E18" s="15">
        <f>'10-JULY2026'!T18</f>
        <v>2</v>
      </c>
      <c r="F18" s="15">
        <f>'10-JULY2026'!U18</f>
        <v>0</v>
      </c>
      <c r="G18" s="15">
        <f>'10-JULY2026'!V18</f>
        <v>0</v>
      </c>
      <c r="H18" s="15">
        <f t="shared" si="0"/>
        <v>2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5">
        <f t="shared" si="1"/>
        <v>2</v>
      </c>
      <c r="T18" s="15">
        <f t="shared" si="2"/>
        <v>2</v>
      </c>
      <c r="U18" s="15">
        <f t="shared" si="3"/>
        <v>0</v>
      </c>
      <c r="V18" s="15">
        <f t="shared" si="4"/>
        <v>0</v>
      </c>
      <c r="W18" s="18" t="str">
        <f t="shared" si="5"/>
        <v/>
      </c>
      <c r="X18" s="17">
        <v>0</v>
      </c>
      <c r="Y18" s="17">
        <v>0</v>
      </c>
      <c r="Z18" s="15">
        <f t="shared" si="6"/>
        <v>0</v>
      </c>
      <c r="AA18" s="17">
        <v>0</v>
      </c>
      <c r="AB18" s="17">
        <v>0</v>
      </c>
      <c r="AC18" s="15">
        <f t="shared" si="7"/>
        <v>0</v>
      </c>
      <c r="AD18" s="17">
        <v>0</v>
      </c>
      <c r="AE18" s="17">
        <v>0</v>
      </c>
      <c r="AF18" s="15">
        <f t="shared" si="8"/>
        <v>0</v>
      </c>
      <c r="AG18" s="17">
        <v>0</v>
      </c>
      <c r="AH18" s="17">
        <v>0</v>
      </c>
      <c r="AI18" s="15">
        <f t="shared" si="9"/>
        <v>0</v>
      </c>
      <c r="AJ18" s="17"/>
    </row>
    <row r="19" spans="1:36" hidden="1" x14ac:dyDescent="0.3">
      <c r="A19" s="15" t="s">
        <v>70</v>
      </c>
      <c r="B19" s="15">
        <v>1000</v>
      </c>
      <c r="C19" s="15" t="s">
        <v>54</v>
      </c>
      <c r="D19" s="15" t="s">
        <v>55</v>
      </c>
      <c r="E19" s="15">
        <f>'10-JULY2026'!T19</f>
        <v>8</v>
      </c>
      <c r="F19" s="15">
        <f>'10-JULY2026'!U19</f>
        <v>0</v>
      </c>
      <c r="G19" s="15">
        <f>'10-JULY2026'!V19</f>
        <v>0</v>
      </c>
      <c r="H19" s="15">
        <f t="shared" si="0"/>
        <v>8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5">
        <f t="shared" si="1"/>
        <v>8</v>
      </c>
      <c r="T19" s="15">
        <f t="shared" si="2"/>
        <v>8</v>
      </c>
      <c r="U19" s="15">
        <f t="shared" si="3"/>
        <v>0</v>
      </c>
      <c r="V19" s="15">
        <f t="shared" si="4"/>
        <v>0</v>
      </c>
      <c r="W19" s="18" t="str">
        <f t="shared" si="5"/>
        <v/>
      </c>
      <c r="X19" s="17">
        <v>0</v>
      </c>
      <c r="Y19" s="17">
        <v>0</v>
      </c>
      <c r="Z19" s="15">
        <f t="shared" si="6"/>
        <v>0</v>
      </c>
      <c r="AA19" s="17">
        <v>0</v>
      </c>
      <c r="AB19" s="17">
        <v>0</v>
      </c>
      <c r="AC19" s="15">
        <f t="shared" si="7"/>
        <v>0</v>
      </c>
      <c r="AD19" s="17">
        <v>0</v>
      </c>
      <c r="AE19" s="17">
        <v>0</v>
      </c>
      <c r="AF19" s="15">
        <f t="shared" si="8"/>
        <v>0</v>
      </c>
      <c r="AG19" s="17">
        <v>0</v>
      </c>
      <c r="AH19" s="17">
        <v>0</v>
      </c>
      <c r="AI19" s="15">
        <f t="shared" si="9"/>
        <v>0</v>
      </c>
      <c r="AJ19" s="17"/>
    </row>
    <row r="20" spans="1:36" x14ac:dyDescent="0.3">
      <c r="A20" s="15" t="s">
        <v>70</v>
      </c>
      <c r="B20" s="15">
        <v>1000</v>
      </c>
      <c r="C20" s="15" t="s">
        <v>54</v>
      </c>
      <c r="D20" s="15" t="s">
        <v>57</v>
      </c>
      <c r="E20" s="15">
        <f>'10-JULY2026'!T20</f>
        <v>1</v>
      </c>
      <c r="F20" s="15">
        <f>'10-JULY2026'!U20</f>
        <v>0</v>
      </c>
      <c r="G20" s="15">
        <f>'10-JULY2026'!V20</f>
        <v>0</v>
      </c>
      <c r="H20" s="15">
        <f t="shared" si="0"/>
        <v>1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5">
        <f t="shared" si="1"/>
        <v>1</v>
      </c>
      <c r="T20" s="15">
        <f t="shared" si="2"/>
        <v>1</v>
      </c>
      <c r="U20" s="15">
        <f t="shared" si="3"/>
        <v>0</v>
      </c>
      <c r="V20" s="15">
        <f t="shared" si="4"/>
        <v>0</v>
      </c>
      <c r="W20" s="18" t="str">
        <f t="shared" si="5"/>
        <v/>
      </c>
      <c r="X20" s="17">
        <v>0</v>
      </c>
      <c r="Y20" s="17">
        <v>0</v>
      </c>
      <c r="Z20" s="15">
        <f t="shared" si="6"/>
        <v>0</v>
      </c>
      <c r="AA20" s="17">
        <v>0</v>
      </c>
      <c r="AB20" s="17">
        <v>0</v>
      </c>
      <c r="AC20" s="15">
        <f t="shared" si="7"/>
        <v>0</v>
      </c>
      <c r="AD20" s="17">
        <v>0</v>
      </c>
      <c r="AE20" s="17">
        <v>0</v>
      </c>
      <c r="AF20" s="15">
        <f t="shared" si="8"/>
        <v>0</v>
      </c>
      <c r="AG20" s="17">
        <v>0</v>
      </c>
      <c r="AH20" s="17">
        <v>0</v>
      </c>
      <c r="AI20" s="15">
        <f t="shared" si="9"/>
        <v>0</v>
      </c>
      <c r="AJ20" s="17"/>
    </row>
    <row r="21" spans="1:36" hidden="1" x14ac:dyDescent="0.3">
      <c r="A21" s="15" t="s">
        <v>71</v>
      </c>
      <c r="B21" s="15">
        <v>100</v>
      </c>
      <c r="C21" s="15" t="s">
        <v>54</v>
      </c>
      <c r="D21" s="15" t="s">
        <v>55</v>
      </c>
      <c r="E21" s="15">
        <f>'10-JULY2026'!T21</f>
        <v>4</v>
      </c>
      <c r="F21" s="15">
        <f>'10-JULY2026'!U21</f>
        <v>0</v>
      </c>
      <c r="G21" s="15">
        <f>'10-JULY2026'!V21</f>
        <v>0</v>
      </c>
      <c r="H21" s="15">
        <f t="shared" si="0"/>
        <v>4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5">
        <f t="shared" si="1"/>
        <v>4</v>
      </c>
      <c r="T21" s="15">
        <f t="shared" si="2"/>
        <v>4</v>
      </c>
      <c r="U21" s="15">
        <f t="shared" si="3"/>
        <v>0</v>
      </c>
      <c r="V21" s="15">
        <f t="shared" si="4"/>
        <v>0</v>
      </c>
      <c r="W21" s="18" t="str">
        <f t="shared" si="5"/>
        <v/>
      </c>
      <c r="X21" s="17">
        <v>0</v>
      </c>
      <c r="Y21" s="17">
        <v>0</v>
      </c>
      <c r="Z21" s="15">
        <f t="shared" si="6"/>
        <v>0</v>
      </c>
      <c r="AA21" s="17">
        <v>0</v>
      </c>
      <c r="AB21" s="17">
        <v>0</v>
      </c>
      <c r="AC21" s="15">
        <f t="shared" si="7"/>
        <v>0</v>
      </c>
      <c r="AD21" s="17">
        <v>0</v>
      </c>
      <c r="AE21" s="17">
        <v>0</v>
      </c>
      <c r="AF21" s="15">
        <f t="shared" si="8"/>
        <v>0</v>
      </c>
      <c r="AG21" s="17">
        <v>0</v>
      </c>
      <c r="AH21" s="17">
        <v>0</v>
      </c>
      <c r="AI21" s="15">
        <f t="shared" si="9"/>
        <v>0</v>
      </c>
      <c r="AJ21" s="17"/>
    </row>
    <row r="22" spans="1:36" hidden="1" x14ac:dyDescent="0.3">
      <c r="A22" s="15" t="s">
        <v>71</v>
      </c>
      <c r="B22" s="15">
        <v>1000</v>
      </c>
      <c r="C22" s="15" t="s">
        <v>54</v>
      </c>
      <c r="D22" s="15" t="s">
        <v>55</v>
      </c>
      <c r="E22" s="15">
        <f>'10-JULY2026'!T22</f>
        <v>8</v>
      </c>
      <c r="F22" s="15">
        <f>'10-JULY2026'!U22</f>
        <v>0</v>
      </c>
      <c r="G22" s="15">
        <f>'10-JULY2026'!V22</f>
        <v>0</v>
      </c>
      <c r="H22" s="15">
        <f t="shared" si="0"/>
        <v>8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5">
        <f t="shared" si="1"/>
        <v>8</v>
      </c>
      <c r="T22" s="15">
        <f t="shared" si="2"/>
        <v>8</v>
      </c>
      <c r="U22" s="15">
        <f t="shared" si="3"/>
        <v>0</v>
      </c>
      <c r="V22" s="15">
        <f t="shared" si="4"/>
        <v>0</v>
      </c>
      <c r="W22" s="18" t="str">
        <f t="shared" si="5"/>
        <v/>
      </c>
      <c r="X22" s="17">
        <v>0</v>
      </c>
      <c r="Y22" s="17">
        <v>0</v>
      </c>
      <c r="Z22" s="15">
        <f t="shared" si="6"/>
        <v>0</v>
      </c>
      <c r="AA22" s="17">
        <v>0</v>
      </c>
      <c r="AB22" s="17">
        <v>0</v>
      </c>
      <c r="AC22" s="15">
        <f t="shared" si="7"/>
        <v>0</v>
      </c>
      <c r="AD22" s="17">
        <v>0</v>
      </c>
      <c r="AE22" s="17">
        <v>0</v>
      </c>
      <c r="AF22" s="15">
        <f t="shared" si="8"/>
        <v>0</v>
      </c>
      <c r="AG22" s="17">
        <v>0</v>
      </c>
      <c r="AH22" s="17">
        <v>0</v>
      </c>
      <c r="AI22" s="15">
        <f t="shared" si="9"/>
        <v>0</v>
      </c>
      <c r="AJ22" s="17"/>
    </row>
    <row r="23" spans="1:36" x14ac:dyDescent="0.3">
      <c r="A23" s="15" t="s">
        <v>72</v>
      </c>
      <c r="B23" s="15">
        <v>100</v>
      </c>
      <c r="C23" s="15" t="s">
        <v>54</v>
      </c>
      <c r="D23" s="15" t="s">
        <v>57</v>
      </c>
      <c r="E23" s="15">
        <f>'10-JULY2026'!T23</f>
        <v>20</v>
      </c>
      <c r="F23" s="15">
        <f>'10-JULY2026'!U23</f>
        <v>0</v>
      </c>
      <c r="G23" s="15">
        <f>'10-JULY2026'!V23</f>
        <v>0</v>
      </c>
      <c r="H23" s="15">
        <f t="shared" si="0"/>
        <v>20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5">
        <f t="shared" si="1"/>
        <v>20</v>
      </c>
      <c r="T23" s="15">
        <f t="shared" si="2"/>
        <v>20</v>
      </c>
      <c r="U23" s="15">
        <f t="shared" si="3"/>
        <v>0</v>
      </c>
      <c r="V23" s="15">
        <f t="shared" si="4"/>
        <v>0</v>
      </c>
      <c r="W23" s="18" t="str">
        <f t="shared" si="5"/>
        <v/>
      </c>
      <c r="X23" s="17">
        <v>0</v>
      </c>
      <c r="Y23" s="17">
        <v>0</v>
      </c>
      <c r="Z23" s="15">
        <f t="shared" si="6"/>
        <v>0</v>
      </c>
      <c r="AA23" s="17">
        <v>0</v>
      </c>
      <c r="AB23" s="17">
        <v>0</v>
      </c>
      <c r="AC23" s="15">
        <f t="shared" si="7"/>
        <v>0</v>
      </c>
      <c r="AD23" s="17">
        <v>0</v>
      </c>
      <c r="AE23" s="17">
        <v>0</v>
      </c>
      <c r="AF23" s="15">
        <f t="shared" si="8"/>
        <v>0</v>
      </c>
      <c r="AG23" s="17">
        <v>0</v>
      </c>
      <c r="AH23" s="17">
        <v>0</v>
      </c>
      <c r="AI23" s="15">
        <f t="shared" si="9"/>
        <v>0</v>
      </c>
      <c r="AJ23" s="17"/>
    </row>
    <row r="24" spans="1:36" x14ac:dyDescent="0.3">
      <c r="A24" s="15" t="s">
        <v>72</v>
      </c>
      <c r="B24" s="15">
        <v>500</v>
      </c>
      <c r="C24" s="15" t="s">
        <v>54</v>
      </c>
      <c r="D24" s="15" t="s">
        <v>57</v>
      </c>
      <c r="E24" s="15">
        <f>'10-JULY2026'!T24</f>
        <v>2</v>
      </c>
      <c r="F24" s="15">
        <f>'10-JULY2026'!U24</f>
        <v>0</v>
      </c>
      <c r="G24" s="15">
        <f>'10-JULY2026'!V24</f>
        <v>0</v>
      </c>
      <c r="H24" s="15">
        <f t="shared" si="0"/>
        <v>2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5">
        <f t="shared" si="1"/>
        <v>2</v>
      </c>
      <c r="T24" s="15">
        <f t="shared" si="2"/>
        <v>2</v>
      </c>
      <c r="U24" s="15">
        <f t="shared" si="3"/>
        <v>0</v>
      </c>
      <c r="V24" s="15">
        <f t="shared" si="4"/>
        <v>0</v>
      </c>
      <c r="W24" s="18" t="str">
        <f t="shared" si="5"/>
        <v/>
      </c>
      <c r="X24" s="17">
        <v>0</v>
      </c>
      <c r="Y24" s="17">
        <v>0</v>
      </c>
      <c r="Z24" s="15">
        <f t="shared" si="6"/>
        <v>0</v>
      </c>
      <c r="AA24" s="17">
        <v>0</v>
      </c>
      <c r="AB24" s="17">
        <v>0</v>
      </c>
      <c r="AC24" s="15">
        <f t="shared" si="7"/>
        <v>0</v>
      </c>
      <c r="AD24" s="17">
        <v>0</v>
      </c>
      <c r="AE24" s="17">
        <v>0</v>
      </c>
      <c r="AF24" s="15">
        <f t="shared" si="8"/>
        <v>0</v>
      </c>
      <c r="AG24" s="17">
        <v>0</v>
      </c>
      <c r="AH24" s="17">
        <v>0</v>
      </c>
      <c r="AI24" s="15">
        <f t="shared" si="9"/>
        <v>0</v>
      </c>
      <c r="AJ24" s="17"/>
    </row>
    <row r="25" spans="1:36" hidden="1" x14ac:dyDescent="0.3">
      <c r="A25" s="15" t="s">
        <v>73</v>
      </c>
      <c r="B25" s="15">
        <v>100</v>
      </c>
      <c r="C25" s="15" t="s">
        <v>54</v>
      </c>
      <c r="D25" s="15" t="s">
        <v>55</v>
      </c>
      <c r="E25" s="15">
        <f>'10-JULY2026'!T25</f>
        <v>1</v>
      </c>
      <c r="F25" s="15">
        <f>'10-JULY2026'!U25</f>
        <v>151</v>
      </c>
      <c r="G25" s="15">
        <f>'10-JULY2026'!V25</f>
        <v>0</v>
      </c>
      <c r="H25" s="15">
        <f t="shared" si="0"/>
        <v>152</v>
      </c>
      <c r="I25" s="17">
        <v>0</v>
      </c>
      <c r="J25" s="17">
        <v>0</v>
      </c>
      <c r="K25" s="17">
        <v>0</v>
      </c>
      <c r="L25" s="17">
        <v>0</v>
      </c>
      <c r="M25" s="17">
        <v>10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5">
        <f t="shared" si="1"/>
        <v>142</v>
      </c>
      <c r="T25" s="15">
        <f t="shared" si="2"/>
        <v>1</v>
      </c>
      <c r="U25" s="15">
        <f t="shared" si="3"/>
        <v>141</v>
      </c>
      <c r="V25" s="15">
        <f t="shared" si="4"/>
        <v>0</v>
      </c>
      <c r="W25" s="18" t="str">
        <f t="shared" si="5"/>
        <v/>
      </c>
      <c r="X25" s="17">
        <v>0</v>
      </c>
      <c r="Y25" s="17">
        <v>0</v>
      </c>
      <c r="Z25" s="15">
        <f t="shared" si="6"/>
        <v>0</v>
      </c>
      <c r="AA25" s="17">
        <v>0</v>
      </c>
      <c r="AB25" s="17">
        <v>0</v>
      </c>
      <c r="AC25" s="15">
        <f t="shared" si="7"/>
        <v>0</v>
      </c>
      <c r="AD25" s="17">
        <v>0</v>
      </c>
      <c r="AE25" s="17">
        <v>0</v>
      </c>
      <c r="AF25" s="15">
        <f t="shared" si="8"/>
        <v>0</v>
      </c>
      <c r="AG25" s="17">
        <v>0</v>
      </c>
      <c r="AH25" s="17">
        <v>0</v>
      </c>
      <c r="AI25" s="15">
        <f t="shared" si="9"/>
        <v>0</v>
      </c>
      <c r="AJ25" s="17"/>
    </row>
    <row r="26" spans="1:36" hidden="1" x14ac:dyDescent="0.3">
      <c r="A26" s="15" t="s">
        <v>74</v>
      </c>
      <c r="B26" s="15">
        <v>100</v>
      </c>
      <c r="C26" s="15" t="s">
        <v>54</v>
      </c>
      <c r="D26" s="15" t="s">
        <v>55</v>
      </c>
      <c r="E26" s="15">
        <f>'10-JULY2026'!T26</f>
        <v>89</v>
      </c>
      <c r="F26" s="15">
        <f>'10-JULY2026'!U26</f>
        <v>28</v>
      </c>
      <c r="G26" s="15">
        <f>'10-JULY2026'!V26</f>
        <v>4</v>
      </c>
      <c r="H26" s="15">
        <f t="shared" si="0"/>
        <v>121</v>
      </c>
      <c r="I26" s="17">
        <v>0</v>
      </c>
      <c r="J26" s="17">
        <v>0</v>
      </c>
      <c r="K26" s="17">
        <v>0</v>
      </c>
      <c r="L26" s="17">
        <v>0</v>
      </c>
      <c r="M26" s="17">
        <v>10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5">
        <f t="shared" si="1"/>
        <v>111</v>
      </c>
      <c r="T26" s="15">
        <f t="shared" si="2"/>
        <v>89</v>
      </c>
      <c r="U26" s="15">
        <f t="shared" si="3"/>
        <v>18</v>
      </c>
      <c r="V26" s="15">
        <f t="shared" si="4"/>
        <v>4</v>
      </c>
      <c r="W26" s="18" t="str">
        <f t="shared" si="5"/>
        <v/>
      </c>
      <c r="X26" s="17">
        <v>0</v>
      </c>
      <c r="Y26" s="17">
        <v>0</v>
      </c>
      <c r="Z26" s="15">
        <f t="shared" si="6"/>
        <v>0</v>
      </c>
      <c r="AA26" s="17">
        <v>0</v>
      </c>
      <c r="AB26" s="17">
        <v>0</v>
      </c>
      <c r="AC26" s="15">
        <f t="shared" si="7"/>
        <v>0</v>
      </c>
      <c r="AD26" s="17">
        <v>0</v>
      </c>
      <c r="AE26" s="17">
        <v>0</v>
      </c>
      <c r="AF26" s="15">
        <f t="shared" si="8"/>
        <v>0</v>
      </c>
      <c r="AG26" s="17">
        <v>0</v>
      </c>
      <c r="AH26" s="17">
        <v>0</v>
      </c>
      <c r="AI26" s="15">
        <f t="shared" si="9"/>
        <v>0</v>
      </c>
      <c r="AJ26" s="17"/>
    </row>
    <row r="27" spans="1:36" x14ac:dyDescent="0.3">
      <c r="A27" s="15" t="s">
        <v>75</v>
      </c>
      <c r="B27" s="15">
        <v>1000</v>
      </c>
      <c r="C27" s="15" t="s">
        <v>54</v>
      </c>
      <c r="D27" s="15" t="s">
        <v>68</v>
      </c>
      <c r="E27" s="15">
        <f>'10-JULY2026'!T27</f>
        <v>2</v>
      </c>
      <c r="F27" s="15">
        <f>'10-JULY2026'!U27</f>
        <v>0</v>
      </c>
      <c r="G27" s="15">
        <f>'10-JULY2026'!V27</f>
        <v>0</v>
      </c>
      <c r="H27" s="15">
        <f t="shared" si="0"/>
        <v>2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5">
        <f t="shared" si="1"/>
        <v>2</v>
      </c>
      <c r="T27" s="15">
        <f t="shared" si="2"/>
        <v>2</v>
      </c>
      <c r="U27" s="15">
        <f t="shared" si="3"/>
        <v>0</v>
      </c>
      <c r="V27" s="15">
        <f t="shared" si="4"/>
        <v>0</v>
      </c>
      <c r="W27" s="18" t="str">
        <f t="shared" si="5"/>
        <v/>
      </c>
      <c r="X27" s="17">
        <v>0</v>
      </c>
      <c r="Y27" s="17">
        <v>0</v>
      </c>
      <c r="Z27" s="15">
        <f t="shared" si="6"/>
        <v>0</v>
      </c>
      <c r="AA27" s="17">
        <v>0</v>
      </c>
      <c r="AB27" s="17">
        <v>0</v>
      </c>
      <c r="AC27" s="15">
        <f t="shared" si="7"/>
        <v>0</v>
      </c>
      <c r="AD27" s="17">
        <v>0</v>
      </c>
      <c r="AE27" s="17">
        <v>0</v>
      </c>
      <c r="AF27" s="15">
        <f t="shared" si="8"/>
        <v>0</v>
      </c>
      <c r="AG27" s="17">
        <v>0</v>
      </c>
      <c r="AH27" s="17">
        <v>0</v>
      </c>
      <c r="AI27" s="15">
        <f t="shared" si="9"/>
        <v>0</v>
      </c>
      <c r="AJ27" s="17"/>
    </row>
    <row r="28" spans="1:36" x14ac:dyDescent="0.3">
      <c r="A28" s="15" t="s">
        <v>76</v>
      </c>
      <c r="B28" s="15">
        <v>100</v>
      </c>
      <c r="C28" s="15" t="s">
        <v>54</v>
      </c>
      <c r="D28" s="15" t="s">
        <v>68</v>
      </c>
      <c r="E28" s="15">
        <f>'10-JULY2026'!T28</f>
        <v>6</v>
      </c>
      <c r="F28" s="15">
        <f>'10-JULY2026'!U28</f>
        <v>0</v>
      </c>
      <c r="G28" s="15">
        <f>'10-JULY2026'!V28</f>
        <v>0</v>
      </c>
      <c r="H28" s="15">
        <f t="shared" si="0"/>
        <v>6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5">
        <f t="shared" si="1"/>
        <v>6</v>
      </c>
      <c r="T28" s="15">
        <f t="shared" si="2"/>
        <v>6</v>
      </c>
      <c r="U28" s="15">
        <f t="shared" si="3"/>
        <v>0</v>
      </c>
      <c r="V28" s="15">
        <f t="shared" si="4"/>
        <v>0</v>
      </c>
      <c r="W28" s="18" t="str">
        <f t="shared" si="5"/>
        <v/>
      </c>
      <c r="X28" s="17">
        <v>0</v>
      </c>
      <c r="Y28" s="17">
        <v>0</v>
      </c>
      <c r="Z28" s="15">
        <f t="shared" si="6"/>
        <v>0</v>
      </c>
      <c r="AA28" s="17">
        <v>0</v>
      </c>
      <c r="AB28" s="17">
        <v>0</v>
      </c>
      <c r="AC28" s="15">
        <f t="shared" si="7"/>
        <v>0</v>
      </c>
      <c r="AD28" s="17">
        <v>0</v>
      </c>
      <c r="AE28" s="17">
        <v>0</v>
      </c>
      <c r="AF28" s="15">
        <f t="shared" si="8"/>
        <v>0</v>
      </c>
      <c r="AG28" s="17">
        <v>0</v>
      </c>
      <c r="AH28" s="17">
        <v>0</v>
      </c>
      <c r="AI28" s="15">
        <f t="shared" si="9"/>
        <v>0</v>
      </c>
      <c r="AJ28" s="17"/>
    </row>
    <row r="29" spans="1:36" hidden="1" x14ac:dyDescent="0.3">
      <c r="A29" s="15" t="s">
        <v>77</v>
      </c>
      <c r="B29" s="15">
        <v>100</v>
      </c>
      <c r="C29" s="15" t="s">
        <v>54</v>
      </c>
      <c r="D29" s="15" t="s">
        <v>55</v>
      </c>
      <c r="E29" s="15">
        <f>'10-JULY2026'!T29</f>
        <v>34</v>
      </c>
      <c r="F29" s="15">
        <f>'10-JULY2026'!U29</f>
        <v>0</v>
      </c>
      <c r="G29" s="15">
        <f>'10-JULY2026'!V29</f>
        <v>0</v>
      </c>
      <c r="H29" s="15">
        <f t="shared" si="0"/>
        <v>34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5">
        <f t="shared" si="1"/>
        <v>34</v>
      </c>
      <c r="T29" s="15">
        <f t="shared" si="2"/>
        <v>34</v>
      </c>
      <c r="U29" s="15">
        <f t="shared" si="3"/>
        <v>0</v>
      </c>
      <c r="V29" s="15">
        <f t="shared" si="4"/>
        <v>0</v>
      </c>
      <c r="W29" s="18" t="str">
        <f t="shared" si="5"/>
        <v/>
      </c>
      <c r="X29" s="17">
        <v>0</v>
      </c>
      <c r="Y29" s="17">
        <v>0</v>
      </c>
      <c r="Z29" s="15">
        <f t="shared" si="6"/>
        <v>0</v>
      </c>
      <c r="AA29" s="17">
        <v>0</v>
      </c>
      <c r="AB29" s="17">
        <v>0</v>
      </c>
      <c r="AC29" s="15">
        <f t="shared" si="7"/>
        <v>0</v>
      </c>
      <c r="AD29" s="17">
        <v>0</v>
      </c>
      <c r="AE29" s="17">
        <v>0</v>
      </c>
      <c r="AF29" s="15">
        <f t="shared" si="8"/>
        <v>0</v>
      </c>
      <c r="AG29" s="17">
        <v>0</v>
      </c>
      <c r="AH29" s="17">
        <v>0</v>
      </c>
      <c r="AI29" s="15">
        <f t="shared" si="9"/>
        <v>0</v>
      </c>
      <c r="AJ29" s="17"/>
    </row>
    <row r="30" spans="1:36" hidden="1" x14ac:dyDescent="0.3">
      <c r="A30" s="15" t="s">
        <v>78</v>
      </c>
      <c r="B30" s="15">
        <v>1000</v>
      </c>
      <c r="C30" s="15" t="s">
        <v>54</v>
      </c>
      <c r="D30" s="15" t="s">
        <v>55</v>
      </c>
      <c r="E30" s="15">
        <f>'10-JULY2026'!T30</f>
        <v>0</v>
      </c>
      <c r="F30" s="15">
        <f>'10-JULY2026'!U30</f>
        <v>7</v>
      </c>
      <c r="G30" s="15">
        <f>'10-JULY2026'!V30</f>
        <v>25</v>
      </c>
      <c r="H30" s="15">
        <f t="shared" si="0"/>
        <v>32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5">
        <f t="shared" si="1"/>
        <v>32</v>
      </c>
      <c r="T30" s="15">
        <f t="shared" si="2"/>
        <v>0</v>
      </c>
      <c r="U30" s="15">
        <f t="shared" si="3"/>
        <v>7</v>
      </c>
      <c r="V30" s="15">
        <f t="shared" si="4"/>
        <v>25</v>
      </c>
      <c r="W30" s="18" t="str">
        <f t="shared" si="5"/>
        <v/>
      </c>
      <c r="X30" s="17">
        <v>0</v>
      </c>
      <c r="Y30" s="17">
        <v>0</v>
      </c>
      <c r="Z30" s="15">
        <f t="shared" si="6"/>
        <v>0</v>
      </c>
      <c r="AA30" s="17">
        <v>0</v>
      </c>
      <c r="AB30" s="17">
        <v>0</v>
      </c>
      <c r="AC30" s="15">
        <f t="shared" si="7"/>
        <v>0</v>
      </c>
      <c r="AD30" s="17">
        <v>0</v>
      </c>
      <c r="AE30" s="17">
        <v>0</v>
      </c>
      <c r="AF30" s="15">
        <f t="shared" si="8"/>
        <v>0</v>
      </c>
      <c r="AG30" s="17">
        <v>0</v>
      </c>
      <c r="AH30" s="17">
        <v>0</v>
      </c>
      <c r="AI30" s="15">
        <f t="shared" si="9"/>
        <v>0</v>
      </c>
      <c r="AJ30" s="17"/>
    </row>
    <row r="31" spans="1:36" hidden="1" x14ac:dyDescent="0.3">
      <c r="A31" s="15" t="s">
        <v>79</v>
      </c>
      <c r="B31" s="15">
        <v>1000</v>
      </c>
      <c r="C31" s="15" t="s">
        <v>54</v>
      </c>
      <c r="D31" s="15" t="s">
        <v>55</v>
      </c>
      <c r="E31" s="15">
        <f>'10-JULY2026'!T31</f>
        <v>9</v>
      </c>
      <c r="F31" s="15">
        <f>'10-JULY2026'!U31</f>
        <v>5</v>
      </c>
      <c r="G31" s="15">
        <f>'10-JULY2026'!V31</f>
        <v>27</v>
      </c>
      <c r="H31" s="15">
        <f t="shared" si="0"/>
        <v>41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5">
        <f t="shared" si="1"/>
        <v>41</v>
      </c>
      <c r="T31" s="15">
        <f t="shared" si="2"/>
        <v>9</v>
      </c>
      <c r="U31" s="15">
        <f t="shared" si="3"/>
        <v>5</v>
      </c>
      <c r="V31" s="15">
        <f t="shared" si="4"/>
        <v>27</v>
      </c>
      <c r="W31" s="18" t="str">
        <f t="shared" si="5"/>
        <v/>
      </c>
      <c r="X31" s="17">
        <v>0</v>
      </c>
      <c r="Y31" s="17">
        <v>0</v>
      </c>
      <c r="Z31" s="15">
        <f t="shared" si="6"/>
        <v>0</v>
      </c>
      <c r="AA31" s="17">
        <v>0</v>
      </c>
      <c r="AB31" s="17">
        <v>0</v>
      </c>
      <c r="AC31" s="15">
        <f t="shared" si="7"/>
        <v>0</v>
      </c>
      <c r="AD31" s="17">
        <v>0</v>
      </c>
      <c r="AE31" s="17">
        <v>0</v>
      </c>
      <c r="AF31" s="15">
        <f t="shared" si="8"/>
        <v>0</v>
      </c>
      <c r="AG31" s="17">
        <v>0</v>
      </c>
      <c r="AH31" s="17">
        <v>0</v>
      </c>
      <c r="AI31" s="15">
        <f t="shared" si="9"/>
        <v>0</v>
      </c>
      <c r="AJ31" s="17"/>
    </row>
    <row r="32" spans="1:36" hidden="1" x14ac:dyDescent="0.3">
      <c r="A32" s="15" t="s">
        <v>80</v>
      </c>
      <c r="B32" s="15">
        <v>25000</v>
      </c>
      <c r="C32" s="15" t="s">
        <v>54</v>
      </c>
      <c r="D32" s="15" t="s">
        <v>55</v>
      </c>
      <c r="E32" s="15">
        <f>'10-JULY2026'!T32</f>
        <v>4</v>
      </c>
      <c r="F32" s="15">
        <f>'10-JULY2026'!U32</f>
        <v>0</v>
      </c>
      <c r="G32" s="15">
        <f>'10-JULY2026'!V32</f>
        <v>0</v>
      </c>
      <c r="H32" s="15">
        <f t="shared" si="0"/>
        <v>4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5">
        <f t="shared" si="1"/>
        <v>4</v>
      </c>
      <c r="T32" s="15">
        <f t="shared" si="2"/>
        <v>4</v>
      </c>
      <c r="U32" s="15">
        <f t="shared" si="3"/>
        <v>0</v>
      </c>
      <c r="V32" s="15">
        <f t="shared" si="4"/>
        <v>0</v>
      </c>
      <c r="W32" s="18" t="str">
        <f t="shared" si="5"/>
        <v/>
      </c>
      <c r="X32" s="17">
        <v>0</v>
      </c>
      <c r="Y32" s="17">
        <v>0</v>
      </c>
      <c r="Z32" s="15">
        <f t="shared" si="6"/>
        <v>0</v>
      </c>
      <c r="AA32" s="17">
        <v>0</v>
      </c>
      <c r="AB32" s="17">
        <v>0</v>
      </c>
      <c r="AC32" s="15">
        <f t="shared" si="7"/>
        <v>0</v>
      </c>
      <c r="AD32" s="17">
        <v>0</v>
      </c>
      <c r="AE32" s="17">
        <v>0</v>
      </c>
      <c r="AF32" s="15">
        <f t="shared" si="8"/>
        <v>0</v>
      </c>
      <c r="AG32" s="17">
        <v>0</v>
      </c>
      <c r="AH32" s="17">
        <v>0</v>
      </c>
      <c r="AI32" s="15">
        <f t="shared" si="9"/>
        <v>0</v>
      </c>
      <c r="AJ32" s="17"/>
    </row>
    <row r="33" spans="1:36" hidden="1" x14ac:dyDescent="0.3">
      <c r="A33" s="15" t="s">
        <v>81</v>
      </c>
      <c r="B33" s="15">
        <v>25000</v>
      </c>
      <c r="C33" s="15" t="s">
        <v>54</v>
      </c>
      <c r="D33" s="15" t="s">
        <v>55</v>
      </c>
      <c r="E33" s="15">
        <f>'10-JULY2026'!T33</f>
        <v>10</v>
      </c>
      <c r="F33" s="15">
        <f>'10-JULY2026'!U33</f>
        <v>0</v>
      </c>
      <c r="G33" s="15">
        <f>'10-JULY2026'!V33</f>
        <v>0</v>
      </c>
      <c r="H33" s="15">
        <f t="shared" si="0"/>
        <v>10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5">
        <f t="shared" si="1"/>
        <v>10</v>
      </c>
      <c r="T33" s="15">
        <f t="shared" si="2"/>
        <v>10</v>
      </c>
      <c r="U33" s="15">
        <f t="shared" si="3"/>
        <v>0</v>
      </c>
      <c r="V33" s="15">
        <f t="shared" si="4"/>
        <v>0</v>
      </c>
      <c r="W33" s="18" t="str">
        <f t="shared" si="5"/>
        <v/>
      </c>
      <c r="X33" s="17">
        <v>0</v>
      </c>
      <c r="Y33" s="17">
        <v>0</v>
      </c>
      <c r="Z33" s="15">
        <f t="shared" si="6"/>
        <v>0</v>
      </c>
      <c r="AA33" s="17">
        <v>0</v>
      </c>
      <c r="AB33" s="17">
        <v>0</v>
      </c>
      <c r="AC33" s="15">
        <f t="shared" si="7"/>
        <v>0</v>
      </c>
      <c r="AD33" s="17">
        <v>0</v>
      </c>
      <c r="AE33" s="17">
        <v>0</v>
      </c>
      <c r="AF33" s="15">
        <f t="shared" si="8"/>
        <v>0</v>
      </c>
      <c r="AG33" s="17">
        <v>0</v>
      </c>
      <c r="AH33" s="17">
        <v>0</v>
      </c>
      <c r="AI33" s="15">
        <f t="shared" si="9"/>
        <v>0</v>
      </c>
      <c r="AJ33" s="17"/>
    </row>
    <row r="34" spans="1:36" x14ac:dyDescent="0.3">
      <c r="A34" s="15" t="s">
        <v>82</v>
      </c>
      <c r="B34" s="15">
        <v>1000</v>
      </c>
      <c r="C34" s="15" t="s">
        <v>54</v>
      </c>
      <c r="D34" s="15" t="s">
        <v>68</v>
      </c>
      <c r="E34" s="15">
        <f>'10-JULY2026'!T34</f>
        <v>2</v>
      </c>
      <c r="F34" s="15">
        <f>'10-JULY2026'!U34</f>
        <v>0</v>
      </c>
      <c r="G34" s="15">
        <f>'10-JULY2026'!V34</f>
        <v>0</v>
      </c>
      <c r="H34" s="15">
        <f t="shared" si="0"/>
        <v>2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5">
        <f t="shared" si="1"/>
        <v>2</v>
      </c>
      <c r="T34" s="15">
        <f t="shared" si="2"/>
        <v>2</v>
      </c>
      <c r="U34" s="15">
        <f t="shared" si="3"/>
        <v>0</v>
      </c>
      <c r="V34" s="15">
        <f t="shared" si="4"/>
        <v>0</v>
      </c>
      <c r="W34" s="18" t="str">
        <f t="shared" si="5"/>
        <v/>
      </c>
      <c r="X34" s="17">
        <v>0</v>
      </c>
      <c r="Y34" s="17">
        <v>0</v>
      </c>
      <c r="Z34" s="15">
        <f t="shared" si="6"/>
        <v>0</v>
      </c>
      <c r="AA34" s="17">
        <v>0</v>
      </c>
      <c r="AB34" s="17">
        <v>0</v>
      </c>
      <c r="AC34" s="15">
        <f t="shared" si="7"/>
        <v>0</v>
      </c>
      <c r="AD34" s="17">
        <v>0</v>
      </c>
      <c r="AE34" s="17">
        <v>0</v>
      </c>
      <c r="AF34" s="15">
        <f t="shared" si="8"/>
        <v>0</v>
      </c>
      <c r="AG34" s="17">
        <v>0</v>
      </c>
      <c r="AH34" s="17">
        <v>0</v>
      </c>
      <c r="AI34" s="15">
        <f t="shared" si="9"/>
        <v>0</v>
      </c>
      <c r="AJ34" s="17"/>
    </row>
    <row r="35" spans="1:36" x14ac:dyDescent="0.3">
      <c r="A35" s="15" t="s">
        <v>83</v>
      </c>
      <c r="B35" s="15">
        <v>100</v>
      </c>
      <c r="C35" s="15" t="s">
        <v>54</v>
      </c>
      <c r="D35" s="15" t="s">
        <v>57</v>
      </c>
      <c r="E35" s="15">
        <f>'10-JULY2026'!T35</f>
        <v>2</v>
      </c>
      <c r="F35" s="15">
        <f>'10-JULY2026'!U35</f>
        <v>0</v>
      </c>
      <c r="G35" s="15">
        <f>'10-JULY2026'!V35</f>
        <v>0</v>
      </c>
      <c r="H35" s="15">
        <f t="shared" ref="H35:H66" si="10">E35+F35+G35</f>
        <v>2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5">
        <f t="shared" ref="S35:S66" si="11">H35+O35+P35+Q35+R35-(I35+J35+K35+L35+M35+N35)</f>
        <v>2</v>
      </c>
      <c r="T35" s="15">
        <f t="shared" ref="T35:T66" si="12">E35+O35-I35-L35</f>
        <v>2</v>
      </c>
      <c r="U35" s="15">
        <f t="shared" ref="U35:U66" si="13">F35+P35-J35-M35</f>
        <v>0</v>
      </c>
      <c r="V35" s="15">
        <f t="shared" ref="V35:V66" si="14">G35+Q35-K35-N35</f>
        <v>0</v>
      </c>
      <c r="W35" s="18" t="str">
        <f t="shared" ref="W35:W66" si="15">IF(MIN(T35,U35,V35)&lt;0,"NEGATIVE STOCK - CHECK ENTRIES","")</f>
        <v/>
      </c>
      <c r="X35" s="17">
        <v>0</v>
      </c>
      <c r="Y35" s="17">
        <v>0</v>
      </c>
      <c r="Z35" s="15">
        <f t="shared" ref="Z35:Z66" si="16">X35-Y35</f>
        <v>0</v>
      </c>
      <c r="AA35" s="17">
        <v>0</v>
      </c>
      <c r="AB35" s="17">
        <v>0</v>
      </c>
      <c r="AC35" s="15">
        <f t="shared" ref="AC35:AC66" si="17">AA35-AB35</f>
        <v>0</v>
      </c>
      <c r="AD35" s="17">
        <v>0</v>
      </c>
      <c r="AE35" s="17">
        <v>0</v>
      </c>
      <c r="AF35" s="15">
        <f t="shared" ref="AF35:AF66" si="18">AD35-AE35</f>
        <v>0</v>
      </c>
      <c r="AG35" s="17">
        <v>0</v>
      </c>
      <c r="AH35" s="17">
        <v>0</v>
      </c>
      <c r="AI35" s="15">
        <f t="shared" ref="AI35:AI66" si="19">AG35-AH35</f>
        <v>0</v>
      </c>
      <c r="AJ35" s="17"/>
    </row>
    <row r="36" spans="1:36" hidden="1" x14ac:dyDescent="0.3">
      <c r="A36" s="15" t="s">
        <v>84</v>
      </c>
      <c r="B36" s="15">
        <v>1000</v>
      </c>
      <c r="C36" s="15" t="s">
        <v>54</v>
      </c>
      <c r="D36" s="15" t="s">
        <v>55</v>
      </c>
      <c r="E36" s="15">
        <f>'10-JULY2026'!T36</f>
        <v>0</v>
      </c>
      <c r="F36" s="15">
        <f>'10-JULY2026'!U36</f>
        <v>0</v>
      </c>
      <c r="G36" s="15">
        <f>'10-JULY2026'!V36</f>
        <v>0</v>
      </c>
      <c r="H36" s="15">
        <f t="shared" si="10"/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5">
        <f t="shared" si="11"/>
        <v>0</v>
      </c>
      <c r="T36" s="15">
        <f t="shared" si="12"/>
        <v>0</v>
      </c>
      <c r="U36" s="15">
        <f t="shared" si="13"/>
        <v>0</v>
      </c>
      <c r="V36" s="15">
        <f t="shared" si="14"/>
        <v>0</v>
      </c>
      <c r="W36" s="18" t="str">
        <f t="shared" si="15"/>
        <v/>
      </c>
      <c r="X36" s="17">
        <v>0</v>
      </c>
      <c r="Y36" s="17">
        <v>0</v>
      </c>
      <c r="Z36" s="15">
        <f t="shared" si="16"/>
        <v>0</v>
      </c>
      <c r="AA36" s="17">
        <v>0</v>
      </c>
      <c r="AB36" s="17">
        <v>0</v>
      </c>
      <c r="AC36" s="15">
        <f t="shared" si="17"/>
        <v>0</v>
      </c>
      <c r="AD36" s="17">
        <v>0</v>
      </c>
      <c r="AE36" s="17">
        <v>0</v>
      </c>
      <c r="AF36" s="15">
        <f t="shared" si="18"/>
        <v>0</v>
      </c>
      <c r="AG36" s="17">
        <v>0</v>
      </c>
      <c r="AH36" s="17">
        <v>0</v>
      </c>
      <c r="AI36" s="15">
        <f t="shared" si="19"/>
        <v>0</v>
      </c>
      <c r="AJ36" s="17"/>
    </row>
    <row r="37" spans="1:36" x14ac:dyDescent="0.3">
      <c r="A37" s="15" t="s">
        <v>85</v>
      </c>
      <c r="B37" s="15">
        <v>1000</v>
      </c>
      <c r="C37" s="15" t="s">
        <v>54</v>
      </c>
      <c r="D37" s="15" t="s">
        <v>68</v>
      </c>
      <c r="E37" s="15">
        <f>'10-JULY2026'!T37</f>
        <v>5</v>
      </c>
      <c r="F37" s="15">
        <f>'10-JULY2026'!U37</f>
        <v>0</v>
      </c>
      <c r="G37" s="15">
        <f>'10-JULY2026'!V37</f>
        <v>0</v>
      </c>
      <c r="H37" s="15">
        <f t="shared" si="10"/>
        <v>5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5">
        <f t="shared" si="11"/>
        <v>5</v>
      </c>
      <c r="T37" s="15">
        <f t="shared" si="12"/>
        <v>5</v>
      </c>
      <c r="U37" s="15">
        <f t="shared" si="13"/>
        <v>0</v>
      </c>
      <c r="V37" s="15">
        <f t="shared" si="14"/>
        <v>0</v>
      </c>
      <c r="W37" s="18" t="str">
        <f t="shared" si="15"/>
        <v/>
      </c>
      <c r="X37" s="17">
        <v>0</v>
      </c>
      <c r="Y37" s="17">
        <v>0</v>
      </c>
      <c r="Z37" s="15">
        <f t="shared" si="16"/>
        <v>0</v>
      </c>
      <c r="AA37" s="17">
        <v>0</v>
      </c>
      <c r="AB37" s="17">
        <v>0</v>
      </c>
      <c r="AC37" s="15">
        <f t="shared" si="17"/>
        <v>0</v>
      </c>
      <c r="AD37" s="17">
        <v>0</v>
      </c>
      <c r="AE37" s="17">
        <v>0</v>
      </c>
      <c r="AF37" s="15">
        <f t="shared" si="18"/>
        <v>0</v>
      </c>
      <c r="AG37" s="17">
        <v>0</v>
      </c>
      <c r="AH37" s="17">
        <v>0</v>
      </c>
      <c r="AI37" s="15">
        <f t="shared" si="19"/>
        <v>0</v>
      </c>
      <c r="AJ37" s="17"/>
    </row>
    <row r="38" spans="1:36" x14ac:dyDescent="0.3">
      <c r="A38" s="15" t="s">
        <v>86</v>
      </c>
      <c r="B38" s="15">
        <v>100</v>
      </c>
      <c r="C38" s="15" t="s">
        <v>54</v>
      </c>
      <c r="D38" s="15" t="s">
        <v>57</v>
      </c>
      <c r="E38" s="15">
        <f>'10-JULY2026'!T38</f>
        <v>1</v>
      </c>
      <c r="F38" s="15">
        <f>'10-JULY2026'!U38</f>
        <v>0</v>
      </c>
      <c r="G38" s="15">
        <f>'10-JULY2026'!V38</f>
        <v>0</v>
      </c>
      <c r="H38" s="15">
        <f t="shared" si="10"/>
        <v>1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5">
        <f t="shared" si="11"/>
        <v>1</v>
      </c>
      <c r="T38" s="15">
        <f t="shared" si="12"/>
        <v>1</v>
      </c>
      <c r="U38" s="15">
        <f t="shared" si="13"/>
        <v>0</v>
      </c>
      <c r="V38" s="15">
        <f t="shared" si="14"/>
        <v>0</v>
      </c>
      <c r="W38" s="18" t="str">
        <f t="shared" si="15"/>
        <v/>
      </c>
      <c r="X38" s="17">
        <v>0</v>
      </c>
      <c r="Y38" s="17">
        <v>0</v>
      </c>
      <c r="Z38" s="15">
        <f t="shared" si="16"/>
        <v>0</v>
      </c>
      <c r="AA38" s="17">
        <v>0</v>
      </c>
      <c r="AB38" s="17">
        <v>0</v>
      </c>
      <c r="AC38" s="15">
        <f t="shared" si="17"/>
        <v>0</v>
      </c>
      <c r="AD38" s="17">
        <v>0</v>
      </c>
      <c r="AE38" s="17">
        <v>0</v>
      </c>
      <c r="AF38" s="15">
        <f t="shared" si="18"/>
        <v>0</v>
      </c>
      <c r="AG38" s="17">
        <v>0</v>
      </c>
      <c r="AH38" s="17">
        <v>0</v>
      </c>
      <c r="AI38" s="15">
        <f t="shared" si="19"/>
        <v>0</v>
      </c>
      <c r="AJ38" s="17"/>
    </row>
    <row r="39" spans="1:36" x14ac:dyDescent="0.3">
      <c r="A39" s="15" t="s">
        <v>87</v>
      </c>
      <c r="B39" s="15">
        <v>100000</v>
      </c>
      <c r="C39" s="15" t="s">
        <v>54</v>
      </c>
      <c r="D39" s="15" t="s">
        <v>68</v>
      </c>
      <c r="E39" s="15">
        <f>'10-JULY2026'!T39</f>
        <v>2</v>
      </c>
      <c r="F39" s="15">
        <f>'10-JULY2026'!U39</f>
        <v>0</v>
      </c>
      <c r="G39" s="15">
        <f>'10-JULY2026'!V39</f>
        <v>0</v>
      </c>
      <c r="H39" s="15">
        <f t="shared" si="10"/>
        <v>2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5">
        <f t="shared" si="11"/>
        <v>2</v>
      </c>
      <c r="T39" s="15">
        <f t="shared" si="12"/>
        <v>2</v>
      </c>
      <c r="U39" s="15">
        <f t="shared" si="13"/>
        <v>0</v>
      </c>
      <c r="V39" s="15">
        <f t="shared" si="14"/>
        <v>0</v>
      </c>
      <c r="W39" s="18" t="str">
        <f t="shared" si="15"/>
        <v/>
      </c>
      <c r="X39" s="17">
        <v>0</v>
      </c>
      <c r="Y39" s="17">
        <v>0</v>
      </c>
      <c r="Z39" s="15">
        <f t="shared" si="16"/>
        <v>0</v>
      </c>
      <c r="AA39" s="17">
        <v>0</v>
      </c>
      <c r="AB39" s="17">
        <v>0</v>
      </c>
      <c r="AC39" s="15">
        <f t="shared" si="17"/>
        <v>0</v>
      </c>
      <c r="AD39" s="17">
        <v>0</v>
      </c>
      <c r="AE39" s="17">
        <v>0</v>
      </c>
      <c r="AF39" s="15">
        <f t="shared" si="18"/>
        <v>0</v>
      </c>
      <c r="AG39" s="17">
        <v>0</v>
      </c>
      <c r="AH39" s="17">
        <v>0</v>
      </c>
      <c r="AI39" s="15">
        <f t="shared" si="19"/>
        <v>0</v>
      </c>
      <c r="AJ39" s="17"/>
    </row>
    <row r="40" spans="1:36" x14ac:dyDescent="0.3">
      <c r="A40" s="15" t="s">
        <v>88</v>
      </c>
      <c r="B40" s="15">
        <v>100000</v>
      </c>
      <c r="C40" s="15" t="s">
        <v>54</v>
      </c>
      <c r="D40" s="15" t="s">
        <v>68</v>
      </c>
      <c r="E40" s="15">
        <f>'10-JULY2026'!T40</f>
        <v>1</v>
      </c>
      <c r="F40" s="15">
        <f>'10-JULY2026'!U40</f>
        <v>0</v>
      </c>
      <c r="G40" s="15">
        <f>'10-JULY2026'!V40</f>
        <v>0</v>
      </c>
      <c r="H40" s="15">
        <f t="shared" si="10"/>
        <v>1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5">
        <f t="shared" si="11"/>
        <v>1</v>
      </c>
      <c r="T40" s="15">
        <f t="shared" si="12"/>
        <v>1</v>
      </c>
      <c r="U40" s="15">
        <f t="shared" si="13"/>
        <v>0</v>
      </c>
      <c r="V40" s="15">
        <f t="shared" si="14"/>
        <v>0</v>
      </c>
      <c r="W40" s="18" t="str">
        <f t="shared" si="15"/>
        <v/>
      </c>
      <c r="X40" s="17">
        <v>0</v>
      </c>
      <c r="Y40" s="17">
        <v>0</v>
      </c>
      <c r="Z40" s="15">
        <f t="shared" si="16"/>
        <v>0</v>
      </c>
      <c r="AA40" s="17">
        <v>0</v>
      </c>
      <c r="AB40" s="17">
        <v>0</v>
      </c>
      <c r="AC40" s="15">
        <f t="shared" si="17"/>
        <v>0</v>
      </c>
      <c r="AD40" s="17">
        <v>0</v>
      </c>
      <c r="AE40" s="17">
        <v>0</v>
      </c>
      <c r="AF40" s="15">
        <f t="shared" si="18"/>
        <v>0</v>
      </c>
      <c r="AG40" s="17">
        <v>0</v>
      </c>
      <c r="AH40" s="17">
        <v>0</v>
      </c>
      <c r="AI40" s="15">
        <f t="shared" si="19"/>
        <v>0</v>
      </c>
      <c r="AJ40" s="17"/>
    </row>
    <row r="41" spans="1:36" hidden="1" x14ac:dyDescent="0.3">
      <c r="A41" s="15" t="s">
        <v>89</v>
      </c>
      <c r="B41" s="15">
        <v>100</v>
      </c>
      <c r="C41" s="15" t="s">
        <v>54</v>
      </c>
      <c r="D41" s="15" t="s">
        <v>55</v>
      </c>
      <c r="E41" s="15">
        <f>'10-JULY2026'!T41</f>
        <v>9</v>
      </c>
      <c r="F41" s="15">
        <f>'10-JULY2026'!U41</f>
        <v>0</v>
      </c>
      <c r="G41" s="15">
        <f>'10-JULY2026'!V41</f>
        <v>0</v>
      </c>
      <c r="H41" s="15">
        <f t="shared" si="10"/>
        <v>9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5">
        <f t="shared" si="11"/>
        <v>9</v>
      </c>
      <c r="T41" s="15">
        <f t="shared" si="12"/>
        <v>9</v>
      </c>
      <c r="U41" s="15">
        <f t="shared" si="13"/>
        <v>0</v>
      </c>
      <c r="V41" s="15">
        <f t="shared" si="14"/>
        <v>0</v>
      </c>
      <c r="W41" s="18" t="str">
        <f t="shared" si="15"/>
        <v/>
      </c>
      <c r="X41" s="17">
        <v>0</v>
      </c>
      <c r="Y41" s="17">
        <v>0</v>
      </c>
      <c r="Z41" s="15">
        <f t="shared" si="16"/>
        <v>0</v>
      </c>
      <c r="AA41" s="17">
        <v>0</v>
      </c>
      <c r="AB41" s="17">
        <v>0</v>
      </c>
      <c r="AC41" s="15">
        <f t="shared" si="17"/>
        <v>0</v>
      </c>
      <c r="AD41" s="17">
        <v>0</v>
      </c>
      <c r="AE41" s="17">
        <v>0</v>
      </c>
      <c r="AF41" s="15">
        <f t="shared" si="18"/>
        <v>0</v>
      </c>
      <c r="AG41" s="17">
        <v>0</v>
      </c>
      <c r="AH41" s="17">
        <v>0</v>
      </c>
      <c r="AI41" s="15">
        <f t="shared" si="19"/>
        <v>0</v>
      </c>
      <c r="AJ41" s="17"/>
    </row>
    <row r="42" spans="1:36" x14ac:dyDescent="0.3">
      <c r="A42" s="15" t="s">
        <v>90</v>
      </c>
      <c r="B42" s="15">
        <v>100</v>
      </c>
      <c r="C42" s="15" t="s">
        <v>54</v>
      </c>
      <c r="D42" s="15" t="s">
        <v>57</v>
      </c>
      <c r="E42" s="15">
        <f>'10-JULY2026'!T42</f>
        <v>10</v>
      </c>
      <c r="F42" s="15">
        <f>'10-JULY2026'!U42</f>
        <v>0</v>
      </c>
      <c r="G42" s="15">
        <f>'10-JULY2026'!V42</f>
        <v>0</v>
      </c>
      <c r="H42" s="15">
        <f t="shared" si="10"/>
        <v>10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5">
        <f t="shared" si="11"/>
        <v>10</v>
      </c>
      <c r="T42" s="15">
        <f t="shared" si="12"/>
        <v>10</v>
      </c>
      <c r="U42" s="15">
        <f t="shared" si="13"/>
        <v>0</v>
      </c>
      <c r="V42" s="15">
        <f t="shared" si="14"/>
        <v>0</v>
      </c>
      <c r="W42" s="18" t="str">
        <f t="shared" si="15"/>
        <v/>
      </c>
      <c r="X42" s="17">
        <v>0</v>
      </c>
      <c r="Y42" s="17">
        <v>0</v>
      </c>
      <c r="Z42" s="15">
        <f t="shared" si="16"/>
        <v>0</v>
      </c>
      <c r="AA42" s="17">
        <v>0</v>
      </c>
      <c r="AB42" s="17">
        <v>0</v>
      </c>
      <c r="AC42" s="15">
        <f t="shared" si="17"/>
        <v>0</v>
      </c>
      <c r="AD42" s="17">
        <v>0</v>
      </c>
      <c r="AE42" s="17">
        <v>0</v>
      </c>
      <c r="AF42" s="15">
        <f t="shared" si="18"/>
        <v>0</v>
      </c>
      <c r="AG42" s="17">
        <v>0</v>
      </c>
      <c r="AH42" s="17">
        <v>0</v>
      </c>
      <c r="AI42" s="15">
        <f t="shared" si="19"/>
        <v>0</v>
      </c>
      <c r="AJ42" s="17"/>
    </row>
    <row r="43" spans="1:36" hidden="1" x14ac:dyDescent="0.3">
      <c r="A43" s="15" t="s">
        <v>91</v>
      </c>
      <c r="B43" s="15">
        <v>1000</v>
      </c>
      <c r="C43" s="15" t="s">
        <v>54</v>
      </c>
      <c r="D43" s="15" t="s">
        <v>55</v>
      </c>
      <c r="E43" s="15">
        <f>'10-JULY2026'!T43</f>
        <v>71</v>
      </c>
      <c r="F43" s="15">
        <f>'10-JULY2026'!U43</f>
        <v>142</v>
      </c>
      <c r="G43" s="15">
        <f>'10-JULY2026'!V43</f>
        <v>5</v>
      </c>
      <c r="H43" s="15">
        <f t="shared" si="10"/>
        <v>218</v>
      </c>
      <c r="I43" s="17">
        <v>0</v>
      </c>
      <c r="J43" s="17">
        <v>6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5">
        <f t="shared" si="11"/>
        <v>212</v>
      </c>
      <c r="T43" s="15">
        <f t="shared" si="12"/>
        <v>71</v>
      </c>
      <c r="U43" s="15">
        <f t="shared" si="13"/>
        <v>136</v>
      </c>
      <c r="V43" s="15">
        <f t="shared" si="14"/>
        <v>5</v>
      </c>
      <c r="W43" s="18" t="str">
        <f t="shared" si="15"/>
        <v/>
      </c>
      <c r="X43" s="17">
        <v>0</v>
      </c>
      <c r="Y43" s="17">
        <v>0</v>
      </c>
      <c r="Z43" s="15">
        <f t="shared" si="16"/>
        <v>0</v>
      </c>
      <c r="AA43" s="17">
        <v>0</v>
      </c>
      <c r="AB43" s="17">
        <v>0</v>
      </c>
      <c r="AC43" s="15">
        <f t="shared" si="17"/>
        <v>0</v>
      </c>
      <c r="AD43" s="17">
        <v>0</v>
      </c>
      <c r="AE43" s="17">
        <v>0</v>
      </c>
      <c r="AF43" s="15">
        <f t="shared" si="18"/>
        <v>0</v>
      </c>
      <c r="AG43" s="17">
        <v>0</v>
      </c>
      <c r="AH43" s="17">
        <v>0</v>
      </c>
      <c r="AI43" s="15">
        <f t="shared" si="19"/>
        <v>0</v>
      </c>
      <c r="AJ43" s="17"/>
    </row>
    <row r="44" spans="1:36" x14ac:dyDescent="0.3">
      <c r="A44" s="15" t="s">
        <v>92</v>
      </c>
      <c r="B44" s="15">
        <v>100</v>
      </c>
      <c r="C44" s="15" t="s">
        <v>54</v>
      </c>
      <c r="D44" s="15" t="s">
        <v>68</v>
      </c>
      <c r="E44" s="15">
        <f>'10-JULY2026'!T44</f>
        <v>6</v>
      </c>
      <c r="F44" s="15">
        <f>'10-JULY2026'!U44</f>
        <v>0</v>
      </c>
      <c r="G44" s="15">
        <f>'10-JULY2026'!V44</f>
        <v>0</v>
      </c>
      <c r="H44" s="15">
        <f t="shared" si="10"/>
        <v>6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5">
        <f t="shared" si="11"/>
        <v>6</v>
      </c>
      <c r="T44" s="15">
        <f t="shared" si="12"/>
        <v>6</v>
      </c>
      <c r="U44" s="15">
        <f t="shared" si="13"/>
        <v>0</v>
      </c>
      <c r="V44" s="15">
        <f t="shared" si="14"/>
        <v>0</v>
      </c>
      <c r="W44" s="18" t="str">
        <f t="shared" si="15"/>
        <v/>
      </c>
      <c r="X44" s="17">
        <v>0</v>
      </c>
      <c r="Y44" s="17">
        <v>0</v>
      </c>
      <c r="Z44" s="15">
        <f t="shared" si="16"/>
        <v>0</v>
      </c>
      <c r="AA44" s="17">
        <v>0</v>
      </c>
      <c r="AB44" s="17">
        <v>0</v>
      </c>
      <c r="AC44" s="15">
        <f t="shared" si="17"/>
        <v>0</v>
      </c>
      <c r="AD44" s="17">
        <v>0</v>
      </c>
      <c r="AE44" s="17">
        <v>0</v>
      </c>
      <c r="AF44" s="15">
        <f t="shared" si="18"/>
        <v>0</v>
      </c>
      <c r="AG44" s="17">
        <v>0</v>
      </c>
      <c r="AH44" s="17">
        <v>0</v>
      </c>
      <c r="AI44" s="15">
        <f t="shared" si="19"/>
        <v>0</v>
      </c>
      <c r="AJ44" s="17"/>
    </row>
    <row r="45" spans="1:36" x14ac:dyDescent="0.3">
      <c r="A45" s="15" t="s">
        <v>93</v>
      </c>
      <c r="B45" s="15">
        <v>100000</v>
      </c>
      <c r="C45" s="15" t="s">
        <v>54</v>
      </c>
      <c r="D45" s="15" t="s">
        <v>68</v>
      </c>
      <c r="E45" s="15">
        <f>'10-JULY2026'!T45</f>
        <v>2</v>
      </c>
      <c r="F45" s="15">
        <f>'10-JULY2026'!U45</f>
        <v>0</v>
      </c>
      <c r="G45" s="15">
        <f>'10-JULY2026'!V45</f>
        <v>0</v>
      </c>
      <c r="H45" s="15">
        <f t="shared" si="10"/>
        <v>2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5">
        <f t="shared" si="11"/>
        <v>2</v>
      </c>
      <c r="T45" s="15">
        <f t="shared" si="12"/>
        <v>2</v>
      </c>
      <c r="U45" s="15">
        <f t="shared" si="13"/>
        <v>0</v>
      </c>
      <c r="V45" s="15">
        <f t="shared" si="14"/>
        <v>0</v>
      </c>
      <c r="W45" s="18" t="str">
        <f t="shared" si="15"/>
        <v/>
      </c>
      <c r="X45" s="17">
        <v>0</v>
      </c>
      <c r="Y45" s="17">
        <v>0</v>
      </c>
      <c r="Z45" s="15">
        <f t="shared" si="16"/>
        <v>0</v>
      </c>
      <c r="AA45" s="17">
        <v>0</v>
      </c>
      <c r="AB45" s="17">
        <v>0</v>
      </c>
      <c r="AC45" s="15">
        <f t="shared" si="17"/>
        <v>0</v>
      </c>
      <c r="AD45" s="17">
        <v>0</v>
      </c>
      <c r="AE45" s="17">
        <v>0</v>
      </c>
      <c r="AF45" s="15">
        <f t="shared" si="18"/>
        <v>0</v>
      </c>
      <c r="AG45" s="17">
        <v>0</v>
      </c>
      <c r="AH45" s="17">
        <v>0</v>
      </c>
      <c r="AI45" s="15">
        <f t="shared" si="19"/>
        <v>0</v>
      </c>
      <c r="AJ45" s="17"/>
    </row>
    <row r="46" spans="1:36" hidden="1" x14ac:dyDescent="0.3">
      <c r="A46" s="15" t="s">
        <v>94</v>
      </c>
      <c r="B46" s="15">
        <v>100</v>
      </c>
      <c r="C46" s="15" t="s">
        <v>54</v>
      </c>
      <c r="D46" s="15" t="s">
        <v>55</v>
      </c>
      <c r="E46" s="15">
        <f>'10-JULY2026'!T46</f>
        <v>5</v>
      </c>
      <c r="F46" s="15">
        <f>'10-JULY2026'!U46</f>
        <v>0</v>
      </c>
      <c r="G46" s="15">
        <f>'10-JULY2026'!V46</f>
        <v>0</v>
      </c>
      <c r="H46" s="15">
        <f t="shared" si="10"/>
        <v>5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5">
        <f t="shared" si="11"/>
        <v>5</v>
      </c>
      <c r="T46" s="15">
        <f t="shared" si="12"/>
        <v>5</v>
      </c>
      <c r="U46" s="15">
        <f t="shared" si="13"/>
        <v>0</v>
      </c>
      <c r="V46" s="15">
        <f t="shared" si="14"/>
        <v>0</v>
      </c>
      <c r="W46" s="18" t="str">
        <f t="shared" si="15"/>
        <v/>
      </c>
      <c r="X46" s="17">
        <v>0</v>
      </c>
      <c r="Y46" s="17">
        <v>0</v>
      </c>
      <c r="Z46" s="15">
        <f t="shared" si="16"/>
        <v>0</v>
      </c>
      <c r="AA46" s="17">
        <v>0</v>
      </c>
      <c r="AB46" s="17">
        <v>0</v>
      </c>
      <c r="AC46" s="15">
        <f t="shared" si="17"/>
        <v>0</v>
      </c>
      <c r="AD46" s="17">
        <v>0</v>
      </c>
      <c r="AE46" s="17">
        <v>0</v>
      </c>
      <c r="AF46" s="15">
        <f t="shared" si="18"/>
        <v>0</v>
      </c>
      <c r="AG46" s="17">
        <v>0</v>
      </c>
      <c r="AH46" s="17">
        <v>0</v>
      </c>
      <c r="AI46" s="15">
        <f t="shared" si="19"/>
        <v>0</v>
      </c>
      <c r="AJ46" s="17"/>
    </row>
    <row r="47" spans="1:36" x14ac:dyDescent="0.3">
      <c r="A47" s="15" t="s">
        <v>94</v>
      </c>
      <c r="B47" s="15">
        <v>100</v>
      </c>
      <c r="C47" s="15" t="s">
        <v>54</v>
      </c>
      <c r="D47" s="15" t="s">
        <v>57</v>
      </c>
      <c r="E47" s="15">
        <f>'10-JULY2026'!T47</f>
        <v>1</v>
      </c>
      <c r="F47" s="15">
        <f>'10-JULY2026'!U47</f>
        <v>0</v>
      </c>
      <c r="G47" s="15">
        <f>'10-JULY2026'!V47</f>
        <v>0</v>
      </c>
      <c r="H47" s="15">
        <f t="shared" si="10"/>
        <v>1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5">
        <f t="shared" si="11"/>
        <v>1</v>
      </c>
      <c r="T47" s="15">
        <f t="shared" si="12"/>
        <v>1</v>
      </c>
      <c r="U47" s="15">
        <f t="shared" si="13"/>
        <v>0</v>
      </c>
      <c r="V47" s="15">
        <f t="shared" si="14"/>
        <v>0</v>
      </c>
      <c r="W47" s="18" t="str">
        <f t="shared" si="15"/>
        <v/>
      </c>
      <c r="X47" s="17">
        <v>0</v>
      </c>
      <c r="Y47" s="17">
        <v>0</v>
      </c>
      <c r="Z47" s="15">
        <f t="shared" si="16"/>
        <v>0</v>
      </c>
      <c r="AA47" s="17">
        <v>0</v>
      </c>
      <c r="AB47" s="17">
        <v>0</v>
      </c>
      <c r="AC47" s="15">
        <f t="shared" si="17"/>
        <v>0</v>
      </c>
      <c r="AD47" s="17">
        <v>0</v>
      </c>
      <c r="AE47" s="17">
        <v>0</v>
      </c>
      <c r="AF47" s="15">
        <f t="shared" si="18"/>
        <v>0</v>
      </c>
      <c r="AG47" s="17">
        <v>0</v>
      </c>
      <c r="AH47" s="17">
        <v>0</v>
      </c>
      <c r="AI47" s="15">
        <f t="shared" si="19"/>
        <v>0</v>
      </c>
      <c r="AJ47" s="17"/>
    </row>
    <row r="48" spans="1:36" x14ac:dyDescent="0.3">
      <c r="A48" s="15" t="s">
        <v>95</v>
      </c>
      <c r="B48" s="15">
        <v>100</v>
      </c>
      <c r="C48" s="15" t="s">
        <v>54</v>
      </c>
      <c r="D48" s="15" t="s">
        <v>57</v>
      </c>
      <c r="E48" s="15">
        <f>'10-JULY2026'!T48</f>
        <v>1</v>
      </c>
      <c r="F48" s="15">
        <f>'10-JULY2026'!U48</f>
        <v>0</v>
      </c>
      <c r="G48" s="15">
        <f>'10-JULY2026'!V48</f>
        <v>0</v>
      </c>
      <c r="H48" s="15">
        <f t="shared" si="10"/>
        <v>1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5">
        <f t="shared" si="11"/>
        <v>1</v>
      </c>
      <c r="T48" s="15">
        <f t="shared" si="12"/>
        <v>1</v>
      </c>
      <c r="U48" s="15">
        <f t="shared" si="13"/>
        <v>0</v>
      </c>
      <c r="V48" s="15">
        <f t="shared" si="14"/>
        <v>0</v>
      </c>
      <c r="W48" s="18" t="str">
        <f t="shared" si="15"/>
        <v/>
      </c>
      <c r="X48" s="17">
        <v>0</v>
      </c>
      <c r="Y48" s="17">
        <v>0</v>
      </c>
      <c r="Z48" s="15">
        <f t="shared" si="16"/>
        <v>0</v>
      </c>
      <c r="AA48" s="17">
        <v>0</v>
      </c>
      <c r="AB48" s="17">
        <v>0</v>
      </c>
      <c r="AC48" s="15">
        <f t="shared" si="17"/>
        <v>0</v>
      </c>
      <c r="AD48" s="17">
        <v>0</v>
      </c>
      <c r="AE48" s="17">
        <v>0</v>
      </c>
      <c r="AF48" s="15">
        <f t="shared" si="18"/>
        <v>0</v>
      </c>
      <c r="AG48" s="17">
        <v>0</v>
      </c>
      <c r="AH48" s="17">
        <v>0</v>
      </c>
      <c r="AI48" s="15">
        <f t="shared" si="19"/>
        <v>0</v>
      </c>
      <c r="AJ48" s="17"/>
    </row>
    <row r="49" spans="1:36" hidden="1" x14ac:dyDescent="0.3">
      <c r="A49" s="15" t="s">
        <v>96</v>
      </c>
      <c r="B49" s="15">
        <v>1000</v>
      </c>
      <c r="C49" s="15"/>
      <c r="D49" s="15" t="s">
        <v>55</v>
      </c>
      <c r="E49" s="15">
        <f>'10-JULY2026'!T49</f>
        <v>0</v>
      </c>
      <c r="F49" s="15">
        <f>'10-JULY2026'!U49</f>
        <v>0</v>
      </c>
      <c r="G49" s="15">
        <f>'10-JULY2026'!V49</f>
        <v>0</v>
      </c>
      <c r="H49" s="15">
        <f t="shared" si="10"/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5">
        <f t="shared" si="11"/>
        <v>0</v>
      </c>
      <c r="T49" s="15">
        <f t="shared" si="12"/>
        <v>0</v>
      </c>
      <c r="U49" s="15">
        <f t="shared" si="13"/>
        <v>0</v>
      </c>
      <c r="V49" s="15">
        <f t="shared" si="14"/>
        <v>0</v>
      </c>
      <c r="W49" s="18" t="str">
        <f t="shared" si="15"/>
        <v/>
      </c>
      <c r="X49" s="17">
        <v>0</v>
      </c>
      <c r="Y49" s="17">
        <v>0</v>
      </c>
      <c r="Z49" s="15">
        <f t="shared" si="16"/>
        <v>0</v>
      </c>
      <c r="AA49" s="17">
        <v>0</v>
      </c>
      <c r="AB49" s="17">
        <v>0</v>
      </c>
      <c r="AC49" s="15">
        <f t="shared" si="17"/>
        <v>0</v>
      </c>
      <c r="AD49" s="17">
        <v>0</v>
      </c>
      <c r="AE49" s="17">
        <v>0</v>
      </c>
      <c r="AF49" s="15">
        <f t="shared" si="18"/>
        <v>0</v>
      </c>
      <c r="AG49" s="17">
        <v>0</v>
      </c>
      <c r="AH49" s="17">
        <v>0</v>
      </c>
      <c r="AI49" s="15">
        <f t="shared" si="19"/>
        <v>0</v>
      </c>
      <c r="AJ49" s="17"/>
    </row>
    <row r="50" spans="1:36" hidden="1" x14ac:dyDescent="0.3">
      <c r="A50" s="15" t="s">
        <v>97</v>
      </c>
      <c r="B50" s="15">
        <v>1000</v>
      </c>
      <c r="C50" s="15" t="s">
        <v>54</v>
      </c>
      <c r="D50" s="15" t="s">
        <v>55</v>
      </c>
      <c r="E50" s="15">
        <v>0</v>
      </c>
      <c r="F50" s="15">
        <v>0</v>
      </c>
      <c r="G50" s="15">
        <v>0</v>
      </c>
      <c r="H50" s="15">
        <f t="shared" si="10"/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5">
        <f t="shared" si="11"/>
        <v>0</v>
      </c>
      <c r="T50" s="15">
        <f t="shared" si="12"/>
        <v>0</v>
      </c>
      <c r="U50" s="15">
        <f t="shared" si="13"/>
        <v>0</v>
      </c>
      <c r="V50" s="15">
        <f t="shared" si="14"/>
        <v>0</v>
      </c>
      <c r="W50" s="18" t="str">
        <f t="shared" si="15"/>
        <v/>
      </c>
      <c r="X50" s="17">
        <v>0</v>
      </c>
      <c r="Y50" s="17">
        <v>0</v>
      </c>
      <c r="Z50" s="15">
        <f t="shared" si="16"/>
        <v>0</v>
      </c>
      <c r="AA50" s="17">
        <v>0</v>
      </c>
      <c r="AB50" s="17">
        <v>0</v>
      </c>
      <c r="AC50" s="15">
        <f t="shared" si="17"/>
        <v>0</v>
      </c>
      <c r="AD50" s="17">
        <v>0</v>
      </c>
      <c r="AE50" s="17">
        <v>0</v>
      </c>
      <c r="AF50" s="15">
        <f t="shared" si="18"/>
        <v>0</v>
      </c>
      <c r="AG50" s="17">
        <v>0</v>
      </c>
      <c r="AH50" s="17">
        <v>0</v>
      </c>
      <c r="AI50" s="15">
        <f t="shared" si="19"/>
        <v>0</v>
      </c>
      <c r="AJ50" s="17"/>
    </row>
    <row r="51" spans="1:36" hidden="1" x14ac:dyDescent="0.3">
      <c r="A51" s="15" t="s">
        <v>98</v>
      </c>
      <c r="B51" s="15">
        <v>1000</v>
      </c>
      <c r="C51" s="15" t="s">
        <v>54</v>
      </c>
      <c r="D51" s="15" t="s">
        <v>55</v>
      </c>
      <c r="E51" s="15">
        <f>'10-JULY2026'!T51</f>
        <v>3</v>
      </c>
      <c r="F51" s="15">
        <f>'10-JULY2026'!U51</f>
        <v>17</v>
      </c>
      <c r="G51" s="15">
        <f>'10-JULY2026'!V51</f>
        <v>0</v>
      </c>
      <c r="H51" s="15">
        <f t="shared" si="10"/>
        <v>20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5">
        <f t="shared" si="11"/>
        <v>20</v>
      </c>
      <c r="T51" s="15">
        <f t="shared" si="12"/>
        <v>3</v>
      </c>
      <c r="U51" s="15">
        <f t="shared" si="13"/>
        <v>17</v>
      </c>
      <c r="V51" s="15">
        <f t="shared" si="14"/>
        <v>0</v>
      </c>
      <c r="W51" s="18" t="str">
        <f t="shared" si="15"/>
        <v/>
      </c>
      <c r="X51" s="17">
        <v>0</v>
      </c>
      <c r="Y51" s="17">
        <v>0</v>
      </c>
      <c r="Z51" s="15">
        <f t="shared" si="16"/>
        <v>0</v>
      </c>
      <c r="AA51" s="17">
        <v>0</v>
      </c>
      <c r="AB51" s="17">
        <v>0</v>
      </c>
      <c r="AC51" s="15">
        <f t="shared" si="17"/>
        <v>0</v>
      </c>
      <c r="AD51" s="17">
        <v>0</v>
      </c>
      <c r="AE51" s="17">
        <v>0</v>
      </c>
      <c r="AF51" s="15">
        <f t="shared" si="18"/>
        <v>0</v>
      </c>
      <c r="AG51" s="17">
        <v>0</v>
      </c>
      <c r="AH51" s="17">
        <v>0</v>
      </c>
      <c r="AI51" s="15">
        <f t="shared" si="19"/>
        <v>0</v>
      </c>
      <c r="AJ51" s="17"/>
    </row>
    <row r="52" spans="1:36" hidden="1" x14ac:dyDescent="0.3">
      <c r="A52" s="15" t="s">
        <v>99</v>
      </c>
      <c r="B52" s="15">
        <v>1000</v>
      </c>
      <c r="C52" s="15" t="s">
        <v>54</v>
      </c>
      <c r="D52" s="15" t="s">
        <v>55</v>
      </c>
      <c r="E52" s="15">
        <f>'10-JULY2026'!T52</f>
        <v>5</v>
      </c>
      <c r="F52" s="15">
        <f>'10-JULY2026'!U52</f>
        <v>1</v>
      </c>
      <c r="G52" s="15">
        <f>'10-JULY2026'!V52</f>
        <v>2</v>
      </c>
      <c r="H52" s="15">
        <f t="shared" si="10"/>
        <v>8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5">
        <f t="shared" si="11"/>
        <v>8</v>
      </c>
      <c r="T52" s="15">
        <f t="shared" si="12"/>
        <v>5</v>
      </c>
      <c r="U52" s="15">
        <f t="shared" si="13"/>
        <v>1</v>
      </c>
      <c r="V52" s="15">
        <f t="shared" si="14"/>
        <v>2</v>
      </c>
      <c r="W52" s="18" t="str">
        <f t="shared" si="15"/>
        <v/>
      </c>
      <c r="X52" s="17">
        <v>0</v>
      </c>
      <c r="Y52" s="17">
        <v>0</v>
      </c>
      <c r="Z52" s="15">
        <f t="shared" si="16"/>
        <v>0</v>
      </c>
      <c r="AA52" s="17">
        <v>0</v>
      </c>
      <c r="AB52" s="17">
        <v>0</v>
      </c>
      <c r="AC52" s="15">
        <f t="shared" si="17"/>
        <v>0</v>
      </c>
      <c r="AD52" s="17">
        <v>0</v>
      </c>
      <c r="AE52" s="17">
        <v>0</v>
      </c>
      <c r="AF52" s="15">
        <f t="shared" si="18"/>
        <v>0</v>
      </c>
      <c r="AG52" s="17">
        <v>0</v>
      </c>
      <c r="AH52" s="17">
        <v>0</v>
      </c>
      <c r="AI52" s="15">
        <f t="shared" si="19"/>
        <v>0</v>
      </c>
      <c r="AJ52" s="17"/>
    </row>
    <row r="53" spans="1:36" x14ac:dyDescent="0.3">
      <c r="A53" s="15" t="s">
        <v>100</v>
      </c>
      <c r="B53" s="15">
        <v>100</v>
      </c>
      <c r="C53" s="15" t="s">
        <v>54</v>
      </c>
      <c r="D53" s="15" t="s">
        <v>68</v>
      </c>
      <c r="E53" s="15">
        <f>'10-JULY2026'!T53</f>
        <v>3</v>
      </c>
      <c r="F53" s="15">
        <f>'10-JULY2026'!U53</f>
        <v>0</v>
      </c>
      <c r="G53" s="15">
        <f>'10-JULY2026'!V53</f>
        <v>0</v>
      </c>
      <c r="H53" s="15">
        <f t="shared" si="10"/>
        <v>3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5">
        <f t="shared" si="11"/>
        <v>3</v>
      </c>
      <c r="T53" s="15">
        <f t="shared" si="12"/>
        <v>3</v>
      </c>
      <c r="U53" s="15">
        <f t="shared" si="13"/>
        <v>0</v>
      </c>
      <c r="V53" s="15">
        <f t="shared" si="14"/>
        <v>0</v>
      </c>
      <c r="W53" s="18" t="str">
        <f t="shared" si="15"/>
        <v/>
      </c>
      <c r="X53" s="17">
        <v>0</v>
      </c>
      <c r="Y53" s="17">
        <v>0</v>
      </c>
      <c r="Z53" s="15">
        <f t="shared" si="16"/>
        <v>0</v>
      </c>
      <c r="AA53" s="17">
        <v>0</v>
      </c>
      <c r="AB53" s="17">
        <v>0</v>
      </c>
      <c r="AC53" s="15">
        <f t="shared" si="17"/>
        <v>0</v>
      </c>
      <c r="AD53" s="17">
        <v>0</v>
      </c>
      <c r="AE53" s="17">
        <v>0</v>
      </c>
      <c r="AF53" s="15">
        <f t="shared" si="18"/>
        <v>0</v>
      </c>
      <c r="AG53" s="17">
        <v>0</v>
      </c>
      <c r="AH53" s="17">
        <v>0</v>
      </c>
      <c r="AI53" s="15">
        <f t="shared" si="19"/>
        <v>0</v>
      </c>
      <c r="AJ53" s="17"/>
    </row>
    <row r="54" spans="1:36" x14ac:dyDescent="0.3">
      <c r="A54" s="15" t="s">
        <v>101</v>
      </c>
      <c r="B54" s="15">
        <v>1000</v>
      </c>
      <c r="C54" s="15" t="s">
        <v>54</v>
      </c>
      <c r="D54" s="15" t="s">
        <v>68</v>
      </c>
      <c r="E54" s="15">
        <f>'10-JULY2026'!T54</f>
        <v>7</v>
      </c>
      <c r="F54" s="15">
        <f>'10-JULY2026'!U54</f>
        <v>0</v>
      </c>
      <c r="G54" s="15">
        <f>'10-JULY2026'!V54</f>
        <v>0</v>
      </c>
      <c r="H54" s="15">
        <f t="shared" si="10"/>
        <v>7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5">
        <f t="shared" si="11"/>
        <v>7</v>
      </c>
      <c r="T54" s="15">
        <f t="shared" si="12"/>
        <v>7</v>
      </c>
      <c r="U54" s="15">
        <f t="shared" si="13"/>
        <v>0</v>
      </c>
      <c r="V54" s="15">
        <f t="shared" si="14"/>
        <v>0</v>
      </c>
      <c r="W54" s="18" t="str">
        <f t="shared" si="15"/>
        <v/>
      </c>
      <c r="X54" s="17">
        <v>0</v>
      </c>
      <c r="Y54" s="17">
        <v>0</v>
      </c>
      <c r="Z54" s="15">
        <f t="shared" si="16"/>
        <v>0</v>
      </c>
      <c r="AA54" s="17">
        <v>0</v>
      </c>
      <c r="AB54" s="17">
        <v>0</v>
      </c>
      <c r="AC54" s="15">
        <f t="shared" si="17"/>
        <v>0</v>
      </c>
      <c r="AD54" s="17">
        <v>0</v>
      </c>
      <c r="AE54" s="17">
        <v>0</v>
      </c>
      <c r="AF54" s="15">
        <f t="shared" si="18"/>
        <v>0</v>
      </c>
      <c r="AG54" s="17">
        <v>0</v>
      </c>
      <c r="AH54" s="17">
        <v>0</v>
      </c>
      <c r="AI54" s="15">
        <f t="shared" si="19"/>
        <v>0</v>
      </c>
      <c r="AJ54" s="17"/>
    </row>
    <row r="55" spans="1:36" x14ac:dyDescent="0.3">
      <c r="A55" s="15" t="s">
        <v>102</v>
      </c>
      <c r="B55" s="15">
        <v>5000</v>
      </c>
      <c r="C55" s="15" t="s">
        <v>54</v>
      </c>
      <c r="D55" s="15" t="s">
        <v>57</v>
      </c>
      <c r="E55" s="15">
        <f>'10-JULY2026'!T55</f>
        <v>1</v>
      </c>
      <c r="F55" s="15">
        <f>'10-JULY2026'!U55</f>
        <v>0</v>
      </c>
      <c r="G55" s="15">
        <f>'10-JULY2026'!V55</f>
        <v>0</v>
      </c>
      <c r="H55" s="15">
        <f t="shared" si="10"/>
        <v>1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5">
        <f t="shared" si="11"/>
        <v>1</v>
      </c>
      <c r="T55" s="15">
        <f t="shared" si="12"/>
        <v>1</v>
      </c>
      <c r="U55" s="15">
        <f t="shared" si="13"/>
        <v>0</v>
      </c>
      <c r="V55" s="15">
        <f t="shared" si="14"/>
        <v>0</v>
      </c>
      <c r="W55" s="18" t="str">
        <f t="shared" si="15"/>
        <v/>
      </c>
      <c r="X55" s="17">
        <v>0</v>
      </c>
      <c r="Y55" s="17">
        <v>0</v>
      </c>
      <c r="Z55" s="15">
        <f t="shared" si="16"/>
        <v>0</v>
      </c>
      <c r="AA55" s="17">
        <v>0</v>
      </c>
      <c r="AB55" s="17">
        <v>0</v>
      </c>
      <c r="AC55" s="15">
        <f t="shared" si="17"/>
        <v>0</v>
      </c>
      <c r="AD55" s="17">
        <v>0</v>
      </c>
      <c r="AE55" s="17">
        <v>0</v>
      </c>
      <c r="AF55" s="15">
        <f t="shared" si="18"/>
        <v>0</v>
      </c>
      <c r="AG55" s="17">
        <v>0</v>
      </c>
      <c r="AH55" s="17">
        <v>0</v>
      </c>
      <c r="AI55" s="15">
        <f t="shared" si="19"/>
        <v>0</v>
      </c>
      <c r="AJ55" s="17"/>
    </row>
    <row r="56" spans="1:36" x14ac:dyDescent="0.3">
      <c r="A56" s="15" t="s">
        <v>103</v>
      </c>
      <c r="B56" s="15">
        <v>1000</v>
      </c>
      <c r="C56" s="15" t="s">
        <v>54</v>
      </c>
      <c r="D56" s="15" t="s">
        <v>68</v>
      </c>
      <c r="E56" s="15">
        <f>'10-JULY2026'!T56</f>
        <v>1</v>
      </c>
      <c r="F56" s="15">
        <f>'10-JULY2026'!U56</f>
        <v>0</v>
      </c>
      <c r="G56" s="15">
        <f>'10-JULY2026'!V56</f>
        <v>0</v>
      </c>
      <c r="H56" s="15">
        <f t="shared" si="10"/>
        <v>1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5">
        <f t="shared" si="11"/>
        <v>1</v>
      </c>
      <c r="T56" s="15">
        <f t="shared" si="12"/>
        <v>1</v>
      </c>
      <c r="U56" s="15">
        <f t="shared" si="13"/>
        <v>0</v>
      </c>
      <c r="V56" s="15">
        <f t="shared" si="14"/>
        <v>0</v>
      </c>
      <c r="W56" s="18" t="str">
        <f t="shared" si="15"/>
        <v/>
      </c>
      <c r="X56" s="17">
        <v>0</v>
      </c>
      <c r="Y56" s="17">
        <v>0</v>
      </c>
      <c r="Z56" s="15">
        <f t="shared" si="16"/>
        <v>0</v>
      </c>
      <c r="AA56" s="17">
        <v>0</v>
      </c>
      <c r="AB56" s="17">
        <v>0</v>
      </c>
      <c r="AC56" s="15">
        <f t="shared" si="17"/>
        <v>0</v>
      </c>
      <c r="AD56" s="17">
        <v>0</v>
      </c>
      <c r="AE56" s="17">
        <v>0</v>
      </c>
      <c r="AF56" s="15">
        <f t="shared" si="18"/>
        <v>0</v>
      </c>
      <c r="AG56" s="17">
        <v>0</v>
      </c>
      <c r="AH56" s="17">
        <v>0</v>
      </c>
      <c r="AI56" s="15">
        <f t="shared" si="19"/>
        <v>0</v>
      </c>
      <c r="AJ56" s="17"/>
    </row>
    <row r="57" spans="1:36" hidden="1" x14ac:dyDescent="0.3">
      <c r="A57" s="15" t="s">
        <v>104</v>
      </c>
      <c r="B57" s="15">
        <v>1000</v>
      </c>
      <c r="C57" s="15" t="s">
        <v>54</v>
      </c>
      <c r="D57" s="15" t="s">
        <v>55</v>
      </c>
      <c r="E57" s="15">
        <f>'10-JULY2026'!T57</f>
        <v>0</v>
      </c>
      <c r="F57" s="15">
        <f>'10-JULY2026'!U57</f>
        <v>2</v>
      </c>
      <c r="G57" s="15">
        <f>'10-JULY2026'!V57</f>
        <v>0</v>
      </c>
      <c r="H57" s="15">
        <f t="shared" si="10"/>
        <v>2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5">
        <f t="shared" si="11"/>
        <v>2</v>
      </c>
      <c r="T57" s="15">
        <f t="shared" si="12"/>
        <v>0</v>
      </c>
      <c r="U57" s="15">
        <f t="shared" si="13"/>
        <v>2</v>
      </c>
      <c r="V57" s="15">
        <f t="shared" si="14"/>
        <v>0</v>
      </c>
      <c r="W57" s="18" t="str">
        <f t="shared" si="15"/>
        <v/>
      </c>
      <c r="X57" s="17">
        <v>0</v>
      </c>
      <c r="Y57" s="17">
        <v>0</v>
      </c>
      <c r="Z57" s="15">
        <f t="shared" si="16"/>
        <v>0</v>
      </c>
      <c r="AA57" s="17">
        <v>0</v>
      </c>
      <c r="AB57" s="17">
        <v>0</v>
      </c>
      <c r="AC57" s="15">
        <f t="shared" si="17"/>
        <v>0</v>
      </c>
      <c r="AD57" s="17">
        <v>0</v>
      </c>
      <c r="AE57" s="17">
        <v>0</v>
      </c>
      <c r="AF57" s="15">
        <f t="shared" si="18"/>
        <v>0</v>
      </c>
      <c r="AG57" s="17">
        <v>0</v>
      </c>
      <c r="AH57" s="17">
        <v>0</v>
      </c>
      <c r="AI57" s="15">
        <f t="shared" si="19"/>
        <v>0</v>
      </c>
      <c r="AJ57" s="17"/>
    </row>
    <row r="58" spans="1:36" x14ac:dyDescent="0.3">
      <c r="A58" s="15" t="s">
        <v>105</v>
      </c>
      <c r="B58" s="15">
        <v>100000</v>
      </c>
      <c r="C58" s="15" t="s">
        <v>54</v>
      </c>
      <c r="D58" s="15" t="s">
        <v>68</v>
      </c>
      <c r="E58" s="15">
        <f>'10-JULY2026'!T58</f>
        <v>2</v>
      </c>
      <c r="F58" s="15">
        <f>'10-JULY2026'!U58</f>
        <v>0</v>
      </c>
      <c r="G58" s="15">
        <f>'10-JULY2026'!V58</f>
        <v>0</v>
      </c>
      <c r="H58" s="15">
        <f t="shared" si="10"/>
        <v>2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5">
        <f t="shared" si="11"/>
        <v>2</v>
      </c>
      <c r="T58" s="15">
        <f t="shared" si="12"/>
        <v>2</v>
      </c>
      <c r="U58" s="15">
        <f t="shared" si="13"/>
        <v>0</v>
      </c>
      <c r="V58" s="15">
        <f t="shared" si="14"/>
        <v>0</v>
      </c>
      <c r="W58" s="18" t="str">
        <f t="shared" si="15"/>
        <v/>
      </c>
      <c r="X58" s="17">
        <v>0</v>
      </c>
      <c r="Y58" s="17">
        <v>0</v>
      </c>
      <c r="Z58" s="15">
        <f t="shared" si="16"/>
        <v>0</v>
      </c>
      <c r="AA58" s="17">
        <v>0</v>
      </c>
      <c r="AB58" s="17">
        <v>0</v>
      </c>
      <c r="AC58" s="15">
        <f t="shared" si="17"/>
        <v>0</v>
      </c>
      <c r="AD58" s="17">
        <v>0</v>
      </c>
      <c r="AE58" s="17">
        <v>0</v>
      </c>
      <c r="AF58" s="15">
        <f t="shared" si="18"/>
        <v>0</v>
      </c>
      <c r="AG58" s="17">
        <v>0</v>
      </c>
      <c r="AH58" s="17">
        <v>0</v>
      </c>
      <c r="AI58" s="15">
        <f t="shared" si="19"/>
        <v>0</v>
      </c>
      <c r="AJ58" s="17"/>
    </row>
    <row r="59" spans="1:36" hidden="1" x14ac:dyDescent="0.3">
      <c r="A59" s="15" t="s">
        <v>106</v>
      </c>
      <c r="B59" s="15">
        <v>100</v>
      </c>
      <c r="C59" s="15" t="s">
        <v>54</v>
      </c>
      <c r="D59" s="15" t="s">
        <v>55</v>
      </c>
      <c r="E59" s="15">
        <f>'10-JULY2026'!T59</f>
        <v>0</v>
      </c>
      <c r="F59" s="15">
        <f>'10-JULY2026'!U59</f>
        <v>0</v>
      </c>
      <c r="G59" s="15">
        <f>'10-JULY2026'!V59</f>
        <v>6</v>
      </c>
      <c r="H59" s="15">
        <f t="shared" si="10"/>
        <v>6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5">
        <f t="shared" si="11"/>
        <v>6</v>
      </c>
      <c r="T59" s="15">
        <f t="shared" si="12"/>
        <v>0</v>
      </c>
      <c r="U59" s="15">
        <f t="shared" si="13"/>
        <v>0</v>
      </c>
      <c r="V59" s="15">
        <f t="shared" si="14"/>
        <v>6</v>
      </c>
      <c r="W59" s="18" t="str">
        <f t="shared" si="15"/>
        <v/>
      </c>
      <c r="X59" s="17">
        <v>0</v>
      </c>
      <c r="Y59" s="17">
        <v>0</v>
      </c>
      <c r="Z59" s="15">
        <f t="shared" si="16"/>
        <v>0</v>
      </c>
      <c r="AA59" s="17">
        <v>0</v>
      </c>
      <c r="AB59" s="17">
        <v>0</v>
      </c>
      <c r="AC59" s="15">
        <f t="shared" si="17"/>
        <v>0</v>
      </c>
      <c r="AD59" s="17">
        <v>0</v>
      </c>
      <c r="AE59" s="17">
        <v>0</v>
      </c>
      <c r="AF59" s="15">
        <f t="shared" si="18"/>
        <v>0</v>
      </c>
      <c r="AG59" s="17">
        <v>0</v>
      </c>
      <c r="AH59" s="17">
        <v>0</v>
      </c>
      <c r="AI59" s="15">
        <f t="shared" si="19"/>
        <v>0</v>
      </c>
      <c r="AJ59" s="17"/>
    </row>
    <row r="60" spans="1:36" x14ac:dyDescent="0.3">
      <c r="A60" s="15" t="s">
        <v>107</v>
      </c>
      <c r="B60" s="15">
        <v>100000</v>
      </c>
      <c r="C60" s="15" t="s">
        <v>54</v>
      </c>
      <c r="D60" s="15" t="s">
        <v>68</v>
      </c>
      <c r="E60" s="15">
        <f>'10-JULY2026'!T60</f>
        <v>5</v>
      </c>
      <c r="F60" s="15">
        <f>'10-JULY2026'!U60</f>
        <v>0</v>
      </c>
      <c r="G60" s="15">
        <f>'10-JULY2026'!V60</f>
        <v>0</v>
      </c>
      <c r="H60" s="15">
        <f t="shared" si="10"/>
        <v>5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5">
        <f t="shared" si="11"/>
        <v>5</v>
      </c>
      <c r="T60" s="15">
        <f t="shared" si="12"/>
        <v>5</v>
      </c>
      <c r="U60" s="15">
        <f t="shared" si="13"/>
        <v>0</v>
      </c>
      <c r="V60" s="15">
        <f t="shared" si="14"/>
        <v>0</v>
      </c>
      <c r="W60" s="18" t="str">
        <f t="shared" si="15"/>
        <v/>
      </c>
      <c r="X60" s="17">
        <v>0</v>
      </c>
      <c r="Y60" s="17">
        <v>0</v>
      </c>
      <c r="Z60" s="15">
        <f t="shared" si="16"/>
        <v>0</v>
      </c>
      <c r="AA60" s="17">
        <v>0</v>
      </c>
      <c r="AB60" s="17">
        <v>0</v>
      </c>
      <c r="AC60" s="15">
        <f t="shared" si="17"/>
        <v>0</v>
      </c>
      <c r="AD60" s="17">
        <v>0</v>
      </c>
      <c r="AE60" s="17">
        <v>0</v>
      </c>
      <c r="AF60" s="15">
        <f t="shared" si="18"/>
        <v>0</v>
      </c>
      <c r="AG60" s="17">
        <v>0</v>
      </c>
      <c r="AH60" s="17">
        <v>0</v>
      </c>
      <c r="AI60" s="15">
        <f t="shared" si="19"/>
        <v>0</v>
      </c>
      <c r="AJ60" s="17"/>
    </row>
    <row r="61" spans="1:36" x14ac:dyDescent="0.3">
      <c r="A61" s="15" t="s">
        <v>108</v>
      </c>
      <c r="B61" s="15">
        <v>100</v>
      </c>
      <c r="C61" s="15" t="s">
        <v>54</v>
      </c>
      <c r="D61" s="15" t="s">
        <v>68</v>
      </c>
      <c r="E61" s="15">
        <f>'10-JULY2026'!T61</f>
        <v>3</v>
      </c>
      <c r="F61" s="15">
        <f>'10-JULY2026'!U61</f>
        <v>0</v>
      </c>
      <c r="G61" s="15">
        <f>'10-JULY2026'!V61</f>
        <v>0</v>
      </c>
      <c r="H61" s="15">
        <f t="shared" si="10"/>
        <v>3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5">
        <f t="shared" si="11"/>
        <v>3</v>
      </c>
      <c r="T61" s="15">
        <f t="shared" si="12"/>
        <v>3</v>
      </c>
      <c r="U61" s="15">
        <f t="shared" si="13"/>
        <v>0</v>
      </c>
      <c r="V61" s="15">
        <f t="shared" si="14"/>
        <v>0</v>
      </c>
      <c r="W61" s="18" t="str">
        <f t="shared" si="15"/>
        <v/>
      </c>
      <c r="X61" s="17">
        <v>0</v>
      </c>
      <c r="Y61" s="17">
        <v>0</v>
      </c>
      <c r="Z61" s="15">
        <f t="shared" si="16"/>
        <v>0</v>
      </c>
      <c r="AA61" s="17">
        <v>0</v>
      </c>
      <c r="AB61" s="17">
        <v>0</v>
      </c>
      <c r="AC61" s="15">
        <f t="shared" si="17"/>
        <v>0</v>
      </c>
      <c r="AD61" s="17">
        <v>0</v>
      </c>
      <c r="AE61" s="17">
        <v>0</v>
      </c>
      <c r="AF61" s="15">
        <f t="shared" si="18"/>
        <v>0</v>
      </c>
      <c r="AG61" s="17">
        <v>0</v>
      </c>
      <c r="AH61" s="17">
        <v>0</v>
      </c>
      <c r="AI61" s="15">
        <f t="shared" si="19"/>
        <v>0</v>
      </c>
      <c r="AJ61" s="17"/>
    </row>
    <row r="62" spans="1:36" hidden="1" x14ac:dyDescent="0.3">
      <c r="A62" s="15" t="s">
        <v>109</v>
      </c>
      <c r="B62" s="15">
        <v>0</v>
      </c>
      <c r="C62" s="15" t="s">
        <v>110</v>
      </c>
      <c r="D62" s="15" t="s">
        <v>55</v>
      </c>
      <c r="E62" s="15">
        <v>0</v>
      </c>
      <c r="F62" s="15">
        <v>0</v>
      </c>
      <c r="G62" s="15">
        <v>0</v>
      </c>
      <c r="H62" s="15">
        <f t="shared" si="10"/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5">
        <f t="shared" si="11"/>
        <v>0</v>
      </c>
      <c r="T62" s="15">
        <f t="shared" si="12"/>
        <v>0</v>
      </c>
      <c r="U62" s="15">
        <f t="shared" si="13"/>
        <v>0</v>
      </c>
      <c r="V62" s="15">
        <f t="shared" si="14"/>
        <v>0</v>
      </c>
      <c r="W62" s="18" t="str">
        <f t="shared" si="15"/>
        <v/>
      </c>
      <c r="X62" s="17">
        <v>0</v>
      </c>
      <c r="Y62" s="17">
        <v>0</v>
      </c>
      <c r="Z62" s="15">
        <f t="shared" si="16"/>
        <v>0</v>
      </c>
      <c r="AA62" s="17">
        <v>0</v>
      </c>
      <c r="AB62" s="17">
        <v>0</v>
      </c>
      <c r="AC62" s="15">
        <f t="shared" si="17"/>
        <v>0</v>
      </c>
      <c r="AD62" s="17">
        <v>0</v>
      </c>
      <c r="AE62" s="17">
        <v>0</v>
      </c>
      <c r="AF62" s="15">
        <f t="shared" si="18"/>
        <v>0</v>
      </c>
      <c r="AG62" s="17">
        <v>0</v>
      </c>
      <c r="AH62" s="17">
        <v>0</v>
      </c>
      <c r="AI62" s="15">
        <f t="shared" si="19"/>
        <v>0</v>
      </c>
      <c r="AJ62" s="17"/>
    </row>
    <row r="63" spans="1:36" x14ac:dyDescent="0.3">
      <c r="A63" s="15" t="s">
        <v>111</v>
      </c>
      <c r="B63" s="15">
        <v>1000</v>
      </c>
      <c r="C63" s="15" t="s">
        <v>54</v>
      </c>
      <c r="D63" s="15" t="s">
        <v>68</v>
      </c>
      <c r="E63" s="15">
        <f>'10-JULY2026'!T63</f>
        <v>3</v>
      </c>
      <c r="F63" s="15">
        <f>'10-JULY2026'!U63</f>
        <v>0</v>
      </c>
      <c r="G63" s="15">
        <f>'10-JULY2026'!V63</f>
        <v>0</v>
      </c>
      <c r="H63" s="15">
        <f t="shared" si="10"/>
        <v>3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5">
        <f t="shared" si="11"/>
        <v>3</v>
      </c>
      <c r="T63" s="15">
        <f t="shared" si="12"/>
        <v>3</v>
      </c>
      <c r="U63" s="15">
        <f t="shared" si="13"/>
        <v>0</v>
      </c>
      <c r="V63" s="15">
        <f t="shared" si="14"/>
        <v>0</v>
      </c>
      <c r="W63" s="18" t="str">
        <f t="shared" si="15"/>
        <v/>
      </c>
      <c r="X63" s="17">
        <v>0</v>
      </c>
      <c r="Y63" s="17">
        <v>0</v>
      </c>
      <c r="Z63" s="15">
        <f t="shared" si="16"/>
        <v>0</v>
      </c>
      <c r="AA63" s="17">
        <v>0</v>
      </c>
      <c r="AB63" s="17">
        <v>0</v>
      </c>
      <c r="AC63" s="15">
        <f t="shared" si="17"/>
        <v>0</v>
      </c>
      <c r="AD63" s="17">
        <v>0</v>
      </c>
      <c r="AE63" s="17">
        <v>0</v>
      </c>
      <c r="AF63" s="15">
        <f t="shared" si="18"/>
        <v>0</v>
      </c>
      <c r="AG63" s="17">
        <v>0</v>
      </c>
      <c r="AH63" s="17">
        <v>0</v>
      </c>
      <c r="AI63" s="15">
        <f t="shared" si="19"/>
        <v>0</v>
      </c>
      <c r="AJ63" s="17"/>
    </row>
    <row r="64" spans="1:36" x14ac:dyDescent="0.3">
      <c r="A64" s="15" t="s">
        <v>112</v>
      </c>
      <c r="B64" s="15">
        <v>1000</v>
      </c>
      <c r="C64" s="15" t="s">
        <v>54</v>
      </c>
      <c r="D64" s="15" t="s">
        <v>68</v>
      </c>
      <c r="E64" s="15">
        <f>'10-JULY2026'!T64</f>
        <v>2</v>
      </c>
      <c r="F64" s="15">
        <f>'10-JULY2026'!U64</f>
        <v>0</v>
      </c>
      <c r="G64" s="15">
        <f>'10-JULY2026'!V64</f>
        <v>0</v>
      </c>
      <c r="H64" s="15">
        <f t="shared" si="10"/>
        <v>2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5">
        <f t="shared" si="11"/>
        <v>2</v>
      </c>
      <c r="T64" s="15">
        <f t="shared" si="12"/>
        <v>2</v>
      </c>
      <c r="U64" s="15">
        <f t="shared" si="13"/>
        <v>0</v>
      </c>
      <c r="V64" s="15">
        <f t="shared" si="14"/>
        <v>0</v>
      </c>
      <c r="W64" s="18" t="str">
        <f t="shared" si="15"/>
        <v/>
      </c>
      <c r="X64" s="17">
        <v>0</v>
      </c>
      <c r="Y64" s="17">
        <v>0</v>
      </c>
      <c r="Z64" s="15">
        <f t="shared" si="16"/>
        <v>0</v>
      </c>
      <c r="AA64" s="17">
        <v>0</v>
      </c>
      <c r="AB64" s="17">
        <v>0</v>
      </c>
      <c r="AC64" s="15">
        <f t="shared" si="17"/>
        <v>0</v>
      </c>
      <c r="AD64" s="17">
        <v>0</v>
      </c>
      <c r="AE64" s="17">
        <v>0</v>
      </c>
      <c r="AF64" s="15">
        <f t="shared" si="18"/>
        <v>0</v>
      </c>
      <c r="AG64" s="17">
        <v>0</v>
      </c>
      <c r="AH64" s="17">
        <v>0</v>
      </c>
      <c r="AI64" s="15">
        <f t="shared" si="19"/>
        <v>0</v>
      </c>
      <c r="AJ64" s="17"/>
    </row>
    <row r="65" spans="1:36" x14ac:dyDescent="0.3">
      <c r="A65" s="15" t="s">
        <v>113</v>
      </c>
      <c r="B65" s="15">
        <v>1000</v>
      </c>
      <c r="C65" s="15" t="s">
        <v>54</v>
      </c>
      <c r="D65" s="15" t="s">
        <v>68</v>
      </c>
      <c r="E65" s="15">
        <f>'10-JULY2026'!T65</f>
        <v>4</v>
      </c>
      <c r="F65" s="15">
        <f>'10-JULY2026'!U65</f>
        <v>0</v>
      </c>
      <c r="G65" s="15">
        <f>'10-JULY2026'!V65</f>
        <v>0</v>
      </c>
      <c r="H65" s="15">
        <f t="shared" si="10"/>
        <v>4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5">
        <f t="shared" si="11"/>
        <v>4</v>
      </c>
      <c r="T65" s="15">
        <f t="shared" si="12"/>
        <v>4</v>
      </c>
      <c r="U65" s="15">
        <f t="shared" si="13"/>
        <v>0</v>
      </c>
      <c r="V65" s="15">
        <f t="shared" si="14"/>
        <v>0</v>
      </c>
      <c r="W65" s="18" t="str">
        <f t="shared" si="15"/>
        <v/>
      </c>
      <c r="X65" s="17">
        <v>0</v>
      </c>
      <c r="Y65" s="17">
        <v>0</v>
      </c>
      <c r="Z65" s="15">
        <f t="shared" si="16"/>
        <v>0</v>
      </c>
      <c r="AA65" s="17">
        <v>0</v>
      </c>
      <c r="AB65" s="17">
        <v>0</v>
      </c>
      <c r="AC65" s="15">
        <f t="shared" si="17"/>
        <v>0</v>
      </c>
      <c r="AD65" s="17">
        <v>0</v>
      </c>
      <c r="AE65" s="17">
        <v>0</v>
      </c>
      <c r="AF65" s="15">
        <f t="shared" si="18"/>
        <v>0</v>
      </c>
      <c r="AG65" s="17">
        <v>0</v>
      </c>
      <c r="AH65" s="17">
        <v>0</v>
      </c>
      <c r="AI65" s="15">
        <f t="shared" si="19"/>
        <v>0</v>
      </c>
      <c r="AJ65" s="17"/>
    </row>
    <row r="66" spans="1:36" x14ac:dyDescent="0.3">
      <c r="A66" s="15" t="s">
        <v>114</v>
      </c>
      <c r="B66" s="15">
        <v>100</v>
      </c>
      <c r="C66" s="15" t="s">
        <v>54</v>
      </c>
      <c r="D66" s="15" t="s">
        <v>57</v>
      </c>
      <c r="E66" s="15">
        <f>'10-JULY2026'!T66</f>
        <v>4</v>
      </c>
      <c r="F66" s="15">
        <f>'10-JULY2026'!U66</f>
        <v>0</v>
      </c>
      <c r="G66" s="15">
        <f>'10-JULY2026'!V66</f>
        <v>0</v>
      </c>
      <c r="H66" s="15">
        <f t="shared" si="10"/>
        <v>4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5">
        <f t="shared" si="11"/>
        <v>4</v>
      </c>
      <c r="T66" s="15">
        <f t="shared" si="12"/>
        <v>4</v>
      </c>
      <c r="U66" s="15">
        <f t="shared" si="13"/>
        <v>0</v>
      </c>
      <c r="V66" s="15">
        <f t="shared" si="14"/>
        <v>0</v>
      </c>
      <c r="W66" s="18" t="str">
        <f t="shared" si="15"/>
        <v/>
      </c>
      <c r="X66" s="17">
        <v>0</v>
      </c>
      <c r="Y66" s="17">
        <v>0</v>
      </c>
      <c r="Z66" s="15">
        <f t="shared" si="16"/>
        <v>0</v>
      </c>
      <c r="AA66" s="17">
        <v>0</v>
      </c>
      <c r="AB66" s="17">
        <v>0</v>
      </c>
      <c r="AC66" s="15">
        <f t="shared" si="17"/>
        <v>0</v>
      </c>
      <c r="AD66" s="17">
        <v>0</v>
      </c>
      <c r="AE66" s="17">
        <v>0</v>
      </c>
      <c r="AF66" s="15">
        <f t="shared" si="18"/>
        <v>0</v>
      </c>
      <c r="AG66" s="17">
        <v>0</v>
      </c>
      <c r="AH66" s="17">
        <v>0</v>
      </c>
      <c r="AI66" s="15">
        <f t="shared" si="19"/>
        <v>0</v>
      </c>
      <c r="AJ66" s="17"/>
    </row>
    <row r="67" spans="1:36" hidden="1" x14ac:dyDescent="0.3">
      <c r="A67" s="15" t="s">
        <v>115</v>
      </c>
      <c r="B67" s="15">
        <v>1000</v>
      </c>
      <c r="C67" s="15" t="s">
        <v>54</v>
      </c>
      <c r="D67" s="15" t="s">
        <v>55</v>
      </c>
      <c r="E67" s="15">
        <f>'10-JULY2026'!T67</f>
        <v>2</v>
      </c>
      <c r="F67" s="15">
        <f>'10-JULY2026'!U67</f>
        <v>0</v>
      </c>
      <c r="G67" s="15">
        <f>'10-JULY2026'!V67</f>
        <v>0</v>
      </c>
      <c r="H67" s="15">
        <f t="shared" ref="H67:H98" si="20">E67+F67+G67</f>
        <v>2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5">
        <f t="shared" ref="S67:S98" si="21">H67+O67+P67+Q67+R67-(I67+J67+K67+L67+M67+N67)</f>
        <v>2</v>
      </c>
      <c r="T67" s="15">
        <f t="shared" ref="T67:T98" si="22">E67+O67-I67-L67</f>
        <v>2</v>
      </c>
      <c r="U67" s="15">
        <f t="shared" ref="U67:U98" si="23">F67+P67-J67-M67</f>
        <v>0</v>
      </c>
      <c r="V67" s="15">
        <f t="shared" ref="V67:V98" si="24">G67+Q67-K67-N67</f>
        <v>0</v>
      </c>
      <c r="W67" s="18" t="str">
        <f t="shared" ref="W67:W98" si="25">IF(MIN(T67,U67,V67)&lt;0,"NEGATIVE STOCK - CHECK ENTRIES","")</f>
        <v/>
      </c>
      <c r="X67" s="17">
        <v>0</v>
      </c>
      <c r="Y67" s="17">
        <v>0</v>
      </c>
      <c r="Z67" s="15">
        <f t="shared" ref="Z67:Z98" si="26">X67-Y67</f>
        <v>0</v>
      </c>
      <c r="AA67" s="17">
        <v>0</v>
      </c>
      <c r="AB67" s="17">
        <v>0</v>
      </c>
      <c r="AC67" s="15">
        <f t="shared" ref="AC67:AC98" si="27">AA67-AB67</f>
        <v>0</v>
      </c>
      <c r="AD67" s="17">
        <v>0</v>
      </c>
      <c r="AE67" s="17">
        <v>0</v>
      </c>
      <c r="AF67" s="15">
        <f t="shared" ref="AF67:AF98" si="28">AD67-AE67</f>
        <v>0</v>
      </c>
      <c r="AG67" s="17">
        <v>0</v>
      </c>
      <c r="AH67" s="17">
        <v>0</v>
      </c>
      <c r="AI67" s="15">
        <f t="shared" ref="AI67:AI98" si="29">AG67-AH67</f>
        <v>0</v>
      </c>
      <c r="AJ67" s="17"/>
    </row>
    <row r="68" spans="1:36" x14ac:dyDescent="0.3">
      <c r="A68" s="15" t="s">
        <v>116</v>
      </c>
      <c r="B68" s="15">
        <v>5000</v>
      </c>
      <c r="C68" s="15" t="s">
        <v>54</v>
      </c>
      <c r="D68" s="15" t="s">
        <v>68</v>
      </c>
      <c r="E68" s="15">
        <f>'10-JULY2026'!T68</f>
        <v>1</v>
      </c>
      <c r="F68" s="15">
        <f>'10-JULY2026'!U68</f>
        <v>0</v>
      </c>
      <c r="G68" s="15">
        <f>'10-JULY2026'!V68</f>
        <v>0</v>
      </c>
      <c r="H68" s="15">
        <f t="shared" si="20"/>
        <v>1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5">
        <f t="shared" si="21"/>
        <v>1</v>
      </c>
      <c r="T68" s="15">
        <f t="shared" si="22"/>
        <v>1</v>
      </c>
      <c r="U68" s="15">
        <f t="shared" si="23"/>
        <v>0</v>
      </c>
      <c r="V68" s="15">
        <f t="shared" si="24"/>
        <v>0</v>
      </c>
      <c r="W68" s="18" t="str">
        <f t="shared" si="25"/>
        <v/>
      </c>
      <c r="X68" s="17">
        <v>0</v>
      </c>
      <c r="Y68" s="17">
        <v>0</v>
      </c>
      <c r="Z68" s="15">
        <f t="shared" si="26"/>
        <v>0</v>
      </c>
      <c r="AA68" s="17">
        <v>0</v>
      </c>
      <c r="AB68" s="17">
        <v>0</v>
      </c>
      <c r="AC68" s="15">
        <f t="shared" si="27"/>
        <v>0</v>
      </c>
      <c r="AD68" s="17">
        <v>0</v>
      </c>
      <c r="AE68" s="17">
        <v>0</v>
      </c>
      <c r="AF68" s="15">
        <f t="shared" si="28"/>
        <v>0</v>
      </c>
      <c r="AG68" s="17">
        <v>0</v>
      </c>
      <c r="AH68" s="17">
        <v>0</v>
      </c>
      <c r="AI68" s="15">
        <f t="shared" si="29"/>
        <v>0</v>
      </c>
      <c r="AJ68" s="17"/>
    </row>
    <row r="69" spans="1:36" x14ac:dyDescent="0.3">
      <c r="A69" s="15" t="s">
        <v>117</v>
      </c>
      <c r="B69" s="15">
        <v>100</v>
      </c>
      <c r="C69" s="15" t="s">
        <v>54</v>
      </c>
      <c r="D69" s="15" t="s">
        <v>57</v>
      </c>
      <c r="E69" s="15">
        <f>'10-JULY2026'!T69</f>
        <v>10</v>
      </c>
      <c r="F69" s="15">
        <f>'10-JULY2026'!U69</f>
        <v>0</v>
      </c>
      <c r="G69" s="15">
        <f>'10-JULY2026'!V69</f>
        <v>0</v>
      </c>
      <c r="H69" s="15">
        <f t="shared" si="20"/>
        <v>10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5">
        <f t="shared" si="21"/>
        <v>10</v>
      </c>
      <c r="T69" s="15">
        <f t="shared" si="22"/>
        <v>10</v>
      </c>
      <c r="U69" s="15">
        <f t="shared" si="23"/>
        <v>0</v>
      </c>
      <c r="V69" s="15">
        <f t="shared" si="24"/>
        <v>0</v>
      </c>
      <c r="W69" s="18" t="str">
        <f t="shared" si="25"/>
        <v/>
      </c>
      <c r="X69" s="17">
        <v>0</v>
      </c>
      <c r="Y69" s="17">
        <v>0</v>
      </c>
      <c r="Z69" s="15">
        <f t="shared" si="26"/>
        <v>0</v>
      </c>
      <c r="AA69" s="17">
        <v>0</v>
      </c>
      <c r="AB69" s="17">
        <v>0</v>
      </c>
      <c r="AC69" s="15">
        <f t="shared" si="27"/>
        <v>0</v>
      </c>
      <c r="AD69" s="17">
        <v>0</v>
      </c>
      <c r="AE69" s="17">
        <v>0</v>
      </c>
      <c r="AF69" s="15">
        <f t="shared" si="28"/>
        <v>0</v>
      </c>
      <c r="AG69" s="17">
        <v>0</v>
      </c>
      <c r="AH69" s="17">
        <v>0</v>
      </c>
      <c r="AI69" s="15">
        <f t="shared" si="29"/>
        <v>0</v>
      </c>
      <c r="AJ69" s="17"/>
    </row>
    <row r="70" spans="1:36" x14ac:dyDescent="0.3">
      <c r="A70" s="15" t="s">
        <v>118</v>
      </c>
      <c r="B70" s="15">
        <v>5000</v>
      </c>
      <c r="C70" s="15" t="s">
        <v>54</v>
      </c>
      <c r="D70" s="15" t="s">
        <v>68</v>
      </c>
      <c r="E70" s="15">
        <f>'10-JULY2026'!T70</f>
        <v>3</v>
      </c>
      <c r="F70" s="15">
        <f>'10-JULY2026'!U70</f>
        <v>0</v>
      </c>
      <c r="G70" s="15">
        <f>'10-JULY2026'!V70</f>
        <v>0</v>
      </c>
      <c r="H70" s="15">
        <f t="shared" si="20"/>
        <v>3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5">
        <f t="shared" si="21"/>
        <v>3</v>
      </c>
      <c r="T70" s="15">
        <f t="shared" si="22"/>
        <v>3</v>
      </c>
      <c r="U70" s="15">
        <f t="shared" si="23"/>
        <v>0</v>
      </c>
      <c r="V70" s="15">
        <f t="shared" si="24"/>
        <v>0</v>
      </c>
      <c r="W70" s="18" t="str">
        <f t="shared" si="25"/>
        <v/>
      </c>
      <c r="X70" s="17">
        <v>0</v>
      </c>
      <c r="Y70" s="17">
        <v>0</v>
      </c>
      <c r="Z70" s="15">
        <f t="shared" si="26"/>
        <v>0</v>
      </c>
      <c r="AA70" s="17">
        <v>0</v>
      </c>
      <c r="AB70" s="17">
        <v>0</v>
      </c>
      <c r="AC70" s="15">
        <f t="shared" si="27"/>
        <v>0</v>
      </c>
      <c r="AD70" s="17">
        <v>0</v>
      </c>
      <c r="AE70" s="17">
        <v>0</v>
      </c>
      <c r="AF70" s="15">
        <f t="shared" si="28"/>
        <v>0</v>
      </c>
      <c r="AG70" s="17">
        <v>0</v>
      </c>
      <c r="AH70" s="17">
        <v>0</v>
      </c>
      <c r="AI70" s="15">
        <f t="shared" si="29"/>
        <v>0</v>
      </c>
      <c r="AJ70" s="17"/>
    </row>
    <row r="71" spans="1:36" x14ac:dyDescent="0.3">
      <c r="A71" s="15" t="s">
        <v>119</v>
      </c>
      <c r="B71" s="15">
        <v>100</v>
      </c>
      <c r="C71" s="15" t="s">
        <v>54</v>
      </c>
      <c r="D71" s="15" t="s">
        <v>68</v>
      </c>
      <c r="E71" s="15">
        <f>'10-JULY2026'!T71</f>
        <v>2</v>
      </c>
      <c r="F71" s="15">
        <f>'10-JULY2026'!U71</f>
        <v>0</v>
      </c>
      <c r="G71" s="15">
        <f>'10-JULY2026'!V71</f>
        <v>0</v>
      </c>
      <c r="H71" s="15">
        <f t="shared" si="20"/>
        <v>2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5">
        <f t="shared" si="21"/>
        <v>2</v>
      </c>
      <c r="T71" s="15">
        <f t="shared" si="22"/>
        <v>2</v>
      </c>
      <c r="U71" s="15">
        <f t="shared" si="23"/>
        <v>0</v>
      </c>
      <c r="V71" s="15">
        <f t="shared" si="24"/>
        <v>0</v>
      </c>
      <c r="W71" s="18" t="str">
        <f t="shared" si="25"/>
        <v/>
      </c>
      <c r="X71" s="17">
        <v>0</v>
      </c>
      <c r="Y71" s="17">
        <v>0</v>
      </c>
      <c r="Z71" s="15">
        <f t="shared" si="26"/>
        <v>0</v>
      </c>
      <c r="AA71" s="17">
        <v>0</v>
      </c>
      <c r="AB71" s="17">
        <v>0</v>
      </c>
      <c r="AC71" s="15">
        <f t="shared" si="27"/>
        <v>0</v>
      </c>
      <c r="AD71" s="17">
        <v>0</v>
      </c>
      <c r="AE71" s="17">
        <v>0</v>
      </c>
      <c r="AF71" s="15">
        <f t="shared" si="28"/>
        <v>0</v>
      </c>
      <c r="AG71" s="17">
        <v>0</v>
      </c>
      <c r="AH71" s="17">
        <v>0</v>
      </c>
      <c r="AI71" s="15">
        <f t="shared" si="29"/>
        <v>0</v>
      </c>
      <c r="AJ71" s="17"/>
    </row>
    <row r="72" spans="1:36" x14ac:dyDescent="0.3">
      <c r="A72" s="15" t="s">
        <v>120</v>
      </c>
      <c r="B72" s="15">
        <v>100</v>
      </c>
      <c r="C72" s="15" t="s">
        <v>54</v>
      </c>
      <c r="D72" s="15" t="s">
        <v>57</v>
      </c>
      <c r="E72" s="15">
        <f>'10-JULY2026'!T72</f>
        <v>2</v>
      </c>
      <c r="F72" s="15">
        <f>'10-JULY2026'!U72</f>
        <v>0</v>
      </c>
      <c r="G72" s="15">
        <f>'10-JULY2026'!V72</f>
        <v>0</v>
      </c>
      <c r="H72" s="15">
        <f t="shared" si="20"/>
        <v>2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5">
        <f t="shared" si="21"/>
        <v>2</v>
      </c>
      <c r="T72" s="15">
        <f t="shared" si="22"/>
        <v>2</v>
      </c>
      <c r="U72" s="15">
        <f t="shared" si="23"/>
        <v>0</v>
      </c>
      <c r="V72" s="15">
        <f t="shared" si="24"/>
        <v>0</v>
      </c>
      <c r="W72" s="18" t="str">
        <f t="shared" si="25"/>
        <v/>
      </c>
      <c r="X72" s="17">
        <v>0</v>
      </c>
      <c r="Y72" s="17">
        <v>0</v>
      </c>
      <c r="Z72" s="15">
        <f t="shared" si="26"/>
        <v>0</v>
      </c>
      <c r="AA72" s="17">
        <v>0</v>
      </c>
      <c r="AB72" s="17">
        <v>0</v>
      </c>
      <c r="AC72" s="15">
        <f t="shared" si="27"/>
        <v>0</v>
      </c>
      <c r="AD72" s="17">
        <v>0</v>
      </c>
      <c r="AE72" s="17">
        <v>0</v>
      </c>
      <c r="AF72" s="15">
        <f t="shared" si="28"/>
        <v>0</v>
      </c>
      <c r="AG72" s="17">
        <v>0</v>
      </c>
      <c r="AH72" s="17">
        <v>0</v>
      </c>
      <c r="AI72" s="15">
        <f t="shared" si="29"/>
        <v>0</v>
      </c>
      <c r="AJ72" s="17"/>
    </row>
    <row r="73" spans="1:36" x14ac:dyDescent="0.3">
      <c r="A73" s="15" t="s">
        <v>121</v>
      </c>
      <c r="B73" s="15">
        <v>100</v>
      </c>
      <c r="C73" s="15" t="s">
        <v>54</v>
      </c>
      <c r="D73" s="15" t="s">
        <v>68</v>
      </c>
      <c r="E73" s="15">
        <f>'10-JULY2026'!T73</f>
        <v>5</v>
      </c>
      <c r="F73" s="15">
        <f>'10-JULY2026'!U73</f>
        <v>0</v>
      </c>
      <c r="G73" s="15">
        <f>'10-JULY2026'!V73</f>
        <v>0</v>
      </c>
      <c r="H73" s="15">
        <f t="shared" si="20"/>
        <v>5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5">
        <f t="shared" si="21"/>
        <v>5</v>
      </c>
      <c r="T73" s="15">
        <f t="shared" si="22"/>
        <v>5</v>
      </c>
      <c r="U73" s="15">
        <f t="shared" si="23"/>
        <v>0</v>
      </c>
      <c r="V73" s="15">
        <f t="shared" si="24"/>
        <v>0</v>
      </c>
      <c r="W73" s="18" t="str">
        <f t="shared" si="25"/>
        <v/>
      </c>
      <c r="X73" s="17">
        <v>0</v>
      </c>
      <c r="Y73" s="17">
        <v>0</v>
      </c>
      <c r="Z73" s="15">
        <f t="shared" si="26"/>
        <v>0</v>
      </c>
      <c r="AA73" s="17">
        <v>0</v>
      </c>
      <c r="AB73" s="17">
        <v>0</v>
      </c>
      <c r="AC73" s="15">
        <f t="shared" si="27"/>
        <v>0</v>
      </c>
      <c r="AD73" s="17">
        <v>0</v>
      </c>
      <c r="AE73" s="17">
        <v>0</v>
      </c>
      <c r="AF73" s="15">
        <f t="shared" si="28"/>
        <v>0</v>
      </c>
      <c r="AG73" s="17">
        <v>0</v>
      </c>
      <c r="AH73" s="17">
        <v>0</v>
      </c>
      <c r="AI73" s="15">
        <f t="shared" si="29"/>
        <v>0</v>
      </c>
      <c r="AJ73" s="17"/>
    </row>
    <row r="74" spans="1:36" x14ac:dyDescent="0.3">
      <c r="A74" s="15" t="s">
        <v>122</v>
      </c>
      <c r="B74" s="15">
        <v>1000</v>
      </c>
      <c r="C74" s="15" t="s">
        <v>54</v>
      </c>
      <c r="D74" s="15" t="s">
        <v>68</v>
      </c>
      <c r="E74" s="15">
        <f>'10-JULY2026'!T74</f>
        <v>2</v>
      </c>
      <c r="F74" s="15">
        <f>'10-JULY2026'!U74</f>
        <v>0</v>
      </c>
      <c r="G74" s="15">
        <f>'10-JULY2026'!V74</f>
        <v>0</v>
      </c>
      <c r="H74" s="15">
        <f t="shared" si="20"/>
        <v>2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5">
        <f t="shared" si="21"/>
        <v>2</v>
      </c>
      <c r="T74" s="15">
        <f t="shared" si="22"/>
        <v>2</v>
      </c>
      <c r="U74" s="15">
        <f t="shared" si="23"/>
        <v>0</v>
      </c>
      <c r="V74" s="15">
        <f t="shared" si="24"/>
        <v>0</v>
      </c>
      <c r="W74" s="18" t="str">
        <f t="shared" si="25"/>
        <v/>
      </c>
      <c r="X74" s="17">
        <v>0</v>
      </c>
      <c r="Y74" s="17">
        <v>0</v>
      </c>
      <c r="Z74" s="15">
        <f t="shared" si="26"/>
        <v>0</v>
      </c>
      <c r="AA74" s="17">
        <v>0</v>
      </c>
      <c r="AB74" s="17">
        <v>0</v>
      </c>
      <c r="AC74" s="15">
        <f t="shared" si="27"/>
        <v>0</v>
      </c>
      <c r="AD74" s="17">
        <v>0</v>
      </c>
      <c r="AE74" s="17">
        <v>0</v>
      </c>
      <c r="AF74" s="15">
        <f t="shared" si="28"/>
        <v>0</v>
      </c>
      <c r="AG74" s="17">
        <v>0</v>
      </c>
      <c r="AH74" s="17">
        <v>0</v>
      </c>
      <c r="AI74" s="15">
        <f t="shared" si="29"/>
        <v>0</v>
      </c>
      <c r="AJ74" s="17"/>
    </row>
    <row r="75" spans="1:36" hidden="1" x14ac:dyDescent="0.3">
      <c r="A75" s="15" t="s">
        <v>123</v>
      </c>
      <c r="B75" s="15" t="s">
        <v>124</v>
      </c>
      <c r="C75" s="15" t="s">
        <v>123</v>
      </c>
      <c r="D75" s="15" t="s">
        <v>55</v>
      </c>
      <c r="E75" s="15">
        <f>'10-JULY2026'!T75</f>
        <v>1</v>
      </c>
      <c r="F75" s="15">
        <f>'10-JULY2026'!U75</f>
        <v>0</v>
      </c>
      <c r="G75" s="15">
        <f>'10-JULY2026'!V75</f>
        <v>0</v>
      </c>
      <c r="H75" s="15">
        <f t="shared" si="20"/>
        <v>1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5">
        <f t="shared" si="21"/>
        <v>1</v>
      </c>
      <c r="T75" s="15">
        <f t="shared" si="22"/>
        <v>1</v>
      </c>
      <c r="U75" s="15">
        <f t="shared" si="23"/>
        <v>0</v>
      </c>
      <c r="V75" s="15">
        <f t="shared" si="24"/>
        <v>0</v>
      </c>
      <c r="W75" s="18" t="str">
        <f t="shared" si="25"/>
        <v/>
      </c>
      <c r="X75" s="17">
        <v>0</v>
      </c>
      <c r="Y75" s="17">
        <v>0</v>
      </c>
      <c r="Z75" s="15">
        <f t="shared" si="26"/>
        <v>0</v>
      </c>
      <c r="AA75" s="17">
        <v>0</v>
      </c>
      <c r="AB75" s="17">
        <v>0</v>
      </c>
      <c r="AC75" s="15">
        <f t="shared" si="27"/>
        <v>0</v>
      </c>
      <c r="AD75" s="17">
        <v>0</v>
      </c>
      <c r="AE75" s="17">
        <v>0</v>
      </c>
      <c r="AF75" s="15">
        <f t="shared" si="28"/>
        <v>0</v>
      </c>
      <c r="AG75" s="17">
        <v>0</v>
      </c>
      <c r="AH75" s="17">
        <v>0</v>
      </c>
      <c r="AI75" s="15">
        <f t="shared" si="29"/>
        <v>0</v>
      </c>
      <c r="AJ75" s="17"/>
    </row>
    <row r="76" spans="1:36" x14ac:dyDescent="0.3">
      <c r="A76" s="15" t="s">
        <v>125</v>
      </c>
      <c r="B76" s="15">
        <v>1000</v>
      </c>
      <c r="C76" s="15" t="s">
        <v>54</v>
      </c>
      <c r="D76" s="15" t="s">
        <v>68</v>
      </c>
      <c r="E76" s="15">
        <f>'10-JULY2026'!T76</f>
        <v>4</v>
      </c>
      <c r="F76" s="15">
        <f>'10-JULY2026'!U76</f>
        <v>0</v>
      </c>
      <c r="G76" s="15">
        <f>'10-JULY2026'!V76</f>
        <v>0</v>
      </c>
      <c r="H76" s="15">
        <f t="shared" si="20"/>
        <v>4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5">
        <f t="shared" si="21"/>
        <v>4</v>
      </c>
      <c r="T76" s="15">
        <f t="shared" si="22"/>
        <v>4</v>
      </c>
      <c r="U76" s="15">
        <f t="shared" si="23"/>
        <v>0</v>
      </c>
      <c r="V76" s="15">
        <f t="shared" si="24"/>
        <v>0</v>
      </c>
      <c r="W76" s="18" t="str">
        <f t="shared" si="25"/>
        <v/>
      </c>
      <c r="X76" s="17">
        <v>0</v>
      </c>
      <c r="Y76" s="17">
        <v>0</v>
      </c>
      <c r="Z76" s="15">
        <f t="shared" si="26"/>
        <v>0</v>
      </c>
      <c r="AA76" s="17">
        <v>0</v>
      </c>
      <c r="AB76" s="17">
        <v>0</v>
      </c>
      <c r="AC76" s="15">
        <f t="shared" si="27"/>
        <v>0</v>
      </c>
      <c r="AD76" s="17">
        <v>0</v>
      </c>
      <c r="AE76" s="17">
        <v>0</v>
      </c>
      <c r="AF76" s="15">
        <f t="shared" si="28"/>
        <v>0</v>
      </c>
      <c r="AG76" s="17">
        <v>0</v>
      </c>
      <c r="AH76" s="17">
        <v>0</v>
      </c>
      <c r="AI76" s="15">
        <f t="shared" si="29"/>
        <v>0</v>
      </c>
      <c r="AJ76" s="17"/>
    </row>
    <row r="77" spans="1:36" x14ac:dyDescent="0.3">
      <c r="A77" s="15" t="s">
        <v>126</v>
      </c>
      <c r="B77" s="15">
        <v>1000</v>
      </c>
      <c r="C77" s="15" t="s">
        <v>54</v>
      </c>
      <c r="D77" s="15" t="s">
        <v>68</v>
      </c>
      <c r="E77" s="15">
        <f>'10-JULY2026'!T77</f>
        <v>4</v>
      </c>
      <c r="F77" s="15">
        <f>'10-JULY2026'!U77</f>
        <v>0</v>
      </c>
      <c r="G77" s="15">
        <f>'10-JULY2026'!V77</f>
        <v>0</v>
      </c>
      <c r="H77" s="15">
        <f t="shared" si="20"/>
        <v>4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5">
        <f t="shared" si="21"/>
        <v>4</v>
      </c>
      <c r="T77" s="15">
        <f t="shared" si="22"/>
        <v>4</v>
      </c>
      <c r="U77" s="15">
        <f t="shared" si="23"/>
        <v>0</v>
      </c>
      <c r="V77" s="15">
        <f t="shared" si="24"/>
        <v>0</v>
      </c>
      <c r="W77" s="18" t="str">
        <f t="shared" si="25"/>
        <v/>
      </c>
      <c r="X77" s="17">
        <v>0</v>
      </c>
      <c r="Y77" s="17">
        <v>0</v>
      </c>
      <c r="Z77" s="15">
        <f t="shared" si="26"/>
        <v>0</v>
      </c>
      <c r="AA77" s="17">
        <v>0</v>
      </c>
      <c r="AB77" s="17">
        <v>0</v>
      </c>
      <c r="AC77" s="15">
        <f t="shared" si="27"/>
        <v>0</v>
      </c>
      <c r="AD77" s="17">
        <v>0</v>
      </c>
      <c r="AE77" s="17">
        <v>0</v>
      </c>
      <c r="AF77" s="15">
        <f t="shared" si="28"/>
        <v>0</v>
      </c>
      <c r="AG77" s="17">
        <v>0</v>
      </c>
      <c r="AH77" s="17">
        <v>0</v>
      </c>
      <c r="AI77" s="15">
        <f t="shared" si="29"/>
        <v>0</v>
      </c>
      <c r="AJ77" s="17"/>
    </row>
    <row r="78" spans="1:36" hidden="1" x14ac:dyDescent="0.3">
      <c r="A78" s="15" t="s">
        <v>127</v>
      </c>
      <c r="B78" s="15">
        <v>0</v>
      </c>
      <c r="C78" s="15" t="s">
        <v>128</v>
      </c>
      <c r="D78" s="15" t="s">
        <v>55</v>
      </c>
      <c r="E78" s="15">
        <f>'10-JULY2026'!T78</f>
        <v>107</v>
      </c>
      <c r="F78" s="15">
        <f>'10-JULY2026'!U78</f>
        <v>6</v>
      </c>
      <c r="G78" s="15">
        <f>'10-JULY2026'!V78</f>
        <v>4</v>
      </c>
      <c r="H78" s="15">
        <f t="shared" si="20"/>
        <v>117</v>
      </c>
      <c r="I78" s="17">
        <v>0</v>
      </c>
      <c r="J78" s="17">
        <v>0</v>
      </c>
      <c r="K78" s="17">
        <v>4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5">
        <f t="shared" si="21"/>
        <v>113</v>
      </c>
      <c r="T78" s="15">
        <f t="shared" si="22"/>
        <v>107</v>
      </c>
      <c r="U78" s="15">
        <f t="shared" si="23"/>
        <v>6</v>
      </c>
      <c r="V78" s="15">
        <f t="shared" si="24"/>
        <v>0</v>
      </c>
      <c r="W78" s="18" t="str">
        <f t="shared" si="25"/>
        <v/>
      </c>
      <c r="X78" s="17">
        <v>0</v>
      </c>
      <c r="Y78" s="17">
        <v>0</v>
      </c>
      <c r="Z78" s="15">
        <f t="shared" si="26"/>
        <v>0</v>
      </c>
      <c r="AA78" s="17">
        <v>0</v>
      </c>
      <c r="AB78" s="17">
        <v>0</v>
      </c>
      <c r="AC78" s="15">
        <f t="shared" si="27"/>
        <v>0</v>
      </c>
      <c r="AD78" s="17">
        <v>0</v>
      </c>
      <c r="AE78" s="17">
        <v>0</v>
      </c>
      <c r="AF78" s="15">
        <f t="shared" si="28"/>
        <v>0</v>
      </c>
      <c r="AG78" s="17">
        <v>0</v>
      </c>
      <c r="AH78" s="17">
        <v>0</v>
      </c>
      <c r="AI78" s="15">
        <f t="shared" si="29"/>
        <v>0</v>
      </c>
      <c r="AJ78" s="17"/>
    </row>
    <row r="79" spans="1:36" hidden="1" x14ac:dyDescent="0.3">
      <c r="A79" s="15" t="s">
        <v>129</v>
      </c>
      <c r="B79" s="15">
        <v>0</v>
      </c>
      <c r="C79" s="15" t="s">
        <v>128</v>
      </c>
      <c r="D79" s="15" t="s">
        <v>55</v>
      </c>
      <c r="E79" s="15">
        <f>'10-JULY2026'!T79</f>
        <v>96</v>
      </c>
      <c r="F79" s="15">
        <f>'10-JULY2026'!U79</f>
        <v>4</v>
      </c>
      <c r="G79" s="15">
        <f>'10-JULY2026'!V79</f>
        <v>9</v>
      </c>
      <c r="H79" s="15">
        <f t="shared" si="20"/>
        <v>109</v>
      </c>
      <c r="I79" s="17">
        <v>0</v>
      </c>
      <c r="J79" s="17">
        <v>0</v>
      </c>
      <c r="K79" s="17">
        <v>4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5">
        <f t="shared" si="21"/>
        <v>105</v>
      </c>
      <c r="T79" s="15">
        <f t="shared" si="22"/>
        <v>96</v>
      </c>
      <c r="U79" s="15">
        <f t="shared" si="23"/>
        <v>4</v>
      </c>
      <c r="V79" s="15">
        <f t="shared" si="24"/>
        <v>5</v>
      </c>
      <c r="W79" s="18" t="str">
        <f t="shared" si="25"/>
        <v/>
      </c>
      <c r="X79" s="17">
        <v>0</v>
      </c>
      <c r="Y79" s="17">
        <v>0</v>
      </c>
      <c r="Z79" s="15">
        <f t="shared" si="26"/>
        <v>0</v>
      </c>
      <c r="AA79" s="17">
        <v>0</v>
      </c>
      <c r="AB79" s="17">
        <v>0</v>
      </c>
      <c r="AC79" s="15">
        <f t="shared" si="27"/>
        <v>0</v>
      </c>
      <c r="AD79" s="17">
        <v>0</v>
      </c>
      <c r="AE79" s="17">
        <v>0</v>
      </c>
      <c r="AF79" s="15">
        <f t="shared" si="28"/>
        <v>0</v>
      </c>
      <c r="AG79" s="17">
        <v>0</v>
      </c>
      <c r="AH79" s="17">
        <v>0</v>
      </c>
      <c r="AI79" s="15">
        <f t="shared" si="29"/>
        <v>0</v>
      </c>
      <c r="AJ79" s="17"/>
    </row>
    <row r="80" spans="1:36" hidden="1" x14ac:dyDescent="0.3">
      <c r="A80" s="15" t="s">
        <v>130</v>
      </c>
      <c r="B80" s="15">
        <v>100</v>
      </c>
      <c r="C80" s="15" t="s">
        <v>54</v>
      </c>
      <c r="D80" s="15" t="s">
        <v>55</v>
      </c>
      <c r="E80" s="15">
        <f>'10-JULY2026'!T80</f>
        <v>50</v>
      </c>
      <c r="F80" s="15">
        <f>'10-JULY2026'!U80</f>
        <v>131</v>
      </c>
      <c r="G80" s="15">
        <f>'10-JULY2026'!V80</f>
        <v>104</v>
      </c>
      <c r="H80" s="15">
        <f t="shared" si="20"/>
        <v>285</v>
      </c>
      <c r="I80" s="17">
        <v>0</v>
      </c>
      <c r="J80" s="17">
        <v>0</v>
      </c>
      <c r="K80" s="17">
        <v>0</v>
      </c>
      <c r="L80" s="17">
        <v>0</v>
      </c>
      <c r="M80" s="17">
        <v>18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5">
        <f t="shared" si="21"/>
        <v>267</v>
      </c>
      <c r="T80" s="15">
        <f t="shared" si="22"/>
        <v>50</v>
      </c>
      <c r="U80" s="15">
        <f t="shared" si="23"/>
        <v>113</v>
      </c>
      <c r="V80" s="15">
        <f t="shared" si="24"/>
        <v>104</v>
      </c>
      <c r="W80" s="18" t="str">
        <f t="shared" si="25"/>
        <v/>
      </c>
      <c r="X80" s="17">
        <v>0</v>
      </c>
      <c r="Y80" s="17">
        <v>0</v>
      </c>
      <c r="Z80" s="15">
        <f t="shared" si="26"/>
        <v>0</v>
      </c>
      <c r="AA80" s="17">
        <v>0</v>
      </c>
      <c r="AB80" s="17">
        <v>0</v>
      </c>
      <c r="AC80" s="15">
        <f t="shared" si="27"/>
        <v>0</v>
      </c>
      <c r="AD80" s="17">
        <v>0</v>
      </c>
      <c r="AE80" s="17">
        <v>0</v>
      </c>
      <c r="AF80" s="15">
        <f t="shared" si="28"/>
        <v>0</v>
      </c>
      <c r="AG80" s="17">
        <v>0</v>
      </c>
      <c r="AH80" s="17">
        <v>0</v>
      </c>
      <c r="AI80" s="15">
        <f t="shared" si="29"/>
        <v>0</v>
      </c>
      <c r="AJ80" s="17"/>
    </row>
    <row r="81" spans="1:36" hidden="1" x14ac:dyDescent="0.3">
      <c r="A81" s="15" t="s">
        <v>131</v>
      </c>
      <c r="B81" s="15">
        <v>500</v>
      </c>
      <c r="C81" s="15" t="s">
        <v>54</v>
      </c>
      <c r="D81" s="15" t="s">
        <v>55</v>
      </c>
      <c r="E81" s="15">
        <f>'10-JULY2026'!T81</f>
        <v>6</v>
      </c>
      <c r="F81" s="15">
        <f>'10-JULY2026'!U81</f>
        <v>0</v>
      </c>
      <c r="G81" s="15">
        <f>'10-JULY2026'!V81</f>
        <v>0</v>
      </c>
      <c r="H81" s="15">
        <f t="shared" si="20"/>
        <v>6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5">
        <f t="shared" si="21"/>
        <v>6</v>
      </c>
      <c r="T81" s="15">
        <f t="shared" si="22"/>
        <v>6</v>
      </c>
      <c r="U81" s="15">
        <f t="shared" si="23"/>
        <v>0</v>
      </c>
      <c r="V81" s="15">
        <f t="shared" si="24"/>
        <v>0</v>
      </c>
      <c r="W81" s="18" t="str">
        <f t="shared" si="25"/>
        <v/>
      </c>
      <c r="X81" s="17">
        <v>0</v>
      </c>
      <c r="Y81" s="17">
        <v>0</v>
      </c>
      <c r="Z81" s="15">
        <f t="shared" si="26"/>
        <v>0</v>
      </c>
      <c r="AA81" s="17">
        <v>0</v>
      </c>
      <c r="AB81" s="17">
        <v>0</v>
      </c>
      <c r="AC81" s="15">
        <f t="shared" si="27"/>
        <v>0</v>
      </c>
      <c r="AD81" s="17">
        <v>0</v>
      </c>
      <c r="AE81" s="17">
        <v>0</v>
      </c>
      <c r="AF81" s="15">
        <f t="shared" si="28"/>
        <v>0</v>
      </c>
      <c r="AG81" s="17">
        <v>0</v>
      </c>
      <c r="AH81" s="17">
        <v>0</v>
      </c>
      <c r="AI81" s="15">
        <f t="shared" si="29"/>
        <v>0</v>
      </c>
      <c r="AJ81" s="17"/>
    </row>
    <row r="82" spans="1:36" hidden="1" x14ac:dyDescent="0.3">
      <c r="A82" s="15" t="s">
        <v>132</v>
      </c>
      <c r="B82" s="15">
        <v>100</v>
      </c>
      <c r="C82" s="15" t="s">
        <v>54</v>
      </c>
      <c r="D82" s="15" t="s">
        <v>55</v>
      </c>
      <c r="E82" s="15">
        <f>'10-JULY2026'!T82</f>
        <v>77</v>
      </c>
      <c r="F82" s="15">
        <f>'10-JULY2026'!U82</f>
        <v>277</v>
      </c>
      <c r="G82" s="15">
        <f>'10-JULY2026'!V82</f>
        <v>35</v>
      </c>
      <c r="H82" s="15">
        <f t="shared" si="20"/>
        <v>389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5">
        <f t="shared" si="21"/>
        <v>389</v>
      </c>
      <c r="T82" s="15">
        <f t="shared" si="22"/>
        <v>77</v>
      </c>
      <c r="U82" s="15">
        <f t="shared" si="23"/>
        <v>277</v>
      </c>
      <c r="V82" s="15">
        <f t="shared" si="24"/>
        <v>35</v>
      </c>
      <c r="W82" s="18" t="str">
        <f t="shared" si="25"/>
        <v/>
      </c>
      <c r="X82" s="17">
        <v>0</v>
      </c>
      <c r="Y82" s="17">
        <v>0</v>
      </c>
      <c r="Z82" s="15">
        <f t="shared" si="26"/>
        <v>0</v>
      </c>
      <c r="AA82" s="17">
        <v>0</v>
      </c>
      <c r="AB82" s="17">
        <v>0</v>
      </c>
      <c r="AC82" s="15">
        <f t="shared" si="27"/>
        <v>0</v>
      </c>
      <c r="AD82" s="17">
        <v>0</v>
      </c>
      <c r="AE82" s="17">
        <v>0</v>
      </c>
      <c r="AF82" s="15">
        <f t="shared" si="28"/>
        <v>0</v>
      </c>
      <c r="AG82" s="17">
        <v>0</v>
      </c>
      <c r="AH82" s="17">
        <v>0</v>
      </c>
      <c r="AI82" s="15">
        <f t="shared" si="29"/>
        <v>0</v>
      </c>
      <c r="AJ82" s="17"/>
    </row>
    <row r="83" spans="1:36" hidden="1" x14ac:dyDescent="0.3">
      <c r="A83" s="15" t="s">
        <v>133</v>
      </c>
      <c r="B83" s="15">
        <v>1000</v>
      </c>
      <c r="C83" s="15" t="s">
        <v>54</v>
      </c>
      <c r="D83" s="15" t="s">
        <v>55</v>
      </c>
      <c r="E83" s="15">
        <f>'10-JULY2026'!T83</f>
        <v>-3</v>
      </c>
      <c r="F83" s="15">
        <f>'10-JULY2026'!U83</f>
        <v>0</v>
      </c>
      <c r="G83" s="15">
        <f>'10-JULY2026'!V83</f>
        <v>0</v>
      </c>
      <c r="H83" s="15">
        <f t="shared" si="20"/>
        <v>-3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5">
        <f t="shared" si="21"/>
        <v>-3</v>
      </c>
      <c r="T83" s="15">
        <f t="shared" si="22"/>
        <v>-3</v>
      </c>
      <c r="U83" s="15">
        <f t="shared" si="23"/>
        <v>0</v>
      </c>
      <c r="V83" s="15">
        <f t="shared" si="24"/>
        <v>0</v>
      </c>
      <c r="W83" s="18" t="str">
        <f t="shared" si="25"/>
        <v>NEGATIVE STOCK - CHECK ENTRIES</v>
      </c>
      <c r="X83" s="17">
        <v>0</v>
      </c>
      <c r="Y83" s="17">
        <v>0</v>
      </c>
      <c r="Z83" s="15">
        <f t="shared" si="26"/>
        <v>0</v>
      </c>
      <c r="AA83" s="17">
        <v>0</v>
      </c>
      <c r="AB83" s="17">
        <v>0</v>
      </c>
      <c r="AC83" s="15">
        <f t="shared" si="27"/>
        <v>0</v>
      </c>
      <c r="AD83" s="17">
        <v>0</v>
      </c>
      <c r="AE83" s="17">
        <v>0</v>
      </c>
      <c r="AF83" s="15">
        <f t="shared" si="28"/>
        <v>0</v>
      </c>
      <c r="AG83" s="17">
        <v>0</v>
      </c>
      <c r="AH83" s="17">
        <v>0</v>
      </c>
      <c r="AI83" s="15">
        <f t="shared" si="29"/>
        <v>0</v>
      </c>
      <c r="AJ83" s="17"/>
    </row>
    <row r="84" spans="1:36" x14ac:dyDescent="0.3">
      <c r="A84" s="15" t="s">
        <v>134</v>
      </c>
      <c r="B84" s="15">
        <v>100</v>
      </c>
      <c r="C84" s="15" t="s">
        <v>54</v>
      </c>
      <c r="D84" s="15" t="s">
        <v>57</v>
      </c>
      <c r="E84" s="15">
        <f>'10-JULY2026'!T84</f>
        <v>3</v>
      </c>
      <c r="F84" s="15">
        <f>'10-JULY2026'!U84</f>
        <v>0</v>
      </c>
      <c r="G84" s="15">
        <f>'10-JULY2026'!V84</f>
        <v>0</v>
      </c>
      <c r="H84" s="15">
        <f t="shared" si="20"/>
        <v>3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5">
        <f t="shared" si="21"/>
        <v>3</v>
      </c>
      <c r="T84" s="15">
        <f t="shared" si="22"/>
        <v>3</v>
      </c>
      <c r="U84" s="15">
        <f t="shared" si="23"/>
        <v>0</v>
      </c>
      <c r="V84" s="15">
        <f t="shared" si="24"/>
        <v>0</v>
      </c>
      <c r="W84" s="18" t="str">
        <f t="shared" si="25"/>
        <v/>
      </c>
      <c r="X84" s="17">
        <v>0</v>
      </c>
      <c r="Y84" s="17">
        <v>0</v>
      </c>
      <c r="Z84" s="15">
        <f t="shared" si="26"/>
        <v>0</v>
      </c>
      <c r="AA84" s="17">
        <v>0</v>
      </c>
      <c r="AB84" s="17">
        <v>0</v>
      </c>
      <c r="AC84" s="15">
        <f t="shared" si="27"/>
        <v>0</v>
      </c>
      <c r="AD84" s="17">
        <v>0</v>
      </c>
      <c r="AE84" s="17">
        <v>0</v>
      </c>
      <c r="AF84" s="15">
        <f t="shared" si="28"/>
        <v>0</v>
      </c>
      <c r="AG84" s="17">
        <v>0</v>
      </c>
      <c r="AH84" s="17">
        <v>0</v>
      </c>
      <c r="AI84" s="15">
        <f t="shared" si="29"/>
        <v>0</v>
      </c>
      <c r="AJ84" s="17"/>
    </row>
    <row r="85" spans="1:36" x14ac:dyDescent="0.3">
      <c r="A85" s="15" t="s">
        <v>135</v>
      </c>
      <c r="B85" s="15">
        <v>100</v>
      </c>
      <c r="C85" s="15" t="s">
        <v>54</v>
      </c>
      <c r="D85" s="15" t="s">
        <v>57</v>
      </c>
      <c r="E85" s="15">
        <f>'10-JULY2026'!T85</f>
        <v>4</v>
      </c>
      <c r="F85" s="15">
        <f>'10-JULY2026'!U85</f>
        <v>0</v>
      </c>
      <c r="G85" s="15">
        <f>'10-JULY2026'!V85</f>
        <v>0</v>
      </c>
      <c r="H85" s="15">
        <f t="shared" si="20"/>
        <v>4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5">
        <f t="shared" si="21"/>
        <v>4</v>
      </c>
      <c r="T85" s="15">
        <f t="shared" si="22"/>
        <v>4</v>
      </c>
      <c r="U85" s="15">
        <f t="shared" si="23"/>
        <v>0</v>
      </c>
      <c r="V85" s="15">
        <f t="shared" si="24"/>
        <v>0</v>
      </c>
      <c r="W85" s="18" t="str">
        <f t="shared" si="25"/>
        <v/>
      </c>
      <c r="X85" s="17">
        <v>0</v>
      </c>
      <c r="Y85" s="17">
        <v>0</v>
      </c>
      <c r="Z85" s="15">
        <f t="shared" si="26"/>
        <v>0</v>
      </c>
      <c r="AA85" s="17">
        <v>0</v>
      </c>
      <c r="AB85" s="17">
        <v>0</v>
      </c>
      <c r="AC85" s="15">
        <f t="shared" si="27"/>
        <v>0</v>
      </c>
      <c r="AD85" s="17">
        <v>0</v>
      </c>
      <c r="AE85" s="17">
        <v>0</v>
      </c>
      <c r="AF85" s="15">
        <f t="shared" si="28"/>
        <v>0</v>
      </c>
      <c r="AG85" s="17">
        <v>0</v>
      </c>
      <c r="AH85" s="17">
        <v>0</v>
      </c>
      <c r="AI85" s="15">
        <f t="shared" si="29"/>
        <v>0</v>
      </c>
      <c r="AJ85" s="17"/>
    </row>
    <row r="86" spans="1:36" x14ac:dyDescent="0.3">
      <c r="A86" s="15" t="s">
        <v>135</v>
      </c>
      <c r="B86" s="15">
        <v>1000</v>
      </c>
      <c r="C86" s="15" t="s">
        <v>54</v>
      </c>
      <c r="D86" s="15" t="s">
        <v>57</v>
      </c>
      <c r="E86" s="15">
        <f>'10-JULY2026'!T86</f>
        <v>1</v>
      </c>
      <c r="F86" s="15">
        <f>'10-JULY2026'!U86</f>
        <v>0</v>
      </c>
      <c r="G86" s="15">
        <f>'10-JULY2026'!V86</f>
        <v>0</v>
      </c>
      <c r="H86" s="15">
        <f t="shared" si="20"/>
        <v>1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5">
        <f t="shared" si="21"/>
        <v>1</v>
      </c>
      <c r="T86" s="15">
        <f t="shared" si="22"/>
        <v>1</v>
      </c>
      <c r="U86" s="15">
        <f t="shared" si="23"/>
        <v>0</v>
      </c>
      <c r="V86" s="15">
        <f t="shared" si="24"/>
        <v>0</v>
      </c>
      <c r="W86" s="18" t="str">
        <f t="shared" si="25"/>
        <v/>
      </c>
      <c r="X86" s="17">
        <v>0</v>
      </c>
      <c r="Y86" s="17">
        <v>0</v>
      </c>
      <c r="Z86" s="15">
        <f t="shared" si="26"/>
        <v>0</v>
      </c>
      <c r="AA86" s="17">
        <v>0</v>
      </c>
      <c r="AB86" s="17">
        <v>0</v>
      </c>
      <c r="AC86" s="15">
        <f t="shared" si="27"/>
        <v>0</v>
      </c>
      <c r="AD86" s="17">
        <v>0</v>
      </c>
      <c r="AE86" s="17">
        <v>0</v>
      </c>
      <c r="AF86" s="15">
        <f t="shared" si="28"/>
        <v>0</v>
      </c>
      <c r="AG86" s="17">
        <v>0</v>
      </c>
      <c r="AH86" s="17">
        <v>0</v>
      </c>
      <c r="AI86" s="15">
        <f t="shared" si="29"/>
        <v>0</v>
      </c>
      <c r="AJ86" s="17"/>
    </row>
    <row r="87" spans="1:36" x14ac:dyDescent="0.3">
      <c r="A87" s="15" t="s">
        <v>136</v>
      </c>
      <c r="B87" s="15">
        <v>100000</v>
      </c>
      <c r="C87" s="15" t="s">
        <v>54</v>
      </c>
      <c r="D87" s="15" t="s">
        <v>68</v>
      </c>
      <c r="E87" s="15">
        <f>'10-JULY2026'!T87</f>
        <v>1</v>
      </c>
      <c r="F87" s="15">
        <f>'10-JULY2026'!U87</f>
        <v>0</v>
      </c>
      <c r="G87" s="15">
        <f>'10-JULY2026'!V87</f>
        <v>0</v>
      </c>
      <c r="H87" s="15">
        <f t="shared" si="20"/>
        <v>1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5">
        <f t="shared" si="21"/>
        <v>1</v>
      </c>
      <c r="T87" s="15">
        <f t="shared" si="22"/>
        <v>1</v>
      </c>
      <c r="U87" s="15">
        <f t="shared" si="23"/>
        <v>0</v>
      </c>
      <c r="V87" s="15">
        <f t="shared" si="24"/>
        <v>0</v>
      </c>
      <c r="W87" s="18" t="str">
        <f t="shared" si="25"/>
        <v/>
      </c>
      <c r="X87" s="17">
        <v>0</v>
      </c>
      <c r="Y87" s="17">
        <v>0</v>
      </c>
      <c r="Z87" s="15">
        <f t="shared" si="26"/>
        <v>0</v>
      </c>
      <c r="AA87" s="17">
        <v>0</v>
      </c>
      <c r="AB87" s="17">
        <v>0</v>
      </c>
      <c r="AC87" s="15">
        <f t="shared" si="27"/>
        <v>0</v>
      </c>
      <c r="AD87" s="17">
        <v>0</v>
      </c>
      <c r="AE87" s="17">
        <v>0</v>
      </c>
      <c r="AF87" s="15">
        <f t="shared" si="28"/>
        <v>0</v>
      </c>
      <c r="AG87" s="17">
        <v>0</v>
      </c>
      <c r="AH87" s="17">
        <v>0</v>
      </c>
      <c r="AI87" s="15">
        <f t="shared" si="29"/>
        <v>0</v>
      </c>
      <c r="AJ87" s="17"/>
    </row>
    <row r="88" spans="1:36" x14ac:dyDescent="0.3">
      <c r="A88" s="15" t="s">
        <v>137</v>
      </c>
      <c r="B88" s="15">
        <v>1000</v>
      </c>
      <c r="C88" s="15" t="s">
        <v>54</v>
      </c>
      <c r="D88" s="15" t="s">
        <v>68</v>
      </c>
      <c r="E88" s="15">
        <f>'10-JULY2026'!T88</f>
        <v>5</v>
      </c>
      <c r="F88" s="15">
        <f>'10-JULY2026'!U88</f>
        <v>0</v>
      </c>
      <c r="G88" s="15">
        <f>'10-JULY2026'!V88</f>
        <v>0</v>
      </c>
      <c r="H88" s="15">
        <f t="shared" si="20"/>
        <v>5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5">
        <f t="shared" si="21"/>
        <v>5</v>
      </c>
      <c r="T88" s="15">
        <f t="shared" si="22"/>
        <v>5</v>
      </c>
      <c r="U88" s="15">
        <f t="shared" si="23"/>
        <v>0</v>
      </c>
      <c r="V88" s="15">
        <f t="shared" si="24"/>
        <v>0</v>
      </c>
      <c r="W88" s="18" t="str">
        <f t="shared" si="25"/>
        <v/>
      </c>
      <c r="X88" s="17">
        <v>0</v>
      </c>
      <c r="Y88" s="17">
        <v>0</v>
      </c>
      <c r="Z88" s="15">
        <f t="shared" si="26"/>
        <v>0</v>
      </c>
      <c r="AA88" s="17">
        <v>0</v>
      </c>
      <c r="AB88" s="17">
        <v>0</v>
      </c>
      <c r="AC88" s="15">
        <f t="shared" si="27"/>
        <v>0</v>
      </c>
      <c r="AD88" s="17">
        <v>0</v>
      </c>
      <c r="AE88" s="17">
        <v>0</v>
      </c>
      <c r="AF88" s="15">
        <f t="shared" si="28"/>
        <v>0</v>
      </c>
      <c r="AG88" s="17">
        <v>0</v>
      </c>
      <c r="AH88" s="17">
        <v>0</v>
      </c>
      <c r="AI88" s="15">
        <f t="shared" si="29"/>
        <v>0</v>
      </c>
      <c r="AJ88" s="17"/>
    </row>
    <row r="89" spans="1:36" x14ac:dyDescent="0.3">
      <c r="A89" s="15" t="s">
        <v>138</v>
      </c>
      <c r="B89" s="15">
        <v>100</v>
      </c>
      <c r="C89" s="15" t="s">
        <v>54</v>
      </c>
      <c r="D89" s="15" t="s">
        <v>57</v>
      </c>
      <c r="E89" s="15">
        <f>'10-JULY2026'!T89</f>
        <v>4</v>
      </c>
      <c r="F89" s="15">
        <f>'10-JULY2026'!U89</f>
        <v>0</v>
      </c>
      <c r="G89" s="15">
        <f>'10-JULY2026'!V89</f>
        <v>0</v>
      </c>
      <c r="H89" s="15">
        <f t="shared" si="20"/>
        <v>4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5">
        <f t="shared" si="21"/>
        <v>4</v>
      </c>
      <c r="T89" s="15">
        <f t="shared" si="22"/>
        <v>4</v>
      </c>
      <c r="U89" s="15">
        <f t="shared" si="23"/>
        <v>0</v>
      </c>
      <c r="V89" s="15">
        <f t="shared" si="24"/>
        <v>0</v>
      </c>
      <c r="W89" s="18" t="str">
        <f t="shared" si="25"/>
        <v/>
      </c>
      <c r="X89" s="17">
        <v>0</v>
      </c>
      <c r="Y89" s="17">
        <v>0</v>
      </c>
      <c r="Z89" s="15">
        <f t="shared" si="26"/>
        <v>0</v>
      </c>
      <c r="AA89" s="17">
        <v>0</v>
      </c>
      <c r="AB89" s="17">
        <v>0</v>
      </c>
      <c r="AC89" s="15">
        <f t="shared" si="27"/>
        <v>0</v>
      </c>
      <c r="AD89" s="17">
        <v>0</v>
      </c>
      <c r="AE89" s="17">
        <v>0</v>
      </c>
      <c r="AF89" s="15">
        <f t="shared" si="28"/>
        <v>0</v>
      </c>
      <c r="AG89" s="17">
        <v>0</v>
      </c>
      <c r="AH89" s="17">
        <v>0</v>
      </c>
      <c r="AI89" s="15">
        <f t="shared" si="29"/>
        <v>0</v>
      </c>
      <c r="AJ89" s="17"/>
    </row>
    <row r="90" spans="1:36" x14ac:dyDescent="0.3">
      <c r="A90" s="15" t="s">
        <v>139</v>
      </c>
      <c r="B90" s="15">
        <v>100</v>
      </c>
      <c r="C90" s="15" t="s">
        <v>54</v>
      </c>
      <c r="D90" s="15" t="s">
        <v>68</v>
      </c>
      <c r="E90" s="15">
        <f>'10-JULY2026'!T90</f>
        <v>8</v>
      </c>
      <c r="F90" s="15">
        <f>'10-JULY2026'!U90</f>
        <v>0</v>
      </c>
      <c r="G90" s="15">
        <f>'10-JULY2026'!V90</f>
        <v>0</v>
      </c>
      <c r="H90" s="15">
        <f t="shared" si="20"/>
        <v>8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5">
        <f t="shared" si="21"/>
        <v>8</v>
      </c>
      <c r="T90" s="15">
        <f t="shared" si="22"/>
        <v>8</v>
      </c>
      <c r="U90" s="15">
        <f t="shared" si="23"/>
        <v>0</v>
      </c>
      <c r="V90" s="15">
        <f t="shared" si="24"/>
        <v>0</v>
      </c>
      <c r="W90" s="18" t="str">
        <f t="shared" si="25"/>
        <v/>
      </c>
      <c r="X90" s="17">
        <v>0</v>
      </c>
      <c r="Y90" s="17">
        <v>0</v>
      </c>
      <c r="Z90" s="15">
        <f t="shared" si="26"/>
        <v>0</v>
      </c>
      <c r="AA90" s="17">
        <v>0</v>
      </c>
      <c r="AB90" s="17">
        <v>0</v>
      </c>
      <c r="AC90" s="15">
        <f t="shared" si="27"/>
        <v>0</v>
      </c>
      <c r="AD90" s="17">
        <v>0</v>
      </c>
      <c r="AE90" s="17">
        <v>0</v>
      </c>
      <c r="AF90" s="15">
        <f t="shared" si="28"/>
        <v>0</v>
      </c>
      <c r="AG90" s="17">
        <v>0</v>
      </c>
      <c r="AH90" s="17">
        <v>0</v>
      </c>
      <c r="AI90" s="15">
        <f t="shared" si="29"/>
        <v>0</v>
      </c>
      <c r="AJ90" s="17"/>
    </row>
    <row r="91" spans="1:36" x14ac:dyDescent="0.3">
      <c r="A91" s="15" t="s">
        <v>140</v>
      </c>
      <c r="B91" s="15">
        <v>1000</v>
      </c>
      <c r="C91" s="15" t="s">
        <v>54</v>
      </c>
      <c r="D91" s="15" t="s">
        <v>68</v>
      </c>
      <c r="E91" s="15">
        <f>'10-JULY2026'!T91</f>
        <v>7</v>
      </c>
      <c r="F91" s="15">
        <f>'10-JULY2026'!U91</f>
        <v>0</v>
      </c>
      <c r="G91" s="15">
        <f>'10-JULY2026'!V91</f>
        <v>0</v>
      </c>
      <c r="H91" s="15">
        <f t="shared" si="20"/>
        <v>7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5">
        <f t="shared" si="21"/>
        <v>7</v>
      </c>
      <c r="T91" s="15">
        <f t="shared" si="22"/>
        <v>7</v>
      </c>
      <c r="U91" s="15">
        <f t="shared" si="23"/>
        <v>0</v>
      </c>
      <c r="V91" s="15">
        <f t="shared" si="24"/>
        <v>0</v>
      </c>
      <c r="W91" s="18" t="str">
        <f t="shared" si="25"/>
        <v/>
      </c>
      <c r="X91" s="17">
        <v>0</v>
      </c>
      <c r="Y91" s="17">
        <v>0</v>
      </c>
      <c r="Z91" s="15">
        <f t="shared" si="26"/>
        <v>0</v>
      </c>
      <c r="AA91" s="17">
        <v>0</v>
      </c>
      <c r="AB91" s="17">
        <v>0</v>
      </c>
      <c r="AC91" s="15">
        <f t="shared" si="27"/>
        <v>0</v>
      </c>
      <c r="AD91" s="17">
        <v>0</v>
      </c>
      <c r="AE91" s="17">
        <v>0</v>
      </c>
      <c r="AF91" s="15">
        <f t="shared" si="28"/>
        <v>0</v>
      </c>
      <c r="AG91" s="17">
        <v>0</v>
      </c>
      <c r="AH91" s="17">
        <v>0</v>
      </c>
      <c r="AI91" s="15">
        <f t="shared" si="29"/>
        <v>0</v>
      </c>
      <c r="AJ91" s="17"/>
    </row>
    <row r="92" spans="1:36" hidden="1" x14ac:dyDescent="0.3">
      <c r="A92" s="15" t="s">
        <v>141</v>
      </c>
      <c r="B92" s="15">
        <v>1000</v>
      </c>
      <c r="C92" s="15" t="s">
        <v>54</v>
      </c>
      <c r="D92" s="15" t="s">
        <v>55</v>
      </c>
      <c r="E92" s="15">
        <f>'10-JULY2026'!T92</f>
        <v>4</v>
      </c>
      <c r="F92" s="15">
        <f>'10-JULY2026'!U92</f>
        <v>0</v>
      </c>
      <c r="G92" s="15">
        <f>'10-JULY2026'!V92</f>
        <v>0</v>
      </c>
      <c r="H92" s="15">
        <f t="shared" si="20"/>
        <v>4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5">
        <f t="shared" si="21"/>
        <v>4</v>
      </c>
      <c r="T92" s="15">
        <f t="shared" si="22"/>
        <v>4</v>
      </c>
      <c r="U92" s="15">
        <f t="shared" si="23"/>
        <v>0</v>
      </c>
      <c r="V92" s="15">
        <f t="shared" si="24"/>
        <v>0</v>
      </c>
      <c r="W92" s="18" t="str">
        <f t="shared" si="25"/>
        <v/>
      </c>
      <c r="X92" s="17">
        <v>0</v>
      </c>
      <c r="Y92" s="17">
        <v>0</v>
      </c>
      <c r="Z92" s="15">
        <f t="shared" si="26"/>
        <v>0</v>
      </c>
      <c r="AA92" s="17">
        <v>0</v>
      </c>
      <c r="AB92" s="17">
        <v>0</v>
      </c>
      <c r="AC92" s="15">
        <f t="shared" si="27"/>
        <v>0</v>
      </c>
      <c r="AD92" s="17">
        <v>0</v>
      </c>
      <c r="AE92" s="17">
        <v>0</v>
      </c>
      <c r="AF92" s="15">
        <f t="shared" si="28"/>
        <v>0</v>
      </c>
      <c r="AG92" s="17">
        <v>0</v>
      </c>
      <c r="AH92" s="17">
        <v>0</v>
      </c>
      <c r="AI92" s="15">
        <f t="shared" si="29"/>
        <v>0</v>
      </c>
      <c r="AJ92" s="17"/>
    </row>
    <row r="93" spans="1:36" hidden="1" x14ac:dyDescent="0.3">
      <c r="A93" s="15" t="s">
        <v>142</v>
      </c>
      <c r="B93" s="15">
        <v>100</v>
      </c>
      <c r="C93" s="15" t="s">
        <v>54</v>
      </c>
      <c r="D93" s="15" t="s">
        <v>55</v>
      </c>
      <c r="E93" s="15">
        <f>'10-JULY2026'!T93</f>
        <v>1</v>
      </c>
      <c r="F93" s="15">
        <f>'10-JULY2026'!U93</f>
        <v>0</v>
      </c>
      <c r="G93" s="15">
        <f>'10-JULY2026'!V93</f>
        <v>0</v>
      </c>
      <c r="H93" s="15">
        <f t="shared" si="20"/>
        <v>1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5">
        <f t="shared" si="21"/>
        <v>1</v>
      </c>
      <c r="T93" s="15">
        <f t="shared" si="22"/>
        <v>1</v>
      </c>
      <c r="U93" s="15">
        <f t="shared" si="23"/>
        <v>0</v>
      </c>
      <c r="V93" s="15">
        <f t="shared" si="24"/>
        <v>0</v>
      </c>
      <c r="W93" s="18" t="str">
        <f t="shared" si="25"/>
        <v/>
      </c>
      <c r="X93" s="17">
        <v>0</v>
      </c>
      <c r="Y93" s="17">
        <v>0</v>
      </c>
      <c r="Z93" s="15">
        <f t="shared" si="26"/>
        <v>0</v>
      </c>
      <c r="AA93" s="17">
        <v>0</v>
      </c>
      <c r="AB93" s="17">
        <v>0</v>
      </c>
      <c r="AC93" s="15">
        <f t="shared" si="27"/>
        <v>0</v>
      </c>
      <c r="AD93" s="17">
        <v>0</v>
      </c>
      <c r="AE93" s="17">
        <v>0</v>
      </c>
      <c r="AF93" s="15">
        <f t="shared" si="28"/>
        <v>0</v>
      </c>
      <c r="AG93" s="17">
        <v>0</v>
      </c>
      <c r="AH93" s="17">
        <v>0</v>
      </c>
      <c r="AI93" s="15">
        <f t="shared" si="29"/>
        <v>0</v>
      </c>
      <c r="AJ93" s="17"/>
    </row>
    <row r="94" spans="1:36" x14ac:dyDescent="0.3">
      <c r="A94" s="15" t="s">
        <v>143</v>
      </c>
      <c r="B94" s="15">
        <v>1000</v>
      </c>
      <c r="C94" s="15" t="s">
        <v>54</v>
      </c>
      <c r="D94" s="15" t="s">
        <v>57</v>
      </c>
      <c r="E94" s="15">
        <f>'10-JULY2026'!T94</f>
        <v>1</v>
      </c>
      <c r="F94" s="15">
        <f>'10-JULY2026'!U94</f>
        <v>0</v>
      </c>
      <c r="G94" s="15">
        <f>'10-JULY2026'!V94</f>
        <v>0</v>
      </c>
      <c r="H94" s="15">
        <f t="shared" si="20"/>
        <v>1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5">
        <f t="shared" si="21"/>
        <v>1</v>
      </c>
      <c r="T94" s="15">
        <f t="shared" si="22"/>
        <v>1</v>
      </c>
      <c r="U94" s="15">
        <f t="shared" si="23"/>
        <v>0</v>
      </c>
      <c r="V94" s="15">
        <f t="shared" si="24"/>
        <v>0</v>
      </c>
      <c r="W94" s="18" t="str">
        <f t="shared" si="25"/>
        <v/>
      </c>
      <c r="X94" s="17">
        <v>0</v>
      </c>
      <c r="Y94" s="17">
        <v>0</v>
      </c>
      <c r="Z94" s="15">
        <f t="shared" si="26"/>
        <v>0</v>
      </c>
      <c r="AA94" s="17">
        <v>0</v>
      </c>
      <c r="AB94" s="17">
        <v>0</v>
      </c>
      <c r="AC94" s="15">
        <f t="shared" si="27"/>
        <v>0</v>
      </c>
      <c r="AD94" s="17">
        <v>0</v>
      </c>
      <c r="AE94" s="17">
        <v>0</v>
      </c>
      <c r="AF94" s="15">
        <f t="shared" si="28"/>
        <v>0</v>
      </c>
      <c r="AG94" s="17">
        <v>0</v>
      </c>
      <c r="AH94" s="17">
        <v>0</v>
      </c>
      <c r="AI94" s="15">
        <f t="shared" si="29"/>
        <v>0</v>
      </c>
      <c r="AJ94" s="17"/>
    </row>
    <row r="95" spans="1:36" x14ac:dyDescent="0.3">
      <c r="A95" s="15" t="s">
        <v>144</v>
      </c>
      <c r="B95" s="15">
        <v>1000</v>
      </c>
      <c r="C95" s="15" t="s">
        <v>54</v>
      </c>
      <c r="D95" s="15" t="s">
        <v>68</v>
      </c>
      <c r="E95" s="15">
        <f>'10-JULY2026'!T95</f>
        <v>1</v>
      </c>
      <c r="F95" s="15">
        <f>'10-JULY2026'!U95</f>
        <v>0</v>
      </c>
      <c r="G95" s="15">
        <f>'10-JULY2026'!V95</f>
        <v>0</v>
      </c>
      <c r="H95" s="15">
        <f t="shared" si="20"/>
        <v>1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5">
        <f t="shared" si="21"/>
        <v>1</v>
      </c>
      <c r="T95" s="15">
        <f t="shared" si="22"/>
        <v>1</v>
      </c>
      <c r="U95" s="15">
        <f t="shared" si="23"/>
        <v>0</v>
      </c>
      <c r="V95" s="15">
        <f t="shared" si="24"/>
        <v>0</v>
      </c>
      <c r="W95" s="18" t="str">
        <f t="shared" si="25"/>
        <v/>
      </c>
      <c r="X95" s="17">
        <v>0</v>
      </c>
      <c r="Y95" s="17">
        <v>0</v>
      </c>
      <c r="Z95" s="15">
        <f t="shared" si="26"/>
        <v>0</v>
      </c>
      <c r="AA95" s="17">
        <v>0</v>
      </c>
      <c r="AB95" s="17">
        <v>0</v>
      </c>
      <c r="AC95" s="15">
        <f t="shared" si="27"/>
        <v>0</v>
      </c>
      <c r="AD95" s="17">
        <v>0</v>
      </c>
      <c r="AE95" s="17">
        <v>0</v>
      </c>
      <c r="AF95" s="15">
        <f t="shared" si="28"/>
        <v>0</v>
      </c>
      <c r="AG95" s="17">
        <v>0</v>
      </c>
      <c r="AH95" s="17">
        <v>0</v>
      </c>
      <c r="AI95" s="15">
        <f t="shared" si="29"/>
        <v>0</v>
      </c>
      <c r="AJ95" s="17"/>
    </row>
    <row r="96" spans="1:36" x14ac:dyDescent="0.3">
      <c r="A96" s="15" t="s">
        <v>145</v>
      </c>
      <c r="B96" s="15">
        <v>1000</v>
      </c>
      <c r="C96" s="15" t="s">
        <v>54</v>
      </c>
      <c r="D96" s="15" t="s">
        <v>68</v>
      </c>
      <c r="E96" s="15">
        <f>'10-JULY2026'!T96</f>
        <v>5</v>
      </c>
      <c r="F96" s="15">
        <f>'10-JULY2026'!U96</f>
        <v>0</v>
      </c>
      <c r="G96" s="15">
        <f>'10-JULY2026'!V96</f>
        <v>0</v>
      </c>
      <c r="H96" s="15">
        <f t="shared" si="20"/>
        <v>5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5">
        <f t="shared" si="21"/>
        <v>5</v>
      </c>
      <c r="T96" s="15">
        <f t="shared" si="22"/>
        <v>5</v>
      </c>
      <c r="U96" s="15">
        <f t="shared" si="23"/>
        <v>0</v>
      </c>
      <c r="V96" s="15">
        <f t="shared" si="24"/>
        <v>0</v>
      </c>
      <c r="W96" s="18" t="str">
        <f t="shared" si="25"/>
        <v/>
      </c>
      <c r="X96" s="17">
        <v>0</v>
      </c>
      <c r="Y96" s="17">
        <v>0</v>
      </c>
      <c r="Z96" s="15">
        <f t="shared" si="26"/>
        <v>0</v>
      </c>
      <c r="AA96" s="17">
        <v>0</v>
      </c>
      <c r="AB96" s="17">
        <v>0</v>
      </c>
      <c r="AC96" s="15">
        <f t="shared" si="27"/>
        <v>0</v>
      </c>
      <c r="AD96" s="17">
        <v>0</v>
      </c>
      <c r="AE96" s="17">
        <v>0</v>
      </c>
      <c r="AF96" s="15">
        <f t="shared" si="28"/>
        <v>0</v>
      </c>
      <c r="AG96" s="17">
        <v>0</v>
      </c>
      <c r="AH96" s="17">
        <v>0</v>
      </c>
      <c r="AI96" s="15">
        <f t="shared" si="29"/>
        <v>0</v>
      </c>
      <c r="AJ96" s="17"/>
    </row>
    <row r="97" spans="1:36" x14ac:dyDescent="0.3">
      <c r="A97" s="15" t="s">
        <v>146</v>
      </c>
      <c r="B97" s="15">
        <v>1000</v>
      </c>
      <c r="C97" s="15" t="s">
        <v>54</v>
      </c>
      <c r="D97" s="15" t="s">
        <v>68</v>
      </c>
      <c r="E97" s="15">
        <f>'10-JULY2026'!T97</f>
        <v>4</v>
      </c>
      <c r="F97" s="15">
        <f>'10-JULY2026'!U97</f>
        <v>0</v>
      </c>
      <c r="G97" s="15">
        <f>'10-JULY2026'!V97</f>
        <v>0</v>
      </c>
      <c r="H97" s="15">
        <f t="shared" si="20"/>
        <v>4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5">
        <f t="shared" si="21"/>
        <v>4</v>
      </c>
      <c r="T97" s="15">
        <f t="shared" si="22"/>
        <v>4</v>
      </c>
      <c r="U97" s="15">
        <f t="shared" si="23"/>
        <v>0</v>
      </c>
      <c r="V97" s="15">
        <f t="shared" si="24"/>
        <v>0</v>
      </c>
      <c r="W97" s="18" t="str">
        <f t="shared" si="25"/>
        <v/>
      </c>
      <c r="X97" s="17">
        <v>0</v>
      </c>
      <c r="Y97" s="17">
        <v>0</v>
      </c>
      <c r="Z97" s="15">
        <f t="shared" si="26"/>
        <v>0</v>
      </c>
      <c r="AA97" s="17">
        <v>0</v>
      </c>
      <c r="AB97" s="17">
        <v>0</v>
      </c>
      <c r="AC97" s="15">
        <f t="shared" si="27"/>
        <v>0</v>
      </c>
      <c r="AD97" s="17">
        <v>0</v>
      </c>
      <c r="AE97" s="17">
        <v>0</v>
      </c>
      <c r="AF97" s="15">
        <f t="shared" si="28"/>
        <v>0</v>
      </c>
      <c r="AG97" s="17">
        <v>0</v>
      </c>
      <c r="AH97" s="17">
        <v>0</v>
      </c>
      <c r="AI97" s="15">
        <f t="shared" si="29"/>
        <v>0</v>
      </c>
      <c r="AJ97" s="17"/>
    </row>
    <row r="98" spans="1:36" hidden="1" x14ac:dyDescent="0.3">
      <c r="A98" s="15" t="s">
        <v>147</v>
      </c>
      <c r="B98" s="15">
        <v>1000</v>
      </c>
      <c r="C98" s="15" t="s">
        <v>54</v>
      </c>
      <c r="D98" s="15" t="s">
        <v>55</v>
      </c>
      <c r="E98" s="15">
        <f>'10-JULY2026'!T98</f>
        <v>0</v>
      </c>
      <c r="F98" s="15">
        <f>'10-JULY2026'!U98</f>
        <v>1</v>
      </c>
      <c r="G98" s="15">
        <f>'10-JULY2026'!V98</f>
        <v>39</v>
      </c>
      <c r="H98" s="15">
        <f t="shared" si="20"/>
        <v>40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5">
        <f t="shared" si="21"/>
        <v>40</v>
      </c>
      <c r="T98" s="15">
        <f t="shared" si="22"/>
        <v>0</v>
      </c>
      <c r="U98" s="15">
        <f t="shared" si="23"/>
        <v>1</v>
      </c>
      <c r="V98" s="15">
        <f t="shared" si="24"/>
        <v>39</v>
      </c>
      <c r="W98" s="18" t="str">
        <f t="shared" si="25"/>
        <v/>
      </c>
      <c r="X98" s="17">
        <v>0</v>
      </c>
      <c r="Y98" s="17">
        <v>0</v>
      </c>
      <c r="Z98" s="15">
        <f t="shared" si="26"/>
        <v>0</v>
      </c>
      <c r="AA98" s="17">
        <v>0</v>
      </c>
      <c r="AB98" s="17">
        <v>0</v>
      </c>
      <c r="AC98" s="15">
        <f t="shared" si="27"/>
        <v>0</v>
      </c>
      <c r="AD98" s="17">
        <v>0</v>
      </c>
      <c r="AE98" s="17">
        <v>0</v>
      </c>
      <c r="AF98" s="15">
        <f t="shared" si="28"/>
        <v>0</v>
      </c>
      <c r="AG98" s="17">
        <v>0</v>
      </c>
      <c r="AH98" s="17">
        <v>0</v>
      </c>
      <c r="AI98" s="15">
        <f t="shared" si="29"/>
        <v>0</v>
      </c>
      <c r="AJ98" s="17"/>
    </row>
    <row r="99" spans="1:36" x14ac:dyDescent="0.3">
      <c r="A99" s="15" t="s">
        <v>148</v>
      </c>
      <c r="B99" s="15">
        <v>100</v>
      </c>
      <c r="C99" s="15" t="s">
        <v>54</v>
      </c>
      <c r="D99" s="15" t="s">
        <v>57</v>
      </c>
      <c r="E99" s="15">
        <f>'10-JULY2026'!T99</f>
        <v>2</v>
      </c>
      <c r="F99" s="15">
        <f>'10-JULY2026'!U99</f>
        <v>0</v>
      </c>
      <c r="G99" s="15">
        <f>'10-JULY2026'!V99</f>
        <v>0</v>
      </c>
      <c r="H99" s="15">
        <f t="shared" ref="H99:H130" si="30">E99+F99+G99</f>
        <v>2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5">
        <f t="shared" ref="S99:S130" si="31">H99+O99+P99+Q99+R99-(I99+J99+K99+L99+M99+N99)</f>
        <v>2</v>
      </c>
      <c r="T99" s="15">
        <f t="shared" ref="T99:T130" si="32">E99+O99-I99-L99</f>
        <v>2</v>
      </c>
      <c r="U99" s="15">
        <f t="shared" ref="U99:U130" si="33">F99+P99-J99-M99</f>
        <v>0</v>
      </c>
      <c r="V99" s="15">
        <f t="shared" ref="V99:V130" si="34">G99+Q99-K99-N99</f>
        <v>0</v>
      </c>
      <c r="W99" s="18" t="str">
        <f t="shared" ref="W99:W130" si="35">IF(MIN(T99,U99,V99)&lt;0,"NEGATIVE STOCK - CHECK ENTRIES","")</f>
        <v/>
      </c>
      <c r="X99" s="17">
        <v>0</v>
      </c>
      <c r="Y99" s="17">
        <v>0</v>
      </c>
      <c r="Z99" s="15">
        <f t="shared" ref="Z99:Z130" si="36">X99-Y99</f>
        <v>0</v>
      </c>
      <c r="AA99" s="17">
        <v>0</v>
      </c>
      <c r="AB99" s="17">
        <v>0</v>
      </c>
      <c r="AC99" s="15">
        <f t="shared" ref="AC99:AC130" si="37">AA99-AB99</f>
        <v>0</v>
      </c>
      <c r="AD99" s="17">
        <v>0</v>
      </c>
      <c r="AE99" s="17">
        <v>0</v>
      </c>
      <c r="AF99" s="15">
        <f t="shared" ref="AF99:AF130" si="38">AD99-AE99</f>
        <v>0</v>
      </c>
      <c r="AG99" s="17">
        <v>0</v>
      </c>
      <c r="AH99" s="17">
        <v>0</v>
      </c>
      <c r="AI99" s="15">
        <f t="shared" ref="AI99:AI130" si="39">AG99-AH99</f>
        <v>0</v>
      </c>
      <c r="AJ99" s="17"/>
    </row>
    <row r="100" spans="1:36" hidden="1" x14ac:dyDescent="0.3">
      <c r="A100" s="15" t="s">
        <v>149</v>
      </c>
      <c r="B100" s="15">
        <v>250</v>
      </c>
      <c r="C100" s="15" t="s">
        <v>54</v>
      </c>
      <c r="D100" s="15" t="s">
        <v>55</v>
      </c>
      <c r="E100" s="15">
        <v>0</v>
      </c>
      <c r="F100" s="15">
        <v>0</v>
      </c>
      <c r="G100" s="15">
        <v>0</v>
      </c>
      <c r="H100" s="15">
        <f t="shared" si="30"/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5">
        <f t="shared" si="31"/>
        <v>0</v>
      </c>
      <c r="T100" s="15">
        <f t="shared" si="32"/>
        <v>0</v>
      </c>
      <c r="U100" s="15">
        <f t="shared" si="33"/>
        <v>0</v>
      </c>
      <c r="V100" s="15">
        <f t="shared" si="34"/>
        <v>0</v>
      </c>
      <c r="W100" s="18" t="str">
        <f t="shared" si="35"/>
        <v/>
      </c>
      <c r="X100" s="17">
        <v>0</v>
      </c>
      <c r="Y100" s="17">
        <v>0</v>
      </c>
      <c r="Z100" s="15">
        <f t="shared" si="36"/>
        <v>0</v>
      </c>
      <c r="AA100" s="17">
        <v>0</v>
      </c>
      <c r="AB100" s="17">
        <v>0</v>
      </c>
      <c r="AC100" s="15">
        <f t="shared" si="37"/>
        <v>0</v>
      </c>
      <c r="AD100" s="17">
        <v>0</v>
      </c>
      <c r="AE100" s="17">
        <v>0</v>
      </c>
      <c r="AF100" s="15">
        <f t="shared" si="38"/>
        <v>0</v>
      </c>
      <c r="AG100" s="17">
        <v>0</v>
      </c>
      <c r="AH100" s="17">
        <v>0</v>
      </c>
      <c r="AI100" s="15">
        <f t="shared" si="39"/>
        <v>0</v>
      </c>
      <c r="AJ100" s="17"/>
    </row>
    <row r="101" spans="1:36" x14ac:dyDescent="0.3">
      <c r="A101" s="15" t="s">
        <v>150</v>
      </c>
      <c r="B101" s="15">
        <v>10000</v>
      </c>
      <c r="C101" s="15" t="s">
        <v>54</v>
      </c>
      <c r="D101" s="15" t="s">
        <v>68</v>
      </c>
      <c r="E101" s="15">
        <f>'10-JULY2026'!T101</f>
        <v>1</v>
      </c>
      <c r="F101" s="15">
        <f>'10-JULY2026'!U101</f>
        <v>0</v>
      </c>
      <c r="G101" s="15">
        <f>'10-JULY2026'!V101</f>
        <v>0</v>
      </c>
      <c r="H101" s="15">
        <f t="shared" si="30"/>
        <v>1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5">
        <f t="shared" si="31"/>
        <v>1</v>
      </c>
      <c r="T101" s="15">
        <f t="shared" si="32"/>
        <v>1</v>
      </c>
      <c r="U101" s="15">
        <f t="shared" si="33"/>
        <v>0</v>
      </c>
      <c r="V101" s="15">
        <f t="shared" si="34"/>
        <v>0</v>
      </c>
      <c r="W101" s="18" t="str">
        <f t="shared" si="35"/>
        <v/>
      </c>
      <c r="X101" s="17">
        <v>0</v>
      </c>
      <c r="Y101" s="17">
        <v>0</v>
      </c>
      <c r="Z101" s="15">
        <f t="shared" si="36"/>
        <v>0</v>
      </c>
      <c r="AA101" s="17">
        <v>0</v>
      </c>
      <c r="AB101" s="17">
        <v>0</v>
      </c>
      <c r="AC101" s="15">
        <f t="shared" si="37"/>
        <v>0</v>
      </c>
      <c r="AD101" s="17">
        <v>0</v>
      </c>
      <c r="AE101" s="17">
        <v>0</v>
      </c>
      <c r="AF101" s="15">
        <f t="shared" si="38"/>
        <v>0</v>
      </c>
      <c r="AG101" s="17">
        <v>0</v>
      </c>
      <c r="AH101" s="17">
        <v>0</v>
      </c>
      <c r="AI101" s="15">
        <f t="shared" si="39"/>
        <v>0</v>
      </c>
      <c r="AJ101" s="17"/>
    </row>
    <row r="102" spans="1:36" x14ac:dyDescent="0.3">
      <c r="A102" s="15" t="s">
        <v>151</v>
      </c>
      <c r="B102" s="15">
        <v>100000</v>
      </c>
      <c r="C102" s="15" t="s">
        <v>54</v>
      </c>
      <c r="D102" s="15" t="s">
        <v>68</v>
      </c>
      <c r="E102" s="15">
        <f>'10-JULY2026'!T102</f>
        <v>2</v>
      </c>
      <c r="F102" s="15">
        <f>'10-JULY2026'!U102</f>
        <v>0</v>
      </c>
      <c r="G102" s="15">
        <f>'10-JULY2026'!V102</f>
        <v>0</v>
      </c>
      <c r="H102" s="15">
        <f t="shared" si="30"/>
        <v>2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5">
        <f t="shared" si="31"/>
        <v>2</v>
      </c>
      <c r="T102" s="15">
        <f t="shared" si="32"/>
        <v>2</v>
      </c>
      <c r="U102" s="15">
        <f t="shared" si="33"/>
        <v>0</v>
      </c>
      <c r="V102" s="15">
        <f t="shared" si="34"/>
        <v>0</v>
      </c>
      <c r="W102" s="18" t="str">
        <f t="shared" si="35"/>
        <v/>
      </c>
      <c r="X102" s="17">
        <v>0</v>
      </c>
      <c r="Y102" s="17">
        <v>0</v>
      </c>
      <c r="Z102" s="15">
        <f t="shared" si="36"/>
        <v>0</v>
      </c>
      <c r="AA102" s="17">
        <v>0</v>
      </c>
      <c r="AB102" s="17">
        <v>0</v>
      </c>
      <c r="AC102" s="15">
        <f t="shared" si="37"/>
        <v>0</v>
      </c>
      <c r="AD102" s="17">
        <v>0</v>
      </c>
      <c r="AE102" s="17">
        <v>0</v>
      </c>
      <c r="AF102" s="15">
        <f t="shared" si="38"/>
        <v>0</v>
      </c>
      <c r="AG102" s="17">
        <v>0</v>
      </c>
      <c r="AH102" s="17">
        <v>0</v>
      </c>
      <c r="AI102" s="15">
        <f t="shared" si="39"/>
        <v>0</v>
      </c>
      <c r="AJ102" s="17"/>
    </row>
    <row r="103" spans="1:36" x14ac:dyDescent="0.3">
      <c r="A103" s="15" t="s">
        <v>152</v>
      </c>
      <c r="B103" s="15">
        <v>500</v>
      </c>
      <c r="C103" s="15" t="s">
        <v>54</v>
      </c>
      <c r="D103" s="15" t="s">
        <v>57</v>
      </c>
      <c r="E103" s="15">
        <f>'10-JULY2026'!T103</f>
        <v>1</v>
      </c>
      <c r="F103" s="15">
        <f>'10-JULY2026'!U103</f>
        <v>0</v>
      </c>
      <c r="G103" s="15">
        <f>'10-JULY2026'!V103</f>
        <v>0</v>
      </c>
      <c r="H103" s="15">
        <f t="shared" si="30"/>
        <v>1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5">
        <f t="shared" si="31"/>
        <v>1</v>
      </c>
      <c r="T103" s="15">
        <f t="shared" si="32"/>
        <v>1</v>
      </c>
      <c r="U103" s="15">
        <f t="shared" si="33"/>
        <v>0</v>
      </c>
      <c r="V103" s="15">
        <f t="shared" si="34"/>
        <v>0</v>
      </c>
      <c r="W103" s="18" t="str">
        <f t="shared" si="35"/>
        <v/>
      </c>
      <c r="X103" s="17">
        <v>0</v>
      </c>
      <c r="Y103" s="17">
        <v>0</v>
      </c>
      <c r="Z103" s="15">
        <f t="shared" si="36"/>
        <v>0</v>
      </c>
      <c r="AA103" s="17">
        <v>0</v>
      </c>
      <c r="AB103" s="17">
        <v>0</v>
      </c>
      <c r="AC103" s="15">
        <f t="shared" si="37"/>
        <v>0</v>
      </c>
      <c r="AD103" s="17">
        <v>0</v>
      </c>
      <c r="AE103" s="17">
        <v>0</v>
      </c>
      <c r="AF103" s="15">
        <f t="shared" si="38"/>
        <v>0</v>
      </c>
      <c r="AG103" s="17">
        <v>0</v>
      </c>
      <c r="AH103" s="17">
        <v>0</v>
      </c>
      <c r="AI103" s="15">
        <f t="shared" si="39"/>
        <v>0</v>
      </c>
      <c r="AJ103" s="17"/>
    </row>
    <row r="104" spans="1:36" x14ac:dyDescent="0.3">
      <c r="A104" s="15" t="s">
        <v>153</v>
      </c>
      <c r="B104" s="15">
        <v>100</v>
      </c>
      <c r="C104" s="15" t="s">
        <v>54</v>
      </c>
      <c r="D104" s="15" t="s">
        <v>68</v>
      </c>
      <c r="E104" s="17">
        <v>0</v>
      </c>
      <c r="F104" s="17">
        <v>0</v>
      </c>
      <c r="G104" s="17">
        <v>0</v>
      </c>
      <c r="H104" s="15">
        <f t="shared" si="30"/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5">
        <f t="shared" si="31"/>
        <v>0</v>
      </c>
      <c r="T104" s="15">
        <f t="shared" si="32"/>
        <v>0</v>
      </c>
      <c r="U104" s="15">
        <f t="shared" si="33"/>
        <v>0</v>
      </c>
      <c r="V104" s="15">
        <f t="shared" si="34"/>
        <v>0</v>
      </c>
      <c r="W104" s="18" t="str">
        <f t="shared" si="35"/>
        <v/>
      </c>
      <c r="X104" s="17">
        <v>0</v>
      </c>
      <c r="Y104" s="17">
        <v>0</v>
      </c>
      <c r="Z104" s="15">
        <f t="shared" si="36"/>
        <v>0</v>
      </c>
      <c r="AA104" s="17">
        <v>0</v>
      </c>
      <c r="AB104" s="17">
        <v>0</v>
      </c>
      <c r="AC104" s="15">
        <f t="shared" si="37"/>
        <v>0</v>
      </c>
      <c r="AD104" s="17">
        <v>0</v>
      </c>
      <c r="AE104" s="17">
        <v>0</v>
      </c>
      <c r="AF104" s="15">
        <f t="shared" si="38"/>
        <v>0</v>
      </c>
      <c r="AG104" s="17">
        <v>0</v>
      </c>
      <c r="AH104" s="17">
        <v>0</v>
      </c>
      <c r="AI104" s="15">
        <f t="shared" si="39"/>
        <v>0</v>
      </c>
      <c r="AJ104" s="17"/>
    </row>
    <row r="105" spans="1:36" hidden="1" x14ac:dyDescent="0.3">
      <c r="A105" s="15" t="s">
        <v>154</v>
      </c>
      <c r="B105" s="15">
        <v>100</v>
      </c>
      <c r="C105" s="15" t="s">
        <v>54</v>
      </c>
      <c r="D105" s="15" t="s">
        <v>55</v>
      </c>
      <c r="E105" s="15">
        <f>'10-JULY2026'!T105</f>
        <v>15</v>
      </c>
      <c r="F105" s="15">
        <f>'10-JULY2026'!U105</f>
        <v>4</v>
      </c>
      <c r="G105" s="15">
        <f>'10-JULY2026'!V105</f>
        <v>0</v>
      </c>
      <c r="H105" s="15">
        <f t="shared" si="30"/>
        <v>19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5">
        <f t="shared" si="31"/>
        <v>19</v>
      </c>
      <c r="T105" s="15">
        <f t="shared" si="32"/>
        <v>15</v>
      </c>
      <c r="U105" s="15">
        <f t="shared" si="33"/>
        <v>4</v>
      </c>
      <c r="V105" s="15">
        <f t="shared" si="34"/>
        <v>0</v>
      </c>
      <c r="W105" s="18" t="str">
        <f t="shared" si="35"/>
        <v/>
      </c>
      <c r="X105" s="17">
        <v>0</v>
      </c>
      <c r="Y105" s="17">
        <v>0</v>
      </c>
      <c r="Z105" s="15">
        <f t="shared" si="36"/>
        <v>0</v>
      </c>
      <c r="AA105" s="17">
        <v>0</v>
      </c>
      <c r="AB105" s="17">
        <v>0</v>
      </c>
      <c r="AC105" s="15">
        <f t="shared" si="37"/>
        <v>0</v>
      </c>
      <c r="AD105" s="17">
        <v>0</v>
      </c>
      <c r="AE105" s="17">
        <v>0</v>
      </c>
      <c r="AF105" s="15">
        <f t="shared" si="38"/>
        <v>0</v>
      </c>
      <c r="AG105" s="17">
        <v>0</v>
      </c>
      <c r="AH105" s="17">
        <v>0</v>
      </c>
      <c r="AI105" s="15">
        <f t="shared" si="39"/>
        <v>0</v>
      </c>
      <c r="AJ105" s="17"/>
    </row>
    <row r="106" spans="1:36" x14ac:dyDescent="0.3">
      <c r="A106" s="15" t="s">
        <v>155</v>
      </c>
      <c r="B106" s="15">
        <v>100</v>
      </c>
      <c r="C106" s="15" t="s">
        <v>54</v>
      </c>
      <c r="D106" s="15" t="s">
        <v>68</v>
      </c>
      <c r="E106" s="15">
        <f>'10-JULY2026'!T106</f>
        <v>1</v>
      </c>
      <c r="F106" s="15">
        <f>'10-JULY2026'!U106</f>
        <v>0</v>
      </c>
      <c r="G106" s="15">
        <f>'10-JULY2026'!V106</f>
        <v>0</v>
      </c>
      <c r="H106" s="15">
        <f t="shared" si="30"/>
        <v>1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5">
        <f t="shared" si="31"/>
        <v>1</v>
      </c>
      <c r="T106" s="15">
        <f t="shared" si="32"/>
        <v>1</v>
      </c>
      <c r="U106" s="15">
        <f t="shared" si="33"/>
        <v>0</v>
      </c>
      <c r="V106" s="15">
        <f t="shared" si="34"/>
        <v>0</v>
      </c>
      <c r="W106" s="18" t="str">
        <f t="shared" si="35"/>
        <v/>
      </c>
      <c r="X106" s="17">
        <v>0</v>
      </c>
      <c r="Y106" s="17">
        <v>0</v>
      </c>
      <c r="Z106" s="15">
        <f t="shared" si="36"/>
        <v>0</v>
      </c>
      <c r="AA106" s="17">
        <v>0</v>
      </c>
      <c r="AB106" s="17">
        <v>0</v>
      </c>
      <c r="AC106" s="15">
        <f t="shared" si="37"/>
        <v>0</v>
      </c>
      <c r="AD106" s="17">
        <v>0</v>
      </c>
      <c r="AE106" s="17">
        <v>0</v>
      </c>
      <c r="AF106" s="15">
        <f t="shared" si="38"/>
        <v>0</v>
      </c>
      <c r="AG106" s="17">
        <v>0</v>
      </c>
      <c r="AH106" s="17">
        <v>0</v>
      </c>
      <c r="AI106" s="15">
        <f t="shared" si="39"/>
        <v>0</v>
      </c>
      <c r="AJ106" s="17"/>
    </row>
    <row r="107" spans="1:36" x14ac:dyDescent="0.3">
      <c r="A107" s="15" t="s">
        <v>156</v>
      </c>
      <c r="B107" s="15">
        <v>2500</v>
      </c>
      <c r="C107" s="15" t="s">
        <v>54</v>
      </c>
      <c r="D107" s="15" t="s">
        <v>68</v>
      </c>
      <c r="E107" s="15">
        <f>'10-JULY2026'!T107</f>
        <v>1</v>
      </c>
      <c r="F107" s="15">
        <f>'10-JULY2026'!U107</f>
        <v>0</v>
      </c>
      <c r="G107" s="15">
        <f>'10-JULY2026'!V107</f>
        <v>0</v>
      </c>
      <c r="H107" s="15">
        <f t="shared" si="30"/>
        <v>1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5">
        <f t="shared" si="31"/>
        <v>1</v>
      </c>
      <c r="T107" s="15">
        <f t="shared" si="32"/>
        <v>1</v>
      </c>
      <c r="U107" s="15">
        <f t="shared" si="33"/>
        <v>0</v>
      </c>
      <c r="V107" s="15">
        <f t="shared" si="34"/>
        <v>0</v>
      </c>
      <c r="W107" s="18" t="str">
        <f t="shared" si="35"/>
        <v/>
      </c>
      <c r="X107" s="17">
        <v>0</v>
      </c>
      <c r="Y107" s="17">
        <v>0</v>
      </c>
      <c r="Z107" s="15">
        <f t="shared" si="36"/>
        <v>0</v>
      </c>
      <c r="AA107" s="17">
        <v>0</v>
      </c>
      <c r="AB107" s="17">
        <v>0</v>
      </c>
      <c r="AC107" s="15">
        <f t="shared" si="37"/>
        <v>0</v>
      </c>
      <c r="AD107" s="17">
        <v>0</v>
      </c>
      <c r="AE107" s="17">
        <v>0</v>
      </c>
      <c r="AF107" s="15">
        <f t="shared" si="38"/>
        <v>0</v>
      </c>
      <c r="AG107" s="17">
        <v>0</v>
      </c>
      <c r="AH107" s="17">
        <v>0</v>
      </c>
      <c r="AI107" s="15">
        <f t="shared" si="39"/>
        <v>0</v>
      </c>
      <c r="AJ107" s="17"/>
    </row>
    <row r="108" spans="1:36" x14ac:dyDescent="0.3">
      <c r="A108" s="15" t="s">
        <v>157</v>
      </c>
      <c r="B108" s="15">
        <v>100</v>
      </c>
      <c r="C108" s="15" t="s">
        <v>54</v>
      </c>
      <c r="D108" s="15" t="s">
        <v>57</v>
      </c>
      <c r="E108" s="15">
        <f>'10-JULY2026'!T108</f>
        <v>2</v>
      </c>
      <c r="F108" s="15">
        <f>'10-JULY2026'!U108</f>
        <v>0</v>
      </c>
      <c r="G108" s="15">
        <f>'10-JULY2026'!V108</f>
        <v>0</v>
      </c>
      <c r="H108" s="15">
        <f t="shared" si="30"/>
        <v>2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5">
        <f t="shared" si="31"/>
        <v>2</v>
      </c>
      <c r="T108" s="15">
        <f t="shared" si="32"/>
        <v>2</v>
      </c>
      <c r="U108" s="15">
        <f t="shared" si="33"/>
        <v>0</v>
      </c>
      <c r="V108" s="15">
        <f t="shared" si="34"/>
        <v>0</v>
      </c>
      <c r="W108" s="18" t="str">
        <f t="shared" si="35"/>
        <v/>
      </c>
      <c r="X108" s="17">
        <v>0</v>
      </c>
      <c r="Y108" s="17">
        <v>0</v>
      </c>
      <c r="Z108" s="15">
        <f t="shared" si="36"/>
        <v>0</v>
      </c>
      <c r="AA108" s="17">
        <v>0</v>
      </c>
      <c r="AB108" s="17">
        <v>0</v>
      </c>
      <c r="AC108" s="15">
        <f t="shared" si="37"/>
        <v>0</v>
      </c>
      <c r="AD108" s="17">
        <v>0</v>
      </c>
      <c r="AE108" s="17">
        <v>0</v>
      </c>
      <c r="AF108" s="15">
        <f t="shared" si="38"/>
        <v>0</v>
      </c>
      <c r="AG108" s="17">
        <v>0</v>
      </c>
      <c r="AH108" s="17">
        <v>0</v>
      </c>
      <c r="AI108" s="15">
        <f t="shared" si="39"/>
        <v>0</v>
      </c>
      <c r="AJ108" s="17"/>
    </row>
    <row r="109" spans="1:36" hidden="1" x14ac:dyDescent="0.3">
      <c r="A109" s="15" t="s">
        <v>158</v>
      </c>
      <c r="B109" s="15">
        <v>100</v>
      </c>
      <c r="C109" s="15" t="s">
        <v>54</v>
      </c>
      <c r="D109" s="15" t="s">
        <v>55</v>
      </c>
      <c r="E109" s="15">
        <f>'10-JULY2026'!T109</f>
        <v>27</v>
      </c>
      <c r="F109" s="15">
        <f>'10-JULY2026'!U109</f>
        <v>0</v>
      </c>
      <c r="G109" s="15">
        <f>'10-JULY2026'!V109</f>
        <v>0</v>
      </c>
      <c r="H109" s="15">
        <f t="shared" si="30"/>
        <v>27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5">
        <f t="shared" si="31"/>
        <v>27</v>
      </c>
      <c r="T109" s="15">
        <f t="shared" si="32"/>
        <v>27</v>
      </c>
      <c r="U109" s="15">
        <f t="shared" si="33"/>
        <v>0</v>
      </c>
      <c r="V109" s="15">
        <f t="shared" si="34"/>
        <v>0</v>
      </c>
      <c r="W109" s="18" t="str">
        <f t="shared" si="35"/>
        <v/>
      </c>
      <c r="X109" s="17">
        <v>0</v>
      </c>
      <c r="Y109" s="17">
        <v>0</v>
      </c>
      <c r="Z109" s="15">
        <f t="shared" si="36"/>
        <v>0</v>
      </c>
      <c r="AA109" s="17">
        <v>0</v>
      </c>
      <c r="AB109" s="17">
        <v>0</v>
      </c>
      <c r="AC109" s="15">
        <f t="shared" si="37"/>
        <v>0</v>
      </c>
      <c r="AD109" s="17">
        <v>0</v>
      </c>
      <c r="AE109" s="17">
        <v>0</v>
      </c>
      <c r="AF109" s="15">
        <f t="shared" si="38"/>
        <v>0</v>
      </c>
      <c r="AG109" s="17">
        <v>0</v>
      </c>
      <c r="AH109" s="17">
        <v>0</v>
      </c>
      <c r="AI109" s="15">
        <f t="shared" si="39"/>
        <v>0</v>
      </c>
      <c r="AJ109" s="17"/>
    </row>
    <row r="110" spans="1:36" hidden="1" x14ac:dyDescent="0.3">
      <c r="A110" s="15" t="s">
        <v>159</v>
      </c>
      <c r="B110" s="15">
        <v>100</v>
      </c>
      <c r="C110" s="15" t="s">
        <v>54</v>
      </c>
      <c r="D110" s="15" t="s">
        <v>55</v>
      </c>
      <c r="E110" s="15">
        <f>'10-JULY2026'!T110</f>
        <v>99</v>
      </c>
      <c r="F110" s="15">
        <f>'10-JULY2026'!U110</f>
        <v>0</v>
      </c>
      <c r="G110" s="15">
        <f>'10-JULY2026'!V110</f>
        <v>0</v>
      </c>
      <c r="H110" s="15">
        <f t="shared" si="30"/>
        <v>99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5">
        <f t="shared" si="31"/>
        <v>99</v>
      </c>
      <c r="T110" s="15">
        <f t="shared" si="32"/>
        <v>99</v>
      </c>
      <c r="U110" s="15">
        <f t="shared" si="33"/>
        <v>0</v>
      </c>
      <c r="V110" s="15">
        <f t="shared" si="34"/>
        <v>0</v>
      </c>
      <c r="W110" s="18" t="str">
        <f t="shared" si="35"/>
        <v/>
      </c>
      <c r="X110" s="17">
        <v>0</v>
      </c>
      <c r="Y110" s="17">
        <v>0</v>
      </c>
      <c r="Z110" s="15">
        <f t="shared" si="36"/>
        <v>0</v>
      </c>
      <c r="AA110" s="17">
        <v>0</v>
      </c>
      <c r="AB110" s="17">
        <v>0</v>
      </c>
      <c r="AC110" s="15">
        <f t="shared" si="37"/>
        <v>0</v>
      </c>
      <c r="AD110" s="17">
        <v>0</v>
      </c>
      <c r="AE110" s="17">
        <v>0</v>
      </c>
      <c r="AF110" s="15">
        <f t="shared" si="38"/>
        <v>0</v>
      </c>
      <c r="AG110" s="17">
        <v>0</v>
      </c>
      <c r="AH110" s="17">
        <v>0</v>
      </c>
      <c r="AI110" s="15">
        <f t="shared" si="39"/>
        <v>0</v>
      </c>
      <c r="AJ110" s="17"/>
    </row>
    <row r="111" spans="1:36" hidden="1" x14ac:dyDescent="0.3">
      <c r="A111" s="15" t="s">
        <v>160</v>
      </c>
      <c r="B111" s="15">
        <v>100</v>
      </c>
      <c r="C111" s="15" t="s">
        <v>54</v>
      </c>
      <c r="D111" s="15" t="s">
        <v>55</v>
      </c>
      <c r="E111" s="15">
        <f>'10-JULY2026'!T111</f>
        <v>124</v>
      </c>
      <c r="F111" s="15">
        <f>'10-JULY2026'!U111</f>
        <v>4</v>
      </c>
      <c r="G111" s="15">
        <f>'10-JULY2026'!V111</f>
        <v>13</v>
      </c>
      <c r="H111" s="15">
        <f t="shared" si="30"/>
        <v>141</v>
      </c>
      <c r="I111" s="17">
        <v>0</v>
      </c>
      <c r="J111" s="17">
        <v>0</v>
      </c>
      <c r="K111" s="17">
        <v>5</v>
      </c>
      <c r="L111" s="17">
        <v>5</v>
      </c>
      <c r="M111" s="17">
        <v>0</v>
      </c>
      <c r="N111" s="17">
        <v>0</v>
      </c>
      <c r="O111" s="17">
        <v>0</v>
      </c>
      <c r="P111" s="17">
        <v>0</v>
      </c>
      <c r="Q111" s="17">
        <v>5</v>
      </c>
      <c r="R111" s="17">
        <v>0</v>
      </c>
      <c r="S111" s="15">
        <f t="shared" si="31"/>
        <v>136</v>
      </c>
      <c r="T111" s="15">
        <f t="shared" si="32"/>
        <v>119</v>
      </c>
      <c r="U111" s="15">
        <f t="shared" si="33"/>
        <v>4</v>
      </c>
      <c r="V111" s="15">
        <f t="shared" si="34"/>
        <v>13</v>
      </c>
      <c r="W111" s="18" t="str">
        <f t="shared" si="35"/>
        <v/>
      </c>
      <c r="X111" s="17">
        <v>0</v>
      </c>
      <c r="Y111" s="17">
        <v>0</v>
      </c>
      <c r="Z111" s="15">
        <f t="shared" si="36"/>
        <v>0</v>
      </c>
      <c r="AA111" s="17">
        <v>0</v>
      </c>
      <c r="AB111" s="17">
        <v>0</v>
      </c>
      <c r="AC111" s="15">
        <f t="shared" si="37"/>
        <v>0</v>
      </c>
      <c r="AD111" s="17">
        <v>0</v>
      </c>
      <c r="AE111" s="17">
        <v>0</v>
      </c>
      <c r="AF111" s="15">
        <f t="shared" si="38"/>
        <v>0</v>
      </c>
      <c r="AG111" s="17">
        <v>0</v>
      </c>
      <c r="AH111" s="17">
        <v>0</v>
      </c>
      <c r="AI111" s="15">
        <f t="shared" si="39"/>
        <v>0</v>
      </c>
      <c r="AJ111" s="17"/>
    </row>
    <row r="112" spans="1:36" hidden="1" x14ac:dyDescent="0.3">
      <c r="A112" s="15" t="s">
        <v>161</v>
      </c>
      <c r="B112" s="15">
        <v>100</v>
      </c>
      <c r="C112" s="15" t="s">
        <v>54</v>
      </c>
      <c r="D112" s="15" t="s">
        <v>55</v>
      </c>
      <c r="E112" s="15">
        <f>'10-JULY2026'!T112</f>
        <v>267</v>
      </c>
      <c r="F112" s="15">
        <f>'10-JULY2026'!U112</f>
        <v>60</v>
      </c>
      <c r="G112" s="15">
        <f>'10-JULY2026'!V112</f>
        <v>62</v>
      </c>
      <c r="H112" s="15">
        <f t="shared" si="30"/>
        <v>389</v>
      </c>
      <c r="I112" s="17">
        <v>0</v>
      </c>
      <c r="J112" s="17">
        <v>0</v>
      </c>
      <c r="K112" s="17">
        <v>7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5">
        <f t="shared" si="31"/>
        <v>382</v>
      </c>
      <c r="T112" s="15">
        <f t="shared" si="32"/>
        <v>267</v>
      </c>
      <c r="U112" s="15">
        <f t="shared" si="33"/>
        <v>60</v>
      </c>
      <c r="V112" s="15">
        <f t="shared" si="34"/>
        <v>55</v>
      </c>
      <c r="W112" s="18" t="str">
        <f t="shared" si="35"/>
        <v/>
      </c>
      <c r="X112" s="17">
        <v>0</v>
      </c>
      <c r="Y112" s="17">
        <v>0</v>
      </c>
      <c r="Z112" s="15">
        <f t="shared" si="36"/>
        <v>0</v>
      </c>
      <c r="AA112" s="17">
        <v>0</v>
      </c>
      <c r="AB112" s="17">
        <v>0</v>
      </c>
      <c r="AC112" s="15">
        <f t="shared" si="37"/>
        <v>0</v>
      </c>
      <c r="AD112" s="17">
        <v>0</v>
      </c>
      <c r="AE112" s="17">
        <v>0</v>
      </c>
      <c r="AF112" s="15">
        <f t="shared" si="38"/>
        <v>0</v>
      </c>
      <c r="AG112" s="17">
        <v>0</v>
      </c>
      <c r="AH112" s="17">
        <v>0</v>
      </c>
      <c r="AI112" s="15">
        <f t="shared" si="39"/>
        <v>0</v>
      </c>
      <c r="AJ112" s="17"/>
    </row>
    <row r="113" spans="1:36" hidden="1" x14ac:dyDescent="0.3">
      <c r="A113" s="15" t="s">
        <v>162</v>
      </c>
      <c r="B113" s="15">
        <v>1000</v>
      </c>
      <c r="C113" s="15" t="s">
        <v>54</v>
      </c>
      <c r="D113" s="15" t="s">
        <v>55</v>
      </c>
      <c r="E113" s="15">
        <f>'10-JULY2026'!T113</f>
        <v>0</v>
      </c>
      <c r="F113" s="15">
        <f>'10-JULY2026'!U113</f>
        <v>7</v>
      </c>
      <c r="G113" s="15">
        <f>'10-JULY2026'!V113</f>
        <v>5</v>
      </c>
      <c r="H113" s="15">
        <f t="shared" si="30"/>
        <v>12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5">
        <f t="shared" si="31"/>
        <v>12</v>
      </c>
      <c r="T113" s="15">
        <f t="shared" si="32"/>
        <v>0</v>
      </c>
      <c r="U113" s="15">
        <f t="shared" si="33"/>
        <v>7</v>
      </c>
      <c r="V113" s="15">
        <f t="shared" si="34"/>
        <v>5</v>
      </c>
      <c r="W113" s="18" t="str">
        <f t="shared" si="35"/>
        <v/>
      </c>
      <c r="X113" s="17">
        <v>0</v>
      </c>
      <c r="Y113" s="17">
        <v>0</v>
      </c>
      <c r="Z113" s="15">
        <f t="shared" si="36"/>
        <v>0</v>
      </c>
      <c r="AA113" s="17">
        <v>0</v>
      </c>
      <c r="AB113" s="17">
        <v>0</v>
      </c>
      <c r="AC113" s="15">
        <f t="shared" si="37"/>
        <v>0</v>
      </c>
      <c r="AD113" s="17">
        <v>0</v>
      </c>
      <c r="AE113" s="17">
        <v>0</v>
      </c>
      <c r="AF113" s="15">
        <f t="shared" si="38"/>
        <v>0</v>
      </c>
      <c r="AG113" s="17">
        <v>0</v>
      </c>
      <c r="AH113" s="17">
        <v>0</v>
      </c>
      <c r="AI113" s="15">
        <f t="shared" si="39"/>
        <v>0</v>
      </c>
      <c r="AJ113" s="17"/>
    </row>
    <row r="114" spans="1:36" hidden="1" x14ac:dyDescent="0.3">
      <c r="A114" s="15" t="s">
        <v>163</v>
      </c>
      <c r="B114" s="15">
        <v>500</v>
      </c>
      <c r="C114" s="15" t="s">
        <v>54</v>
      </c>
      <c r="D114" s="15" t="s">
        <v>55</v>
      </c>
      <c r="E114" s="15">
        <f>'10-JULY2026'!T114</f>
        <v>0</v>
      </c>
      <c r="F114" s="15">
        <f>'10-JULY2026'!U114</f>
        <v>2</v>
      </c>
      <c r="G114" s="15">
        <f>'10-JULY2026'!V114</f>
        <v>1</v>
      </c>
      <c r="H114" s="15">
        <f t="shared" si="30"/>
        <v>3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5">
        <f t="shared" si="31"/>
        <v>3</v>
      </c>
      <c r="T114" s="15">
        <f t="shared" si="32"/>
        <v>0</v>
      </c>
      <c r="U114" s="15">
        <f t="shared" si="33"/>
        <v>2</v>
      </c>
      <c r="V114" s="15">
        <f t="shared" si="34"/>
        <v>1</v>
      </c>
      <c r="W114" s="18" t="str">
        <f t="shared" si="35"/>
        <v/>
      </c>
      <c r="X114" s="17">
        <v>0</v>
      </c>
      <c r="Y114" s="17">
        <v>0</v>
      </c>
      <c r="Z114" s="15">
        <f t="shared" si="36"/>
        <v>0</v>
      </c>
      <c r="AA114" s="17">
        <v>0</v>
      </c>
      <c r="AB114" s="17">
        <v>0</v>
      </c>
      <c r="AC114" s="15">
        <f t="shared" si="37"/>
        <v>0</v>
      </c>
      <c r="AD114" s="17">
        <v>0</v>
      </c>
      <c r="AE114" s="17">
        <v>0</v>
      </c>
      <c r="AF114" s="15">
        <f t="shared" si="38"/>
        <v>0</v>
      </c>
      <c r="AG114" s="17">
        <v>0</v>
      </c>
      <c r="AH114" s="17">
        <v>0</v>
      </c>
      <c r="AI114" s="15">
        <f t="shared" si="39"/>
        <v>0</v>
      </c>
      <c r="AJ114" s="17"/>
    </row>
    <row r="115" spans="1:36" x14ac:dyDescent="0.3">
      <c r="A115" s="15" t="s">
        <v>164</v>
      </c>
      <c r="B115" s="15">
        <v>100</v>
      </c>
      <c r="C115" s="15" t="s">
        <v>54</v>
      </c>
      <c r="D115" s="15" t="s">
        <v>68</v>
      </c>
      <c r="E115" s="15">
        <f>'10-JULY2026'!T115</f>
        <v>2</v>
      </c>
      <c r="F115" s="15">
        <f>'10-JULY2026'!U115</f>
        <v>0</v>
      </c>
      <c r="G115" s="15">
        <f>'10-JULY2026'!V115</f>
        <v>0</v>
      </c>
      <c r="H115" s="15">
        <f t="shared" si="30"/>
        <v>2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5">
        <f t="shared" si="31"/>
        <v>2</v>
      </c>
      <c r="T115" s="15">
        <f t="shared" si="32"/>
        <v>2</v>
      </c>
      <c r="U115" s="15">
        <f t="shared" si="33"/>
        <v>0</v>
      </c>
      <c r="V115" s="15">
        <f t="shared" si="34"/>
        <v>0</v>
      </c>
      <c r="W115" s="18" t="str">
        <f t="shared" si="35"/>
        <v/>
      </c>
      <c r="X115" s="17">
        <v>0</v>
      </c>
      <c r="Y115" s="17">
        <v>0</v>
      </c>
      <c r="Z115" s="15">
        <f t="shared" si="36"/>
        <v>0</v>
      </c>
      <c r="AA115" s="17">
        <v>0</v>
      </c>
      <c r="AB115" s="17">
        <v>0</v>
      </c>
      <c r="AC115" s="15">
        <f t="shared" si="37"/>
        <v>0</v>
      </c>
      <c r="AD115" s="17">
        <v>0</v>
      </c>
      <c r="AE115" s="17">
        <v>0</v>
      </c>
      <c r="AF115" s="15">
        <f t="shared" si="38"/>
        <v>0</v>
      </c>
      <c r="AG115" s="17">
        <v>0</v>
      </c>
      <c r="AH115" s="17">
        <v>0</v>
      </c>
      <c r="AI115" s="15">
        <f t="shared" si="39"/>
        <v>0</v>
      </c>
      <c r="AJ115" s="17"/>
    </row>
    <row r="116" spans="1:36" x14ac:dyDescent="0.3">
      <c r="A116" s="15" t="s">
        <v>165</v>
      </c>
      <c r="B116" s="15">
        <v>100000</v>
      </c>
      <c r="C116" s="15" t="s">
        <v>54</v>
      </c>
      <c r="D116" s="15" t="s">
        <v>68</v>
      </c>
      <c r="E116" s="15">
        <f>'10-JULY2026'!T116</f>
        <v>2</v>
      </c>
      <c r="F116" s="15">
        <f>'10-JULY2026'!U116</f>
        <v>0</v>
      </c>
      <c r="G116" s="15">
        <f>'10-JULY2026'!V116</f>
        <v>0</v>
      </c>
      <c r="H116" s="15">
        <f t="shared" si="30"/>
        <v>2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5">
        <f t="shared" si="31"/>
        <v>2</v>
      </c>
      <c r="T116" s="15">
        <f t="shared" si="32"/>
        <v>2</v>
      </c>
      <c r="U116" s="15">
        <f t="shared" si="33"/>
        <v>0</v>
      </c>
      <c r="V116" s="15">
        <f t="shared" si="34"/>
        <v>0</v>
      </c>
      <c r="W116" s="18" t="str">
        <f t="shared" si="35"/>
        <v/>
      </c>
      <c r="X116" s="17">
        <v>0</v>
      </c>
      <c r="Y116" s="17">
        <v>0</v>
      </c>
      <c r="Z116" s="15">
        <f t="shared" si="36"/>
        <v>0</v>
      </c>
      <c r="AA116" s="17">
        <v>0</v>
      </c>
      <c r="AB116" s="17">
        <v>0</v>
      </c>
      <c r="AC116" s="15">
        <f t="shared" si="37"/>
        <v>0</v>
      </c>
      <c r="AD116" s="17">
        <v>0</v>
      </c>
      <c r="AE116" s="17">
        <v>0</v>
      </c>
      <c r="AF116" s="15">
        <f t="shared" si="38"/>
        <v>0</v>
      </c>
      <c r="AG116" s="17">
        <v>0</v>
      </c>
      <c r="AH116" s="17">
        <v>0</v>
      </c>
      <c r="AI116" s="15">
        <f t="shared" si="39"/>
        <v>0</v>
      </c>
      <c r="AJ116" s="17"/>
    </row>
    <row r="117" spans="1:36" x14ac:dyDescent="0.3">
      <c r="A117" s="15" t="s">
        <v>165</v>
      </c>
      <c r="B117" s="15">
        <v>25000</v>
      </c>
      <c r="C117" s="15" t="s">
        <v>54</v>
      </c>
      <c r="D117" s="15" t="s">
        <v>68</v>
      </c>
      <c r="E117" s="15">
        <f>'10-JULY2026'!T117</f>
        <v>1</v>
      </c>
      <c r="F117" s="15">
        <f>'10-JULY2026'!U117</f>
        <v>0</v>
      </c>
      <c r="G117" s="15">
        <f>'10-JULY2026'!V117</f>
        <v>0</v>
      </c>
      <c r="H117" s="15">
        <f t="shared" si="30"/>
        <v>1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5">
        <f t="shared" si="31"/>
        <v>1</v>
      </c>
      <c r="T117" s="15">
        <f t="shared" si="32"/>
        <v>1</v>
      </c>
      <c r="U117" s="15">
        <f t="shared" si="33"/>
        <v>0</v>
      </c>
      <c r="V117" s="15">
        <f t="shared" si="34"/>
        <v>0</v>
      </c>
      <c r="W117" s="18" t="str">
        <f t="shared" si="35"/>
        <v/>
      </c>
      <c r="X117" s="17">
        <v>0</v>
      </c>
      <c r="Y117" s="17">
        <v>0</v>
      </c>
      <c r="Z117" s="15">
        <f t="shared" si="36"/>
        <v>0</v>
      </c>
      <c r="AA117" s="17">
        <v>0</v>
      </c>
      <c r="AB117" s="17">
        <v>0</v>
      </c>
      <c r="AC117" s="15">
        <f t="shared" si="37"/>
        <v>0</v>
      </c>
      <c r="AD117" s="17">
        <v>0</v>
      </c>
      <c r="AE117" s="17">
        <v>0</v>
      </c>
      <c r="AF117" s="15">
        <f t="shared" si="38"/>
        <v>0</v>
      </c>
      <c r="AG117" s="17">
        <v>0</v>
      </c>
      <c r="AH117" s="17">
        <v>0</v>
      </c>
      <c r="AI117" s="15">
        <f t="shared" si="39"/>
        <v>0</v>
      </c>
      <c r="AJ117" s="17"/>
    </row>
    <row r="118" spans="1:36" x14ac:dyDescent="0.3">
      <c r="A118" s="15" t="s">
        <v>166</v>
      </c>
      <c r="B118" s="15">
        <v>100000</v>
      </c>
      <c r="C118" s="15" t="s">
        <v>54</v>
      </c>
      <c r="D118" s="15" t="s">
        <v>68</v>
      </c>
      <c r="E118" s="15">
        <f>'10-JULY2026'!T118</f>
        <v>2</v>
      </c>
      <c r="F118" s="15">
        <f>'10-JULY2026'!U118</f>
        <v>0</v>
      </c>
      <c r="G118" s="15">
        <f>'10-JULY2026'!V118</f>
        <v>0</v>
      </c>
      <c r="H118" s="15">
        <f t="shared" si="30"/>
        <v>2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5">
        <f t="shared" si="31"/>
        <v>2</v>
      </c>
      <c r="T118" s="15">
        <f t="shared" si="32"/>
        <v>2</v>
      </c>
      <c r="U118" s="15">
        <f t="shared" si="33"/>
        <v>0</v>
      </c>
      <c r="V118" s="15">
        <f t="shared" si="34"/>
        <v>0</v>
      </c>
      <c r="W118" s="18" t="str">
        <f t="shared" si="35"/>
        <v/>
      </c>
      <c r="X118" s="17">
        <v>0</v>
      </c>
      <c r="Y118" s="17">
        <v>0</v>
      </c>
      <c r="Z118" s="15">
        <f t="shared" si="36"/>
        <v>0</v>
      </c>
      <c r="AA118" s="17">
        <v>0</v>
      </c>
      <c r="AB118" s="17">
        <v>0</v>
      </c>
      <c r="AC118" s="15">
        <f t="shared" si="37"/>
        <v>0</v>
      </c>
      <c r="AD118" s="17">
        <v>0</v>
      </c>
      <c r="AE118" s="17">
        <v>0</v>
      </c>
      <c r="AF118" s="15">
        <f t="shared" si="38"/>
        <v>0</v>
      </c>
      <c r="AG118" s="17">
        <v>0</v>
      </c>
      <c r="AH118" s="17">
        <v>0</v>
      </c>
      <c r="AI118" s="15">
        <f t="shared" si="39"/>
        <v>0</v>
      </c>
      <c r="AJ118" s="17"/>
    </row>
    <row r="119" spans="1:36" hidden="1" x14ac:dyDescent="0.3">
      <c r="A119" s="15" t="s">
        <v>167</v>
      </c>
      <c r="B119" s="15">
        <v>100</v>
      </c>
      <c r="C119" s="15" t="s">
        <v>54</v>
      </c>
      <c r="D119" s="15" t="s">
        <v>55</v>
      </c>
      <c r="E119" s="15">
        <f>'10-JULY2026'!T119</f>
        <v>104</v>
      </c>
      <c r="F119" s="15">
        <f>'10-JULY2026'!U119</f>
        <v>0</v>
      </c>
      <c r="G119" s="15">
        <f>'10-JULY2026'!V119</f>
        <v>0</v>
      </c>
      <c r="H119" s="15">
        <f t="shared" si="30"/>
        <v>104</v>
      </c>
      <c r="I119" s="17">
        <v>0</v>
      </c>
      <c r="J119" s="17">
        <v>0</v>
      </c>
      <c r="K119" s="17">
        <v>0</v>
      </c>
      <c r="L119" s="17">
        <v>10</v>
      </c>
      <c r="M119" s="17">
        <v>0</v>
      </c>
      <c r="N119" s="17">
        <v>0</v>
      </c>
      <c r="O119" s="17">
        <v>0</v>
      </c>
      <c r="P119" s="17">
        <v>0</v>
      </c>
      <c r="Q119" s="17">
        <v>5</v>
      </c>
      <c r="R119" s="17">
        <v>5</v>
      </c>
      <c r="S119" s="15">
        <f t="shared" si="31"/>
        <v>104</v>
      </c>
      <c r="T119" s="15">
        <f t="shared" si="32"/>
        <v>94</v>
      </c>
      <c r="U119" s="15">
        <f t="shared" si="33"/>
        <v>0</v>
      </c>
      <c r="V119" s="15">
        <f t="shared" si="34"/>
        <v>5</v>
      </c>
      <c r="W119" s="18" t="str">
        <f t="shared" si="35"/>
        <v/>
      </c>
      <c r="X119" s="17">
        <v>0</v>
      </c>
      <c r="Y119" s="17">
        <v>0</v>
      </c>
      <c r="Z119" s="15">
        <f t="shared" si="36"/>
        <v>0</v>
      </c>
      <c r="AA119" s="17">
        <v>0</v>
      </c>
      <c r="AB119" s="17">
        <v>0</v>
      </c>
      <c r="AC119" s="15">
        <f t="shared" si="37"/>
        <v>0</v>
      </c>
      <c r="AD119" s="17">
        <v>0</v>
      </c>
      <c r="AE119" s="17">
        <v>0</v>
      </c>
      <c r="AF119" s="15">
        <f t="shared" si="38"/>
        <v>0</v>
      </c>
      <c r="AG119" s="17">
        <v>0</v>
      </c>
      <c r="AH119" s="17">
        <v>0</v>
      </c>
      <c r="AI119" s="15">
        <f t="shared" si="39"/>
        <v>0</v>
      </c>
      <c r="AJ119" s="17"/>
    </row>
    <row r="120" spans="1:36" x14ac:dyDescent="0.3">
      <c r="A120" s="15" t="s">
        <v>168</v>
      </c>
      <c r="B120" s="15">
        <v>100</v>
      </c>
      <c r="C120" s="15" t="s">
        <v>54</v>
      </c>
      <c r="D120" s="15" t="s">
        <v>68</v>
      </c>
      <c r="E120" s="15">
        <f>'10-JULY2026'!T120</f>
        <v>1</v>
      </c>
      <c r="F120" s="15">
        <f>'10-JULY2026'!U120</f>
        <v>0</v>
      </c>
      <c r="G120" s="15">
        <f>'10-JULY2026'!V120</f>
        <v>0</v>
      </c>
      <c r="H120" s="15">
        <f t="shared" si="30"/>
        <v>1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5">
        <f t="shared" si="31"/>
        <v>1</v>
      </c>
      <c r="T120" s="15">
        <f t="shared" si="32"/>
        <v>1</v>
      </c>
      <c r="U120" s="15">
        <f t="shared" si="33"/>
        <v>0</v>
      </c>
      <c r="V120" s="15">
        <f t="shared" si="34"/>
        <v>0</v>
      </c>
      <c r="W120" s="18" t="str">
        <f t="shared" si="35"/>
        <v/>
      </c>
      <c r="X120" s="17">
        <v>0</v>
      </c>
      <c r="Y120" s="17">
        <v>0</v>
      </c>
      <c r="Z120" s="15">
        <f t="shared" si="36"/>
        <v>0</v>
      </c>
      <c r="AA120" s="17">
        <v>0</v>
      </c>
      <c r="AB120" s="17">
        <v>0</v>
      </c>
      <c r="AC120" s="15">
        <f t="shared" si="37"/>
        <v>0</v>
      </c>
      <c r="AD120" s="17">
        <v>0</v>
      </c>
      <c r="AE120" s="17">
        <v>0</v>
      </c>
      <c r="AF120" s="15">
        <f t="shared" si="38"/>
        <v>0</v>
      </c>
      <c r="AG120" s="17">
        <v>0</v>
      </c>
      <c r="AH120" s="17">
        <v>0</v>
      </c>
      <c r="AI120" s="15">
        <f t="shared" si="39"/>
        <v>0</v>
      </c>
      <c r="AJ120" s="17"/>
    </row>
    <row r="121" spans="1:36" x14ac:dyDescent="0.3">
      <c r="A121" s="15" t="s">
        <v>169</v>
      </c>
      <c r="B121" s="15">
        <v>1000</v>
      </c>
      <c r="C121" s="15" t="s">
        <v>54</v>
      </c>
      <c r="D121" s="15" t="s">
        <v>68</v>
      </c>
      <c r="E121" s="15">
        <f>'10-JULY2026'!T121</f>
        <v>2</v>
      </c>
      <c r="F121" s="15">
        <f>'10-JULY2026'!U121</f>
        <v>0</v>
      </c>
      <c r="G121" s="15">
        <f>'10-JULY2026'!V121</f>
        <v>0</v>
      </c>
      <c r="H121" s="15">
        <f t="shared" si="30"/>
        <v>2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5">
        <f t="shared" si="31"/>
        <v>2</v>
      </c>
      <c r="T121" s="15">
        <f t="shared" si="32"/>
        <v>2</v>
      </c>
      <c r="U121" s="15">
        <f t="shared" si="33"/>
        <v>0</v>
      </c>
      <c r="V121" s="15">
        <f t="shared" si="34"/>
        <v>0</v>
      </c>
      <c r="W121" s="18" t="str">
        <f t="shared" si="35"/>
        <v/>
      </c>
      <c r="X121" s="17">
        <v>0</v>
      </c>
      <c r="Y121" s="17">
        <v>0</v>
      </c>
      <c r="Z121" s="15">
        <f t="shared" si="36"/>
        <v>0</v>
      </c>
      <c r="AA121" s="17">
        <v>0</v>
      </c>
      <c r="AB121" s="17">
        <v>0</v>
      </c>
      <c r="AC121" s="15">
        <f t="shared" si="37"/>
        <v>0</v>
      </c>
      <c r="AD121" s="17">
        <v>0</v>
      </c>
      <c r="AE121" s="17">
        <v>0</v>
      </c>
      <c r="AF121" s="15">
        <f t="shared" si="38"/>
        <v>0</v>
      </c>
      <c r="AG121" s="17">
        <v>0</v>
      </c>
      <c r="AH121" s="17">
        <v>0</v>
      </c>
      <c r="AI121" s="15">
        <f t="shared" si="39"/>
        <v>0</v>
      </c>
      <c r="AJ121" s="17"/>
    </row>
    <row r="122" spans="1:36" hidden="1" x14ac:dyDescent="0.3">
      <c r="A122" s="15" t="s">
        <v>170</v>
      </c>
      <c r="B122" s="15">
        <v>1000</v>
      </c>
      <c r="C122" s="15" t="s">
        <v>54</v>
      </c>
      <c r="D122" s="15" t="s">
        <v>55</v>
      </c>
      <c r="E122" s="15">
        <f>'10-JULY2026'!T122</f>
        <v>19</v>
      </c>
      <c r="F122" s="15">
        <f>'10-JULY2026'!U122</f>
        <v>0</v>
      </c>
      <c r="G122" s="15">
        <f>'10-JULY2026'!V122</f>
        <v>30</v>
      </c>
      <c r="H122" s="15">
        <f t="shared" si="30"/>
        <v>49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5">
        <f t="shared" si="31"/>
        <v>49</v>
      </c>
      <c r="T122" s="15">
        <f t="shared" si="32"/>
        <v>19</v>
      </c>
      <c r="U122" s="15">
        <f t="shared" si="33"/>
        <v>0</v>
      </c>
      <c r="V122" s="15">
        <f t="shared" si="34"/>
        <v>30</v>
      </c>
      <c r="W122" s="18" t="str">
        <f t="shared" si="35"/>
        <v/>
      </c>
      <c r="X122" s="17">
        <v>0</v>
      </c>
      <c r="Y122" s="17">
        <v>0</v>
      </c>
      <c r="Z122" s="15">
        <f t="shared" si="36"/>
        <v>0</v>
      </c>
      <c r="AA122" s="17">
        <v>0</v>
      </c>
      <c r="AB122" s="17">
        <v>0</v>
      </c>
      <c r="AC122" s="15">
        <f t="shared" si="37"/>
        <v>0</v>
      </c>
      <c r="AD122" s="17">
        <v>0</v>
      </c>
      <c r="AE122" s="17">
        <v>0</v>
      </c>
      <c r="AF122" s="15">
        <f t="shared" si="38"/>
        <v>0</v>
      </c>
      <c r="AG122" s="17">
        <v>0</v>
      </c>
      <c r="AH122" s="17">
        <v>0</v>
      </c>
      <c r="AI122" s="15">
        <f t="shared" si="39"/>
        <v>0</v>
      </c>
      <c r="AJ122" s="17"/>
    </row>
    <row r="123" spans="1:36" hidden="1" x14ac:dyDescent="0.3">
      <c r="A123" s="15" t="s">
        <v>171</v>
      </c>
      <c r="B123" s="15">
        <v>1000</v>
      </c>
      <c r="C123" s="15" t="s">
        <v>54</v>
      </c>
      <c r="D123" s="15" t="s">
        <v>55</v>
      </c>
      <c r="E123" s="15">
        <f>'10-JULY2026'!T123</f>
        <v>1</v>
      </c>
      <c r="F123" s="15">
        <f>'10-JULY2026'!U123</f>
        <v>9</v>
      </c>
      <c r="G123" s="15">
        <f>'10-JULY2026'!V123</f>
        <v>5</v>
      </c>
      <c r="H123" s="15">
        <f t="shared" si="30"/>
        <v>15</v>
      </c>
      <c r="I123" s="17">
        <v>1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5">
        <f t="shared" si="31"/>
        <v>14</v>
      </c>
      <c r="T123" s="15">
        <f t="shared" si="32"/>
        <v>0</v>
      </c>
      <c r="U123" s="15">
        <f t="shared" si="33"/>
        <v>9</v>
      </c>
      <c r="V123" s="15">
        <f t="shared" si="34"/>
        <v>5</v>
      </c>
      <c r="W123" s="18" t="str">
        <f t="shared" si="35"/>
        <v/>
      </c>
      <c r="X123" s="17">
        <v>0</v>
      </c>
      <c r="Y123" s="17">
        <v>0</v>
      </c>
      <c r="Z123" s="15">
        <f t="shared" si="36"/>
        <v>0</v>
      </c>
      <c r="AA123" s="17">
        <v>0</v>
      </c>
      <c r="AB123" s="17">
        <v>0</v>
      </c>
      <c r="AC123" s="15">
        <f t="shared" si="37"/>
        <v>0</v>
      </c>
      <c r="AD123" s="17">
        <v>0</v>
      </c>
      <c r="AE123" s="17">
        <v>0</v>
      </c>
      <c r="AF123" s="15">
        <f t="shared" si="38"/>
        <v>0</v>
      </c>
      <c r="AG123" s="17">
        <v>0</v>
      </c>
      <c r="AH123" s="17">
        <v>0</v>
      </c>
      <c r="AI123" s="15">
        <f t="shared" si="39"/>
        <v>0</v>
      </c>
      <c r="AJ123" s="17"/>
    </row>
    <row r="124" spans="1:36" x14ac:dyDescent="0.3">
      <c r="A124" s="15" t="s">
        <v>172</v>
      </c>
      <c r="B124" s="15">
        <v>100</v>
      </c>
      <c r="C124" s="15" t="s">
        <v>54</v>
      </c>
      <c r="D124" s="15" t="s">
        <v>68</v>
      </c>
      <c r="E124" s="15">
        <f>'10-JULY2026'!T124</f>
        <v>10</v>
      </c>
      <c r="F124" s="15">
        <f>'10-JULY2026'!U124</f>
        <v>0</v>
      </c>
      <c r="G124" s="15">
        <f>'10-JULY2026'!V124</f>
        <v>0</v>
      </c>
      <c r="H124" s="15">
        <f t="shared" si="30"/>
        <v>10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5">
        <f t="shared" si="31"/>
        <v>10</v>
      </c>
      <c r="T124" s="15">
        <f t="shared" si="32"/>
        <v>10</v>
      </c>
      <c r="U124" s="15">
        <f t="shared" si="33"/>
        <v>0</v>
      </c>
      <c r="V124" s="15">
        <f t="shared" si="34"/>
        <v>0</v>
      </c>
      <c r="W124" s="18" t="str">
        <f t="shared" si="35"/>
        <v/>
      </c>
      <c r="X124" s="17">
        <v>0</v>
      </c>
      <c r="Y124" s="17">
        <v>0</v>
      </c>
      <c r="Z124" s="15">
        <f t="shared" si="36"/>
        <v>0</v>
      </c>
      <c r="AA124" s="17">
        <v>0</v>
      </c>
      <c r="AB124" s="17">
        <v>0</v>
      </c>
      <c r="AC124" s="15">
        <f t="shared" si="37"/>
        <v>0</v>
      </c>
      <c r="AD124" s="17">
        <v>0</v>
      </c>
      <c r="AE124" s="17">
        <v>0</v>
      </c>
      <c r="AF124" s="15">
        <f t="shared" si="38"/>
        <v>0</v>
      </c>
      <c r="AG124" s="17">
        <v>0</v>
      </c>
      <c r="AH124" s="17">
        <v>0</v>
      </c>
      <c r="AI124" s="15">
        <f t="shared" si="39"/>
        <v>0</v>
      </c>
      <c r="AJ124" s="17"/>
    </row>
    <row r="125" spans="1:36" x14ac:dyDescent="0.3">
      <c r="A125" s="15" t="s">
        <v>173</v>
      </c>
      <c r="B125" s="15">
        <v>100</v>
      </c>
      <c r="C125" s="15" t="s">
        <v>54</v>
      </c>
      <c r="D125" s="15" t="s">
        <v>68</v>
      </c>
      <c r="E125" s="15">
        <f>'10-JULY2026'!T125</f>
        <v>8</v>
      </c>
      <c r="F125" s="15">
        <f>'10-JULY2026'!U125</f>
        <v>0</v>
      </c>
      <c r="G125" s="15">
        <f>'10-JULY2026'!V125</f>
        <v>0</v>
      </c>
      <c r="H125" s="15">
        <f t="shared" si="30"/>
        <v>8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5">
        <f t="shared" si="31"/>
        <v>8</v>
      </c>
      <c r="T125" s="15">
        <f t="shared" si="32"/>
        <v>8</v>
      </c>
      <c r="U125" s="15">
        <f t="shared" si="33"/>
        <v>0</v>
      </c>
      <c r="V125" s="15">
        <f t="shared" si="34"/>
        <v>0</v>
      </c>
      <c r="W125" s="18" t="str">
        <f t="shared" si="35"/>
        <v/>
      </c>
      <c r="X125" s="17">
        <v>0</v>
      </c>
      <c r="Y125" s="17">
        <v>0</v>
      </c>
      <c r="Z125" s="15">
        <f t="shared" si="36"/>
        <v>0</v>
      </c>
      <c r="AA125" s="17">
        <v>0</v>
      </c>
      <c r="AB125" s="17">
        <v>0</v>
      </c>
      <c r="AC125" s="15">
        <f t="shared" si="37"/>
        <v>0</v>
      </c>
      <c r="AD125" s="17">
        <v>0</v>
      </c>
      <c r="AE125" s="17">
        <v>0</v>
      </c>
      <c r="AF125" s="15">
        <f t="shared" si="38"/>
        <v>0</v>
      </c>
      <c r="AG125" s="17">
        <v>0</v>
      </c>
      <c r="AH125" s="17">
        <v>0</v>
      </c>
      <c r="AI125" s="15">
        <f t="shared" si="39"/>
        <v>0</v>
      </c>
      <c r="AJ125" s="17"/>
    </row>
    <row r="126" spans="1:36" x14ac:dyDescent="0.3">
      <c r="A126" s="15" t="s">
        <v>174</v>
      </c>
      <c r="B126" s="15">
        <v>100</v>
      </c>
      <c r="C126" s="15" t="s">
        <v>54</v>
      </c>
      <c r="D126" s="15" t="s">
        <v>68</v>
      </c>
      <c r="E126" s="15">
        <f>'10-JULY2026'!T126</f>
        <v>4</v>
      </c>
      <c r="F126" s="15">
        <f>'10-JULY2026'!U126</f>
        <v>0</v>
      </c>
      <c r="G126" s="15">
        <f>'10-JULY2026'!V126</f>
        <v>0</v>
      </c>
      <c r="H126" s="15">
        <f t="shared" si="30"/>
        <v>4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5">
        <f t="shared" si="31"/>
        <v>4</v>
      </c>
      <c r="T126" s="15">
        <f t="shared" si="32"/>
        <v>4</v>
      </c>
      <c r="U126" s="15">
        <f t="shared" si="33"/>
        <v>0</v>
      </c>
      <c r="V126" s="15">
        <f t="shared" si="34"/>
        <v>0</v>
      </c>
      <c r="W126" s="18" t="str">
        <f t="shared" si="35"/>
        <v/>
      </c>
      <c r="X126" s="17">
        <v>0</v>
      </c>
      <c r="Y126" s="17">
        <v>0</v>
      </c>
      <c r="Z126" s="15">
        <f t="shared" si="36"/>
        <v>0</v>
      </c>
      <c r="AA126" s="17">
        <v>0</v>
      </c>
      <c r="AB126" s="17">
        <v>0</v>
      </c>
      <c r="AC126" s="15">
        <f t="shared" si="37"/>
        <v>0</v>
      </c>
      <c r="AD126" s="17">
        <v>0</v>
      </c>
      <c r="AE126" s="17">
        <v>0</v>
      </c>
      <c r="AF126" s="15">
        <f t="shared" si="38"/>
        <v>0</v>
      </c>
      <c r="AG126" s="17">
        <v>0</v>
      </c>
      <c r="AH126" s="17">
        <v>0</v>
      </c>
      <c r="AI126" s="15">
        <f t="shared" si="39"/>
        <v>0</v>
      </c>
      <c r="AJ126" s="17"/>
    </row>
    <row r="127" spans="1:36" x14ac:dyDescent="0.3">
      <c r="A127" s="15" t="s">
        <v>175</v>
      </c>
      <c r="B127" s="15">
        <v>100</v>
      </c>
      <c r="C127" s="15" t="s">
        <v>54</v>
      </c>
      <c r="D127" s="15" t="s">
        <v>57</v>
      </c>
      <c r="E127" s="15">
        <f>'10-JULY2026'!T127</f>
        <v>4</v>
      </c>
      <c r="F127" s="15">
        <f>'10-JULY2026'!U127</f>
        <v>0</v>
      </c>
      <c r="G127" s="15">
        <f>'10-JULY2026'!V127</f>
        <v>0</v>
      </c>
      <c r="H127" s="15">
        <f t="shared" si="30"/>
        <v>4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5">
        <f t="shared" si="31"/>
        <v>4</v>
      </c>
      <c r="T127" s="15">
        <f t="shared" si="32"/>
        <v>4</v>
      </c>
      <c r="U127" s="15">
        <f t="shared" si="33"/>
        <v>0</v>
      </c>
      <c r="V127" s="15">
        <f t="shared" si="34"/>
        <v>0</v>
      </c>
      <c r="W127" s="18" t="str">
        <f t="shared" si="35"/>
        <v/>
      </c>
      <c r="X127" s="17">
        <v>0</v>
      </c>
      <c r="Y127" s="17">
        <v>0</v>
      </c>
      <c r="Z127" s="15">
        <f t="shared" si="36"/>
        <v>0</v>
      </c>
      <c r="AA127" s="17">
        <v>0</v>
      </c>
      <c r="AB127" s="17">
        <v>0</v>
      </c>
      <c r="AC127" s="15">
        <f t="shared" si="37"/>
        <v>0</v>
      </c>
      <c r="AD127" s="17">
        <v>0</v>
      </c>
      <c r="AE127" s="17">
        <v>0</v>
      </c>
      <c r="AF127" s="15">
        <f t="shared" si="38"/>
        <v>0</v>
      </c>
      <c r="AG127" s="17">
        <v>0</v>
      </c>
      <c r="AH127" s="17">
        <v>0</v>
      </c>
      <c r="AI127" s="15">
        <f t="shared" si="39"/>
        <v>0</v>
      </c>
      <c r="AJ127" s="17"/>
    </row>
    <row r="128" spans="1:36" hidden="1" x14ac:dyDescent="0.3">
      <c r="A128" s="15" t="s">
        <v>176</v>
      </c>
      <c r="B128" s="15" t="s">
        <v>177</v>
      </c>
      <c r="C128" s="15" t="s">
        <v>178</v>
      </c>
      <c r="D128" s="15" t="s">
        <v>55</v>
      </c>
      <c r="E128" s="15">
        <v>0</v>
      </c>
      <c r="F128" s="15">
        <v>0</v>
      </c>
      <c r="G128" s="15">
        <v>0</v>
      </c>
      <c r="H128" s="15">
        <f t="shared" si="30"/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5">
        <f t="shared" si="31"/>
        <v>0</v>
      </c>
      <c r="T128" s="15">
        <f t="shared" si="32"/>
        <v>0</v>
      </c>
      <c r="U128" s="15">
        <f t="shared" si="33"/>
        <v>0</v>
      </c>
      <c r="V128" s="15">
        <f t="shared" si="34"/>
        <v>0</v>
      </c>
      <c r="W128" s="18" t="str">
        <f t="shared" si="35"/>
        <v/>
      </c>
      <c r="X128" s="17">
        <v>0</v>
      </c>
      <c r="Y128" s="17">
        <v>0</v>
      </c>
      <c r="Z128" s="15">
        <f t="shared" si="36"/>
        <v>0</v>
      </c>
      <c r="AA128" s="17">
        <v>0</v>
      </c>
      <c r="AB128" s="17">
        <v>0</v>
      </c>
      <c r="AC128" s="15">
        <f t="shared" si="37"/>
        <v>0</v>
      </c>
      <c r="AD128" s="17">
        <v>0</v>
      </c>
      <c r="AE128" s="17">
        <v>0</v>
      </c>
      <c r="AF128" s="15">
        <f t="shared" si="38"/>
        <v>0</v>
      </c>
      <c r="AG128" s="17">
        <v>0</v>
      </c>
      <c r="AH128" s="17">
        <v>0</v>
      </c>
      <c r="AI128" s="15">
        <f t="shared" si="39"/>
        <v>0</v>
      </c>
      <c r="AJ128" s="17"/>
    </row>
    <row r="129" spans="1:36" x14ac:dyDescent="0.3">
      <c r="A129" s="15" t="s">
        <v>179</v>
      </c>
      <c r="B129" s="15">
        <v>2500</v>
      </c>
      <c r="C129" s="15" t="s">
        <v>54</v>
      </c>
      <c r="D129" s="15" t="s">
        <v>68</v>
      </c>
      <c r="E129" s="15">
        <f>'10-JULY2026'!T129</f>
        <v>3</v>
      </c>
      <c r="F129" s="15">
        <f>'10-JULY2026'!U129</f>
        <v>0</v>
      </c>
      <c r="G129" s="15">
        <f>'10-JULY2026'!V129</f>
        <v>0</v>
      </c>
      <c r="H129" s="15">
        <f t="shared" si="30"/>
        <v>3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5">
        <f t="shared" si="31"/>
        <v>3</v>
      </c>
      <c r="T129" s="15">
        <f t="shared" si="32"/>
        <v>3</v>
      </c>
      <c r="U129" s="15">
        <f t="shared" si="33"/>
        <v>0</v>
      </c>
      <c r="V129" s="15">
        <f t="shared" si="34"/>
        <v>0</v>
      </c>
      <c r="W129" s="18" t="str">
        <f t="shared" si="35"/>
        <v/>
      </c>
      <c r="X129" s="17">
        <v>0</v>
      </c>
      <c r="Y129" s="17">
        <v>0</v>
      </c>
      <c r="Z129" s="15">
        <f t="shared" si="36"/>
        <v>0</v>
      </c>
      <c r="AA129" s="17">
        <v>0</v>
      </c>
      <c r="AB129" s="17">
        <v>0</v>
      </c>
      <c r="AC129" s="15">
        <f t="shared" si="37"/>
        <v>0</v>
      </c>
      <c r="AD129" s="17">
        <v>0</v>
      </c>
      <c r="AE129" s="17">
        <v>0</v>
      </c>
      <c r="AF129" s="15">
        <f t="shared" si="38"/>
        <v>0</v>
      </c>
      <c r="AG129" s="17">
        <v>0</v>
      </c>
      <c r="AH129" s="17">
        <v>0</v>
      </c>
      <c r="AI129" s="15">
        <f t="shared" si="39"/>
        <v>0</v>
      </c>
      <c r="AJ129" s="17"/>
    </row>
    <row r="130" spans="1:36" x14ac:dyDescent="0.3">
      <c r="A130" s="15" t="s">
        <v>180</v>
      </c>
      <c r="B130" s="15">
        <v>1000</v>
      </c>
      <c r="C130" s="15" t="s">
        <v>54</v>
      </c>
      <c r="D130" s="15" t="s">
        <v>68</v>
      </c>
      <c r="E130" s="15">
        <f>'10-JULY2026'!T130</f>
        <v>2</v>
      </c>
      <c r="F130" s="15">
        <f>'10-JULY2026'!U130</f>
        <v>0</v>
      </c>
      <c r="G130" s="15">
        <f>'10-JULY2026'!V130</f>
        <v>0</v>
      </c>
      <c r="H130" s="15">
        <f t="shared" si="30"/>
        <v>2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5">
        <f t="shared" si="31"/>
        <v>2</v>
      </c>
      <c r="T130" s="15">
        <f t="shared" si="32"/>
        <v>2</v>
      </c>
      <c r="U130" s="15">
        <f t="shared" si="33"/>
        <v>0</v>
      </c>
      <c r="V130" s="15">
        <f t="shared" si="34"/>
        <v>0</v>
      </c>
      <c r="W130" s="18" t="str">
        <f t="shared" si="35"/>
        <v/>
      </c>
      <c r="X130" s="17">
        <v>0</v>
      </c>
      <c r="Y130" s="17">
        <v>0</v>
      </c>
      <c r="Z130" s="15">
        <f t="shared" si="36"/>
        <v>0</v>
      </c>
      <c r="AA130" s="17">
        <v>0</v>
      </c>
      <c r="AB130" s="17">
        <v>0</v>
      </c>
      <c r="AC130" s="15">
        <f t="shared" si="37"/>
        <v>0</v>
      </c>
      <c r="AD130" s="17">
        <v>0</v>
      </c>
      <c r="AE130" s="17">
        <v>0</v>
      </c>
      <c r="AF130" s="15">
        <f t="shared" si="38"/>
        <v>0</v>
      </c>
      <c r="AG130" s="17">
        <v>0</v>
      </c>
      <c r="AH130" s="17">
        <v>0</v>
      </c>
      <c r="AI130" s="15">
        <f t="shared" si="39"/>
        <v>0</v>
      </c>
      <c r="AJ130" s="17"/>
    </row>
    <row r="131" spans="1:36" x14ac:dyDescent="0.3">
      <c r="A131" s="15" t="s">
        <v>181</v>
      </c>
      <c r="B131" s="15">
        <v>100</v>
      </c>
      <c r="C131" s="15" t="s">
        <v>54</v>
      </c>
      <c r="D131" s="15" t="s">
        <v>57</v>
      </c>
      <c r="E131" s="15">
        <f>'10-JULY2026'!T131</f>
        <v>7</v>
      </c>
      <c r="F131" s="15">
        <f>'10-JULY2026'!U131</f>
        <v>0</v>
      </c>
      <c r="G131" s="15">
        <f>'10-JULY2026'!V131</f>
        <v>0</v>
      </c>
      <c r="H131" s="15">
        <f t="shared" ref="H131:H162" si="40">E131+F131+G131</f>
        <v>7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5">
        <f t="shared" ref="S131:S162" si="41">H131+O131+P131+Q131+R131-(I131+J131+K131+L131+M131+N131)</f>
        <v>7</v>
      </c>
      <c r="T131" s="15">
        <f t="shared" ref="T131:T162" si="42">E131+O131-I131-L131</f>
        <v>7</v>
      </c>
      <c r="U131" s="15">
        <f t="shared" ref="U131:U162" si="43">F131+P131-J131-M131</f>
        <v>0</v>
      </c>
      <c r="V131" s="15">
        <f t="shared" ref="V131:V162" si="44">G131+Q131-K131-N131</f>
        <v>0</v>
      </c>
      <c r="W131" s="18" t="str">
        <f t="shared" ref="W131:W162" si="45">IF(MIN(T131,U131,V131)&lt;0,"NEGATIVE STOCK - CHECK ENTRIES","")</f>
        <v/>
      </c>
      <c r="X131" s="17">
        <v>0</v>
      </c>
      <c r="Y131" s="17">
        <v>0</v>
      </c>
      <c r="Z131" s="15">
        <f t="shared" ref="Z131:Z162" si="46">X131-Y131</f>
        <v>0</v>
      </c>
      <c r="AA131" s="17">
        <v>0</v>
      </c>
      <c r="AB131" s="17">
        <v>0</v>
      </c>
      <c r="AC131" s="15">
        <f t="shared" ref="AC131:AC162" si="47">AA131-AB131</f>
        <v>0</v>
      </c>
      <c r="AD131" s="17">
        <v>0</v>
      </c>
      <c r="AE131" s="17">
        <v>0</v>
      </c>
      <c r="AF131" s="15">
        <f t="shared" ref="AF131:AF162" si="48">AD131-AE131</f>
        <v>0</v>
      </c>
      <c r="AG131" s="17">
        <v>0</v>
      </c>
      <c r="AH131" s="17">
        <v>0</v>
      </c>
      <c r="AI131" s="15">
        <f t="shared" ref="AI131:AI162" si="49">AG131-AH131</f>
        <v>0</v>
      </c>
      <c r="AJ131" s="17"/>
    </row>
    <row r="132" spans="1:36" x14ac:dyDescent="0.3">
      <c r="A132" s="15" t="s">
        <v>182</v>
      </c>
      <c r="B132" s="15">
        <v>1000</v>
      </c>
      <c r="C132" s="15" t="s">
        <v>54</v>
      </c>
      <c r="D132" s="15" t="s">
        <v>68</v>
      </c>
      <c r="E132" s="15">
        <f>'10-JULY2026'!T132</f>
        <v>4</v>
      </c>
      <c r="F132" s="15">
        <f>'10-JULY2026'!U132</f>
        <v>0</v>
      </c>
      <c r="G132" s="15">
        <f>'10-JULY2026'!V132</f>
        <v>0</v>
      </c>
      <c r="H132" s="15">
        <f t="shared" si="40"/>
        <v>4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5">
        <f t="shared" si="41"/>
        <v>4</v>
      </c>
      <c r="T132" s="15">
        <f t="shared" si="42"/>
        <v>4</v>
      </c>
      <c r="U132" s="15">
        <f t="shared" si="43"/>
        <v>0</v>
      </c>
      <c r="V132" s="15">
        <f t="shared" si="44"/>
        <v>0</v>
      </c>
      <c r="W132" s="18" t="str">
        <f t="shared" si="45"/>
        <v/>
      </c>
      <c r="X132" s="17">
        <v>0</v>
      </c>
      <c r="Y132" s="17">
        <v>0</v>
      </c>
      <c r="Z132" s="15">
        <f t="shared" si="46"/>
        <v>0</v>
      </c>
      <c r="AA132" s="17">
        <v>0</v>
      </c>
      <c r="AB132" s="17">
        <v>0</v>
      </c>
      <c r="AC132" s="15">
        <f t="shared" si="47"/>
        <v>0</v>
      </c>
      <c r="AD132" s="17">
        <v>0</v>
      </c>
      <c r="AE132" s="17">
        <v>0</v>
      </c>
      <c r="AF132" s="15">
        <f t="shared" si="48"/>
        <v>0</v>
      </c>
      <c r="AG132" s="17">
        <v>0</v>
      </c>
      <c r="AH132" s="17">
        <v>0</v>
      </c>
      <c r="AI132" s="15">
        <f t="shared" si="49"/>
        <v>0</v>
      </c>
      <c r="AJ132" s="17"/>
    </row>
    <row r="133" spans="1:36" x14ac:dyDescent="0.3">
      <c r="A133" s="15" t="s">
        <v>183</v>
      </c>
      <c r="B133" s="15">
        <v>100</v>
      </c>
      <c r="C133" s="15" t="s">
        <v>54</v>
      </c>
      <c r="D133" s="15" t="s">
        <v>68</v>
      </c>
      <c r="E133" s="15">
        <f>'10-JULY2026'!T133</f>
        <v>2</v>
      </c>
      <c r="F133" s="15">
        <f>'10-JULY2026'!U133</f>
        <v>0</v>
      </c>
      <c r="G133" s="15">
        <f>'10-JULY2026'!V133</f>
        <v>0</v>
      </c>
      <c r="H133" s="15">
        <f t="shared" si="40"/>
        <v>2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5">
        <f t="shared" si="41"/>
        <v>2</v>
      </c>
      <c r="T133" s="15">
        <f t="shared" si="42"/>
        <v>2</v>
      </c>
      <c r="U133" s="15">
        <f t="shared" si="43"/>
        <v>0</v>
      </c>
      <c r="V133" s="15">
        <f t="shared" si="44"/>
        <v>0</v>
      </c>
      <c r="W133" s="18" t="str">
        <f t="shared" si="45"/>
        <v/>
      </c>
      <c r="X133" s="17">
        <v>0</v>
      </c>
      <c r="Y133" s="17">
        <v>0</v>
      </c>
      <c r="Z133" s="15">
        <f t="shared" si="46"/>
        <v>0</v>
      </c>
      <c r="AA133" s="17">
        <v>0</v>
      </c>
      <c r="AB133" s="17">
        <v>0</v>
      </c>
      <c r="AC133" s="15">
        <f t="shared" si="47"/>
        <v>0</v>
      </c>
      <c r="AD133" s="17">
        <v>0</v>
      </c>
      <c r="AE133" s="17">
        <v>0</v>
      </c>
      <c r="AF133" s="15">
        <f t="shared" si="48"/>
        <v>0</v>
      </c>
      <c r="AG133" s="17">
        <v>0</v>
      </c>
      <c r="AH133" s="17">
        <v>0</v>
      </c>
      <c r="AI133" s="15">
        <f t="shared" si="49"/>
        <v>0</v>
      </c>
      <c r="AJ133" s="17"/>
    </row>
    <row r="134" spans="1:36" hidden="1" x14ac:dyDescent="0.3">
      <c r="A134" s="15" t="s">
        <v>184</v>
      </c>
      <c r="B134" s="15">
        <v>1000</v>
      </c>
      <c r="C134" s="15" t="s">
        <v>54</v>
      </c>
      <c r="D134" s="15" t="s">
        <v>55</v>
      </c>
      <c r="E134" s="15">
        <v>0</v>
      </c>
      <c r="F134" s="15">
        <v>0</v>
      </c>
      <c r="G134" s="15">
        <v>0</v>
      </c>
      <c r="H134" s="15">
        <f t="shared" si="40"/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5">
        <f t="shared" si="41"/>
        <v>0</v>
      </c>
      <c r="T134" s="15">
        <f t="shared" si="42"/>
        <v>0</v>
      </c>
      <c r="U134" s="15">
        <f t="shared" si="43"/>
        <v>0</v>
      </c>
      <c r="V134" s="15">
        <f t="shared" si="44"/>
        <v>0</v>
      </c>
      <c r="W134" s="18" t="str">
        <f t="shared" si="45"/>
        <v/>
      </c>
      <c r="X134" s="17">
        <v>0</v>
      </c>
      <c r="Y134" s="17">
        <v>0</v>
      </c>
      <c r="Z134" s="15">
        <f t="shared" si="46"/>
        <v>0</v>
      </c>
      <c r="AA134" s="17">
        <v>0</v>
      </c>
      <c r="AB134" s="17">
        <v>0</v>
      </c>
      <c r="AC134" s="15">
        <f t="shared" si="47"/>
        <v>0</v>
      </c>
      <c r="AD134" s="17">
        <v>0</v>
      </c>
      <c r="AE134" s="17">
        <v>0</v>
      </c>
      <c r="AF134" s="15">
        <f t="shared" si="48"/>
        <v>0</v>
      </c>
      <c r="AG134" s="17">
        <v>0</v>
      </c>
      <c r="AH134" s="17">
        <v>0</v>
      </c>
      <c r="AI134" s="15">
        <f t="shared" si="49"/>
        <v>0</v>
      </c>
      <c r="AJ134" s="17"/>
    </row>
    <row r="135" spans="1:36" x14ac:dyDescent="0.3">
      <c r="A135" s="15" t="s">
        <v>185</v>
      </c>
      <c r="B135" s="15">
        <v>100</v>
      </c>
      <c r="C135" s="15" t="s">
        <v>54</v>
      </c>
      <c r="D135" s="15" t="s">
        <v>68</v>
      </c>
      <c r="E135" s="15">
        <f>'10-JULY2026'!T135</f>
        <v>6</v>
      </c>
      <c r="F135" s="15">
        <f>'10-JULY2026'!U135</f>
        <v>0</v>
      </c>
      <c r="G135" s="15">
        <f>'10-JULY2026'!V135</f>
        <v>0</v>
      </c>
      <c r="H135" s="15">
        <f t="shared" si="40"/>
        <v>6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5">
        <f t="shared" si="41"/>
        <v>6</v>
      </c>
      <c r="T135" s="15">
        <f t="shared" si="42"/>
        <v>6</v>
      </c>
      <c r="U135" s="15">
        <f t="shared" si="43"/>
        <v>0</v>
      </c>
      <c r="V135" s="15">
        <f t="shared" si="44"/>
        <v>0</v>
      </c>
      <c r="W135" s="18" t="str">
        <f t="shared" si="45"/>
        <v/>
      </c>
      <c r="X135" s="17">
        <v>0</v>
      </c>
      <c r="Y135" s="17">
        <v>0</v>
      </c>
      <c r="Z135" s="15">
        <f t="shared" si="46"/>
        <v>0</v>
      </c>
      <c r="AA135" s="17">
        <v>0</v>
      </c>
      <c r="AB135" s="17">
        <v>0</v>
      </c>
      <c r="AC135" s="15">
        <f t="shared" si="47"/>
        <v>0</v>
      </c>
      <c r="AD135" s="17">
        <v>0</v>
      </c>
      <c r="AE135" s="17">
        <v>0</v>
      </c>
      <c r="AF135" s="15">
        <f t="shared" si="48"/>
        <v>0</v>
      </c>
      <c r="AG135" s="17">
        <v>0</v>
      </c>
      <c r="AH135" s="17">
        <v>0</v>
      </c>
      <c r="AI135" s="15">
        <f t="shared" si="49"/>
        <v>0</v>
      </c>
      <c r="AJ135" s="17"/>
    </row>
    <row r="136" spans="1:36" x14ac:dyDescent="0.3">
      <c r="A136" s="15" t="s">
        <v>186</v>
      </c>
      <c r="B136" s="15">
        <v>100</v>
      </c>
      <c r="C136" s="15" t="s">
        <v>54</v>
      </c>
      <c r="D136" s="15" t="s">
        <v>57</v>
      </c>
      <c r="E136" s="15">
        <f>'10-JULY2026'!T136</f>
        <v>4</v>
      </c>
      <c r="F136" s="15">
        <f>'10-JULY2026'!U136</f>
        <v>0</v>
      </c>
      <c r="G136" s="15">
        <f>'10-JULY2026'!V136</f>
        <v>0</v>
      </c>
      <c r="H136" s="15">
        <f t="shared" si="40"/>
        <v>4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5">
        <f t="shared" si="41"/>
        <v>4</v>
      </c>
      <c r="T136" s="15">
        <f t="shared" si="42"/>
        <v>4</v>
      </c>
      <c r="U136" s="15">
        <f t="shared" si="43"/>
        <v>0</v>
      </c>
      <c r="V136" s="15">
        <f t="shared" si="44"/>
        <v>0</v>
      </c>
      <c r="W136" s="18" t="str">
        <f t="shared" si="45"/>
        <v/>
      </c>
      <c r="X136" s="17">
        <v>0</v>
      </c>
      <c r="Y136" s="17">
        <v>0</v>
      </c>
      <c r="Z136" s="15">
        <f t="shared" si="46"/>
        <v>0</v>
      </c>
      <c r="AA136" s="17">
        <v>0</v>
      </c>
      <c r="AB136" s="17">
        <v>0</v>
      </c>
      <c r="AC136" s="15">
        <f t="shared" si="47"/>
        <v>0</v>
      </c>
      <c r="AD136" s="17">
        <v>0</v>
      </c>
      <c r="AE136" s="17">
        <v>0</v>
      </c>
      <c r="AF136" s="15">
        <f t="shared" si="48"/>
        <v>0</v>
      </c>
      <c r="AG136" s="17">
        <v>0</v>
      </c>
      <c r="AH136" s="17">
        <v>0</v>
      </c>
      <c r="AI136" s="15">
        <f t="shared" si="49"/>
        <v>0</v>
      </c>
      <c r="AJ136" s="17"/>
    </row>
    <row r="137" spans="1:36" x14ac:dyDescent="0.3">
      <c r="A137" s="15" t="s">
        <v>187</v>
      </c>
      <c r="B137" s="15">
        <v>1000</v>
      </c>
      <c r="C137" s="15" t="s">
        <v>54</v>
      </c>
      <c r="D137" s="15" t="s">
        <v>68</v>
      </c>
      <c r="E137" s="15">
        <f>'10-JULY2026'!T137</f>
        <v>1</v>
      </c>
      <c r="F137" s="15">
        <f>'10-JULY2026'!U137</f>
        <v>0</v>
      </c>
      <c r="G137" s="15">
        <f>'10-JULY2026'!V137</f>
        <v>0</v>
      </c>
      <c r="H137" s="15">
        <f t="shared" si="40"/>
        <v>1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5">
        <f t="shared" si="41"/>
        <v>1</v>
      </c>
      <c r="T137" s="15">
        <f t="shared" si="42"/>
        <v>1</v>
      </c>
      <c r="U137" s="15">
        <f t="shared" si="43"/>
        <v>0</v>
      </c>
      <c r="V137" s="15">
        <f t="shared" si="44"/>
        <v>0</v>
      </c>
      <c r="W137" s="18" t="str">
        <f t="shared" si="45"/>
        <v/>
      </c>
      <c r="X137" s="17">
        <v>0</v>
      </c>
      <c r="Y137" s="17">
        <v>0</v>
      </c>
      <c r="Z137" s="15">
        <f t="shared" si="46"/>
        <v>0</v>
      </c>
      <c r="AA137" s="17">
        <v>0</v>
      </c>
      <c r="AB137" s="17">
        <v>0</v>
      </c>
      <c r="AC137" s="15">
        <f t="shared" si="47"/>
        <v>0</v>
      </c>
      <c r="AD137" s="17">
        <v>0</v>
      </c>
      <c r="AE137" s="17">
        <v>0</v>
      </c>
      <c r="AF137" s="15">
        <f t="shared" si="48"/>
        <v>0</v>
      </c>
      <c r="AG137" s="17">
        <v>0</v>
      </c>
      <c r="AH137" s="17">
        <v>0</v>
      </c>
      <c r="AI137" s="15">
        <f t="shared" si="49"/>
        <v>0</v>
      </c>
      <c r="AJ137" s="17"/>
    </row>
    <row r="138" spans="1:36" x14ac:dyDescent="0.3">
      <c r="A138" s="15" t="s">
        <v>188</v>
      </c>
      <c r="B138" s="15">
        <v>100</v>
      </c>
      <c r="C138" s="15" t="s">
        <v>54</v>
      </c>
      <c r="D138" s="15" t="s">
        <v>57</v>
      </c>
      <c r="E138" s="15">
        <f>'10-JULY2026'!T138</f>
        <v>3</v>
      </c>
      <c r="F138" s="15">
        <f>'10-JULY2026'!U138</f>
        <v>0</v>
      </c>
      <c r="G138" s="15">
        <f>'10-JULY2026'!V138</f>
        <v>0</v>
      </c>
      <c r="H138" s="15">
        <f t="shared" si="40"/>
        <v>3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5">
        <f t="shared" si="41"/>
        <v>3</v>
      </c>
      <c r="T138" s="15">
        <f t="shared" si="42"/>
        <v>3</v>
      </c>
      <c r="U138" s="15">
        <f t="shared" si="43"/>
        <v>0</v>
      </c>
      <c r="V138" s="15">
        <f t="shared" si="44"/>
        <v>0</v>
      </c>
      <c r="W138" s="18" t="str">
        <f t="shared" si="45"/>
        <v/>
      </c>
      <c r="X138" s="17">
        <v>0</v>
      </c>
      <c r="Y138" s="17">
        <v>0</v>
      </c>
      <c r="Z138" s="15">
        <f t="shared" si="46"/>
        <v>0</v>
      </c>
      <c r="AA138" s="17">
        <v>0</v>
      </c>
      <c r="AB138" s="17">
        <v>0</v>
      </c>
      <c r="AC138" s="15">
        <f t="shared" si="47"/>
        <v>0</v>
      </c>
      <c r="AD138" s="17">
        <v>0</v>
      </c>
      <c r="AE138" s="17">
        <v>0</v>
      </c>
      <c r="AF138" s="15">
        <f t="shared" si="48"/>
        <v>0</v>
      </c>
      <c r="AG138" s="17">
        <v>0</v>
      </c>
      <c r="AH138" s="17">
        <v>0</v>
      </c>
      <c r="AI138" s="15">
        <f t="shared" si="49"/>
        <v>0</v>
      </c>
      <c r="AJ138" s="17"/>
    </row>
    <row r="139" spans="1:36" x14ac:dyDescent="0.3">
      <c r="A139" s="15" t="s">
        <v>189</v>
      </c>
      <c r="B139" s="15">
        <v>100</v>
      </c>
      <c r="C139" s="15" t="s">
        <v>54</v>
      </c>
      <c r="D139" s="15" t="s">
        <v>68</v>
      </c>
      <c r="E139" s="15">
        <f>'10-JULY2026'!T139</f>
        <v>4</v>
      </c>
      <c r="F139" s="15">
        <f>'10-JULY2026'!U139</f>
        <v>0</v>
      </c>
      <c r="G139" s="15">
        <f>'10-JULY2026'!V139</f>
        <v>0</v>
      </c>
      <c r="H139" s="15">
        <f t="shared" si="40"/>
        <v>4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5">
        <f t="shared" si="41"/>
        <v>4</v>
      </c>
      <c r="T139" s="15">
        <f t="shared" si="42"/>
        <v>4</v>
      </c>
      <c r="U139" s="15">
        <f t="shared" si="43"/>
        <v>0</v>
      </c>
      <c r="V139" s="15">
        <f t="shared" si="44"/>
        <v>0</v>
      </c>
      <c r="W139" s="18" t="str">
        <f t="shared" si="45"/>
        <v/>
      </c>
      <c r="X139" s="17">
        <v>0</v>
      </c>
      <c r="Y139" s="17">
        <v>0</v>
      </c>
      <c r="Z139" s="15">
        <f t="shared" si="46"/>
        <v>0</v>
      </c>
      <c r="AA139" s="17">
        <v>0</v>
      </c>
      <c r="AB139" s="17">
        <v>0</v>
      </c>
      <c r="AC139" s="15">
        <f t="shared" si="47"/>
        <v>0</v>
      </c>
      <c r="AD139" s="17">
        <v>0</v>
      </c>
      <c r="AE139" s="17">
        <v>0</v>
      </c>
      <c r="AF139" s="15">
        <f t="shared" si="48"/>
        <v>0</v>
      </c>
      <c r="AG139" s="17">
        <v>0</v>
      </c>
      <c r="AH139" s="17">
        <v>0</v>
      </c>
      <c r="AI139" s="15">
        <f t="shared" si="49"/>
        <v>0</v>
      </c>
      <c r="AJ139" s="17"/>
    </row>
    <row r="140" spans="1:36" x14ac:dyDescent="0.3">
      <c r="A140" s="15" t="s">
        <v>190</v>
      </c>
      <c r="B140" s="15">
        <v>100</v>
      </c>
      <c r="C140" s="15" t="s">
        <v>54</v>
      </c>
      <c r="D140" s="15" t="s">
        <v>57</v>
      </c>
      <c r="E140" s="15">
        <f>'10-JULY2026'!T140</f>
        <v>4</v>
      </c>
      <c r="F140" s="15">
        <f>'10-JULY2026'!U140</f>
        <v>0</v>
      </c>
      <c r="G140" s="15">
        <f>'10-JULY2026'!V140</f>
        <v>0</v>
      </c>
      <c r="H140" s="15">
        <f t="shared" si="40"/>
        <v>4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5">
        <f t="shared" si="41"/>
        <v>4</v>
      </c>
      <c r="T140" s="15">
        <f t="shared" si="42"/>
        <v>4</v>
      </c>
      <c r="U140" s="15">
        <f t="shared" si="43"/>
        <v>0</v>
      </c>
      <c r="V140" s="15">
        <f t="shared" si="44"/>
        <v>0</v>
      </c>
      <c r="W140" s="18" t="str">
        <f t="shared" si="45"/>
        <v/>
      </c>
      <c r="X140" s="17">
        <v>0</v>
      </c>
      <c r="Y140" s="17">
        <v>0</v>
      </c>
      <c r="Z140" s="15">
        <f t="shared" si="46"/>
        <v>0</v>
      </c>
      <c r="AA140" s="17">
        <v>0</v>
      </c>
      <c r="AB140" s="17">
        <v>0</v>
      </c>
      <c r="AC140" s="15">
        <f t="shared" si="47"/>
        <v>0</v>
      </c>
      <c r="AD140" s="17">
        <v>0</v>
      </c>
      <c r="AE140" s="17">
        <v>0</v>
      </c>
      <c r="AF140" s="15">
        <f t="shared" si="48"/>
        <v>0</v>
      </c>
      <c r="AG140" s="17">
        <v>0</v>
      </c>
      <c r="AH140" s="17">
        <v>0</v>
      </c>
      <c r="AI140" s="15">
        <f t="shared" si="49"/>
        <v>0</v>
      </c>
      <c r="AJ140" s="17"/>
    </row>
    <row r="141" spans="1:36" x14ac:dyDescent="0.3">
      <c r="A141" s="15" t="s">
        <v>191</v>
      </c>
      <c r="B141" s="15">
        <v>100</v>
      </c>
      <c r="C141" s="15" t="s">
        <v>54</v>
      </c>
      <c r="D141" s="15" t="s">
        <v>68</v>
      </c>
      <c r="E141" s="15">
        <f>'10-JULY2026'!T141</f>
        <v>2</v>
      </c>
      <c r="F141" s="15">
        <f>'10-JULY2026'!U141</f>
        <v>0</v>
      </c>
      <c r="G141" s="15">
        <f>'10-JULY2026'!V141</f>
        <v>0</v>
      </c>
      <c r="H141" s="15">
        <f t="shared" si="40"/>
        <v>2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5">
        <f t="shared" si="41"/>
        <v>2</v>
      </c>
      <c r="T141" s="15">
        <f t="shared" si="42"/>
        <v>2</v>
      </c>
      <c r="U141" s="15">
        <f t="shared" si="43"/>
        <v>0</v>
      </c>
      <c r="V141" s="15">
        <f t="shared" si="44"/>
        <v>0</v>
      </c>
      <c r="W141" s="18" t="str">
        <f t="shared" si="45"/>
        <v/>
      </c>
      <c r="X141" s="17">
        <v>0</v>
      </c>
      <c r="Y141" s="17">
        <v>0</v>
      </c>
      <c r="Z141" s="15">
        <f t="shared" si="46"/>
        <v>0</v>
      </c>
      <c r="AA141" s="17">
        <v>0</v>
      </c>
      <c r="AB141" s="17">
        <v>0</v>
      </c>
      <c r="AC141" s="15">
        <f t="shared" si="47"/>
        <v>0</v>
      </c>
      <c r="AD141" s="17">
        <v>0</v>
      </c>
      <c r="AE141" s="17">
        <v>0</v>
      </c>
      <c r="AF141" s="15">
        <f t="shared" si="48"/>
        <v>0</v>
      </c>
      <c r="AG141" s="17">
        <v>0</v>
      </c>
      <c r="AH141" s="17">
        <v>0</v>
      </c>
      <c r="AI141" s="15">
        <f t="shared" si="49"/>
        <v>0</v>
      </c>
      <c r="AJ141" s="17"/>
    </row>
    <row r="142" spans="1:36" hidden="1" x14ac:dyDescent="0.3">
      <c r="A142" s="15" t="s">
        <v>192</v>
      </c>
      <c r="B142" s="15">
        <v>100</v>
      </c>
      <c r="C142" s="15" t="s">
        <v>54</v>
      </c>
      <c r="D142" s="15" t="s">
        <v>55</v>
      </c>
      <c r="E142" s="15">
        <f>'10-JULY2026'!T142</f>
        <v>72</v>
      </c>
      <c r="F142" s="15">
        <f>'10-JULY2026'!U142</f>
        <v>19</v>
      </c>
      <c r="G142" s="15">
        <f>'10-JULY2026'!V142</f>
        <v>10</v>
      </c>
      <c r="H142" s="15">
        <f t="shared" si="40"/>
        <v>101</v>
      </c>
      <c r="I142" s="17">
        <v>56</v>
      </c>
      <c r="J142" s="17">
        <v>0</v>
      </c>
      <c r="K142" s="17">
        <v>0</v>
      </c>
      <c r="L142" s="17">
        <v>3</v>
      </c>
      <c r="M142" s="17">
        <v>3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5">
        <f t="shared" si="41"/>
        <v>39</v>
      </c>
      <c r="T142" s="15">
        <f t="shared" si="42"/>
        <v>13</v>
      </c>
      <c r="U142" s="15">
        <f t="shared" si="43"/>
        <v>16</v>
      </c>
      <c r="V142" s="15">
        <f t="shared" si="44"/>
        <v>10</v>
      </c>
      <c r="W142" s="18" t="str">
        <f t="shared" si="45"/>
        <v/>
      </c>
      <c r="X142" s="17">
        <v>0</v>
      </c>
      <c r="Y142" s="17">
        <v>0</v>
      </c>
      <c r="Z142" s="15">
        <f t="shared" si="46"/>
        <v>0</v>
      </c>
      <c r="AA142" s="17">
        <v>0</v>
      </c>
      <c r="AB142" s="17">
        <v>0</v>
      </c>
      <c r="AC142" s="15">
        <f t="shared" si="47"/>
        <v>0</v>
      </c>
      <c r="AD142" s="17">
        <v>0</v>
      </c>
      <c r="AE142" s="17">
        <v>0</v>
      </c>
      <c r="AF142" s="15">
        <f t="shared" si="48"/>
        <v>0</v>
      </c>
      <c r="AG142" s="17">
        <v>0</v>
      </c>
      <c r="AH142" s="17">
        <v>0</v>
      </c>
      <c r="AI142" s="15">
        <f t="shared" si="49"/>
        <v>0</v>
      </c>
      <c r="AJ142" s="17"/>
    </row>
    <row r="143" spans="1:36" hidden="1" x14ac:dyDescent="0.3">
      <c r="A143" s="15" t="s">
        <v>192</v>
      </c>
      <c r="B143" s="15">
        <v>500</v>
      </c>
      <c r="C143" s="15" t="s">
        <v>54</v>
      </c>
      <c r="D143" s="15" t="s">
        <v>55</v>
      </c>
      <c r="E143" s="15">
        <f>'10-JULY2026'!T143</f>
        <v>45</v>
      </c>
      <c r="F143" s="15">
        <f>'10-JULY2026'!U143</f>
        <v>5</v>
      </c>
      <c r="G143" s="15">
        <f>'10-JULY2026'!V143</f>
        <v>7</v>
      </c>
      <c r="H143" s="15">
        <f t="shared" si="40"/>
        <v>57</v>
      </c>
      <c r="I143" s="17">
        <v>23</v>
      </c>
      <c r="J143" s="17">
        <v>1</v>
      </c>
      <c r="K143" s="17">
        <v>1</v>
      </c>
      <c r="L143" s="17">
        <v>16</v>
      </c>
      <c r="M143" s="17">
        <v>12</v>
      </c>
      <c r="N143" s="17">
        <v>0</v>
      </c>
      <c r="O143" s="17">
        <v>0</v>
      </c>
      <c r="P143" s="17">
        <v>10</v>
      </c>
      <c r="Q143" s="17">
        <v>0</v>
      </c>
      <c r="R143" s="17">
        <v>0</v>
      </c>
      <c r="S143" s="15">
        <f t="shared" si="41"/>
        <v>14</v>
      </c>
      <c r="T143" s="15">
        <f t="shared" si="42"/>
        <v>6</v>
      </c>
      <c r="U143" s="15">
        <f t="shared" si="43"/>
        <v>2</v>
      </c>
      <c r="V143" s="15">
        <f t="shared" si="44"/>
        <v>6</v>
      </c>
      <c r="W143" s="18" t="str">
        <f t="shared" si="45"/>
        <v/>
      </c>
      <c r="X143" s="17">
        <v>0</v>
      </c>
      <c r="Y143" s="17">
        <v>0</v>
      </c>
      <c r="Z143" s="15">
        <f t="shared" si="46"/>
        <v>0</v>
      </c>
      <c r="AA143" s="17">
        <v>0</v>
      </c>
      <c r="AB143" s="17">
        <v>0</v>
      </c>
      <c r="AC143" s="15">
        <f t="shared" si="47"/>
        <v>0</v>
      </c>
      <c r="AD143" s="17">
        <v>0</v>
      </c>
      <c r="AE143" s="17">
        <v>0</v>
      </c>
      <c r="AF143" s="15">
        <f t="shared" si="48"/>
        <v>0</v>
      </c>
      <c r="AG143" s="17">
        <v>0</v>
      </c>
      <c r="AH143" s="17">
        <v>0</v>
      </c>
      <c r="AI143" s="15">
        <f t="shared" si="49"/>
        <v>0</v>
      </c>
      <c r="AJ143" s="17"/>
    </row>
    <row r="144" spans="1:36" x14ac:dyDescent="0.3">
      <c r="A144" s="15" t="s">
        <v>193</v>
      </c>
      <c r="B144" s="15">
        <v>100</v>
      </c>
      <c r="C144" s="15" t="s">
        <v>54</v>
      </c>
      <c r="D144" s="15" t="s">
        <v>57</v>
      </c>
      <c r="E144" s="15">
        <f>'10-JULY2026'!T144</f>
        <v>1</v>
      </c>
      <c r="F144" s="15">
        <f>'10-JULY2026'!U144</f>
        <v>0</v>
      </c>
      <c r="G144" s="15">
        <f>'10-JULY2026'!V144</f>
        <v>0</v>
      </c>
      <c r="H144" s="15">
        <f t="shared" si="40"/>
        <v>1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5">
        <f t="shared" si="41"/>
        <v>1</v>
      </c>
      <c r="T144" s="15">
        <f t="shared" si="42"/>
        <v>1</v>
      </c>
      <c r="U144" s="15">
        <f t="shared" si="43"/>
        <v>0</v>
      </c>
      <c r="V144" s="15">
        <f t="shared" si="44"/>
        <v>0</v>
      </c>
      <c r="W144" s="18" t="str">
        <f t="shared" si="45"/>
        <v/>
      </c>
      <c r="X144" s="17">
        <v>0</v>
      </c>
      <c r="Y144" s="17">
        <v>0</v>
      </c>
      <c r="Z144" s="15">
        <f t="shared" si="46"/>
        <v>0</v>
      </c>
      <c r="AA144" s="17">
        <v>0</v>
      </c>
      <c r="AB144" s="17">
        <v>0</v>
      </c>
      <c r="AC144" s="15">
        <f t="shared" si="47"/>
        <v>0</v>
      </c>
      <c r="AD144" s="17">
        <v>0</v>
      </c>
      <c r="AE144" s="17">
        <v>0</v>
      </c>
      <c r="AF144" s="15">
        <f t="shared" si="48"/>
        <v>0</v>
      </c>
      <c r="AG144" s="17">
        <v>0</v>
      </c>
      <c r="AH144" s="17">
        <v>0</v>
      </c>
      <c r="AI144" s="15">
        <f t="shared" si="49"/>
        <v>0</v>
      </c>
      <c r="AJ144" s="17"/>
    </row>
    <row r="145" spans="1:36" hidden="1" x14ac:dyDescent="0.3">
      <c r="A145" s="15" t="s">
        <v>194</v>
      </c>
      <c r="B145" s="15">
        <v>1000</v>
      </c>
      <c r="C145" s="15"/>
      <c r="D145" s="15" t="s">
        <v>55</v>
      </c>
      <c r="E145" s="15">
        <f>'10-JULY2026'!T145</f>
        <v>0</v>
      </c>
      <c r="F145" s="15">
        <f>'10-JULY2026'!U145</f>
        <v>0</v>
      </c>
      <c r="G145" s="15">
        <f>'10-JULY2026'!V145</f>
        <v>0</v>
      </c>
      <c r="H145" s="15">
        <f t="shared" si="40"/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5">
        <f t="shared" si="41"/>
        <v>0</v>
      </c>
      <c r="T145" s="15">
        <f t="shared" si="42"/>
        <v>0</v>
      </c>
      <c r="U145" s="15">
        <f t="shared" si="43"/>
        <v>0</v>
      </c>
      <c r="V145" s="15">
        <f t="shared" si="44"/>
        <v>0</v>
      </c>
      <c r="W145" s="18" t="str">
        <f t="shared" si="45"/>
        <v/>
      </c>
      <c r="X145" s="17">
        <v>0</v>
      </c>
      <c r="Y145" s="17">
        <v>0</v>
      </c>
      <c r="Z145" s="15">
        <f t="shared" si="46"/>
        <v>0</v>
      </c>
      <c r="AA145" s="17">
        <v>0</v>
      </c>
      <c r="AB145" s="17">
        <v>0</v>
      </c>
      <c r="AC145" s="15">
        <f t="shared" si="47"/>
        <v>0</v>
      </c>
      <c r="AD145" s="17">
        <v>0</v>
      </c>
      <c r="AE145" s="17">
        <v>0</v>
      </c>
      <c r="AF145" s="15">
        <f t="shared" si="48"/>
        <v>0</v>
      </c>
      <c r="AG145" s="17">
        <v>0</v>
      </c>
      <c r="AH145" s="17">
        <v>0</v>
      </c>
      <c r="AI145" s="15">
        <f t="shared" si="49"/>
        <v>0</v>
      </c>
      <c r="AJ145" s="17"/>
    </row>
    <row r="146" spans="1:36" x14ac:dyDescent="0.3">
      <c r="A146" s="15" t="s">
        <v>195</v>
      </c>
      <c r="B146" s="15">
        <v>1000</v>
      </c>
      <c r="C146" s="15" t="s">
        <v>54</v>
      </c>
      <c r="D146" s="15" t="s">
        <v>68</v>
      </c>
      <c r="E146" s="15">
        <f>'10-JULY2026'!T146</f>
        <v>2</v>
      </c>
      <c r="F146" s="15">
        <f>'10-JULY2026'!U146</f>
        <v>0</v>
      </c>
      <c r="G146" s="15">
        <f>'10-JULY2026'!V146</f>
        <v>0</v>
      </c>
      <c r="H146" s="15">
        <f t="shared" si="40"/>
        <v>2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5">
        <f t="shared" si="41"/>
        <v>2</v>
      </c>
      <c r="T146" s="15">
        <f t="shared" si="42"/>
        <v>2</v>
      </c>
      <c r="U146" s="15">
        <f t="shared" si="43"/>
        <v>0</v>
      </c>
      <c r="V146" s="15">
        <f t="shared" si="44"/>
        <v>0</v>
      </c>
      <c r="W146" s="18" t="str">
        <f t="shared" si="45"/>
        <v/>
      </c>
      <c r="X146" s="17">
        <v>0</v>
      </c>
      <c r="Y146" s="17">
        <v>0</v>
      </c>
      <c r="Z146" s="15">
        <f t="shared" si="46"/>
        <v>0</v>
      </c>
      <c r="AA146" s="17">
        <v>0</v>
      </c>
      <c r="AB146" s="17">
        <v>0</v>
      </c>
      <c r="AC146" s="15">
        <f t="shared" si="47"/>
        <v>0</v>
      </c>
      <c r="AD146" s="17">
        <v>0</v>
      </c>
      <c r="AE146" s="17">
        <v>0</v>
      </c>
      <c r="AF146" s="15">
        <f t="shared" si="48"/>
        <v>0</v>
      </c>
      <c r="AG146" s="17">
        <v>0</v>
      </c>
      <c r="AH146" s="17">
        <v>0</v>
      </c>
      <c r="AI146" s="15">
        <f t="shared" si="49"/>
        <v>0</v>
      </c>
      <c r="AJ146" s="17"/>
    </row>
    <row r="147" spans="1:36" hidden="1" x14ac:dyDescent="0.3">
      <c r="A147" s="15" t="s">
        <v>196</v>
      </c>
      <c r="B147" s="15">
        <v>100</v>
      </c>
      <c r="C147" s="15" t="s">
        <v>54</v>
      </c>
      <c r="D147" s="15" t="s">
        <v>55</v>
      </c>
      <c r="E147" s="15">
        <f>'10-JULY2026'!T147</f>
        <v>616</v>
      </c>
      <c r="F147" s="15">
        <f>'10-JULY2026'!U147</f>
        <v>55</v>
      </c>
      <c r="G147" s="15">
        <f>'10-JULY2026'!V147</f>
        <v>35</v>
      </c>
      <c r="H147" s="15">
        <f t="shared" si="40"/>
        <v>706</v>
      </c>
      <c r="I147" s="17">
        <v>9</v>
      </c>
      <c r="J147" s="17">
        <v>0</v>
      </c>
      <c r="K147" s="17">
        <v>60</v>
      </c>
      <c r="L147" s="17">
        <v>166</v>
      </c>
      <c r="M147" s="17">
        <v>10</v>
      </c>
      <c r="N147" s="17">
        <v>0</v>
      </c>
      <c r="O147" s="17">
        <v>0</v>
      </c>
      <c r="P147" s="17">
        <v>100</v>
      </c>
      <c r="Q147" s="17">
        <v>60</v>
      </c>
      <c r="R147" s="17">
        <v>6</v>
      </c>
      <c r="S147" s="15">
        <f t="shared" si="41"/>
        <v>627</v>
      </c>
      <c r="T147" s="15">
        <f t="shared" si="42"/>
        <v>441</v>
      </c>
      <c r="U147" s="15">
        <f t="shared" si="43"/>
        <v>145</v>
      </c>
      <c r="V147" s="15">
        <f t="shared" si="44"/>
        <v>35</v>
      </c>
      <c r="W147" s="18" t="str">
        <f t="shared" si="45"/>
        <v/>
      </c>
      <c r="X147" s="17">
        <v>0</v>
      </c>
      <c r="Y147" s="17">
        <v>0</v>
      </c>
      <c r="Z147" s="15">
        <f t="shared" si="46"/>
        <v>0</v>
      </c>
      <c r="AA147" s="17">
        <v>0</v>
      </c>
      <c r="AB147" s="17">
        <v>0</v>
      </c>
      <c r="AC147" s="15">
        <f t="shared" si="47"/>
        <v>0</v>
      </c>
      <c r="AD147" s="17">
        <v>0</v>
      </c>
      <c r="AE147" s="17">
        <v>0</v>
      </c>
      <c r="AF147" s="15">
        <f t="shared" si="48"/>
        <v>0</v>
      </c>
      <c r="AG147" s="17">
        <v>0</v>
      </c>
      <c r="AH147" s="17">
        <v>0</v>
      </c>
      <c r="AI147" s="15">
        <f t="shared" si="49"/>
        <v>0</v>
      </c>
      <c r="AJ147" s="17"/>
    </row>
    <row r="148" spans="1:36" hidden="1" x14ac:dyDescent="0.3">
      <c r="A148" s="15" t="s">
        <v>197</v>
      </c>
      <c r="B148" s="15">
        <v>100</v>
      </c>
      <c r="C148" s="15" t="s">
        <v>54</v>
      </c>
      <c r="D148" s="15" t="s">
        <v>55</v>
      </c>
      <c r="E148" s="15">
        <f>'10-JULY2026'!T148</f>
        <v>0</v>
      </c>
      <c r="F148" s="15">
        <f>'10-JULY2026'!U148</f>
        <v>0</v>
      </c>
      <c r="G148" s="15">
        <f>'10-JULY2026'!V148</f>
        <v>0</v>
      </c>
      <c r="H148" s="15">
        <f t="shared" si="40"/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5">
        <f t="shared" si="41"/>
        <v>0</v>
      </c>
      <c r="T148" s="15">
        <f t="shared" si="42"/>
        <v>0</v>
      </c>
      <c r="U148" s="15">
        <f t="shared" si="43"/>
        <v>0</v>
      </c>
      <c r="V148" s="15">
        <f t="shared" si="44"/>
        <v>0</v>
      </c>
      <c r="W148" s="18" t="str">
        <f t="shared" si="45"/>
        <v/>
      </c>
      <c r="X148" s="17">
        <v>0</v>
      </c>
      <c r="Y148" s="17">
        <v>0</v>
      </c>
      <c r="Z148" s="15">
        <f t="shared" si="46"/>
        <v>0</v>
      </c>
      <c r="AA148" s="17">
        <v>0</v>
      </c>
      <c r="AB148" s="17">
        <v>0</v>
      </c>
      <c r="AC148" s="15">
        <f t="shared" si="47"/>
        <v>0</v>
      </c>
      <c r="AD148" s="17">
        <v>0</v>
      </c>
      <c r="AE148" s="17">
        <v>0</v>
      </c>
      <c r="AF148" s="15">
        <f t="shared" si="48"/>
        <v>0</v>
      </c>
      <c r="AG148" s="17">
        <v>0</v>
      </c>
      <c r="AH148" s="17">
        <v>0</v>
      </c>
      <c r="AI148" s="15">
        <f t="shared" si="49"/>
        <v>0</v>
      </c>
      <c r="AJ148" s="17"/>
    </row>
    <row r="149" spans="1:36" hidden="1" x14ac:dyDescent="0.3">
      <c r="A149" s="15" t="s">
        <v>198</v>
      </c>
      <c r="B149" s="15">
        <v>100</v>
      </c>
      <c r="C149" s="15" t="s">
        <v>54</v>
      </c>
      <c r="D149" s="15" t="s">
        <v>55</v>
      </c>
      <c r="E149" s="15">
        <f>'10-JULY2026'!T149</f>
        <v>290</v>
      </c>
      <c r="F149" s="15">
        <f>'10-JULY2026'!U149</f>
        <v>41</v>
      </c>
      <c r="G149" s="15">
        <f>'10-JULY2026'!V149</f>
        <v>34</v>
      </c>
      <c r="H149" s="15">
        <f t="shared" si="40"/>
        <v>365</v>
      </c>
      <c r="I149" s="17">
        <v>15</v>
      </c>
      <c r="J149" s="17">
        <v>0</v>
      </c>
      <c r="K149" s="17">
        <v>60</v>
      </c>
      <c r="L149" s="17">
        <v>77</v>
      </c>
      <c r="M149" s="17">
        <v>0</v>
      </c>
      <c r="N149" s="17">
        <v>0</v>
      </c>
      <c r="O149" s="17">
        <v>0</v>
      </c>
      <c r="P149" s="17">
        <v>0</v>
      </c>
      <c r="Q149" s="17">
        <v>70</v>
      </c>
      <c r="R149" s="17">
        <v>7</v>
      </c>
      <c r="S149" s="15">
        <f t="shared" si="41"/>
        <v>290</v>
      </c>
      <c r="T149" s="15">
        <f t="shared" si="42"/>
        <v>198</v>
      </c>
      <c r="U149" s="15">
        <f t="shared" si="43"/>
        <v>41</v>
      </c>
      <c r="V149" s="15">
        <f t="shared" si="44"/>
        <v>44</v>
      </c>
      <c r="W149" s="18" t="str">
        <f t="shared" si="45"/>
        <v/>
      </c>
      <c r="X149" s="17">
        <v>0</v>
      </c>
      <c r="Y149" s="17">
        <v>0</v>
      </c>
      <c r="Z149" s="15">
        <f t="shared" si="46"/>
        <v>0</v>
      </c>
      <c r="AA149" s="17">
        <v>0</v>
      </c>
      <c r="AB149" s="17">
        <v>0</v>
      </c>
      <c r="AC149" s="15">
        <f t="shared" si="47"/>
        <v>0</v>
      </c>
      <c r="AD149" s="17">
        <v>0</v>
      </c>
      <c r="AE149" s="17">
        <v>0</v>
      </c>
      <c r="AF149" s="15">
        <f t="shared" si="48"/>
        <v>0</v>
      </c>
      <c r="AG149" s="17">
        <v>0</v>
      </c>
      <c r="AH149" s="17">
        <v>0</v>
      </c>
      <c r="AI149" s="15">
        <f t="shared" si="49"/>
        <v>0</v>
      </c>
      <c r="AJ149" s="17"/>
    </row>
    <row r="150" spans="1:36" hidden="1" x14ac:dyDescent="0.3">
      <c r="A150" s="15" t="s">
        <v>199</v>
      </c>
      <c r="B150" s="15">
        <v>500</v>
      </c>
      <c r="C150" s="15" t="s">
        <v>54</v>
      </c>
      <c r="D150" s="15" t="s">
        <v>55</v>
      </c>
      <c r="E150" s="15">
        <f>'10-JULY2026'!T150</f>
        <v>10</v>
      </c>
      <c r="F150" s="15">
        <f>'10-JULY2026'!U150</f>
        <v>1</v>
      </c>
      <c r="G150" s="15">
        <f>'10-JULY2026'!V150</f>
        <v>0</v>
      </c>
      <c r="H150" s="15">
        <f t="shared" si="40"/>
        <v>11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5">
        <f t="shared" si="41"/>
        <v>11</v>
      </c>
      <c r="T150" s="15">
        <f t="shared" si="42"/>
        <v>10</v>
      </c>
      <c r="U150" s="15">
        <f t="shared" si="43"/>
        <v>1</v>
      </c>
      <c r="V150" s="15">
        <f t="shared" si="44"/>
        <v>0</v>
      </c>
      <c r="W150" s="18" t="str">
        <f t="shared" si="45"/>
        <v/>
      </c>
      <c r="X150" s="17">
        <v>0</v>
      </c>
      <c r="Y150" s="17">
        <v>0</v>
      </c>
      <c r="Z150" s="15">
        <f t="shared" si="46"/>
        <v>0</v>
      </c>
      <c r="AA150" s="17">
        <v>0</v>
      </c>
      <c r="AB150" s="17">
        <v>0</v>
      </c>
      <c r="AC150" s="15">
        <f t="shared" si="47"/>
        <v>0</v>
      </c>
      <c r="AD150" s="17">
        <v>0</v>
      </c>
      <c r="AE150" s="17">
        <v>0</v>
      </c>
      <c r="AF150" s="15">
        <f t="shared" si="48"/>
        <v>0</v>
      </c>
      <c r="AG150" s="17">
        <v>0</v>
      </c>
      <c r="AH150" s="17">
        <v>0</v>
      </c>
      <c r="AI150" s="15">
        <f t="shared" si="49"/>
        <v>0</v>
      </c>
      <c r="AJ150" s="17"/>
    </row>
    <row r="151" spans="1:36" hidden="1" x14ac:dyDescent="0.3">
      <c r="A151" s="15" t="s">
        <v>200</v>
      </c>
      <c r="B151" s="15">
        <v>100</v>
      </c>
      <c r="C151" s="15" t="s">
        <v>54</v>
      </c>
      <c r="D151" s="15" t="s">
        <v>55</v>
      </c>
      <c r="E151" s="15">
        <f>'10-JULY2026'!T151</f>
        <v>15</v>
      </c>
      <c r="F151" s="15">
        <f>'10-JULY2026'!U151</f>
        <v>106</v>
      </c>
      <c r="G151" s="15">
        <f>'10-JULY2026'!V151</f>
        <v>50</v>
      </c>
      <c r="H151" s="15">
        <f t="shared" si="40"/>
        <v>171</v>
      </c>
      <c r="I151" s="17">
        <v>0</v>
      </c>
      <c r="J151" s="17">
        <v>5</v>
      </c>
      <c r="K151" s="17">
        <v>16</v>
      </c>
      <c r="L151" s="17">
        <v>0</v>
      </c>
      <c r="M151" s="17">
        <v>10</v>
      </c>
      <c r="N151" s="17">
        <v>0</v>
      </c>
      <c r="O151" s="17">
        <v>0</v>
      </c>
      <c r="P151" s="17">
        <v>0</v>
      </c>
      <c r="Q151" s="17">
        <v>10</v>
      </c>
      <c r="R151" s="17">
        <v>0</v>
      </c>
      <c r="S151" s="15">
        <f t="shared" si="41"/>
        <v>150</v>
      </c>
      <c r="T151" s="15">
        <f t="shared" si="42"/>
        <v>15</v>
      </c>
      <c r="U151" s="15">
        <f t="shared" si="43"/>
        <v>91</v>
      </c>
      <c r="V151" s="15">
        <f t="shared" si="44"/>
        <v>44</v>
      </c>
      <c r="W151" s="18" t="str">
        <f t="shared" si="45"/>
        <v/>
      </c>
      <c r="X151" s="17">
        <v>0</v>
      </c>
      <c r="Y151" s="17">
        <v>0</v>
      </c>
      <c r="Z151" s="15">
        <f t="shared" si="46"/>
        <v>0</v>
      </c>
      <c r="AA151" s="17">
        <v>0</v>
      </c>
      <c r="AB151" s="17">
        <v>0</v>
      </c>
      <c r="AC151" s="15">
        <f t="shared" si="47"/>
        <v>0</v>
      </c>
      <c r="AD151" s="17">
        <v>0</v>
      </c>
      <c r="AE151" s="17">
        <v>0</v>
      </c>
      <c r="AF151" s="15">
        <f t="shared" si="48"/>
        <v>0</v>
      </c>
      <c r="AG151" s="17">
        <v>0</v>
      </c>
      <c r="AH151" s="17">
        <v>0</v>
      </c>
      <c r="AI151" s="15">
        <f t="shared" si="49"/>
        <v>0</v>
      </c>
      <c r="AJ151" s="17"/>
    </row>
    <row r="152" spans="1:36" hidden="1" x14ac:dyDescent="0.3">
      <c r="A152" s="15" t="s">
        <v>201</v>
      </c>
      <c r="B152" s="15">
        <v>100</v>
      </c>
      <c r="C152" s="15" t="s">
        <v>54</v>
      </c>
      <c r="D152" s="15" t="s">
        <v>55</v>
      </c>
      <c r="E152" s="15">
        <f>'10-JULY2026'!T152</f>
        <v>298</v>
      </c>
      <c r="F152" s="15">
        <f>'10-JULY2026'!U152</f>
        <v>31</v>
      </c>
      <c r="G152" s="15">
        <f>'10-JULY2026'!V152</f>
        <v>44</v>
      </c>
      <c r="H152" s="15">
        <f t="shared" si="40"/>
        <v>373</v>
      </c>
      <c r="I152" s="17">
        <v>0</v>
      </c>
      <c r="J152" s="17">
        <v>10</v>
      </c>
      <c r="K152" s="17">
        <v>14</v>
      </c>
      <c r="L152" s="17">
        <v>54</v>
      </c>
      <c r="M152" s="17">
        <v>0</v>
      </c>
      <c r="N152" s="17">
        <v>0</v>
      </c>
      <c r="O152" s="17">
        <v>0</v>
      </c>
      <c r="P152" s="17">
        <v>50</v>
      </c>
      <c r="Q152" s="17">
        <v>0</v>
      </c>
      <c r="R152" s="17">
        <v>0</v>
      </c>
      <c r="S152" s="15">
        <f t="shared" si="41"/>
        <v>345</v>
      </c>
      <c r="T152" s="15">
        <f t="shared" si="42"/>
        <v>244</v>
      </c>
      <c r="U152" s="15">
        <f t="shared" si="43"/>
        <v>71</v>
      </c>
      <c r="V152" s="15">
        <f t="shared" si="44"/>
        <v>30</v>
      </c>
      <c r="W152" s="18" t="str">
        <f t="shared" si="45"/>
        <v/>
      </c>
      <c r="X152" s="17">
        <v>0</v>
      </c>
      <c r="Y152" s="17">
        <v>0</v>
      </c>
      <c r="Z152" s="15">
        <f t="shared" si="46"/>
        <v>0</v>
      </c>
      <c r="AA152" s="17">
        <v>0</v>
      </c>
      <c r="AB152" s="17">
        <v>0</v>
      </c>
      <c r="AC152" s="15">
        <f t="shared" si="47"/>
        <v>0</v>
      </c>
      <c r="AD152" s="17">
        <v>0</v>
      </c>
      <c r="AE152" s="17">
        <v>0</v>
      </c>
      <c r="AF152" s="15">
        <f t="shared" si="48"/>
        <v>0</v>
      </c>
      <c r="AG152" s="17">
        <v>0</v>
      </c>
      <c r="AH152" s="17">
        <v>0</v>
      </c>
      <c r="AI152" s="15">
        <f t="shared" si="49"/>
        <v>0</v>
      </c>
      <c r="AJ152" s="17"/>
    </row>
    <row r="153" spans="1:36" hidden="1" x14ac:dyDescent="0.3">
      <c r="A153" s="15" t="s">
        <v>202</v>
      </c>
      <c r="B153" s="15">
        <v>100</v>
      </c>
      <c r="C153" s="15" t="s">
        <v>54</v>
      </c>
      <c r="D153" s="15" t="s">
        <v>55</v>
      </c>
      <c r="E153" s="15">
        <f>'10-JULY2026'!T153</f>
        <v>13</v>
      </c>
      <c r="F153" s="15">
        <f>'10-JULY2026'!U153</f>
        <v>0</v>
      </c>
      <c r="G153" s="15">
        <f>'10-JULY2026'!V153</f>
        <v>0</v>
      </c>
      <c r="H153" s="15">
        <f t="shared" si="40"/>
        <v>13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5">
        <f t="shared" si="41"/>
        <v>13</v>
      </c>
      <c r="T153" s="15">
        <f t="shared" si="42"/>
        <v>13</v>
      </c>
      <c r="U153" s="15">
        <f t="shared" si="43"/>
        <v>0</v>
      </c>
      <c r="V153" s="15">
        <f t="shared" si="44"/>
        <v>0</v>
      </c>
      <c r="W153" s="18" t="str">
        <f t="shared" si="45"/>
        <v/>
      </c>
      <c r="X153" s="17">
        <v>0</v>
      </c>
      <c r="Y153" s="17">
        <v>0</v>
      </c>
      <c r="Z153" s="15">
        <f t="shared" si="46"/>
        <v>0</v>
      </c>
      <c r="AA153" s="17">
        <v>0</v>
      </c>
      <c r="AB153" s="17">
        <v>0</v>
      </c>
      <c r="AC153" s="15">
        <f t="shared" si="47"/>
        <v>0</v>
      </c>
      <c r="AD153" s="17">
        <v>0</v>
      </c>
      <c r="AE153" s="17">
        <v>0</v>
      </c>
      <c r="AF153" s="15">
        <f t="shared" si="48"/>
        <v>0</v>
      </c>
      <c r="AG153" s="17">
        <v>0</v>
      </c>
      <c r="AH153" s="17">
        <v>0</v>
      </c>
      <c r="AI153" s="15">
        <f t="shared" si="49"/>
        <v>0</v>
      </c>
      <c r="AJ153" s="17"/>
    </row>
    <row r="154" spans="1:36" hidden="1" x14ac:dyDescent="0.3">
      <c r="A154" s="15" t="s">
        <v>203</v>
      </c>
      <c r="B154" s="15">
        <v>100</v>
      </c>
      <c r="C154" s="15" t="s">
        <v>54</v>
      </c>
      <c r="D154" s="15" t="s">
        <v>55</v>
      </c>
      <c r="E154" s="15">
        <f>'10-JULY2026'!T154</f>
        <v>13</v>
      </c>
      <c r="F154" s="15">
        <f>'10-JULY2026'!U154</f>
        <v>0</v>
      </c>
      <c r="G154" s="15">
        <f>'10-JULY2026'!V154</f>
        <v>0</v>
      </c>
      <c r="H154" s="15">
        <f t="shared" si="40"/>
        <v>13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5">
        <f t="shared" si="41"/>
        <v>13</v>
      </c>
      <c r="T154" s="15">
        <f t="shared" si="42"/>
        <v>13</v>
      </c>
      <c r="U154" s="15">
        <f t="shared" si="43"/>
        <v>0</v>
      </c>
      <c r="V154" s="15">
        <f t="shared" si="44"/>
        <v>0</v>
      </c>
      <c r="W154" s="18" t="str">
        <f t="shared" si="45"/>
        <v/>
      </c>
      <c r="X154" s="17">
        <v>0</v>
      </c>
      <c r="Y154" s="17">
        <v>0</v>
      </c>
      <c r="Z154" s="15">
        <f t="shared" si="46"/>
        <v>0</v>
      </c>
      <c r="AA154" s="17">
        <v>0</v>
      </c>
      <c r="AB154" s="17">
        <v>0</v>
      </c>
      <c r="AC154" s="15">
        <f t="shared" si="47"/>
        <v>0</v>
      </c>
      <c r="AD154" s="17">
        <v>0</v>
      </c>
      <c r="AE154" s="17">
        <v>0</v>
      </c>
      <c r="AF154" s="15">
        <f t="shared" si="48"/>
        <v>0</v>
      </c>
      <c r="AG154" s="17">
        <v>0</v>
      </c>
      <c r="AH154" s="17">
        <v>0</v>
      </c>
      <c r="AI154" s="15">
        <f t="shared" si="49"/>
        <v>0</v>
      </c>
      <c r="AJ154" s="17"/>
    </row>
    <row r="155" spans="1:36" hidden="1" x14ac:dyDescent="0.3">
      <c r="A155" s="15" t="s">
        <v>204</v>
      </c>
      <c r="B155" s="15">
        <v>10000</v>
      </c>
      <c r="C155" s="15" t="s">
        <v>54</v>
      </c>
      <c r="D155" s="15" t="s">
        <v>55</v>
      </c>
      <c r="E155" s="15">
        <v>0</v>
      </c>
      <c r="F155" s="15">
        <v>0</v>
      </c>
      <c r="G155" s="15">
        <v>0</v>
      </c>
      <c r="H155" s="15">
        <f t="shared" si="40"/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5">
        <f t="shared" si="41"/>
        <v>0</v>
      </c>
      <c r="T155" s="15">
        <f t="shared" si="42"/>
        <v>0</v>
      </c>
      <c r="U155" s="15">
        <f t="shared" si="43"/>
        <v>0</v>
      </c>
      <c r="V155" s="15">
        <f t="shared" si="44"/>
        <v>0</v>
      </c>
      <c r="W155" s="18" t="str">
        <f t="shared" si="45"/>
        <v/>
      </c>
      <c r="X155" s="17">
        <v>0</v>
      </c>
      <c r="Y155" s="17">
        <v>0</v>
      </c>
      <c r="Z155" s="15">
        <f t="shared" si="46"/>
        <v>0</v>
      </c>
      <c r="AA155" s="17">
        <v>0</v>
      </c>
      <c r="AB155" s="17">
        <v>0</v>
      </c>
      <c r="AC155" s="15">
        <f t="shared" si="47"/>
        <v>0</v>
      </c>
      <c r="AD155" s="17">
        <v>0</v>
      </c>
      <c r="AE155" s="17">
        <v>0</v>
      </c>
      <c r="AF155" s="15">
        <f t="shared" si="48"/>
        <v>0</v>
      </c>
      <c r="AG155" s="17">
        <v>0</v>
      </c>
      <c r="AH155" s="17">
        <v>0</v>
      </c>
      <c r="AI155" s="15">
        <f t="shared" si="49"/>
        <v>0</v>
      </c>
      <c r="AJ155" s="17"/>
    </row>
    <row r="156" spans="1:36" x14ac:dyDescent="0.3">
      <c r="A156" s="15" t="s">
        <v>205</v>
      </c>
      <c r="B156" s="15">
        <v>1000</v>
      </c>
      <c r="C156" s="15" t="s">
        <v>54</v>
      </c>
      <c r="D156" s="15" t="s">
        <v>57</v>
      </c>
      <c r="E156" s="15">
        <f>'10-JULY2026'!T156</f>
        <v>5</v>
      </c>
      <c r="F156" s="15">
        <f>'10-JULY2026'!U156</f>
        <v>0</v>
      </c>
      <c r="G156" s="15">
        <f>'10-JULY2026'!V156</f>
        <v>0</v>
      </c>
      <c r="H156" s="15">
        <f t="shared" si="40"/>
        <v>5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5">
        <f t="shared" si="41"/>
        <v>5</v>
      </c>
      <c r="T156" s="15">
        <f t="shared" si="42"/>
        <v>5</v>
      </c>
      <c r="U156" s="15">
        <f t="shared" si="43"/>
        <v>0</v>
      </c>
      <c r="V156" s="15">
        <f t="shared" si="44"/>
        <v>0</v>
      </c>
      <c r="W156" s="18" t="str">
        <f t="shared" si="45"/>
        <v/>
      </c>
      <c r="X156" s="17">
        <v>0</v>
      </c>
      <c r="Y156" s="17">
        <v>0</v>
      </c>
      <c r="Z156" s="15">
        <f t="shared" si="46"/>
        <v>0</v>
      </c>
      <c r="AA156" s="17">
        <v>0</v>
      </c>
      <c r="AB156" s="17">
        <v>0</v>
      </c>
      <c r="AC156" s="15">
        <f t="shared" si="47"/>
        <v>0</v>
      </c>
      <c r="AD156" s="17">
        <v>0</v>
      </c>
      <c r="AE156" s="17">
        <v>0</v>
      </c>
      <c r="AF156" s="15">
        <f t="shared" si="48"/>
        <v>0</v>
      </c>
      <c r="AG156" s="17">
        <v>0</v>
      </c>
      <c r="AH156" s="17">
        <v>0</v>
      </c>
      <c r="AI156" s="15">
        <f t="shared" si="49"/>
        <v>0</v>
      </c>
      <c r="AJ156" s="17"/>
    </row>
    <row r="157" spans="1:36" x14ac:dyDescent="0.3">
      <c r="A157" s="15" t="s">
        <v>206</v>
      </c>
      <c r="B157" s="15">
        <v>1000</v>
      </c>
      <c r="C157" s="15" t="s">
        <v>54</v>
      </c>
      <c r="D157" s="15" t="s">
        <v>57</v>
      </c>
      <c r="E157" s="15">
        <f>'10-JULY2026'!T157</f>
        <v>2</v>
      </c>
      <c r="F157" s="15">
        <f>'10-JULY2026'!U157</f>
        <v>0</v>
      </c>
      <c r="G157" s="15">
        <f>'10-JULY2026'!V157</f>
        <v>0</v>
      </c>
      <c r="H157" s="15">
        <f t="shared" si="40"/>
        <v>2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5">
        <f t="shared" si="41"/>
        <v>2</v>
      </c>
      <c r="T157" s="15">
        <f t="shared" si="42"/>
        <v>2</v>
      </c>
      <c r="U157" s="15">
        <f t="shared" si="43"/>
        <v>0</v>
      </c>
      <c r="V157" s="15">
        <f t="shared" si="44"/>
        <v>0</v>
      </c>
      <c r="W157" s="18" t="str">
        <f t="shared" si="45"/>
        <v/>
      </c>
      <c r="X157" s="17">
        <v>0</v>
      </c>
      <c r="Y157" s="17">
        <v>0</v>
      </c>
      <c r="Z157" s="15">
        <f t="shared" si="46"/>
        <v>0</v>
      </c>
      <c r="AA157" s="17">
        <v>0</v>
      </c>
      <c r="AB157" s="17">
        <v>0</v>
      </c>
      <c r="AC157" s="15">
        <f t="shared" si="47"/>
        <v>0</v>
      </c>
      <c r="AD157" s="17">
        <v>0</v>
      </c>
      <c r="AE157" s="17">
        <v>0</v>
      </c>
      <c r="AF157" s="15">
        <f t="shared" si="48"/>
        <v>0</v>
      </c>
      <c r="AG157" s="17">
        <v>0</v>
      </c>
      <c r="AH157" s="17">
        <v>0</v>
      </c>
      <c r="AI157" s="15">
        <f t="shared" si="49"/>
        <v>0</v>
      </c>
      <c r="AJ157" s="17"/>
    </row>
    <row r="158" spans="1:36" x14ac:dyDescent="0.3">
      <c r="A158" s="15" t="s">
        <v>207</v>
      </c>
      <c r="B158" s="15">
        <v>1000</v>
      </c>
      <c r="C158" s="15" t="s">
        <v>54</v>
      </c>
      <c r="D158" s="15" t="s">
        <v>68</v>
      </c>
      <c r="E158" s="15">
        <f>'10-JULY2026'!T158</f>
        <v>3</v>
      </c>
      <c r="F158" s="15">
        <f>'10-JULY2026'!U158</f>
        <v>0</v>
      </c>
      <c r="G158" s="15">
        <f>'10-JULY2026'!V158</f>
        <v>0</v>
      </c>
      <c r="H158" s="15">
        <f t="shared" si="40"/>
        <v>3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5">
        <f t="shared" si="41"/>
        <v>3</v>
      </c>
      <c r="T158" s="15">
        <f t="shared" si="42"/>
        <v>3</v>
      </c>
      <c r="U158" s="15">
        <f t="shared" si="43"/>
        <v>0</v>
      </c>
      <c r="V158" s="15">
        <f t="shared" si="44"/>
        <v>0</v>
      </c>
      <c r="W158" s="18" t="str">
        <f t="shared" si="45"/>
        <v/>
      </c>
      <c r="X158" s="17">
        <v>0</v>
      </c>
      <c r="Y158" s="17">
        <v>0</v>
      </c>
      <c r="Z158" s="15">
        <f t="shared" si="46"/>
        <v>0</v>
      </c>
      <c r="AA158" s="17">
        <v>0</v>
      </c>
      <c r="AB158" s="17">
        <v>0</v>
      </c>
      <c r="AC158" s="15">
        <f t="shared" si="47"/>
        <v>0</v>
      </c>
      <c r="AD158" s="17">
        <v>0</v>
      </c>
      <c r="AE158" s="17">
        <v>0</v>
      </c>
      <c r="AF158" s="15">
        <f t="shared" si="48"/>
        <v>0</v>
      </c>
      <c r="AG158" s="17">
        <v>0</v>
      </c>
      <c r="AH158" s="17">
        <v>0</v>
      </c>
      <c r="AI158" s="15">
        <f t="shared" si="49"/>
        <v>0</v>
      </c>
      <c r="AJ158" s="17"/>
    </row>
    <row r="159" spans="1:36" x14ac:dyDescent="0.3">
      <c r="A159" s="15" t="s">
        <v>208</v>
      </c>
      <c r="B159" s="15">
        <v>1000</v>
      </c>
      <c r="C159" s="15" t="s">
        <v>54</v>
      </c>
      <c r="D159" s="15" t="s">
        <v>68</v>
      </c>
      <c r="E159" s="15">
        <f>'10-JULY2026'!T159</f>
        <v>9</v>
      </c>
      <c r="F159" s="15">
        <f>'10-JULY2026'!U159</f>
        <v>0</v>
      </c>
      <c r="G159" s="15">
        <f>'10-JULY2026'!V159</f>
        <v>0</v>
      </c>
      <c r="H159" s="15">
        <f t="shared" si="40"/>
        <v>9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5">
        <f t="shared" si="41"/>
        <v>9</v>
      </c>
      <c r="T159" s="15">
        <f t="shared" si="42"/>
        <v>9</v>
      </c>
      <c r="U159" s="15">
        <f t="shared" si="43"/>
        <v>0</v>
      </c>
      <c r="V159" s="15">
        <f t="shared" si="44"/>
        <v>0</v>
      </c>
      <c r="W159" s="18" t="str">
        <f t="shared" si="45"/>
        <v/>
      </c>
      <c r="X159" s="17">
        <v>0</v>
      </c>
      <c r="Y159" s="17">
        <v>0</v>
      </c>
      <c r="Z159" s="15">
        <f t="shared" si="46"/>
        <v>0</v>
      </c>
      <c r="AA159" s="17">
        <v>0</v>
      </c>
      <c r="AB159" s="17">
        <v>0</v>
      </c>
      <c r="AC159" s="15">
        <f t="shared" si="47"/>
        <v>0</v>
      </c>
      <c r="AD159" s="17">
        <v>0</v>
      </c>
      <c r="AE159" s="17">
        <v>0</v>
      </c>
      <c r="AF159" s="15">
        <f t="shared" si="48"/>
        <v>0</v>
      </c>
      <c r="AG159" s="17">
        <v>0</v>
      </c>
      <c r="AH159" s="17">
        <v>0</v>
      </c>
      <c r="AI159" s="15">
        <f t="shared" si="49"/>
        <v>0</v>
      </c>
      <c r="AJ159" s="17"/>
    </row>
    <row r="160" spans="1:36" x14ac:dyDescent="0.3">
      <c r="A160" s="15" t="s">
        <v>209</v>
      </c>
      <c r="B160" s="15">
        <v>100</v>
      </c>
      <c r="C160" s="15" t="s">
        <v>54</v>
      </c>
      <c r="D160" s="15" t="s">
        <v>57</v>
      </c>
      <c r="E160" s="15">
        <f>'10-JULY2026'!T160</f>
        <v>1</v>
      </c>
      <c r="F160" s="15">
        <f>'10-JULY2026'!U160</f>
        <v>0</v>
      </c>
      <c r="G160" s="15">
        <f>'10-JULY2026'!V160</f>
        <v>0</v>
      </c>
      <c r="H160" s="15">
        <f t="shared" si="40"/>
        <v>1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5">
        <f t="shared" si="41"/>
        <v>1</v>
      </c>
      <c r="T160" s="15">
        <f t="shared" si="42"/>
        <v>1</v>
      </c>
      <c r="U160" s="15">
        <f t="shared" si="43"/>
        <v>0</v>
      </c>
      <c r="V160" s="15">
        <f t="shared" si="44"/>
        <v>0</v>
      </c>
      <c r="W160" s="18" t="str">
        <f t="shared" si="45"/>
        <v/>
      </c>
      <c r="X160" s="17">
        <v>0</v>
      </c>
      <c r="Y160" s="17">
        <v>0</v>
      </c>
      <c r="Z160" s="15">
        <f t="shared" si="46"/>
        <v>0</v>
      </c>
      <c r="AA160" s="17">
        <v>0</v>
      </c>
      <c r="AB160" s="17">
        <v>0</v>
      </c>
      <c r="AC160" s="15">
        <f t="shared" si="47"/>
        <v>0</v>
      </c>
      <c r="AD160" s="17">
        <v>0</v>
      </c>
      <c r="AE160" s="17">
        <v>0</v>
      </c>
      <c r="AF160" s="15">
        <f t="shared" si="48"/>
        <v>0</v>
      </c>
      <c r="AG160" s="17">
        <v>0</v>
      </c>
      <c r="AH160" s="17">
        <v>0</v>
      </c>
      <c r="AI160" s="15">
        <f t="shared" si="49"/>
        <v>0</v>
      </c>
      <c r="AJ160" s="17"/>
    </row>
    <row r="161" spans="1:36" x14ac:dyDescent="0.3">
      <c r="A161" s="15" t="s">
        <v>210</v>
      </c>
      <c r="B161" s="15">
        <v>1000</v>
      </c>
      <c r="C161" s="15" t="s">
        <v>54</v>
      </c>
      <c r="D161" s="15" t="s">
        <v>68</v>
      </c>
      <c r="E161" s="15">
        <f>'10-JULY2026'!T161</f>
        <v>3</v>
      </c>
      <c r="F161" s="15">
        <f>'10-JULY2026'!U161</f>
        <v>0</v>
      </c>
      <c r="G161" s="15">
        <f>'10-JULY2026'!V161</f>
        <v>0</v>
      </c>
      <c r="H161" s="15">
        <f t="shared" si="40"/>
        <v>3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5">
        <f t="shared" si="41"/>
        <v>3</v>
      </c>
      <c r="T161" s="15">
        <f t="shared" si="42"/>
        <v>3</v>
      </c>
      <c r="U161" s="15">
        <f t="shared" si="43"/>
        <v>0</v>
      </c>
      <c r="V161" s="15">
        <f t="shared" si="44"/>
        <v>0</v>
      </c>
      <c r="W161" s="18" t="str">
        <f t="shared" si="45"/>
        <v/>
      </c>
      <c r="X161" s="17">
        <v>0</v>
      </c>
      <c r="Y161" s="17">
        <v>0</v>
      </c>
      <c r="Z161" s="15">
        <f t="shared" si="46"/>
        <v>0</v>
      </c>
      <c r="AA161" s="17">
        <v>0</v>
      </c>
      <c r="AB161" s="17">
        <v>0</v>
      </c>
      <c r="AC161" s="15">
        <f t="shared" si="47"/>
        <v>0</v>
      </c>
      <c r="AD161" s="17">
        <v>0</v>
      </c>
      <c r="AE161" s="17">
        <v>0</v>
      </c>
      <c r="AF161" s="15">
        <f t="shared" si="48"/>
        <v>0</v>
      </c>
      <c r="AG161" s="17">
        <v>0</v>
      </c>
      <c r="AH161" s="17">
        <v>0</v>
      </c>
      <c r="AI161" s="15">
        <f t="shared" si="49"/>
        <v>0</v>
      </c>
      <c r="AJ161" s="17"/>
    </row>
    <row r="162" spans="1:36" hidden="1" x14ac:dyDescent="0.3">
      <c r="A162" s="15" t="s">
        <v>211</v>
      </c>
      <c r="B162" s="15">
        <v>100</v>
      </c>
      <c r="C162" s="15" t="s">
        <v>54</v>
      </c>
      <c r="D162" s="15" t="s">
        <v>55</v>
      </c>
      <c r="E162" s="15">
        <f>'10-JULY2026'!T162</f>
        <v>106</v>
      </c>
      <c r="F162" s="15">
        <f>'10-JULY2026'!U162</f>
        <v>165</v>
      </c>
      <c r="G162" s="15">
        <f>'10-JULY2026'!V162</f>
        <v>84</v>
      </c>
      <c r="H162" s="15">
        <f t="shared" si="40"/>
        <v>355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5">
        <f t="shared" si="41"/>
        <v>355</v>
      </c>
      <c r="T162" s="15">
        <f t="shared" si="42"/>
        <v>106</v>
      </c>
      <c r="U162" s="15">
        <f t="shared" si="43"/>
        <v>165</v>
      </c>
      <c r="V162" s="15">
        <f t="shared" si="44"/>
        <v>84</v>
      </c>
      <c r="W162" s="18" t="str">
        <f t="shared" si="45"/>
        <v/>
      </c>
      <c r="X162" s="17">
        <v>0</v>
      </c>
      <c r="Y162" s="17">
        <v>0</v>
      </c>
      <c r="Z162" s="15">
        <f t="shared" si="46"/>
        <v>0</v>
      </c>
      <c r="AA162" s="17">
        <v>0</v>
      </c>
      <c r="AB162" s="17">
        <v>0</v>
      </c>
      <c r="AC162" s="15">
        <f t="shared" si="47"/>
        <v>0</v>
      </c>
      <c r="AD162" s="17">
        <v>0</v>
      </c>
      <c r="AE162" s="17">
        <v>0</v>
      </c>
      <c r="AF162" s="15">
        <f t="shared" si="48"/>
        <v>0</v>
      </c>
      <c r="AG162" s="17">
        <v>0</v>
      </c>
      <c r="AH162" s="17">
        <v>0</v>
      </c>
      <c r="AI162" s="15">
        <f t="shared" si="49"/>
        <v>0</v>
      </c>
      <c r="AJ162" s="17"/>
    </row>
    <row r="163" spans="1:36" hidden="1" x14ac:dyDescent="0.3">
      <c r="A163" s="15" t="s">
        <v>212</v>
      </c>
      <c r="B163" s="15">
        <v>100</v>
      </c>
      <c r="C163" s="15" t="s">
        <v>54</v>
      </c>
      <c r="D163" s="15" t="s">
        <v>55</v>
      </c>
      <c r="E163" s="15">
        <f>'10-JULY2026'!T163</f>
        <v>14</v>
      </c>
      <c r="F163" s="15">
        <f>'10-JULY2026'!U163</f>
        <v>6</v>
      </c>
      <c r="G163" s="15">
        <f>'10-JULY2026'!V163</f>
        <v>0</v>
      </c>
      <c r="H163" s="15">
        <f t="shared" ref="H163:H194" si="50">E163+F163+G163</f>
        <v>20</v>
      </c>
      <c r="I163" s="17">
        <v>0</v>
      </c>
      <c r="J163" s="17">
        <v>0</v>
      </c>
      <c r="K163" s="17">
        <v>0</v>
      </c>
      <c r="L163" s="17">
        <v>3</v>
      </c>
      <c r="M163" s="17">
        <v>0</v>
      </c>
      <c r="N163" s="17">
        <v>0</v>
      </c>
      <c r="O163" s="17">
        <v>0</v>
      </c>
      <c r="P163" s="17">
        <v>0</v>
      </c>
      <c r="Q163" s="17">
        <v>3</v>
      </c>
      <c r="R163" s="17">
        <v>0</v>
      </c>
      <c r="S163" s="15">
        <f t="shared" ref="S163:S194" si="51">H163+O163+P163+Q163+R163-(I163+J163+K163+L163+M163+N163)</f>
        <v>20</v>
      </c>
      <c r="T163" s="15">
        <f t="shared" ref="T163:T199" si="52">E163+O163-I163-L163</f>
        <v>11</v>
      </c>
      <c r="U163" s="15">
        <f t="shared" ref="U163:U199" si="53">F163+P163-J163-M163</f>
        <v>6</v>
      </c>
      <c r="V163" s="15">
        <f t="shared" ref="V163:V199" si="54">G163+Q163-K163-N163</f>
        <v>3</v>
      </c>
      <c r="W163" s="18" t="str">
        <f t="shared" ref="W163:W194" si="55">IF(MIN(T163,U163,V163)&lt;0,"NEGATIVE STOCK - CHECK ENTRIES","")</f>
        <v/>
      </c>
      <c r="X163" s="17">
        <v>0</v>
      </c>
      <c r="Y163" s="17">
        <v>0</v>
      </c>
      <c r="Z163" s="15">
        <f t="shared" ref="Z163:Z194" si="56">X163-Y163</f>
        <v>0</v>
      </c>
      <c r="AA163" s="17">
        <v>0</v>
      </c>
      <c r="AB163" s="17">
        <v>0</v>
      </c>
      <c r="AC163" s="15">
        <f t="shared" ref="AC163:AC194" si="57">AA163-AB163</f>
        <v>0</v>
      </c>
      <c r="AD163" s="17">
        <v>0</v>
      </c>
      <c r="AE163" s="17">
        <v>0</v>
      </c>
      <c r="AF163" s="15">
        <f t="shared" ref="AF163:AF194" si="58">AD163-AE163</f>
        <v>0</v>
      </c>
      <c r="AG163" s="17">
        <v>0</v>
      </c>
      <c r="AH163" s="17">
        <v>0</v>
      </c>
      <c r="AI163" s="15">
        <f t="shared" ref="AI163:AI194" si="59">AG163-AH163</f>
        <v>0</v>
      </c>
      <c r="AJ163" s="17"/>
    </row>
    <row r="164" spans="1:36" hidden="1" x14ac:dyDescent="0.3">
      <c r="A164" s="15" t="s">
        <v>213</v>
      </c>
      <c r="B164" s="15">
        <v>100</v>
      </c>
      <c r="C164" s="15" t="s">
        <v>54</v>
      </c>
      <c r="D164" s="15" t="s">
        <v>55</v>
      </c>
      <c r="E164" s="15">
        <f>'10-JULY2026'!T164</f>
        <v>714</v>
      </c>
      <c r="F164" s="15">
        <f>'10-JULY2026'!U164</f>
        <v>0</v>
      </c>
      <c r="G164" s="15">
        <f>'10-JULY2026'!V164</f>
        <v>38</v>
      </c>
      <c r="H164" s="15">
        <f t="shared" si="50"/>
        <v>752</v>
      </c>
      <c r="I164" s="17">
        <v>0</v>
      </c>
      <c r="J164" s="17">
        <v>0</v>
      </c>
      <c r="K164" s="17">
        <v>0</v>
      </c>
      <c r="L164" s="17">
        <v>100</v>
      </c>
      <c r="M164" s="17">
        <v>0</v>
      </c>
      <c r="N164" s="17">
        <v>0</v>
      </c>
      <c r="O164" s="17">
        <v>0</v>
      </c>
      <c r="P164" s="17">
        <v>100</v>
      </c>
      <c r="Q164" s="17">
        <v>0</v>
      </c>
      <c r="R164" s="17">
        <v>0</v>
      </c>
      <c r="S164" s="15">
        <f t="shared" si="51"/>
        <v>752</v>
      </c>
      <c r="T164" s="15">
        <f t="shared" si="52"/>
        <v>614</v>
      </c>
      <c r="U164" s="15">
        <f t="shared" si="53"/>
        <v>100</v>
      </c>
      <c r="V164" s="15">
        <f t="shared" si="54"/>
        <v>38</v>
      </c>
      <c r="W164" s="18" t="str">
        <f t="shared" si="55"/>
        <v/>
      </c>
      <c r="X164" s="17">
        <v>0</v>
      </c>
      <c r="Y164" s="17">
        <v>0</v>
      </c>
      <c r="Z164" s="15">
        <f t="shared" si="56"/>
        <v>0</v>
      </c>
      <c r="AA164" s="17">
        <v>0</v>
      </c>
      <c r="AB164" s="17">
        <v>0</v>
      </c>
      <c r="AC164" s="15">
        <f t="shared" si="57"/>
        <v>0</v>
      </c>
      <c r="AD164" s="17">
        <v>0</v>
      </c>
      <c r="AE164" s="17">
        <v>0</v>
      </c>
      <c r="AF164" s="15">
        <f t="shared" si="58"/>
        <v>0</v>
      </c>
      <c r="AG164" s="17">
        <v>0</v>
      </c>
      <c r="AH164" s="17">
        <v>0</v>
      </c>
      <c r="AI164" s="15">
        <f t="shared" si="59"/>
        <v>0</v>
      </c>
      <c r="AJ164" s="17"/>
    </row>
    <row r="165" spans="1:36" hidden="1" x14ac:dyDescent="0.3">
      <c r="A165" s="15" t="s">
        <v>213</v>
      </c>
      <c r="B165" s="15">
        <v>1000</v>
      </c>
      <c r="C165" s="15" t="s">
        <v>54</v>
      </c>
      <c r="D165" s="15" t="s">
        <v>55</v>
      </c>
      <c r="E165" s="15">
        <f>'10-JULY2026'!T165</f>
        <v>480</v>
      </c>
      <c r="F165" s="15">
        <f>'10-JULY2026'!U165</f>
        <v>131</v>
      </c>
      <c r="G165" s="15">
        <f>'10-JULY2026'!V165</f>
        <v>17</v>
      </c>
      <c r="H165" s="15">
        <f t="shared" si="50"/>
        <v>628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5">
        <f t="shared" si="51"/>
        <v>628</v>
      </c>
      <c r="T165" s="15">
        <f t="shared" si="52"/>
        <v>480</v>
      </c>
      <c r="U165" s="15">
        <f t="shared" si="53"/>
        <v>131</v>
      </c>
      <c r="V165" s="15">
        <f t="shared" si="54"/>
        <v>17</v>
      </c>
      <c r="W165" s="18" t="str">
        <f t="shared" si="55"/>
        <v/>
      </c>
      <c r="X165" s="17">
        <v>0</v>
      </c>
      <c r="Y165" s="17">
        <v>0</v>
      </c>
      <c r="Z165" s="15">
        <f t="shared" si="56"/>
        <v>0</v>
      </c>
      <c r="AA165" s="17">
        <v>0</v>
      </c>
      <c r="AB165" s="17">
        <v>0</v>
      </c>
      <c r="AC165" s="15">
        <f t="shared" si="57"/>
        <v>0</v>
      </c>
      <c r="AD165" s="17">
        <v>0</v>
      </c>
      <c r="AE165" s="17">
        <v>0</v>
      </c>
      <c r="AF165" s="15">
        <f t="shared" si="58"/>
        <v>0</v>
      </c>
      <c r="AG165" s="17">
        <v>0</v>
      </c>
      <c r="AH165" s="17">
        <v>0</v>
      </c>
      <c r="AI165" s="15">
        <f t="shared" si="59"/>
        <v>0</v>
      </c>
      <c r="AJ165" s="17"/>
    </row>
    <row r="166" spans="1:36" hidden="1" x14ac:dyDescent="0.3">
      <c r="A166" s="15" t="s">
        <v>213</v>
      </c>
      <c r="B166" s="15">
        <v>500</v>
      </c>
      <c r="C166" s="15" t="s">
        <v>54</v>
      </c>
      <c r="D166" s="15" t="s">
        <v>55</v>
      </c>
      <c r="E166" s="15">
        <f>'10-JULY2026'!T166</f>
        <v>110</v>
      </c>
      <c r="F166" s="15">
        <f>'10-JULY2026'!U166</f>
        <v>0</v>
      </c>
      <c r="G166" s="15">
        <f>'10-JULY2026'!V166</f>
        <v>0</v>
      </c>
      <c r="H166" s="15">
        <f t="shared" si="50"/>
        <v>110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5">
        <f t="shared" si="51"/>
        <v>110</v>
      </c>
      <c r="T166" s="15">
        <f t="shared" si="52"/>
        <v>110</v>
      </c>
      <c r="U166" s="15">
        <f t="shared" si="53"/>
        <v>0</v>
      </c>
      <c r="V166" s="15">
        <f t="shared" si="54"/>
        <v>0</v>
      </c>
      <c r="W166" s="18" t="str">
        <f t="shared" si="55"/>
        <v/>
      </c>
      <c r="X166" s="17">
        <v>0</v>
      </c>
      <c r="Y166" s="17">
        <v>0</v>
      </c>
      <c r="Z166" s="15">
        <f t="shared" si="56"/>
        <v>0</v>
      </c>
      <c r="AA166" s="17">
        <v>0</v>
      </c>
      <c r="AB166" s="17">
        <v>0</v>
      </c>
      <c r="AC166" s="15">
        <f t="shared" si="57"/>
        <v>0</v>
      </c>
      <c r="AD166" s="17">
        <v>0</v>
      </c>
      <c r="AE166" s="17">
        <v>0</v>
      </c>
      <c r="AF166" s="15">
        <f t="shared" si="58"/>
        <v>0</v>
      </c>
      <c r="AG166" s="17">
        <v>0</v>
      </c>
      <c r="AH166" s="17">
        <v>0</v>
      </c>
      <c r="AI166" s="15">
        <f t="shared" si="59"/>
        <v>0</v>
      </c>
      <c r="AJ166" s="17"/>
    </row>
    <row r="167" spans="1:36" hidden="1" x14ac:dyDescent="0.3">
      <c r="A167" s="15" t="s">
        <v>214</v>
      </c>
      <c r="B167" s="15">
        <v>1000</v>
      </c>
      <c r="C167" s="15" t="s">
        <v>54</v>
      </c>
      <c r="D167" s="15" t="s">
        <v>55</v>
      </c>
      <c r="E167" s="15">
        <f>'10-JULY2026'!T167</f>
        <v>5</v>
      </c>
      <c r="F167" s="15">
        <f>'10-JULY2026'!U167</f>
        <v>0</v>
      </c>
      <c r="G167" s="15">
        <f>'10-JULY2026'!V167</f>
        <v>22</v>
      </c>
      <c r="H167" s="15">
        <f t="shared" si="50"/>
        <v>27</v>
      </c>
      <c r="I167" s="17">
        <v>0</v>
      </c>
      <c r="J167" s="17">
        <v>0</v>
      </c>
      <c r="K167" s="17">
        <v>2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5">
        <f t="shared" si="51"/>
        <v>25</v>
      </c>
      <c r="T167" s="15">
        <f t="shared" si="52"/>
        <v>5</v>
      </c>
      <c r="U167" s="15">
        <f t="shared" si="53"/>
        <v>0</v>
      </c>
      <c r="V167" s="15">
        <f t="shared" si="54"/>
        <v>20</v>
      </c>
      <c r="W167" s="18" t="str">
        <f t="shared" si="55"/>
        <v/>
      </c>
      <c r="X167" s="17">
        <v>0</v>
      </c>
      <c r="Y167" s="17">
        <v>0</v>
      </c>
      <c r="Z167" s="15">
        <f t="shared" si="56"/>
        <v>0</v>
      </c>
      <c r="AA167" s="17">
        <v>0</v>
      </c>
      <c r="AB167" s="17">
        <v>0</v>
      </c>
      <c r="AC167" s="15">
        <f t="shared" si="57"/>
        <v>0</v>
      </c>
      <c r="AD167" s="17">
        <v>0</v>
      </c>
      <c r="AE167" s="17">
        <v>0</v>
      </c>
      <c r="AF167" s="15">
        <f t="shared" si="58"/>
        <v>0</v>
      </c>
      <c r="AG167" s="17">
        <v>0</v>
      </c>
      <c r="AH167" s="17">
        <v>0</v>
      </c>
      <c r="AI167" s="15">
        <f t="shared" si="59"/>
        <v>0</v>
      </c>
      <c r="AJ167" s="17"/>
    </row>
    <row r="168" spans="1:36" hidden="1" x14ac:dyDescent="0.3">
      <c r="A168" s="15" t="s">
        <v>215</v>
      </c>
      <c r="B168" s="15">
        <v>100</v>
      </c>
      <c r="C168" s="15" t="s">
        <v>54</v>
      </c>
      <c r="D168" s="15" t="s">
        <v>55</v>
      </c>
      <c r="E168" s="15">
        <f>'10-JULY2026'!T168</f>
        <v>353</v>
      </c>
      <c r="F168" s="15">
        <f>'10-JULY2026'!U168</f>
        <v>642</v>
      </c>
      <c r="G168" s="15">
        <f>'10-JULY2026'!V168</f>
        <v>10</v>
      </c>
      <c r="H168" s="15">
        <f t="shared" si="50"/>
        <v>1005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5">
        <f t="shared" si="51"/>
        <v>1005</v>
      </c>
      <c r="T168" s="15">
        <f t="shared" si="52"/>
        <v>353</v>
      </c>
      <c r="U168" s="15">
        <f t="shared" si="53"/>
        <v>642</v>
      </c>
      <c r="V168" s="15">
        <f t="shared" si="54"/>
        <v>10</v>
      </c>
      <c r="W168" s="18" t="str">
        <f t="shared" si="55"/>
        <v/>
      </c>
      <c r="X168" s="17">
        <v>0</v>
      </c>
      <c r="Y168" s="17">
        <v>0</v>
      </c>
      <c r="Z168" s="15">
        <f t="shared" si="56"/>
        <v>0</v>
      </c>
      <c r="AA168" s="17">
        <v>0</v>
      </c>
      <c r="AB168" s="17">
        <v>0</v>
      </c>
      <c r="AC168" s="15">
        <f t="shared" si="57"/>
        <v>0</v>
      </c>
      <c r="AD168" s="17">
        <v>0</v>
      </c>
      <c r="AE168" s="17">
        <v>0</v>
      </c>
      <c r="AF168" s="15">
        <f t="shared" si="58"/>
        <v>0</v>
      </c>
      <c r="AG168" s="17">
        <v>0</v>
      </c>
      <c r="AH168" s="17">
        <v>0</v>
      </c>
      <c r="AI168" s="15">
        <f t="shared" si="59"/>
        <v>0</v>
      </c>
      <c r="AJ168" s="17"/>
    </row>
    <row r="169" spans="1:36" hidden="1" x14ac:dyDescent="0.3">
      <c r="A169" s="15" t="s">
        <v>216</v>
      </c>
      <c r="B169" s="15">
        <v>100</v>
      </c>
      <c r="C169" s="15" t="s">
        <v>54</v>
      </c>
      <c r="D169" s="15" t="s">
        <v>55</v>
      </c>
      <c r="E169" s="15">
        <f>'10-JULY2026'!T169</f>
        <v>0</v>
      </c>
      <c r="F169" s="15">
        <f>'10-JULY2026'!U169</f>
        <v>9</v>
      </c>
      <c r="G169" s="15">
        <f>'10-JULY2026'!V169</f>
        <v>0</v>
      </c>
      <c r="H169" s="15">
        <f t="shared" si="50"/>
        <v>9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5">
        <f t="shared" si="51"/>
        <v>9</v>
      </c>
      <c r="T169" s="15">
        <f t="shared" si="52"/>
        <v>0</v>
      </c>
      <c r="U169" s="15">
        <f t="shared" si="53"/>
        <v>9</v>
      </c>
      <c r="V169" s="15">
        <f t="shared" si="54"/>
        <v>0</v>
      </c>
      <c r="W169" s="18" t="str">
        <f t="shared" si="55"/>
        <v/>
      </c>
      <c r="X169" s="17">
        <v>0</v>
      </c>
      <c r="Y169" s="17">
        <v>0</v>
      </c>
      <c r="Z169" s="15">
        <f t="shared" si="56"/>
        <v>0</v>
      </c>
      <c r="AA169" s="17">
        <v>0</v>
      </c>
      <c r="AB169" s="17">
        <v>0</v>
      </c>
      <c r="AC169" s="15">
        <f t="shared" si="57"/>
        <v>0</v>
      </c>
      <c r="AD169" s="17">
        <v>0</v>
      </c>
      <c r="AE169" s="17">
        <v>0</v>
      </c>
      <c r="AF169" s="15">
        <f t="shared" si="58"/>
        <v>0</v>
      </c>
      <c r="AG169" s="17">
        <v>0</v>
      </c>
      <c r="AH169" s="17">
        <v>0</v>
      </c>
      <c r="AI169" s="15">
        <f t="shared" si="59"/>
        <v>0</v>
      </c>
      <c r="AJ169" s="17"/>
    </row>
    <row r="170" spans="1:36" hidden="1" x14ac:dyDescent="0.3">
      <c r="A170" s="15" t="s">
        <v>217</v>
      </c>
      <c r="B170" s="15">
        <v>100</v>
      </c>
      <c r="C170" s="15" t="s">
        <v>54</v>
      </c>
      <c r="D170" s="15" t="s">
        <v>55</v>
      </c>
      <c r="E170" s="15">
        <f>'10-JULY2026'!T170</f>
        <v>33</v>
      </c>
      <c r="F170" s="15">
        <f>'10-JULY2026'!U170</f>
        <v>5</v>
      </c>
      <c r="G170" s="15">
        <f>'10-JULY2026'!V170</f>
        <v>1</v>
      </c>
      <c r="H170" s="15">
        <f t="shared" si="50"/>
        <v>39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5">
        <f t="shared" si="51"/>
        <v>39</v>
      </c>
      <c r="T170" s="15">
        <f t="shared" si="52"/>
        <v>33</v>
      </c>
      <c r="U170" s="15">
        <f t="shared" si="53"/>
        <v>5</v>
      </c>
      <c r="V170" s="15">
        <f t="shared" si="54"/>
        <v>1</v>
      </c>
      <c r="W170" s="18" t="str">
        <f t="shared" si="55"/>
        <v/>
      </c>
      <c r="X170" s="17">
        <v>0</v>
      </c>
      <c r="Y170" s="17">
        <v>0</v>
      </c>
      <c r="Z170" s="15">
        <f t="shared" si="56"/>
        <v>0</v>
      </c>
      <c r="AA170" s="17">
        <v>0</v>
      </c>
      <c r="AB170" s="17">
        <v>0</v>
      </c>
      <c r="AC170" s="15">
        <f t="shared" si="57"/>
        <v>0</v>
      </c>
      <c r="AD170" s="17">
        <v>0</v>
      </c>
      <c r="AE170" s="17">
        <v>0</v>
      </c>
      <c r="AF170" s="15">
        <f t="shared" si="58"/>
        <v>0</v>
      </c>
      <c r="AG170" s="17">
        <v>0</v>
      </c>
      <c r="AH170" s="17">
        <v>0</v>
      </c>
      <c r="AI170" s="15">
        <f t="shared" si="59"/>
        <v>0</v>
      </c>
      <c r="AJ170" s="17"/>
    </row>
    <row r="171" spans="1:36" hidden="1" x14ac:dyDescent="0.3">
      <c r="A171" s="15" t="s">
        <v>218</v>
      </c>
      <c r="B171" s="15">
        <v>100</v>
      </c>
      <c r="C171" s="15" t="s">
        <v>54</v>
      </c>
      <c r="D171" s="15" t="s">
        <v>55</v>
      </c>
      <c r="E171" s="15">
        <f>'10-JULY2026'!T171</f>
        <v>293</v>
      </c>
      <c r="F171" s="15">
        <f>'10-JULY2026'!U171</f>
        <v>47</v>
      </c>
      <c r="G171" s="15">
        <f>'10-JULY2026'!V171</f>
        <v>42</v>
      </c>
      <c r="H171" s="15">
        <f t="shared" si="50"/>
        <v>382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5">
        <f t="shared" si="51"/>
        <v>382</v>
      </c>
      <c r="T171" s="15">
        <f t="shared" si="52"/>
        <v>293</v>
      </c>
      <c r="U171" s="15">
        <f t="shared" si="53"/>
        <v>47</v>
      </c>
      <c r="V171" s="15">
        <f t="shared" si="54"/>
        <v>42</v>
      </c>
      <c r="W171" s="18" t="str">
        <f t="shared" si="55"/>
        <v/>
      </c>
      <c r="X171" s="17">
        <v>0</v>
      </c>
      <c r="Y171" s="17">
        <v>0</v>
      </c>
      <c r="Z171" s="15">
        <f t="shared" si="56"/>
        <v>0</v>
      </c>
      <c r="AA171" s="17">
        <v>0</v>
      </c>
      <c r="AB171" s="17">
        <v>0</v>
      </c>
      <c r="AC171" s="15">
        <f t="shared" si="57"/>
        <v>0</v>
      </c>
      <c r="AD171" s="17">
        <v>0</v>
      </c>
      <c r="AE171" s="17">
        <v>0</v>
      </c>
      <c r="AF171" s="15">
        <f t="shared" si="58"/>
        <v>0</v>
      </c>
      <c r="AG171" s="17">
        <v>0</v>
      </c>
      <c r="AH171" s="17">
        <v>0</v>
      </c>
      <c r="AI171" s="15">
        <f t="shared" si="59"/>
        <v>0</v>
      </c>
      <c r="AJ171" s="17"/>
    </row>
    <row r="172" spans="1:36" hidden="1" x14ac:dyDescent="0.3">
      <c r="A172" s="15" t="s">
        <v>219</v>
      </c>
      <c r="B172" s="15">
        <v>100</v>
      </c>
      <c r="C172" s="15" t="s">
        <v>54</v>
      </c>
      <c r="D172" s="15" t="s">
        <v>55</v>
      </c>
      <c r="E172" s="15">
        <f>'10-JULY2026'!T172</f>
        <v>37</v>
      </c>
      <c r="F172" s="15">
        <f>'10-JULY2026'!U172</f>
        <v>1</v>
      </c>
      <c r="G172" s="15">
        <f>'10-JULY2026'!V172</f>
        <v>0</v>
      </c>
      <c r="H172" s="15">
        <f t="shared" si="50"/>
        <v>38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5">
        <f t="shared" si="51"/>
        <v>38</v>
      </c>
      <c r="T172" s="15">
        <f t="shared" si="52"/>
        <v>37</v>
      </c>
      <c r="U172" s="15">
        <f t="shared" si="53"/>
        <v>1</v>
      </c>
      <c r="V172" s="15">
        <f t="shared" si="54"/>
        <v>0</v>
      </c>
      <c r="W172" s="18" t="str">
        <f t="shared" si="55"/>
        <v/>
      </c>
      <c r="X172" s="17">
        <v>0</v>
      </c>
      <c r="Y172" s="17">
        <v>0</v>
      </c>
      <c r="Z172" s="15">
        <f t="shared" si="56"/>
        <v>0</v>
      </c>
      <c r="AA172" s="17">
        <v>0</v>
      </c>
      <c r="AB172" s="17">
        <v>0</v>
      </c>
      <c r="AC172" s="15">
        <f t="shared" si="57"/>
        <v>0</v>
      </c>
      <c r="AD172" s="17">
        <v>0</v>
      </c>
      <c r="AE172" s="17">
        <v>0</v>
      </c>
      <c r="AF172" s="15">
        <f t="shared" si="58"/>
        <v>0</v>
      </c>
      <c r="AG172" s="17">
        <v>0</v>
      </c>
      <c r="AH172" s="17">
        <v>0</v>
      </c>
      <c r="AI172" s="15">
        <f t="shared" si="59"/>
        <v>0</v>
      </c>
      <c r="AJ172" s="17"/>
    </row>
    <row r="173" spans="1:36" x14ac:dyDescent="0.3">
      <c r="A173" s="15" t="s">
        <v>220</v>
      </c>
      <c r="B173" s="15">
        <v>1000</v>
      </c>
      <c r="C173" s="15" t="s">
        <v>54</v>
      </c>
      <c r="D173" s="15" t="s">
        <v>57</v>
      </c>
      <c r="E173" s="15">
        <f>'10-JULY2026'!T173</f>
        <v>5</v>
      </c>
      <c r="F173" s="15">
        <f>'10-JULY2026'!U173</f>
        <v>0</v>
      </c>
      <c r="G173" s="15">
        <f>'10-JULY2026'!V173</f>
        <v>0</v>
      </c>
      <c r="H173" s="15">
        <f t="shared" si="50"/>
        <v>5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5">
        <f t="shared" si="51"/>
        <v>5</v>
      </c>
      <c r="T173" s="15">
        <f t="shared" si="52"/>
        <v>5</v>
      </c>
      <c r="U173" s="15">
        <f t="shared" si="53"/>
        <v>0</v>
      </c>
      <c r="V173" s="15">
        <f t="shared" si="54"/>
        <v>0</v>
      </c>
      <c r="W173" s="18" t="str">
        <f t="shared" si="55"/>
        <v/>
      </c>
      <c r="X173" s="17">
        <v>0</v>
      </c>
      <c r="Y173" s="17">
        <v>0</v>
      </c>
      <c r="Z173" s="15">
        <f t="shared" si="56"/>
        <v>0</v>
      </c>
      <c r="AA173" s="17">
        <v>0</v>
      </c>
      <c r="AB173" s="17">
        <v>0</v>
      </c>
      <c r="AC173" s="15">
        <f t="shared" si="57"/>
        <v>0</v>
      </c>
      <c r="AD173" s="17">
        <v>0</v>
      </c>
      <c r="AE173" s="17">
        <v>0</v>
      </c>
      <c r="AF173" s="15">
        <f t="shared" si="58"/>
        <v>0</v>
      </c>
      <c r="AG173" s="17">
        <v>0</v>
      </c>
      <c r="AH173" s="17">
        <v>0</v>
      </c>
      <c r="AI173" s="15">
        <f t="shared" si="59"/>
        <v>0</v>
      </c>
      <c r="AJ173" s="17"/>
    </row>
    <row r="174" spans="1:36" x14ac:dyDescent="0.3">
      <c r="A174" s="15" t="s">
        <v>221</v>
      </c>
      <c r="B174" s="15">
        <v>1000</v>
      </c>
      <c r="C174" s="15" t="s">
        <v>54</v>
      </c>
      <c r="D174" s="15" t="s">
        <v>68</v>
      </c>
      <c r="E174" s="15">
        <f>'10-JULY2026'!T174</f>
        <v>2</v>
      </c>
      <c r="F174" s="15">
        <f>'10-JULY2026'!U174</f>
        <v>0</v>
      </c>
      <c r="G174" s="15">
        <f>'10-JULY2026'!V174</f>
        <v>0</v>
      </c>
      <c r="H174" s="15">
        <f t="shared" si="50"/>
        <v>2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5">
        <f t="shared" si="51"/>
        <v>2</v>
      </c>
      <c r="T174" s="15">
        <f t="shared" si="52"/>
        <v>2</v>
      </c>
      <c r="U174" s="15">
        <f t="shared" si="53"/>
        <v>0</v>
      </c>
      <c r="V174" s="15">
        <f t="shared" si="54"/>
        <v>0</v>
      </c>
      <c r="W174" s="18" t="str">
        <f t="shared" si="55"/>
        <v/>
      </c>
      <c r="X174" s="17">
        <v>0</v>
      </c>
      <c r="Y174" s="17">
        <v>0</v>
      </c>
      <c r="Z174" s="15">
        <f t="shared" si="56"/>
        <v>0</v>
      </c>
      <c r="AA174" s="17">
        <v>0</v>
      </c>
      <c r="AB174" s="17">
        <v>0</v>
      </c>
      <c r="AC174" s="15">
        <f t="shared" si="57"/>
        <v>0</v>
      </c>
      <c r="AD174" s="17">
        <v>0</v>
      </c>
      <c r="AE174" s="17">
        <v>0</v>
      </c>
      <c r="AF174" s="15">
        <f t="shared" si="58"/>
        <v>0</v>
      </c>
      <c r="AG174" s="17">
        <v>0</v>
      </c>
      <c r="AH174" s="17">
        <v>0</v>
      </c>
      <c r="AI174" s="15">
        <f t="shared" si="59"/>
        <v>0</v>
      </c>
      <c r="AJ174" s="17"/>
    </row>
    <row r="175" spans="1:36" x14ac:dyDescent="0.3">
      <c r="A175" s="15" t="s">
        <v>222</v>
      </c>
      <c r="B175" s="15">
        <v>1000</v>
      </c>
      <c r="C175" s="15" t="s">
        <v>54</v>
      </c>
      <c r="D175" s="15" t="s">
        <v>68</v>
      </c>
      <c r="E175" s="15">
        <f>'10-JULY2026'!T175</f>
        <v>2</v>
      </c>
      <c r="F175" s="15">
        <f>'10-JULY2026'!U175</f>
        <v>0</v>
      </c>
      <c r="G175" s="15">
        <f>'10-JULY2026'!V175</f>
        <v>0</v>
      </c>
      <c r="H175" s="15">
        <f t="shared" si="50"/>
        <v>2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5">
        <f t="shared" si="51"/>
        <v>2</v>
      </c>
      <c r="T175" s="15">
        <f t="shared" si="52"/>
        <v>2</v>
      </c>
      <c r="U175" s="15">
        <f t="shared" si="53"/>
        <v>0</v>
      </c>
      <c r="V175" s="15">
        <f t="shared" si="54"/>
        <v>0</v>
      </c>
      <c r="W175" s="18" t="str">
        <f t="shared" si="55"/>
        <v/>
      </c>
      <c r="X175" s="17">
        <v>0</v>
      </c>
      <c r="Y175" s="17">
        <v>0</v>
      </c>
      <c r="Z175" s="15">
        <f t="shared" si="56"/>
        <v>0</v>
      </c>
      <c r="AA175" s="17">
        <v>0</v>
      </c>
      <c r="AB175" s="17">
        <v>0</v>
      </c>
      <c r="AC175" s="15">
        <f t="shared" si="57"/>
        <v>0</v>
      </c>
      <c r="AD175" s="17">
        <v>0</v>
      </c>
      <c r="AE175" s="17">
        <v>0</v>
      </c>
      <c r="AF175" s="15">
        <f t="shared" si="58"/>
        <v>0</v>
      </c>
      <c r="AG175" s="17">
        <v>0</v>
      </c>
      <c r="AH175" s="17">
        <v>0</v>
      </c>
      <c r="AI175" s="15">
        <f t="shared" si="59"/>
        <v>0</v>
      </c>
      <c r="AJ175" s="17"/>
    </row>
    <row r="176" spans="1:36" x14ac:dyDescent="0.3">
      <c r="A176" s="15" t="s">
        <v>223</v>
      </c>
      <c r="B176" s="15">
        <v>100</v>
      </c>
      <c r="C176" s="15" t="s">
        <v>54</v>
      </c>
      <c r="D176" s="15" t="s">
        <v>57</v>
      </c>
      <c r="E176" s="15">
        <f>'10-JULY2026'!T176</f>
        <v>1</v>
      </c>
      <c r="F176" s="15">
        <f>'10-JULY2026'!U176</f>
        <v>0</v>
      </c>
      <c r="G176" s="15">
        <f>'10-JULY2026'!V176</f>
        <v>0</v>
      </c>
      <c r="H176" s="15">
        <f t="shared" si="50"/>
        <v>1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5">
        <f t="shared" si="51"/>
        <v>1</v>
      </c>
      <c r="T176" s="15">
        <f t="shared" si="52"/>
        <v>1</v>
      </c>
      <c r="U176" s="15">
        <f t="shared" si="53"/>
        <v>0</v>
      </c>
      <c r="V176" s="15">
        <f t="shared" si="54"/>
        <v>0</v>
      </c>
      <c r="W176" s="18" t="str">
        <f t="shared" si="55"/>
        <v/>
      </c>
      <c r="X176" s="17">
        <v>0</v>
      </c>
      <c r="Y176" s="17">
        <v>0</v>
      </c>
      <c r="Z176" s="15">
        <f t="shared" si="56"/>
        <v>0</v>
      </c>
      <c r="AA176" s="17">
        <v>0</v>
      </c>
      <c r="AB176" s="17">
        <v>0</v>
      </c>
      <c r="AC176" s="15">
        <f t="shared" si="57"/>
        <v>0</v>
      </c>
      <c r="AD176" s="17">
        <v>0</v>
      </c>
      <c r="AE176" s="17">
        <v>0</v>
      </c>
      <c r="AF176" s="15">
        <f t="shared" si="58"/>
        <v>0</v>
      </c>
      <c r="AG176" s="17">
        <v>0</v>
      </c>
      <c r="AH176" s="17">
        <v>0</v>
      </c>
      <c r="AI176" s="15">
        <f t="shared" si="59"/>
        <v>0</v>
      </c>
      <c r="AJ176" s="17"/>
    </row>
    <row r="177" spans="1:36" hidden="1" x14ac:dyDescent="0.3">
      <c r="A177" s="15" t="s">
        <v>224</v>
      </c>
      <c r="B177" s="15" t="s">
        <v>225</v>
      </c>
      <c r="C177" s="15" t="s">
        <v>54</v>
      </c>
      <c r="D177" s="15" t="s">
        <v>55</v>
      </c>
      <c r="E177" s="15">
        <f>'10-JULY2026'!T177</f>
        <v>0</v>
      </c>
      <c r="F177" s="15">
        <f>'10-JULY2026'!U177</f>
        <v>4</v>
      </c>
      <c r="G177" s="15">
        <f>'10-JULY2026'!V177</f>
        <v>0</v>
      </c>
      <c r="H177" s="15">
        <f t="shared" si="50"/>
        <v>4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5">
        <f t="shared" si="51"/>
        <v>4</v>
      </c>
      <c r="T177" s="15">
        <f t="shared" si="52"/>
        <v>0</v>
      </c>
      <c r="U177" s="15">
        <f t="shared" si="53"/>
        <v>4</v>
      </c>
      <c r="V177" s="15">
        <f t="shared" si="54"/>
        <v>0</v>
      </c>
      <c r="W177" s="18" t="str">
        <f t="shared" si="55"/>
        <v/>
      </c>
      <c r="X177" s="17">
        <v>0</v>
      </c>
      <c r="Y177" s="17">
        <v>0</v>
      </c>
      <c r="Z177" s="15">
        <f t="shared" si="56"/>
        <v>0</v>
      </c>
      <c r="AA177" s="17">
        <v>0</v>
      </c>
      <c r="AB177" s="17">
        <v>0</v>
      </c>
      <c r="AC177" s="15">
        <f t="shared" si="57"/>
        <v>0</v>
      </c>
      <c r="AD177" s="17">
        <v>0</v>
      </c>
      <c r="AE177" s="17">
        <v>0</v>
      </c>
      <c r="AF177" s="15">
        <f t="shared" si="58"/>
        <v>0</v>
      </c>
      <c r="AG177" s="17">
        <v>0</v>
      </c>
      <c r="AH177" s="17">
        <v>0</v>
      </c>
      <c r="AI177" s="15">
        <f t="shared" si="59"/>
        <v>0</v>
      </c>
      <c r="AJ177" s="17"/>
    </row>
    <row r="178" spans="1:36" x14ac:dyDescent="0.3">
      <c r="A178" s="15" t="s">
        <v>226</v>
      </c>
      <c r="B178" s="15">
        <v>100</v>
      </c>
      <c r="C178" s="15" t="s">
        <v>54</v>
      </c>
      <c r="D178" s="15" t="s">
        <v>68</v>
      </c>
      <c r="E178" s="15">
        <f>'10-JULY2026'!T178</f>
        <v>2</v>
      </c>
      <c r="F178" s="15">
        <f>'10-JULY2026'!U178</f>
        <v>0</v>
      </c>
      <c r="G178" s="15">
        <f>'10-JULY2026'!V178</f>
        <v>0</v>
      </c>
      <c r="H178" s="15">
        <f t="shared" si="50"/>
        <v>2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5">
        <f t="shared" si="51"/>
        <v>2</v>
      </c>
      <c r="T178" s="15">
        <f t="shared" si="52"/>
        <v>2</v>
      </c>
      <c r="U178" s="15">
        <f t="shared" si="53"/>
        <v>0</v>
      </c>
      <c r="V178" s="15">
        <f t="shared" si="54"/>
        <v>0</v>
      </c>
      <c r="W178" s="18" t="str">
        <f t="shared" si="55"/>
        <v/>
      </c>
      <c r="X178" s="17">
        <v>0</v>
      </c>
      <c r="Y178" s="17">
        <v>0</v>
      </c>
      <c r="Z178" s="15">
        <f t="shared" si="56"/>
        <v>0</v>
      </c>
      <c r="AA178" s="17">
        <v>0</v>
      </c>
      <c r="AB178" s="17">
        <v>0</v>
      </c>
      <c r="AC178" s="15">
        <f t="shared" si="57"/>
        <v>0</v>
      </c>
      <c r="AD178" s="17">
        <v>0</v>
      </c>
      <c r="AE178" s="17">
        <v>0</v>
      </c>
      <c r="AF178" s="15">
        <f t="shared" si="58"/>
        <v>0</v>
      </c>
      <c r="AG178" s="17">
        <v>0</v>
      </c>
      <c r="AH178" s="17">
        <v>0</v>
      </c>
      <c r="AI178" s="15">
        <f t="shared" si="59"/>
        <v>0</v>
      </c>
      <c r="AJ178" s="17"/>
    </row>
    <row r="179" spans="1:36" hidden="1" x14ac:dyDescent="0.3">
      <c r="A179" s="15" t="s">
        <v>227</v>
      </c>
      <c r="B179" s="15">
        <v>100</v>
      </c>
      <c r="C179" s="15" t="s">
        <v>54</v>
      </c>
      <c r="D179" s="15" t="s">
        <v>55</v>
      </c>
      <c r="E179" s="15">
        <f>'10-JULY2026'!T179</f>
        <v>81</v>
      </c>
      <c r="F179" s="15">
        <f>'10-JULY2026'!U179</f>
        <v>0</v>
      </c>
      <c r="G179" s="15">
        <f>'10-JULY2026'!V179</f>
        <v>0</v>
      </c>
      <c r="H179" s="15">
        <f t="shared" si="50"/>
        <v>81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5">
        <f t="shared" si="51"/>
        <v>81</v>
      </c>
      <c r="T179" s="15">
        <f t="shared" si="52"/>
        <v>81</v>
      </c>
      <c r="U179" s="15">
        <f t="shared" si="53"/>
        <v>0</v>
      </c>
      <c r="V179" s="15">
        <f t="shared" si="54"/>
        <v>0</v>
      </c>
      <c r="W179" s="18" t="str">
        <f t="shared" si="55"/>
        <v/>
      </c>
      <c r="X179" s="17">
        <v>0</v>
      </c>
      <c r="Y179" s="17">
        <v>0</v>
      </c>
      <c r="Z179" s="15">
        <f t="shared" si="56"/>
        <v>0</v>
      </c>
      <c r="AA179" s="17">
        <v>0</v>
      </c>
      <c r="AB179" s="17">
        <v>0</v>
      </c>
      <c r="AC179" s="15">
        <f t="shared" si="57"/>
        <v>0</v>
      </c>
      <c r="AD179" s="17">
        <v>0</v>
      </c>
      <c r="AE179" s="17">
        <v>0</v>
      </c>
      <c r="AF179" s="15">
        <f t="shared" si="58"/>
        <v>0</v>
      </c>
      <c r="AG179" s="17">
        <v>0</v>
      </c>
      <c r="AH179" s="17">
        <v>0</v>
      </c>
      <c r="AI179" s="15">
        <f t="shared" si="59"/>
        <v>0</v>
      </c>
      <c r="AJ179" s="17"/>
    </row>
    <row r="180" spans="1:36" x14ac:dyDescent="0.3">
      <c r="A180" s="15" t="s">
        <v>228</v>
      </c>
      <c r="B180" s="15">
        <v>1000</v>
      </c>
      <c r="C180" s="15" t="s">
        <v>54</v>
      </c>
      <c r="D180" s="15" t="s">
        <v>57</v>
      </c>
      <c r="E180" s="15">
        <f>'10-JULY2026'!T180</f>
        <v>5</v>
      </c>
      <c r="F180" s="15">
        <f>'10-JULY2026'!U180</f>
        <v>0</v>
      </c>
      <c r="G180" s="15">
        <f>'10-JULY2026'!V180</f>
        <v>0</v>
      </c>
      <c r="H180" s="15">
        <f t="shared" si="50"/>
        <v>5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5">
        <f t="shared" si="51"/>
        <v>5</v>
      </c>
      <c r="T180" s="15">
        <f t="shared" si="52"/>
        <v>5</v>
      </c>
      <c r="U180" s="15">
        <f t="shared" si="53"/>
        <v>0</v>
      </c>
      <c r="V180" s="15">
        <f t="shared" si="54"/>
        <v>0</v>
      </c>
      <c r="W180" s="18" t="str">
        <f t="shared" si="55"/>
        <v/>
      </c>
      <c r="X180" s="17">
        <v>0</v>
      </c>
      <c r="Y180" s="17">
        <v>0</v>
      </c>
      <c r="Z180" s="15">
        <f t="shared" si="56"/>
        <v>0</v>
      </c>
      <c r="AA180" s="17">
        <v>0</v>
      </c>
      <c r="AB180" s="17">
        <v>0</v>
      </c>
      <c r="AC180" s="15">
        <f t="shared" si="57"/>
        <v>0</v>
      </c>
      <c r="AD180" s="17">
        <v>0</v>
      </c>
      <c r="AE180" s="17">
        <v>0</v>
      </c>
      <c r="AF180" s="15">
        <f t="shared" si="58"/>
        <v>0</v>
      </c>
      <c r="AG180" s="17">
        <v>0</v>
      </c>
      <c r="AH180" s="17">
        <v>0</v>
      </c>
      <c r="AI180" s="15">
        <f t="shared" si="59"/>
        <v>0</v>
      </c>
      <c r="AJ180" s="17"/>
    </row>
    <row r="181" spans="1:36" x14ac:dyDescent="0.3">
      <c r="A181" s="15" t="s">
        <v>229</v>
      </c>
      <c r="B181" s="15">
        <v>100</v>
      </c>
      <c r="C181" s="15" t="s">
        <v>54</v>
      </c>
      <c r="D181" s="15" t="s">
        <v>68</v>
      </c>
      <c r="E181" s="15">
        <f>'10-JULY2026'!T181</f>
        <v>3</v>
      </c>
      <c r="F181" s="15">
        <f>'10-JULY2026'!U181</f>
        <v>0</v>
      </c>
      <c r="G181" s="15">
        <f>'10-JULY2026'!V181</f>
        <v>0</v>
      </c>
      <c r="H181" s="15">
        <f t="shared" si="50"/>
        <v>3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5">
        <f t="shared" si="51"/>
        <v>3</v>
      </c>
      <c r="T181" s="15">
        <f t="shared" si="52"/>
        <v>3</v>
      </c>
      <c r="U181" s="15">
        <f t="shared" si="53"/>
        <v>0</v>
      </c>
      <c r="V181" s="15">
        <f t="shared" si="54"/>
        <v>0</v>
      </c>
      <c r="W181" s="18" t="str">
        <f t="shared" si="55"/>
        <v/>
      </c>
      <c r="X181" s="17">
        <v>0</v>
      </c>
      <c r="Y181" s="17">
        <v>0</v>
      </c>
      <c r="Z181" s="15">
        <f t="shared" si="56"/>
        <v>0</v>
      </c>
      <c r="AA181" s="17">
        <v>0</v>
      </c>
      <c r="AB181" s="17">
        <v>0</v>
      </c>
      <c r="AC181" s="15">
        <f t="shared" si="57"/>
        <v>0</v>
      </c>
      <c r="AD181" s="17">
        <v>0</v>
      </c>
      <c r="AE181" s="17">
        <v>0</v>
      </c>
      <c r="AF181" s="15">
        <f t="shared" si="58"/>
        <v>0</v>
      </c>
      <c r="AG181" s="17">
        <v>0</v>
      </c>
      <c r="AH181" s="17">
        <v>0</v>
      </c>
      <c r="AI181" s="15">
        <f t="shared" si="59"/>
        <v>0</v>
      </c>
      <c r="AJ181" s="17"/>
    </row>
    <row r="182" spans="1:36" x14ac:dyDescent="0.3">
      <c r="A182" s="15" t="s">
        <v>230</v>
      </c>
      <c r="B182" s="15">
        <v>1000</v>
      </c>
      <c r="C182" s="15" t="s">
        <v>54</v>
      </c>
      <c r="D182" s="15" t="s">
        <v>68</v>
      </c>
      <c r="E182" s="15">
        <f>'10-JULY2026'!T182</f>
        <v>2</v>
      </c>
      <c r="F182" s="15">
        <f>'10-JULY2026'!U182</f>
        <v>0</v>
      </c>
      <c r="G182" s="15">
        <f>'10-JULY2026'!V182</f>
        <v>0</v>
      </c>
      <c r="H182" s="15">
        <f t="shared" si="50"/>
        <v>2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5">
        <f t="shared" si="51"/>
        <v>2</v>
      </c>
      <c r="T182" s="15">
        <f t="shared" si="52"/>
        <v>2</v>
      </c>
      <c r="U182" s="15">
        <f t="shared" si="53"/>
        <v>0</v>
      </c>
      <c r="V182" s="15">
        <f t="shared" si="54"/>
        <v>0</v>
      </c>
      <c r="W182" s="18" t="str">
        <f t="shared" si="55"/>
        <v/>
      </c>
      <c r="X182" s="17">
        <v>0</v>
      </c>
      <c r="Y182" s="17">
        <v>0</v>
      </c>
      <c r="Z182" s="15">
        <f t="shared" si="56"/>
        <v>0</v>
      </c>
      <c r="AA182" s="17">
        <v>0</v>
      </c>
      <c r="AB182" s="17">
        <v>0</v>
      </c>
      <c r="AC182" s="15">
        <f t="shared" si="57"/>
        <v>0</v>
      </c>
      <c r="AD182" s="17">
        <v>0</v>
      </c>
      <c r="AE182" s="17">
        <v>0</v>
      </c>
      <c r="AF182" s="15">
        <f t="shared" si="58"/>
        <v>0</v>
      </c>
      <c r="AG182" s="17">
        <v>0</v>
      </c>
      <c r="AH182" s="17">
        <v>0</v>
      </c>
      <c r="AI182" s="15">
        <f t="shared" si="59"/>
        <v>0</v>
      </c>
      <c r="AJ182" s="17"/>
    </row>
    <row r="183" spans="1:36" x14ac:dyDescent="0.3">
      <c r="A183" s="15" t="s">
        <v>231</v>
      </c>
      <c r="B183" s="15">
        <v>100</v>
      </c>
      <c r="C183" s="15" t="s">
        <v>54</v>
      </c>
      <c r="D183" s="15" t="s">
        <v>57</v>
      </c>
      <c r="E183" s="15">
        <f>'10-JULY2026'!T183</f>
        <v>1</v>
      </c>
      <c r="F183" s="15">
        <f>'10-JULY2026'!U183</f>
        <v>0</v>
      </c>
      <c r="G183" s="15">
        <f>'10-JULY2026'!V183</f>
        <v>0</v>
      </c>
      <c r="H183" s="15">
        <f t="shared" si="50"/>
        <v>1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5">
        <f t="shared" si="51"/>
        <v>1</v>
      </c>
      <c r="T183" s="15">
        <f t="shared" si="52"/>
        <v>1</v>
      </c>
      <c r="U183" s="15">
        <f t="shared" si="53"/>
        <v>0</v>
      </c>
      <c r="V183" s="15">
        <f t="shared" si="54"/>
        <v>0</v>
      </c>
      <c r="W183" s="18" t="str">
        <f t="shared" si="55"/>
        <v/>
      </c>
      <c r="X183" s="17">
        <v>0</v>
      </c>
      <c r="Y183" s="17">
        <v>0</v>
      </c>
      <c r="Z183" s="15">
        <f t="shared" si="56"/>
        <v>0</v>
      </c>
      <c r="AA183" s="17">
        <v>0</v>
      </c>
      <c r="AB183" s="17">
        <v>0</v>
      </c>
      <c r="AC183" s="15">
        <f t="shared" si="57"/>
        <v>0</v>
      </c>
      <c r="AD183" s="17">
        <v>0</v>
      </c>
      <c r="AE183" s="17">
        <v>0</v>
      </c>
      <c r="AF183" s="15">
        <f t="shared" si="58"/>
        <v>0</v>
      </c>
      <c r="AG183" s="17">
        <v>0</v>
      </c>
      <c r="AH183" s="17">
        <v>0</v>
      </c>
      <c r="AI183" s="15">
        <f t="shared" si="59"/>
        <v>0</v>
      </c>
      <c r="AJ183" s="17"/>
    </row>
    <row r="184" spans="1:36" x14ac:dyDescent="0.3">
      <c r="A184" s="15" t="s">
        <v>232</v>
      </c>
      <c r="B184" s="15">
        <v>100000</v>
      </c>
      <c r="C184" s="15" t="s">
        <v>54</v>
      </c>
      <c r="D184" s="15" t="s">
        <v>68</v>
      </c>
      <c r="E184" s="15">
        <f>'10-JULY2026'!T184</f>
        <v>2</v>
      </c>
      <c r="F184" s="15">
        <f>'10-JULY2026'!U184</f>
        <v>0</v>
      </c>
      <c r="G184" s="15">
        <f>'10-JULY2026'!V184</f>
        <v>0</v>
      </c>
      <c r="H184" s="15">
        <f t="shared" si="50"/>
        <v>2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5">
        <f t="shared" si="51"/>
        <v>2</v>
      </c>
      <c r="T184" s="15">
        <f t="shared" si="52"/>
        <v>2</v>
      </c>
      <c r="U184" s="15">
        <f t="shared" si="53"/>
        <v>0</v>
      </c>
      <c r="V184" s="15">
        <f t="shared" si="54"/>
        <v>0</v>
      </c>
      <c r="W184" s="18" t="str">
        <f t="shared" si="55"/>
        <v/>
      </c>
      <c r="X184" s="17">
        <v>0</v>
      </c>
      <c r="Y184" s="17">
        <v>0</v>
      </c>
      <c r="Z184" s="15">
        <f t="shared" si="56"/>
        <v>0</v>
      </c>
      <c r="AA184" s="17">
        <v>0</v>
      </c>
      <c r="AB184" s="17">
        <v>0</v>
      </c>
      <c r="AC184" s="15">
        <f t="shared" si="57"/>
        <v>0</v>
      </c>
      <c r="AD184" s="17">
        <v>0</v>
      </c>
      <c r="AE184" s="17">
        <v>0</v>
      </c>
      <c r="AF184" s="15">
        <f t="shared" si="58"/>
        <v>0</v>
      </c>
      <c r="AG184" s="17">
        <v>0</v>
      </c>
      <c r="AH184" s="17">
        <v>0</v>
      </c>
      <c r="AI184" s="15">
        <f t="shared" si="59"/>
        <v>0</v>
      </c>
      <c r="AJ184" s="17"/>
    </row>
    <row r="185" spans="1:36" x14ac:dyDescent="0.3">
      <c r="A185" s="15" t="s">
        <v>233</v>
      </c>
      <c r="B185" s="15">
        <v>100</v>
      </c>
      <c r="C185" s="15" t="s">
        <v>54</v>
      </c>
      <c r="D185" s="15" t="s">
        <v>57</v>
      </c>
      <c r="E185" s="15">
        <f>'10-JULY2026'!T185</f>
        <v>3</v>
      </c>
      <c r="F185" s="15">
        <f>'10-JULY2026'!U185</f>
        <v>0</v>
      </c>
      <c r="G185" s="15">
        <f>'10-JULY2026'!V185</f>
        <v>0</v>
      </c>
      <c r="H185" s="15">
        <f t="shared" si="50"/>
        <v>3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5">
        <f t="shared" si="51"/>
        <v>3</v>
      </c>
      <c r="T185" s="15">
        <f t="shared" si="52"/>
        <v>3</v>
      </c>
      <c r="U185" s="15">
        <f t="shared" si="53"/>
        <v>0</v>
      </c>
      <c r="V185" s="15">
        <f t="shared" si="54"/>
        <v>0</v>
      </c>
      <c r="W185" s="18" t="str">
        <f t="shared" si="55"/>
        <v/>
      </c>
      <c r="X185" s="17">
        <v>0</v>
      </c>
      <c r="Y185" s="17">
        <v>0</v>
      </c>
      <c r="Z185" s="15">
        <f t="shared" si="56"/>
        <v>0</v>
      </c>
      <c r="AA185" s="17">
        <v>0</v>
      </c>
      <c r="AB185" s="17">
        <v>0</v>
      </c>
      <c r="AC185" s="15">
        <f t="shared" si="57"/>
        <v>0</v>
      </c>
      <c r="AD185" s="17">
        <v>0</v>
      </c>
      <c r="AE185" s="17">
        <v>0</v>
      </c>
      <c r="AF185" s="15">
        <f t="shared" si="58"/>
        <v>0</v>
      </c>
      <c r="AG185" s="17">
        <v>0</v>
      </c>
      <c r="AH185" s="17">
        <v>0</v>
      </c>
      <c r="AI185" s="15">
        <f t="shared" si="59"/>
        <v>0</v>
      </c>
      <c r="AJ185" s="17"/>
    </row>
    <row r="186" spans="1:36" x14ac:dyDescent="0.3">
      <c r="A186" s="15" t="s">
        <v>234</v>
      </c>
      <c r="B186" s="15">
        <v>1000</v>
      </c>
      <c r="C186" s="15" t="s">
        <v>54</v>
      </c>
      <c r="D186" s="15" t="s">
        <v>68</v>
      </c>
      <c r="E186" s="15">
        <f>'10-JULY2026'!T186</f>
        <v>2</v>
      </c>
      <c r="F186" s="15">
        <f>'10-JULY2026'!U186</f>
        <v>0</v>
      </c>
      <c r="G186" s="15">
        <f>'10-JULY2026'!V186</f>
        <v>0</v>
      </c>
      <c r="H186" s="15">
        <f t="shared" si="50"/>
        <v>2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5">
        <f t="shared" si="51"/>
        <v>2</v>
      </c>
      <c r="T186" s="15">
        <f t="shared" si="52"/>
        <v>2</v>
      </c>
      <c r="U186" s="15">
        <f t="shared" si="53"/>
        <v>0</v>
      </c>
      <c r="V186" s="15">
        <f t="shared" si="54"/>
        <v>0</v>
      </c>
      <c r="W186" s="18" t="str">
        <f t="shared" si="55"/>
        <v/>
      </c>
      <c r="X186" s="17">
        <v>0</v>
      </c>
      <c r="Y186" s="17">
        <v>0</v>
      </c>
      <c r="Z186" s="15">
        <f t="shared" si="56"/>
        <v>0</v>
      </c>
      <c r="AA186" s="17">
        <v>0</v>
      </c>
      <c r="AB186" s="17">
        <v>0</v>
      </c>
      <c r="AC186" s="15">
        <f t="shared" si="57"/>
        <v>0</v>
      </c>
      <c r="AD186" s="17">
        <v>0</v>
      </c>
      <c r="AE186" s="17">
        <v>0</v>
      </c>
      <c r="AF186" s="15">
        <f t="shared" si="58"/>
        <v>0</v>
      </c>
      <c r="AG186" s="17">
        <v>0</v>
      </c>
      <c r="AH186" s="17">
        <v>0</v>
      </c>
      <c r="AI186" s="15">
        <f t="shared" si="59"/>
        <v>0</v>
      </c>
      <c r="AJ186" s="17"/>
    </row>
    <row r="187" spans="1:36" x14ac:dyDescent="0.3">
      <c r="A187" s="15" t="s">
        <v>235</v>
      </c>
      <c r="B187" s="15">
        <v>100000</v>
      </c>
      <c r="C187" s="15" t="s">
        <v>54</v>
      </c>
      <c r="D187" s="15" t="s">
        <v>68</v>
      </c>
      <c r="E187" s="15">
        <f>'10-JULY2026'!T187</f>
        <v>3</v>
      </c>
      <c r="F187" s="15">
        <f>'10-JULY2026'!U187</f>
        <v>0</v>
      </c>
      <c r="G187" s="15">
        <f>'10-JULY2026'!V187</f>
        <v>0</v>
      </c>
      <c r="H187" s="15">
        <f t="shared" si="50"/>
        <v>3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5">
        <f t="shared" si="51"/>
        <v>3</v>
      </c>
      <c r="T187" s="15">
        <f t="shared" si="52"/>
        <v>3</v>
      </c>
      <c r="U187" s="15">
        <f t="shared" si="53"/>
        <v>0</v>
      </c>
      <c r="V187" s="15">
        <f t="shared" si="54"/>
        <v>0</v>
      </c>
      <c r="W187" s="18" t="str">
        <f t="shared" si="55"/>
        <v/>
      </c>
      <c r="X187" s="17">
        <v>0</v>
      </c>
      <c r="Y187" s="17">
        <v>0</v>
      </c>
      <c r="Z187" s="15">
        <f t="shared" si="56"/>
        <v>0</v>
      </c>
      <c r="AA187" s="17">
        <v>0</v>
      </c>
      <c r="AB187" s="17">
        <v>0</v>
      </c>
      <c r="AC187" s="15">
        <f t="shared" si="57"/>
        <v>0</v>
      </c>
      <c r="AD187" s="17">
        <v>0</v>
      </c>
      <c r="AE187" s="17">
        <v>0</v>
      </c>
      <c r="AF187" s="15">
        <f t="shared" si="58"/>
        <v>0</v>
      </c>
      <c r="AG187" s="17">
        <v>0</v>
      </c>
      <c r="AH187" s="17">
        <v>0</v>
      </c>
      <c r="AI187" s="15">
        <f t="shared" si="59"/>
        <v>0</v>
      </c>
      <c r="AJ187" s="17"/>
    </row>
    <row r="188" spans="1:36" hidden="1" x14ac:dyDescent="0.3">
      <c r="A188" s="15" t="s">
        <v>236</v>
      </c>
      <c r="B188" s="15">
        <v>1000</v>
      </c>
      <c r="C188" s="15" t="s">
        <v>54</v>
      </c>
      <c r="D188" s="15" t="s">
        <v>55</v>
      </c>
      <c r="E188" s="15">
        <f>'10-JULY2026'!T188</f>
        <v>14</v>
      </c>
      <c r="F188" s="15">
        <f>'10-JULY2026'!U188</f>
        <v>0</v>
      </c>
      <c r="G188" s="15">
        <f>'10-JULY2026'!V188</f>
        <v>0</v>
      </c>
      <c r="H188" s="15">
        <f t="shared" si="50"/>
        <v>14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5">
        <f t="shared" si="51"/>
        <v>14</v>
      </c>
      <c r="T188" s="15">
        <f t="shared" si="52"/>
        <v>14</v>
      </c>
      <c r="U188" s="15">
        <f t="shared" si="53"/>
        <v>0</v>
      </c>
      <c r="V188" s="15">
        <f t="shared" si="54"/>
        <v>0</v>
      </c>
      <c r="W188" s="18" t="str">
        <f t="shared" si="55"/>
        <v/>
      </c>
      <c r="X188" s="17">
        <v>0</v>
      </c>
      <c r="Y188" s="17">
        <v>0</v>
      </c>
      <c r="Z188" s="15">
        <f t="shared" si="56"/>
        <v>0</v>
      </c>
      <c r="AA188" s="17">
        <v>0</v>
      </c>
      <c r="AB188" s="17">
        <v>0</v>
      </c>
      <c r="AC188" s="15">
        <f t="shared" si="57"/>
        <v>0</v>
      </c>
      <c r="AD188" s="17">
        <v>0</v>
      </c>
      <c r="AE188" s="17">
        <v>0</v>
      </c>
      <c r="AF188" s="15">
        <f t="shared" si="58"/>
        <v>0</v>
      </c>
      <c r="AG188" s="17">
        <v>0</v>
      </c>
      <c r="AH188" s="17">
        <v>0</v>
      </c>
      <c r="AI188" s="15">
        <f t="shared" si="59"/>
        <v>0</v>
      </c>
      <c r="AJ188" s="17"/>
    </row>
    <row r="189" spans="1:36" hidden="1" x14ac:dyDescent="0.3">
      <c r="A189" s="15" t="s">
        <v>237</v>
      </c>
      <c r="B189" s="15">
        <v>1000</v>
      </c>
      <c r="C189" s="15" t="s">
        <v>54</v>
      </c>
      <c r="D189" s="15" t="s">
        <v>55</v>
      </c>
      <c r="E189" s="15">
        <f>'10-JULY2026'!T189</f>
        <v>0</v>
      </c>
      <c r="F189" s="15">
        <f>'10-JULY2026'!U189</f>
        <v>29</v>
      </c>
      <c r="G189" s="15">
        <f>'10-JULY2026'!V189</f>
        <v>1</v>
      </c>
      <c r="H189" s="15">
        <f t="shared" si="50"/>
        <v>30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5">
        <f t="shared" si="51"/>
        <v>30</v>
      </c>
      <c r="T189" s="15">
        <f t="shared" si="52"/>
        <v>0</v>
      </c>
      <c r="U189" s="15">
        <f t="shared" si="53"/>
        <v>29</v>
      </c>
      <c r="V189" s="15">
        <f t="shared" si="54"/>
        <v>1</v>
      </c>
      <c r="W189" s="18" t="str">
        <f t="shared" si="55"/>
        <v/>
      </c>
      <c r="X189" s="17">
        <v>0</v>
      </c>
      <c r="Y189" s="17">
        <v>0</v>
      </c>
      <c r="Z189" s="15">
        <f t="shared" si="56"/>
        <v>0</v>
      </c>
      <c r="AA189" s="17">
        <v>0</v>
      </c>
      <c r="AB189" s="17">
        <v>0</v>
      </c>
      <c r="AC189" s="15">
        <f t="shared" si="57"/>
        <v>0</v>
      </c>
      <c r="AD189" s="17">
        <v>0</v>
      </c>
      <c r="AE189" s="17">
        <v>0</v>
      </c>
      <c r="AF189" s="15">
        <f t="shared" si="58"/>
        <v>0</v>
      </c>
      <c r="AG189" s="17">
        <v>0</v>
      </c>
      <c r="AH189" s="17">
        <v>0</v>
      </c>
      <c r="AI189" s="15">
        <f t="shared" si="59"/>
        <v>0</v>
      </c>
      <c r="AJ189" s="17"/>
    </row>
    <row r="190" spans="1:36" hidden="1" x14ac:dyDescent="0.3">
      <c r="A190" s="15" t="s">
        <v>238</v>
      </c>
      <c r="B190" s="15">
        <v>1000</v>
      </c>
      <c r="C190" s="15" t="s">
        <v>54</v>
      </c>
      <c r="D190" s="15" t="s">
        <v>55</v>
      </c>
      <c r="E190" s="15">
        <f>'10-JULY2026'!T190</f>
        <v>1</v>
      </c>
      <c r="F190" s="15">
        <f>'10-JULY2026'!U190</f>
        <v>0</v>
      </c>
      <c r="G190" s="15">
        <f>'10-JULY2026'!V190</f>
        <v>3</v>
      </c>
      <c r="H190" s="15">
        <f t="shared" si="50"/>
        <v>4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5">
        <f t="shared" si="51"/>
        <v>4</v>
      </c>
      <c r="T190" s="15">
        <f t="shared" si="52"/>
        <v>1</v>
      </c>
      <c r="U190" s="15">
        <f t="shared" si="53"/>
        <v>0</v>
      </c>
      <c r="V190" s="15">
        <f t="shared" si="54"/>
        <v>3</v>
      </c>
      <c r="W190" s="18" t="str">
        <f t="shared" si="55"/>
        <v/>
      </c>
      <c r="X190" s="17">
        <v>0</v>
      </c>
      <c r="Y190" s="17">
        <v>0</v>
      </c>
      <c r="Z190" s="15">
        <f t="shared" si="56"/>
        <v>0</v>
      </c>
      <c r="AA190" s="17">
        <v>0</v>
      </c>
      <c r="AB190" s="17">
        <v>0</v>
      </c>
      <c r="AC190" s="15">
        <f t="shared" si="57"/>
        <v>0</v>
      </c>
      <c r="AD190" s="17">
        <v>0</v>
      </c>
      <c r="AE190" s="17">
        <v>0</v>
      </c>
      <c r="AF190" s="15">
        <f t="shared" si="58"/>
        <v>0</v>
      </c>
      <c r="AG190" s="17">
        <v>0</v>
      </c>
      <c r="AH190" s="17">
        <v>0</v>
      </c>
      <c r="AI190" s="15">
        <f t="shared" si="59"/>
        <v>0</v>
      </c>
      <c r="AJ190" s="17"/>
    </row>
    <row r="191" spans="1:36" hidden="1" x14ac:dyDescent="0.3">
      <c r="A191" s="15" t="s">
        <v>239</v>
      </c>
      <c r="B191" s="15">
        <v>1000</v>
      </c>
      <c r="C191" s="15" t="s">
        <v>54</v>
      </c>
      <c r="D191" s="15" t="s">
        <v>55</v>
      </c>
      <c r="E191" s="15">
        <v>0</v>
      </c>
      <c r="F191" s="15">
        <v>0</v>
      </c>
      <c r="G191" s="15">
        <v>0</v>
      </c>
      <c r="H191" s="15">
        <f t="shared" si="50"/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5">
        <f t="shared" si="51"/>
        <v>0</v>
      </c>
      <c r="T191" s="15">
        <f t="shared" si="52"/>
        <v>0</v>
      </c>
      <c r="U191" s="15">
        <f t="shared" si="53"/>
        <v>0</v>
      </c>
      <c r="V191" s="15">
        <f t="shared" si="54"/>
        <v>0</v>
      </c>
      <c r="W191" s="18" t="str">
        <f t="shared" si="55"/>
        <v/>
      </c>
      <c r="X191" s="17">
        <v>0</v>
      </c>
      <c r="Y191" s="17">
        <v>0</v>
      </c>
      <c r="Z191" s="15">
        <f t="shared" si="56"/>
        <v>0</v>
      </c>
      <c r="AA191" s="17">
        <v>0</v>
      </c>
      <c r="AB191" s="17">
        <v>0</v>
      </c>
      <c r="AC191" s="15">
        <f t="shared" si="57"/>
        <v>0</v>
      </c>
      <c r="AD191" s="17">
        <v>0</v>
      </c>
      <c r="AE191" s="17">
        <v>0</v>
      </c>
      <c r="AF191" s="15">
        <f t="shared" si="58"/>
        <v>0</v>
      </c>
      <c r="AG191" s="17">
        <v>0</v>
      </c>
      <c r="AH191" s="17">
        <v>0</v>
      </c>
      <c r="AI191" s="15">
        <f t="shared" si="59"/>
        <v>0</v>
      </c>
      <c r="AJ191" s="17"/>
    </row>
    <row r="192" spans="1:36" hidden="1" x14ac:dyDescent="0.3">
      <c r="A192" s="15" t="s">
        <v>239</v>
      </c>
      <c r="B192" s="15">
        <v>2500</v>
      </c>
      <c r="C192" s="15" t="s">
        <v>54</v>
      </c>
      <c r="D192" s="15" t="s">
        <v>55</v>
      </c>
      <c r="E192" s="15">
        <f>'10-JULY2026'!T192</f>
        <v>0</v>
      </c>
      <c r="F192" s="15">
        <f>'10-JULY2026'!U192</f>
        <v>0</v>
      </c>
      <c r="G192" s="15">
        <f>'10-JULY2026'!V192</f>
        <v>0</v>
      </c>
      <c r="H192" s="15">
        <f t="shared" si="50"/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5">
        <f t="shared" si="51"/>
        <v>0</v>
      </c>
      <c r="T192" s="15">
        <f t="shared" si="52"/>
        <v>0</v>
      </c>
      <c r="U192" s="15">
        <f t="shared" si="53"/>
        <v>0</v>
      </c>
      <c r="V192" s="15">
        <f t="shared" si="54"/>
        <v>0</v>
      </c>
      <c r="W192" s="18" t="str">
        <f t="shared" si="55"/>
        <v/>
      </c>
      <c r="X192" s="17">
        <v>0</v>
      </c>
      <c r="Y192" s="17">
        <v>0</v>
      </c>
      <c r="Z192" s="15">
        <f t="shared" si="56"/>
        <v>0</v>
      </c>
      <c r="AA192" s="17">
        <v>0</v>
      </c>
      <c r="AB192" s="17">
        <v>0</v>
      </c>
      <c r="AC192" s="15">
        <f t="shared" si="57"/>
        <v>0</v>
      </c>
      <c r="AD192" s="17">
        <v>0</v>
      </c>
      <c r="AE192" s="17">
        <v>0</v>
      </c>
      <c r="AF192" s="15">
        <f t="shared" si="58"/>
        <v>0</v>
      </c>
      <c r="AG192" s="17">
        <v>0</v>
      </c>
      <c r="AH192" s="17">
        <v>0</v>
      </c>
      <c r="AI192" s="15">
        <f t="shared" si="59"/>
        <v>0</v>
      </c>
      <c r="AJ192" s="17"/>
    </row>
    <row r="193" spans="1:36" hidden="1" x14ac:dyDescent="0.3">
      <c r="A193" s="15" t="s">
        <v>240</v>
      </c>
      <c r="B193" s="15">
        <v>100</v>
      </c>
      <c r="C193" s="15" t="s">
        <v>54</v>
      </c>
      <c r="D193" s="15" t="s">
        <v>55</v>
      </c>
      <c r="E193" s="15">
        <f>'10-JULY2026'!T193</f>
        <v>34</v>
      </c>
      <c r="F193" s="15">
        <f>'10-JULY2026'!U193</f>
        <v>0</v>
      </c>
      <c r="G193" s="15">
        <f>'10-JULY2026'!V193</f>
        <v>0</v>
      </c>
      <c r="H193" s="15">
        <f t="shared" si="50"/>
        <v>34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5">
        <f t="shared" si="51"/>
        <v>34</v>
      </c>
      <c r="T193" s="15">
        <f t="shared" si="52"/>
        <v>34</v>
      </c>
      <c r="U193" s="15">
        <f t="shared" si="53"/>
        <v>0</v>
      </c>
      <c r="V193" s="15">
        <f t="shared" si="54"/>
        <v>0</v>
      </c>
      <c r="W193" s="18" t="str">
        <f t="shared" si="55"/>
        <v/>
      </c>
      <c r="X193" s="17">
        <v>0</v>
      </c>
      <c r="Y193" s="17">
        <v>0</v>
      </c>
      <c r="Z193" s="15">
        <f t="shared" si="56"/>
        <v>0</v>
      </c>
      <c r="AA193" s="17">
        <v>0</v>
      </c>
      <c r="AB193" s="17">
        <v>0</v>
      </c>
      <c r="AC193" s="15">
        <f t="shared" si="57"/>
        <v>0</v>
      </c>
      <c r="AD193" s="17">
        <v>0</v>
      </c>
      <c r="AE193" s="17">
        <v>0</v>
      </c>
      <c r="AF193" s="15">
        <f t="shared" si="58"/>
        <v>0</v>
      </c>
      <c r="AG193" s="17">
        <v>0</v>
      </c>
      <c r="AH193" s="17">
        <v>0</v>
      </c>
      <c r="AI193" s="15">
        <f t="shared" si="59"/>
        <v>0</v>
      </c>
      <c r="AJ193" s="17"/>
    </row>
    <row r="194" spans="1:36" hidden="1" x14ac:dyDescent="0.3">
      <c r="A194" s="15" t="s">
        <v>240</v>
      </c>
      <c r="B194" s="15">
        <v>1000</v>
      </c>
      <c r="C194" s="15" t="s">
        <v>54</v>
      </c>
      <c r="D194" s="15" t="s">
        <v>55</v>
      </c>
      <c r="E194" s="15">
        <v>0</v>
      </c>
      <c r="F194" s="15">
        <v>0</v>
      </c>
      <c r="G194" s="15">
        <v>0</v>
      </c>
      <c r="H194" s="15">
        <f t="shared" si="50"/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5">
        <f t="shared" si="51"/>
        <v>0</v>
      </c>
      <c r="T194" s="15">
        <f t="shared" si="52"/>
        <v>0</v>
      </c>
      <c r="U194" s="15">
        <f t="shared" si="53"/>
        <v>0</v>
      </c>
      <c r="V194" s="15">
        <f t="shared" si="54"/>
        <v>0</v>
      </c>
      <c r="W194" s="18" t="str">
        <f t="shared" si="55"/>
        <v/>
      </c>
      <c r="X194" s="17">
        <v>0</v>
      </c>
      <c r="Y194" s="17">
        <v>0</v>
      </c>
      <c r="Z194" s="15">
        <f t="shared" si="56"/>
        <v>0</v>
      </c>
      <c r="AA194" s="17">
        <v>0</v>
      </c>
      <c r="AB194" s="17">
        <v>0</v>
      </c>
      <c r="AC194" s="15">
        <f t="shared" si="57"/>
        <v>0</v>
      </c>
      <c r="AD194" s="17">
        <v>0</v>
      </c>
      <c r="AE194" s="17">
        <v>0</v>
      </c>
      <c r="AF194" s="15">
        <f t="shared" si="58"/>
        <v>0</v>
      </c>
      <c r="AG194" s="17">
        <v>0</v>
      </c>
      <c r="AH194" s="17">
        <v>0</v>
      </c>
      <c r="AI194" s="15">
        <f t="shared" si="59"/>
        <v>0</v>
      </c>
      <c r="AJ194" s="17"/>
    </row>
    <row r="195" spans="1:36" x14ac:dyDescent="0.3">
      <c r="A195" s="15" t="s">
        <v>241</v>
      </c>
      <c r="B195" s="15">
        <v>25000</v>
      </c>
      <c r="C195" s="15" t="s">
        <v>54</v>
      </c>
      <c r="D195" s="15" t="s">
        <v>68</v>
      </c>
      <c r="E195" s="15">
        <f>'10-JULY2026'!T195</f>
        <v>2</v>
      </c>
      <c r="F195" s="15">
        <f>'10-JULY2026'!U195</f>
        <v>0</v>
      </c>
      <c r="G195" s="15">
        <f>'10-JULY2026'!V195</f>
        <v>0</v>
      </c>
      <c r="H195" s="15">
        <f t="shared" ref="H195:H199" si="60">E195+F195+G195</f>
        <v>2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5">
        <f t="shared" ref="S195:S199" si="61">H195+O195+P195+Q195+R195-(I195+J195+K195+L195+M195+N195)</f>
        <v>2</v>
      </c>
      <c r="T195" s="15">
        <f t="shared" si="52"/>
        <v>2</v>
      </c>
      <c r="U195" s="15">
        <f t="shared" si="53"/>
        <v>0</v>
      </c>
      <c r="V195" s="15">
        <f t="shared" si="54"/>
        <v>0</v>
      </c>
      <c r="W195" s="18" t="str">
        <f t="shared" ref="W195:W199" si="62">IF(MIN(T195,U195,V195)&lt;0,"NEGATIVE STOCK - CHECK ENTRIES","")</f>
        <v/>
      </c>
      <c r="X195" s="17">
        <v>0</v>
      </c>
      <c r="Y195" s="17">
        <v>0</v>
      </c>
      <c r="Z195" s="15">
        <f t="shared" ref="Z195:Z199" si="63">X195-Y195</f>
        <v>0</v>
      </c>
      <c r="AA195" s="17">
        <v>0</v>
      </c>
      <c r="AB195" s="17">
        <v>0</v>
      </c>
      <c r="AC195" s="15">
        <f t="shared" ref="AC195:AC199" si="64">AA195-AB195</f>
        <v>0</v>
      </c>
      <c r="AD195" s="17">
        <v>0</v>
      </c>
      <c r="AE195" s="17">
        <v>0</v>
      </c>
      <c r="AF195" s="15">
        <f t="shared" ref="AF195:AF199" si="65">AD195-AE195</f>
        <v>0</v>
      </c>
      <c r="AG195" s="17">
        <v>0</v>
      </c>
      <c r="AH195" s="17">
        <v>0</v>
      </c>
      <c r="AI195" s="15">
        <f t="shared" ref="AI195:AI199" si="66">AG195-AH195</f>
        <v>0</v>
      </c>
      <c r="AJ195" s="17"/>
    </row>
    <row r="196" spans="1:36" x14ac:dyDescent="0.3">
      <c r="A196" s="15" t="s">
        <v>242</v>
      </c>
      <c r="B196" s="15">
        <v>100</v>
      </c>
      <c r="C196" s="15" t="s">
        <v>54</v>
      </c>
      <c r="D196" s="15" t="s">
        <v>68</v>
      </c>
      <c r="E196" s="15">
        <f>'10-JULY2026'!T196</f>
        <v>6</v>
      </c>
      <c r="F196" s="15">
        <f>'10-JULY2026'!U196</f>
        <v>0</v>
      </c>
      <c r="G196" s="15">
        <f>'10-JULY2026'!V196</f>
        <v>0</v>
      </c>
      <c r="H196" s="15">
        <f t="shared" si="60"/>
        <v>6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5">
        <f t="shared" si="61"/>
        <v>6</v>
      </c>
      <c r="T196" s="15">
        <f t="shared" si="52"/>
        <v>6</v>
      </c>
      <c r="U196" s="15">
        <f t="shared" si="53"/>
        <v>0</v>
      </c>
      <c r="V196" s="15">
        <f t="shared" si="54"/>
        <v>0</v>
      </c>
      <c r="W196" s="18" t="str">
        <f t="shared" si="62"/>
        <v/>
      </c>
      <c r="X196" s="17">
        <v>0</v>
      </c>
      <c r="Y196" s="17">
        <v>0</v>
      </c>
      <c r="Z196" s="15">
        <f t="shared" si="63"/>
        <v>0</v>
      </c>
      <c r="AA196" s="17">
        <v>0</v>
      </c>
      <c r="AB196" s="17">
        <v>0</v>
      </c>
      <c r="AC196" s="15">
        <f t="shared" si="64"/>
        <v>0</v>
      </c>
      <c r="AD196" s="17">
        <v>0</v>
      </c>
      <c r="AE196" s="17">
        <v>0</v>
      </c>
      <c r="AF196" s="15">
        <f t="shared" si="65"/>
        <v>0</v>
      </c>
      <c r="AG196" s="17">
        <v>0</v>
      </c>
      <c r="AH196" s="17">
        <v>0</v>
      </c>
      <c r="AI196" s="15">
        <f t="shared" si="66"/>
        <v>0</v>
      </c>
      <c r="AJ196" s="17"/>
    </row>
    <row r="197" spans="1:36" x14ac:dyDescent="0.3">
      <c r="A197" s="15" t="s">
        <v>243</v>
      </c>
      <c r="B197" s="15">
        <v>100000</v>
      </c>
      <c r="C197" s="15" t="s">
        <v>54</v>
      </c>
      <c r="D197" s="15" t="s">
        <v>57</v>
      </c>
      <c r="E197" s="15">
        <f>'10-JULY2026'!T197</f>
        <v>6</v>
      </c>
      <c r="F197" s="15">
        <f>'10-JULY2026'!U197</f>
        <v>0</v>
      </c>
      <c r="G197" s="15">
        <f>'10-JULY2026'!V197</f>
        <v>0</v>
      </c>
      <c r="H197" s="15">
        <f t="shared" si="60"/>
        <v>6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5">
        <f t="shared" si="61"/>
        <v>6</v>
      </c>
      <c r="T197" s="15">
        <f t="shared" si="52"/>
        <v>6</v>
      </c>
      <c r="U197" s="15">
        <f t="shared" si="53"/>
        <v>0</v>
      </c>
      <c r="V197" s="15">
        <f t="shared" si="54"/>
        <v>0</v>
      </c>
      <c r="W197" s="18" t="str">
        <f t="shared" si="62"/>
        <v/>
      </c>
      <c r="X197" s="17">
        <v>0</v>
      </c>
      <c r="Y197" s="17">
        <v>0</v>
      </c>
      <c r="Z197" s="15">
        <f t="shared" si="63"/>
        <v>0</v>
      </c>
      <c r="AA197" s="17">
        <v>0</v>
      </c>
      <c r="AB197" s="17">
        <v>0</v>
      </c>
      <c r="AC197" s="15">
        <f t="shared" si="64"/>
        <v>0</v>
      </c>
      <c r="AD197" s="17">
        <v>0</v>
      </c>
      <c r="AE197" s="17">
        <v>0</v>
      </c>
      <c r="AF197" s="15">
        <f t="shared" si="65"/>
        <v>0</v>
      </c>
      <c r="AG197" s="17">
        <v>0</v>
      </c>
      <c r="AH197" s="17">
        <v>0</v>
      </c>
      <c r="AI197" s="15">
        <f t="shared" si="66"/>
        <v>0</v>
      </c>
      <c r="AJ197" s="17"/>
    </row>
    <row r="198" spans="1:36" hidden="1" x14ac:dyDescent="0.3">
      <c r="A198" s="15" t="s">
        <v>244</v>
      </c>
      <c r="B198" s="15">
        <v>100000</v>
      </c>
      <c r="C198" s="15"/>
      <c r="D198" s="15" t="s">
        <v>55</v>
      </c>
      <c r="E198" s="15">
        <f>'10-JULY2026'!T198</f>
        <v>0</v>
      </c>
      <c r="F198" s="15">
        <f>'10-JULY2026'!U198</f>
        <v>0</v>
      </c>
      <c r="G198" s="15">
        <f>'10-JULY2026'!V198</f>
        <v>0</v>
      </c>
      <c r="H198" s="15">
        <f t="shared" si="60"/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5">
        <f t="shared" si="61"/>
        <v>0</v>
      </c>
      <c r="T198" s="15">
        <f t="shared" si="52"/>
        <v>0</v>
      </c>
      <c r="U198" s="15">
        <f t="shared" si="53"/>
        <v>0</v>
      </c>
      <c r="V198" s="15">
        <f t="shared" si="54"/>
        <v>0</v>
      </c>
      <c r="W198" s="18" t="str">
        <f t="shared" si="62"/>
        <v/>
      </c>
      <c r="X198" s="17">
        <v>0</v>
      </c>
      <c r="Y198" s="17">
        <v>0</v>
      </c>
      <c r="Z198" s="15">
        <f t="shared" si="63"/>
        <v>0</v>
      </c>
      <c r="AA198" s="17">
        <v>0</v>
      </c>
      <c r="AB198" s="17">
        <v>0</v>
      </c>
      <c r="AC198" s="15">
        <f t="shared" si="64"/>
        <v>0</v>
      </c>
      <c r="AD198" s="17">
        <v>0</v>
      </c>
      <c r="AE198" s="17">
        <v>0</v>
      </c>
      <c r="AF198" s="15">
        <f t="shared" si="65"/>
        <v>0</v>
      </c>
      <c r="AG198" s="17">
        <v>0</v>
      </c>
      <c r="AH198" s="17">
        <v>0</v>
      </c>
      <c r="AI198" s="15">
        <f t="shared" si="66"/>
        <v>0</v>
      </c>
      <c r="AJ198" s="17"/>
    </row>
    <row r="199" spans="1:36" x14ac:dyDescent="0.3">
      <c r="A199" s="15" t="s">
        <v>245</v>
      </c>
      <c r="B199" s="15">
        <v>25000</v>
      </c>
      <c r="C199" s="15" t="s">
        <v>54</v>
      </c>
      <c r="D199" s="15" t="s">
        <v>57</v>
      </c>
      <c r="E199" s="15">
        <f>'10-JULY2026'!T199</f>
        <v>2</v>
      </c>
      <c r="F199" s="15">
        <f>'10-JULY2026'!U199</f>
        <v>0</v>
      </c>
      <c r="G199" s="15">
        <f>'10-JULY2026'!V199</f>
        <v>0</v>
      </c>
      <c r="H199" s="15">
        <f t="shared" si="60"/>
        <v>2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5">
        <f t="shared" si="61"/>
        <v>2</v>
      </c>
      <c r="T199" s="15">
        <f t="shared" si="52"/>
        <v>2</v>
      </c>
      <c r="U199" s="15">
        <f t="shared" si="53"/>
        <v>0</v>
      </c>
      <c r="V199" s="15">
        <f t="shared" si="54"/>
        <v>0</v>
      </c>
      <c r="W199" s="18" t="str">
        <f t="shared" si="62"/>
        <v/>
      </c>
      <c r="X199" s="17">
        <v>0</v>
      </c>
      <c r="Y199" s="17">
        <v>0</v>
      </c>
      <c r="Z199" s="15">
        <f t="shared" si="63"/>
        <v>0</v>
      </c>
      <c r="AA199" s="17">
        <v>0</v>
      </c>
      <c r="AB199" s="17">
        <v>0</v>
      </c>
      <c r="AC199" s="15">
        <f t="shared" si="64"/>
        <v>0</v>
      </c>
      <c r="AD199" s="17">
        <v>0</v>
      </c>
      <c r="AE199" s="17">
        <v>0</v>
      </c>
      <c r="AF199" s="15">
        <f t="shared" si="65"/>
        <v>0</v>
      </c>
      <c r="AG199" s="17">
        <v>0</v>
      </c>
      <c r="AH199" s="17">
        <v>0</v>
      </c>
      <c r="AI199" s="15">
        <f t="shared" si="66"/>
        <v>0</v>
      </c>
      <c r="AJ199" s="17"/>
    </row>
  </sheetData>
  <autoFilter ref="A2:AJ199" xr:uid="{00000000-0001-0000-0600-000000000000}">
    <filterColumn colId="3">
      <filters>
        <filter val="CUSTOM&amp;TRIAL"/>
        <filter val="MASIFIO CUSTOM"/>
      </filters>
    </filterColumn>
  </autoFilter>
  <mergeCells count="5">
    <mergeCell ref="A1:D1"/>
    <mergeCell ref="E1:H1"/>
    <mergeCell ref="I1:R1"/>
    <mergeCell ref="S1:V1"/>
    <mergeCell ref="X1:AI1"/>
  </mergeCells>
  <conditionalFormatting sqref="T3:V199">
    <cfRule type="expression" dxfId="21" priority="3">
      <formula>T3&lt;0</formula>
    </cfRule>
  </conditionalFormatting>
  <conditionalFormatting sqref="W3:W199">
    <cfRule type="expression" dxfId="20" priority="2">
      <formula>W3&lt;&gt;""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AJ199"/>
  <sheetViews>
    <sheetView showGridLines="0" zoomScaleNormal="100" workbookViewId="0">
      <pane xSplit="4" ySplit="2" topLeftCell="E156" activePane="bottomRight" state="frozen"/>
      <selection pane="topRight" activeCell="E1" sqref="E1"/>
      <selection pane="bottomLeft" activeCell="A3" sqref="A3"/>
      <selection pane="bottomRight" activeCell="E24" sqref="E24"/>
    </sheetView>
  </sheetViews>
  <sheetFormatPr defaultColWidth="8.6640625" defaultRowHeight="14.4" x14ac:dyDescent="0.3"/>
  <cols>
    <col min="1" max="1" width="30" customWidth="1"/>
    <col min="2" max="2" width="10" customWidth="1"/>
    <col min="3" max="3" width="12" customWidth="1"/>
    <col min="4" max="4" width="14" customWidth="1"/>
    <col min="5" max="35" width="11" customWidth="1"/>
    <col min="36" max="36" width="22" customWidth="1"/>
  </cols>
  <sheetData>
    <row r="1" spans="1:36" ht="19.5" customHeight="1" x14ac:dyDescent="0.3">
      <c r="A1" s="40" t="s">
        <v>246</v>
      </c>
      <c r="B1" s="40"/>
      <c r="C1" s="40"/>
      <c r="D1" s="40"/>
      <c r="E1" s="41" t="s">
        <v>247</v>
      </c>
      <c r="F1" s="41"/>
      <c r="G1" s="41"/>
      <c r="H1" s="41"/>
      <c r="I1" s="42" t="s">
        <v>248</v>
      </c>
      <c r="J1" s="42"/>
      <c r="K1" s="42"/>
      <c r="L1" s="42"/>
      <c r="M1" s="42"/>
      <c r="N1" s="42"/>
      <c r="O1" s="42"/>
      <c r="P1" s="42"/>
      <c r="Q1" s="42"/>
      <c r="R1" s="42"/>
      <c r="S1" s="41" t="s">
        <v>249</v>
      </c>
      <c r="T1" s="41"/>
      <c r="U1" s="41"/>
      <c r="V1" s="41"/>
      <c r="W1" s="3" t="s">
        <v>250</v>
      </c>
      <c r="X1" s="43" t="s">
        <v>251</v>
      </c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" t="s">
        <v>252</v>
      </c>
    </row>
    <row r="2" spans="1:36" ht="33.75" customHeight="1" x14ac:dyDescent="0.3">
      <c r="A2" s="4" t="s">
        <v>45</v>
      </c>
      <c r="B2" s="4" t="s">
        <v>46</v>
      </c>
      <c r="C2" s="4" t="s">
        <v>47</v>
      </c>
      <c r="D2" s="4" t="s">
        <v>48</v>
      </c>
      <c r="E2" s="3" t="s">
        <v>253</v>
      </c>
      <c r="F2" s="3" t="s">
        <v>254</v>
      </c>
      <c r="G2" s="3" t="s">
        <v>255</v>
      </c>
      <c r="H2" s="3" t="s">
        <v>256</v>
      </c>
      <c r="I2" s="2" t="s">
        <v>257</v>
      </c>
      <c r="J2" s="2" t="s">
        <v>258</v>
      </c>
      <c r="K2" s="2" t="s">
        <v>259</v>
      </c>
      <c r="L2" s="2" t="s">
        <v>260</v>
      </c>
      <c r="M2" s="2" t="s">
        <v>261</v>
      </c>
      <c r="N2" s="2" t="s">
        <v>262</v>
      </c>
      <c r="O2" s="2" t="s">
        <v>263</v>
      </c>
      <c r="P2" s="2" t="s">
        <v>264</v>
      </c>
      <c r="Q2" s="2" t="s">
        <v>265</v>
      </c>
      <c r="R2" s="2" t="s">
        <v>266</v>
      </c>
      <c r="S2" s="3" t="s">
        <v>267</v>
      </c>
      <c r="T2" s="3" t="s">
        <v>268</v>
      </c>
      <c r="U2" s="3" t="s">
        <v>269</v>
      </c>
      <c r="V2" s="3" t="s">
        <v>270</v>
      </c>
      <c r="W2" s="3" t="s">
        <v>271</v>
      </c>
      <c r="X2" s="1" t="s">
        <v>272</v>
      </c>
      <c r="Y2" s="1" t="s">
        <v>273</v>
      </c>
      <c r="Z2" s="1" t="s">
        <v>274</v>
      </c>
      <c r="AA2" s="1" t="s">
        <v>275</v>
      </c>
      <c r="AB2" s="1" t="s">
        <v>276</v>
      </c>
      <c r="AC2" s="1" t="s">
        <v>277</v>
      </c>
      <c r="AD2" s="1" t="s">
        <v>278</v>
      </c>
      <c r="AE2" s="1" t="s">
        <v>279</v>
      </c>
      <c r="AF2" s="1" t="s">
        <v>280</v>
      </c>
      <c r="AG2" s="1" t="s">
        <v>281</v>
      </c>
      <c r="AH2" s="1" t="s">
        <v>282</v>
      </c>
      <c r="AI2" s="1" t="s">
        <v>283</v>
      </c>
      <c r="AJ2" s="4" t="s">
        <v>284</v>
      </c>
    </row>
    <row r="3" spans="1:36" hidden="1" x14ac:dyDescent="0.3">
      <c r="A3" s="15" t="s">
        <v>53</v>
      </c>
      <c r="B3" s="15">
        <v>1000</v>
      </c>
      <c r="C3" s="15" t="s">
        <v>54</v>
      </c>
      <c r="D3" s="15" t="s">
        <v>55</v>
      </c>
      <c r="E3" s="15">
        <v>0</v>
      </c>
      <c r="F3" s="15">
        <v>0</v>
      </c>
      <c r="G3" s="15">
        <v>0</v>
      </c>
      <c r="H3" s="15">
        <f t="shared" ref="H3:H34" si="0">E3+F3+G3</f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5">
        <f t="shared" ref="S3:S34" si="1">H3+O3+P3+Q3+R3-(I3+J3+K3+L3+M3+N3)</f>
        <v>0</v>
      </c>
      <c r="T3" s="15">
        <f t="shared" ref="T3:T34" si="2">E3+O3-I3-L3</f>
        <v>0</v>
      </c>
      <c r="U3" s="15">
        <f t="shared" ref="U3:U34" si="3">F3+P3-J3-M3</f>
        <v>0</v>
      </c>
      <c r="V3" s="15">
        <f t="shared" ref="V3:V34" si="4">G3+Q3-K3-N3</f>
        <v>0</v>
      </c>
      <c r="W3" s="18" t="str">
        <f t="shared" ref="W3:W34" si="5">IF(MIN(T3,U3,V3)&lt;0,"NEGATIVE STOCK - CHECK ENTRIES","")</f>
        <v/>
      </c>
      <c r="X3" s="17">
        <v>0</v>
      </c>
      <c r="Y3" s="17">
        <v>0</v>
      </c>
      <c r="Z3" s="15">
        <f t="shared" ref="Z3:Z34" si="6">X3-Y3</f>
        <v>0</v>
      </c>
      <c r="AA3" s="17">
        <v>0</v>
      </c>
      <c r="AB3" s="17">
        <v>0</v>
      </c>
      <c r="AC3" s="15">
        <f t="shared" ref="AC3:AC34" si="7">AA3-AB3</f>
        <v>0</v>
      </c>
      <c r="AD3" s="17">
        <v>0</v>
      </c>
      <c r="AE3" s="17">
        <v>0</v>
      </c>
      <c r="AF3" s="15">
        <f t="shared" ref="AF3:AF34" si="8">AD3-AE3</f>
        <v>0</v>
      </c>
      <c r="AG3" s="17">
        <v>0</v>
      </c>
      <c r="AH3" s="17">
        <v>0</v>
      </c>
      <c r="AI3" s="15">
        <f t="shared" ref="AI3:AI34" si="9">AG3-AH3</f>
        <v>0</v>
      </c>
      <c r="AJ3" s="17"/>
    </row>
    <row r="4" spans="1:36" x14ac:dyDescent="0.3">
      <c r="A4" s="15" t="s">
        <v>56</v>
      </c>
      <c r="B4" s="15">
        <v>500</v>
      </c>
      <c r="C4" s="15" t="s">
        <v>54</v>
      </c>
      <c r="D4" s="15" t="s">
        <v>57</v>
      </c>
      <c r="E4" s="15">
        <f>'17-july2026'!T4</f>
        <v>2</v>
      </c>
      <c r="F4" s="15">
        <f>'17-july2026'!U4</f>
        <v>0</v>
      </c>
      <c r="G4" s="15">
        <f>'17-july2026'!V4</f>
        <v>0</v>
      </c>
      <c r="H4" s="15">
        <f t="shared" si="0"/>
        <v>2</v>
      </c>
      <c r="I4" s="17">
        <v>2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5">
        <f t="shared" si="1"/>
        <v>0</v>
      </c>
      <c r="T4" s="15">
        <f t="shared" si="2"/>
        <v>0</v>
      </c>
      <c r="U4" s="15">
        <f t="shared" si="3"/>
        <v>0</v>
      </c>
      <c r="V4" s="15">
        <f t="shared" si="4"/>
        <v>0</v>
      </c>
      <c r="W4" s="18" t="str">
        <f t="shared" si="5"/>
        <v/>
      </c>
      <c r="X4" s="17">
        <v>0</v>
      </c>
      <c r="Y4" s="17">
        <v>0</v>
      </c>
      <c r="Z4" s="15">
        <f t="shared" si="6"/>
        <v>0</v>
      </c>
      <c r="AA4" s="17">
        <v>0</v>
      </c>
      <c r="AB4" s="17">
        <v>0</v>
      </c>
      <c r="AC4" s="15">
        <f t="shared" si="7"/>
        <v>0</v>
      </c>
      <c r="AD4" s="17">
        <v>0</v>
      </c>
      <c r="AE4" s="17">
        <v>0</v>
      </c>
      <c r="AF4" s="15">
        <f t="shared" si="8"/>
        <v>0</v>
      </c>
      <c r="AG4" s="17">
        <v>0</v>
      </c>
      <c r="AH4" s="17">
        <v>0</v>
      </c>
      <c r="AI4" s="15">
        <f t="shared" si="9"/>
        <v>0</v>
      </c>
      <c r="AJ4" s="17"/>
    </row>
    <row r="5" spans="1:36" hidden="1" x14ac:dyDescent="0.3">
      <c r="A5" s="15" t="s">
        <v>58</v>
      </c>
      <c r="B5" s="15">
        <v>100</v>
      </c>
      <c r="C5" s="15" t="s">
        <v>54</v>
      </c>
      <c r="D5" s="15" t="s">
        <v>55</v>
      </c>
      <c r="E5" s="15">
        <f>'17-july2026'!T5</f>
        <v>36</v>
      </c>
      <c r="F5" s="15">
        <f>'17-july2026'!U5</f>
        <v>268</v>
      </c>
      <c r="G5" s="15">
        <f>'17-july2026'!V5</f>
        <v>186</v>
      </c>
      <c r="H5" s="15">
        <f t="shared" si="0"/>
        <v>490</v>
      </c>
      <c r="I5" s="17">
        <v>0</v>
      </c>
      <c r="J5" s="17">
        <v>35</v>
      </c>
      <c r="K5" s="17">
        <v>0</v>
      </c>
      <c r="L5" s="17">
        <v>0</v>
      </c>
      <c r="M5" s="17">
        <v>0</v>
      </c>
      <c r="N5" s="17">
        <v>186</v>
      </c>
      <c r="O5" s="17">
        <v>186</v>
      </c>
      <c r="P5" s="17">
        <v>0</v>
      </c>
      <c r="Q5" s="17">
        <v>0</v>
      </c>
      <c r="R5" s="17">
        <v>0</v>
      </c>
      <c r="S5" s="15">
        <f t="shared" si="1"/>
        <v>455</v>
      </c>
      <c r="T5" s="15">
        <f t="shared" si="2"/>
        <v>222</v>
      </c>
      <c r="U5" s="15">
        <f t="shared" si="3"/>
        <v>233</v>
      </c>
      <c r="V5" s="15">
        <f t="shared" si="4"/>
        <v>0</v>
      </c>
      <c r="W5" s="18" t="str">
        <f t="shared" si="5"/>
        <v/>
      </c>
      <c r="X5" s="17">
        <v>0</v>
      </c>
      <c r="Y5" s="17">
        <v>0</v>
      </c>
      <c r="Z5" s="15">
        <f t="shared" si="6"/>
        <v>0</v>
      </c>
      <c r="AA5" s="17">
        <v>0</v>
      </c>
      <c r="AB5" s="17">
        <v>0</v>
      </c>
      <c r="AC5" s="15">
        <f t="shared" si="7"/>
        <v>0</v>
      </c>
      <c r="AD5" s="17">
        <v>0</v>
      </c>
      <c r="AE5" s="17">
        <v>0</v>
      </c>
      <c r="AF5" s="15">
        <f t="shared" si="8"/>
        <v>0</v>
      </c>
      <c r="AG5" s="17">
        <v>0</v>
      </c>
      <c r="AH5" s="17">
        <v>0</v>
      </c>
      <c r="AI5" s="15">
        <f t="shared" si="9"/>
        <v>0</v>
      </c>
      <c r="AJ5" s="17"/>
    </row>
    <row r="6" spans="1:36" hidden="1" x14ac:dyDescent="0.3">
      <c r="A6" s="15" t="s">
        <v>59</v>
      </c>
      <c r="B6" s="15">
        <v>100</v>
      </c>
      <c r="C6" s="15" t="s">
        <v>54</v>
      </c>
      <c r="D6" s="15" t="s">
        <v>55</v>
      </c>
      <c r="E6" s="15">
        <f>'17-july2026'!T6</f>
        <v>233</v>
      </c>
      <c r="F6" s="15">
        <f>'17-july2026'!U6</f>
        <v>38</v>
      </c>
      <c r="G6" s="15">
        <f>'17-july2026'!V6</f>
        <v>49</v>
      </c>
      <c r="H6" s="15">
        <f t="shared" si="0"/>
        <v>320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9</v>
      </c>
      <c r="O6" s="17">
        <v>9</v>
      </c>
      <c r="P6" s="17">
        <v>0</v>
      </c>
      <c r="Q6" s="17">
        <v>0</v>
      </c>
      <c r="R6" s="17">
        <v>0</v>
      </c>
      <c r="S6" s="15">
        <f t="shared" si="1"/>
        <v>320</v>
      </c>
      <c r="T6" s="15">
        <f t="shared" si="2"/>
        <v>242</v>
      </c>
      <c r="U6" s="15">
        <f t="shared" si="3"/>
        <v>38</v>
      </c>
      <c r="V6" s="15">
        <f t="shared" si="4"/>
        <v>40</v>
      </c>
      <c r="W6" s="18" t="str">
        <f t="shared" si="5"/>
        <v/>
      </c>
      <c r="X6" s="17">
        <v>0</v>
      </c>
      <c r="Y6" s="17">
        <v>0</v>
      </c>
      <c r="Z6" s="15">
        <f t="shared" si="6"/>
        <v>0</v>
      </c>
      <c r="AA6" s="17">
        <v>0</v>
      </c>
      <c r="AB6" s="17">
        <v>0</v>
      </c>
      <c r="AC6" s="15">
        <f t="shared" si="7"/>
        <v>0</v>
      </c>
      <c r="AD6" s="17">
        <v>0</v>
      </c>
      <c r="AE6" s="17">
        <v>0</v>
      </c>
      <c r="AF6" s="15">
        <f t="shared" si="8"/>
        <v>0</v>
      </c>
      <c r="AG6" s="17">
        <v>0</v>
      </c>
      <c r="AH6" s="17">
        <v>0</v>
      </c>
      <c r="AI6" s="15">
        <f t="shared" si="9"/>
        <v>0</v>
      </c>
      <c r="AJ6" s="17"/>
    </row>
    <row r="7" spans="1:36" hidden="1" x14ac:dyDescent="0.3">
      <c r="A7" s="15" t="s">
        <v>60</v>
      </c>
      <c r="B7" s="15">
        <v>100</v>
      </c>
      <c r="C7" s="15" t="s">
        <v>54</v>
      </c>
      <c r="D7" s="15" t="s">
        <v>55</v>
      </c>
      <c r="E7" s="15">
        <f>'17-july2026'!T7</f>
        <v>0</v>
      </c>
      <c r="F7" s="15">
        <f>'17-july2026'!U7</f>
        <v>20</v>
      </c>
      <c r="G7" s="15">
        <f>'17-july2026'!V7</f>
        <v>0</v>
      </c>
      <c r="H7" s="15">
        <f t="shared" si="0"/>
        <v>20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5">
        <f t="shared" si="1"/>
        <v>20</v>
      </c>
      <c r="T7" s="15">
        <f t="shared" si="2"/>
        <v>0</v>
      </c>
      <c r="U7" s="15">
        <f t="shared" si="3"/>
        <v>20</v>
      </c>
      <c r="V7" s="15">
        <f t="shared" si="4"/>
        <v>0</v>
      </c>
      <c r="W7" s="18" t="str">
        <f t="shared" si="5"/>
        <v/>
      </c>
      <c r="X7" s="17">
        <v>0</v>
      </c>
      <c r="Y7" s="17">
        <v>0</v>
      </c>
      <c r="Z7" s="15">
        <f t="shared" si="6"/>
        <v>0</v>
      </c>
      <c r="AA7" s="17">
        <v>0</v>
      </c>
      <c r="AB7" s="17">
        <v>0</v>
      </c>
      <c r="AC7" s="15">
        <f t="shared" si="7"/>
        <v>0</v>
      </c>
      <c r="AD7" s="17">
        <v>0</v>
      </c>
      <c r="AE7" s="17">
        <v>0</v>
      </c>
      <c r="AF7" s="15">
        <f t="shared" si="8"/>
        <v>0</v>
      </c>
      <c r="AG7" s="17">
        <v>0</v>
      </c>
      <c r="AH7" s="17">
        <v>0</v>
      </c>
      <c r="AI7" s="15">
        <f t="shared" si="9"/>
        <v>0</v>
      </c>
      <c r="AJ7" s="17"/>
    </row>
    <row r="8" spans="1:36" hidden="1" x14ac:dyDescent="0.3">
      <c r="A8" s="15" t="s">
        <v>61</v>
      </c>
      <c r="B8" s="15">
        <v>100</v>
      </c>
      <c r="C8" s="15" t="s">
        <v>54</v>
      </c>
      <c r="D8" s="15" t="s">
        <v>55</v>
      </c>
      <c r="E8" s="15">
        <f>'17-july2026'!T8</f>
        <v>5</v>
      </c>
      <c r="F8" s="15">
        <f>'17-july2026'!U8</f>
        <v>17</v>
      </c>
      <c r="G8" s="15">
        <f>'17-july2026'!V8</f>
        <v>19</v>
      </c>
      <c r="H8" s="15">
        <f t="shared" si="0"/>
        <v>41</v>
      </c>
      <c r="I8" s="17">
        <v>19</v>
      </c>
      <c r="J8" s="17">
        <v>0</v>
      </c>
      <c r="K8" s="17">
        <v>0</v>
      </c>
      <c r="L8" s="17">
        <v>0</v>
      </c>
      <c r="M8" s="17">
        <v>0</v>
      </c>
      <c r="N8" s="17">
        <v>19</v>
      </c>
      <c r="O8" s="17">
        <v>19</v>
      </c>
      <c r="P8" s="17">
        <v>0</v>
      </c>
      <c r="Q8" s="17">
        <v>0</v>
      </c>
      <c r="R8" s="17">
        <v>0</v>
      </c>
      <c r="S8" s="15">
        <f t="shared" si="1"/>
        <v>22</v>
      </c>
      <c r="T8" s="15">
        <f t="shared" si="2"/>
        <v>5</v>
      </c>
      <c r="U8" s="15">
        <f t="shared" si="3"/>
        <v>17</v>
      </c>
      <c r="V8" s="15">
        <f t="shared" si="4"/>
        <v>0</v>
      </c>
      <c r="W8" s="18" t="str">
        <f t="shared" si="5"/>
        <v/>
      </c>
      <c r="X8" s="17">
        <v>0</v>
      </c>
      <c r="Y8" s="17">
        <v>0</v>
      </c>
      <c r="Z8" s="15">
        <f t="shared" si="6"/>
        <v>0</v>
      </c>
      <c r="AA8" s="17">
        <v>0</v>
      </c>
      <c r="AB8" s="17">
        <v>0</v>
      </c>
      <c r="AC8" s="15">
        <f t="shared" si="7"/>
        <v>0</v>
      </c>
      <c r="AD8" s="17">
        <v>0</v>
      </c>
      <c r="AE8" s="17">
        <v>0</v>
      </c>
      <c r="AF8" s="15">
        <f t="shared" si="8"/>
        <v>0</v>
      </c>
      <c r="AG8" s="17">
        <v>0</v>
      </c>
      <c r="AH8" s="17">
        <v>0</v>
      </c>
      <c r="AI8" s="15">
        <f t="shared" si="9"/>
        <v>0</v>
      </c>
      <c r="AJ8" s="17"/>
    </row>
    <row r="9" spans="1:36" hidden="1" x14ac:dyDescent="0.3">
      <c r="A9" s="15" t="s">
        <v>62</v>
      </c>
      <c r="B9" s="15">
        <v>100</v>
      </c>
      <c r="C9" s="15" t="s">
        <v>54</v>
      </c>
      <c r="D9" s="15" t="s">
        <v>55</v>
      </c>
      <c r="E9" s="15">
        <f>'17-july2026'!T9</f>
        <v>0</v>
      </c>
      <c r="F9" s="15">
        <f>'17-july2026'!U9</f>
        <v>0</v>
      </c>
      <c r="G9" s="15">
        <f>'17-july2026'!V9</f>
        <v>1</v>
      </c>
      <c r="H9" s="15">
        <f t="shared" si="0"/>
        <v>1</v>
      </c>
      <c r="I9" s="17">
        <v>100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100</v>
      </c>
      <c r="P9" s="17">
        <v>0</v>
      </c>
      <c r="Q9" s="17">
        <v>0</v>
      </c>
      <c r="R9" s="17">
        <v>0</v>
      </c>
      <c r="S9" s="15">
        <f t="shared" si="1"/>
        <v>1</v>
      </c>
      <c r="T9" s="15">
        <f t="shared" si="2"/>
        <v>0</v>
      </c>
      <c r="U9" s="15">
        <f t="shared" si="3"/>
        <v>0</v>
      </c>
      <c r="V9" s="15">
        <f t="shared" si="4"/>
        <v>1</v>
      </c>
      <c r="W9" s="18" t="str">
        <f t="shared" si="5"/>
        <v/>
      </c>
      <c r="X9" s="17">
        <v>0</v>
      </c>
      <c r="Y9" s="17">
        <v>0</v>
      </c>
      <c r="Z9" s="15">
        <f t="shared" si="6"/>
        <v>0</v>
      </c>
      <c r="AA9" s="17">
        <v>0</v>
      </c>
      <c r="AB9" s="17">
        <v>0</v>
      </c>
      <c r="AC9" s="15">
        <f t="shared" si="7"/>
        <v>0</v>
      </c>
      <c r="AD9" s="17">
        <v>0</v>
      </c>
      <c r="AE9" s="17">
        <v>0</v>
      </c>
      <c r="AF9" s="15">
        <f t="shared" si="8"/>
        <v>0</v>
      </c>
      <c r="AG9" s="17">
        <v>0</v>
      </c>
      <c r="AH9" s="17">
        <v>0</v>
      </c>
      <c r="AI9" s="15">
        <f t="shared" si="9"/>
        <v>0</v>
      </c>
      <c r="AJ9" s="17"/>
    </row>
    <row r="10" spans="1:36" hidden="1" x14ac:dyDescent="0.3">
      <c r="A10" s="15" t="s">
        <v>62</v>
      </c>
      <c r="B10" s="15">
        <v>500</v>
      </c>
      <c r="C10" s="15" t="s">
        <v>54</v>
      </c>
      <c r="D10" s="15" t="s">
        <v>55</v>
      </c>
      <c r="E10" s="15">
        <f>'17-july2026'!T10</f>
        <v>-2</v>
      </c>
      <c r="F10" s="15">
        <f>'17-july2026'!U10</f>
        <v>0</v>
      </c>
      <c r="G10" s="15">
        <f>'17-july2026'!V10</f>
        <v>0</v>
      </c>
      <c r="H10" s="15">
        <f t="shared" si="0"/>
        <v>-2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5">
        <f t="shared" si="1"/>
        <v>-2</v>
      </c>
      <c r="T10" s="15">
        <f t="shared" si="2"/>
        <v>-2</v>
      </c>
      <c r="U10" s="15">
        <f t="shared" si="3"/>
        <v>0</v>
      </c>
      <c r="V10" s="15">
        <f t="shared" si="4"/>
        <v>0</v>
      </c>
      <c r="W10" s="18" t="str">
        <f t="shared" si="5"/>
        <v>NEGATIVE STOCK - CHECK ENTRIES</v>
      </c>
      <c r="X10" s="17">
        <v>0</v>
      </c>
      <c r="Y10" s="17">
        <v>0</v>
      </c>
      <c r="Z10" s="15">
        <f t="shared" si="6"/>
        <v>0</v>
      </c>
      <c r="AA10" s="17">
        <v>0</v>
      </c>
      <c r="AB10" s="17">
        <v>0</v>
      </c>
      <c r="AC10" s="15">
        <f t="shared" si="7"/>
        <v>0</v>
      </c>
      <c r="AD10" s="17">
        <v>0</v>
      </c>
      <c r="AE10" s="17">
        <v>0</v>
      </c>
      <c r="AF10" s="15">
        <f t="shared" si="8"/>
        <v>0</v>
      </c>
      <c r="AG10" s="17">
        <v>0</v>
      </c>
      <c r="AH10" s="17">
        <v>0</v>
      </c>
      <c r="AI10" s="15">
        <f t="shared" si="9"/>
        <v>0</v>
      </c>
      <c r="AJ10" s="17"/>
    </row>
    <row r="11" spans="1:36" hidden="1" x14ac:dyDescent="0.3">
      <c r="A11" s="15" t="s">
        <v>63</v>
      </c>
      <c r="B11" s="15">
        <v>100</v>
      </c>
      <c r="C11" s="15" t="s">
        <v>54</v>
      </c>
      <c r="D11" s="15" t="s">
        <v>55</v>
      </c>
      <c r="E11" s="15">
        <f>'17-july2026'!T11</f>
        <v>330</v>
      </c>
      <c r="F11" s="15">
        <f>'17-july2026'!U11</f>
        <v>195</v>
      </c>
      <c r="G11" s="15">
        <f>'17-july2026'!V11</f>
        <v>16</v>
      </c>
      <c r="H11" s="15">
        <f t="shared" si="0"/>
        <v>541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5">
        <f t="shared" si="1"/>
        <v>541</v>
      </c>
      <c r="T11" s="15">
        <f t="shared" si="2"/>
        <v>330</v>
      </c>
      <c r="U11" s="15">
        <f t="shared" si="3"/>
        <v>195</v>
      </c>
      <c r="V11" s="15">
        <f t="shared" si="4"/>
        <v>16</v>
      </c>
      <c r="W11" s="18" t="str">
        <f t="shared" si="5"/>
        <v/>
      </c>
      <c r="X11" s="17">
        <v>0</v>
      </c>
      <c r="Y11" s="17">
        <v>0</v>
      </c>
      <c r="Z11" s="15">
        <f t="shared" si="6"/>
        <v>0</v>
      </c>
      <c r="AA11" s="17">
        <v>0</v>
      </c>
      <c r="AB11" s="17">
        <v>0</v>
      </c>
      <c r="AC11" s="15">
        <f t="shared" si="7"/>
        <v>0</v>
      </c>
      <c r="AD11" s="17">
        <v>0</v>
      </c>
      <c r="AE11" s="17">
        <v>0</v>
      </c>
      <c r="AF11" s="15">
        <f t="shared" si="8"/>
        <v>0</v>
      </c>
      <c r="AG11" s="17">
        <v>0</v>
      </c>
      <c r="AH11" s="17">
        <v>0</v>
      </c>
      <c r="AI11" s="15">
        <f t="shared" si="9"/>
        <v>0</v>
      </c>
      <c r="AJ11" s="17"/>
    </row>
    <row r="12" spans="1:36" hidden="1" x14ac:dyDescent="0.3">
      <c r="A12" s="15" t="s">
        <v>64</v>
      </c>
      <c r="B12" s="15">
        <v>500</v>
      </c>
      <c r="C12" s="15" t="s">
        <v>54</v>
      </c>
      <c r="D12" s="15" t="s">
        <v>55</v>
      </c>
      <c r="E12" s="15">
        <f>'17-july2026'!T12</f>
        <v>8</v>
      </c>
      <c r="F12" s="15">
        <f>'17-july2026'!U12</f>
        <v>0</v>
      </c>
      <c r="G12" s="15">
        <f>'17-july2026'!V12</f>
        <v>0</v>
      </c>
      <c r="H12" s="15">
        <f t="shared" si="0"/>
        <v>8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5">
        <f t="shared" si="1"/>
        <v>8</v>
      </c>
      <c r="T12" s="15">
        <f t="shared" si="2"/>
        <v>8</v>
      </c>
      <c r="U12" s="15">
        <f t="shared" si="3"/>
        <v>0</v>
      </c>
      <c r="V12" s="15">
        <f t="shared" si="4"/>
        <v>0</v>
      </c>
      <c r="W12" s="18" t="str">
        <f t="shared" si="5"/>
        <v/>
      </c>
      <c r="X12" s="17">
        <v>0</v>
      </c>
      <c r="Y12" s="17">
        <v>0</v>
      </c>
      <c r="Z12" s="15">
        <f t="shared" si="6"/>
        <v>0</v>
      </c>
      <c r="AA12" s="17">
        <v>0</v>
      </c>
      <c r="AB12" s="17">
        <v>0</v>
      </c>
      <c r="AC12" s="15">
        <f t="shared" si="7"/>
        <v>0</v>
      </c>
      <c r="AD12" s="17">
        <v>0</v>
      </c>
      <c r="AE12" s="17">
        <v>0</v>
      </c>
      <c r="AF12" s="15">
        <f t="shared" si="8"/>
        <v>0</v>
      </c>
      <c r="AG12" s="17">
        <v>0</v>
      </c>
      <c r="AH12" s="17">
        <v>0</v>
      </c>
      <c r="AI12" s="15">
        <f t="shared" si="9"/>
        <v>0</v>
      </c>
      <c r="AJ12" s="17"/>
    </row>
    <row r="13" spans="1:36" hidden="1" x14ac:dyDescent="0.3">
      <c r="A13" s="15" t="s">
        <v>65</v>
      </c>
      <c r="B13" s="15">
        <v>100</v>
      </c>
      <c r="C13" s="15" t="s">
        <v>54</v>
      </c>
      <c r="D13" s="15" t="s">
        <v>55</v>
      </c>
      <c r="E13" s="15">
        <f>'17-july2026'!T13</f>
        <v>276</v>
      </c>
      <c r="F13" s="15">
        <f>'17-july2026'!U13</f>
        <v>482</v>
      </c>
      <c r="G13" s="15">
        <f>'17-july2026'!V13</f>
        <v>126</v>
      </c>
      <c r="H13" s="15">
        <f t="shared" si="0"/>
        <v>884</v>
      </c>
      <c r="I13" s="17">
        <v>0</v>
      </c>
      <c r="J13" s="17">
        <v>1</v>
      </c>
      <c r="K13" s="17">
        <v>192</v>
      </c>
      <c r="L13" s="17">
        <v>195</v>
      </c>
      <c r="M13" s="17">
        <v>0</v>
      </c>
      <c r="N13" s="17">
        <v>2</v>
      </c>
      <c r="O13" s="17">
        <v>6002</v>
      </c>
      <c r="P13" s="17">
        <v>0</v>
      </c>
      <c r="Q13" s="17">
        <v>195</v>
      </c>
      <c r="R13" s="17">
        <v>0</v>
      </c>
      <c r="S13" s="15">
        <f t="shared" si="1"/>
        <v>6691</v>
      </c>
      <c r="T13" s="15">
        <f t="shared" si="2"/>
        <v>6083</v>
      </c>
      <c r="U13" s="15">
        <f t="shared" si="3"/>
        <v>481</v>
      </c>
      <c r="V13" s="15">
        <f t="shared" si="4"/>
        <v>127</v>
      </c>
      <c r="W13" s="18" t="str">
        <f t="shared" si="5"/>
        <v/>
      </c>
      <c r="X13" s="17">
        <v>0</v>
      </c>
      <c r="Y13" s="17">
        <v>0</v>
      </c>
      <c r="Z13" s="15">
        <f t="shared" si="6"/>
        <v>0</v>
      </c>
      <c r="AA13" s="17">
        <v>0</v>
      </c>
      <c r="AB13" s="17">
        <v>0</v>
      </c>
      <c r="AC13" s="15">
        <f t="shared" si="7"/>
        <v>0</v>
      </c>
      <c r="AD13" s="17">
        <v>0</v>
      </c>
      <c r="AE13" s="17">
        <v>0</v>
      </c>
      <c r="AF13" s="15">
        <f t="shared" si="8"/>
        <v>0</v>
      </c>
      <c r="AG13" s="17">
        <v>0</v>
      </c>
      <c r="AH13" s="17">
        <v>0</v>
      </c>
      <c r="AI13" s="15">
        <f t="shared" si="9"/>
        <v>0</v>
      </c>
      <c r="AJ13" s="17"/>
    </row>
    <row r="14" spans="1:36" hidden="1" x14ac:dyDescent="0.3">
      <c r="A14" s="15" t="s">
        <v>65</v>
      </c>
      <c r="B14" s="15">
        <v>500</v>
      </c>
      <c r="C14" s="15" t="s">
        <v>54</v>
      </c>
      <c r="D14" s="15" t="s">
        <v>55</v>
      </c>
      <c r="E14" s="15">
        <f>'17-july2026'!T14</f>
        <v>1</v>
      </c>
      <c r="F14" s="15">
        <f>'17-july2026'!U14</f>
        <v>0</v>
      </c>
      <c r="G14" s="15">
        <f>'17-july2026'!V14</f>
        <v>51</v>
      </c>
      <c r="H14" s="15">
        <f t="shared" si="0"/>
        <v>52</v>
      </c>
      <c r="I14" s="17">
        <v>0</v>
      </c>
      <c r="J14" s="17">
        <v>0</v>
      </c>
      <c r="K14" s="17">
        <v>30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5">
        <f t="shared" si="1"/>
        <v>22</v>
      </c>
      <c r="T14" s="15">
        <f t="shared" si="2"/>
        <v>1</v>
      </c>
      <c r="U14" s="15">
        <f t="shared" si="3"/>
        <v>0</v>
      </c>
      <c r="V14" s="15">
        <f t="shared" si="4"/>
        <v>21</v>
      </c>
      <c r="W14" s="18" t="str">
        <f t="shared" si="5"/>
        <v/>
      </c>
      <c r="X14" s="17">
        <v>0</v>
      </c>
      <c r="Y14" s="17">
        <v>0</v>
      </c>
      <c r="Z14" s="15">
        <f t="shared" si="6"/>
        <v>0</v>
      </c>
      <c r="AA14" s="17">
        <v>0</v>
      </c>
      <c r="AB14" s="17">
        <v>0</v>
      </c>
      <c r="AC14" s="15">
        <f t="shared" si="7"/>
        <v>0</v>
      </c>
      <c r="AD14" s="17">
        <v>0</v>
      </c>
      <c r="AE14" s="17">
        <v>0</v>
      </c>
      <c r="AF14" s="15">
        <f t="shared" si="8"/>
        <v>0</v>
      </c>
      <c r="AG14" s="17">
        <v>0</v>
      </c>
      <c r="AH14" s="17">
        <v>0</v>
      </c>
      <c r="AI14" s="15">
        <f t="shared" si="9"/>
        <v>0</v>
      </c>
      <c r="AJ14" s="17"/>
    </row>
    <row r="15" spans="1:36" hidden="1" x14ac:dyDescent="0.3">
      <c r="A15" s="15" t="s">
        <v>66</v>
      </c>
      <c r="B15" s="15">
        <v>100</v>
      </c>
      <c r="C15" s="15" t="s">
        <v>54</v>
      </c>
      <c r="D15" s="15" t="s">
        <v>55</v>
      </c>
      <c r="E15" s="15">
        <f>'17-july2026'!T15</f>
        <v>202</v>
      </c>
      <c r="F15" s="15">
        <f>'17-july2026'!U15</f>
        <v>41</v>
      </c>
      <c r="G15" s="15">
        <f>'17-july2026'!V15</f>
        <v>10</v>
      </c>
      <c r="H15" s="15">
        <f t="shared" si="0"/>
        <v>253</v>
      </c>
      <c r="I15" s="17">
        <v>0</v>
      </c>
      <c r="J15" s="17">
        <v>0</v>
      </c>
      <c r="K15" s="17">
        <v>140</v>
      </c>
      <c r="L15" s="17">
        <v>150</v>
      </c>
      <c r="M15" s="17">
        <v>0</v>
      </c>
      <c r="N15" s="17">
        <v>6</v>
      </c>
      <c r="O15" s="17">
        <v>6</v>
      </c>
      <c r="P15" s="17">
        <v>0</v>
      </c>
      <c r="Q15" s="17">
        <v>150</v>
      </c>
      <c r="R15" s="17">
        <v>0</v>
      </c>
      <c r="S15" s="15">
        <f t="shared" si="1"/>
        <v>113</v>
      </c>
      <c r="T15" s="15">
        <f t="shared" si="2"/>
        <v>58</v>
      </c>
      <c r="U15" s="15">
        <f t="shared" si="3"/>
        <v>41</v>
      </c>
      <c r="V15" s="15">
        <f t="shared" si="4"/>
        <v>14</v>
      </c>
      <c r="W15" s="18" t="str">
        <f t="shared" si="5"/>
        <v/>
      </c>
      <c r="X15" s="17">
        <v>0</v>
      </c>
      <c r="Y15" s="17">
        <v>0</v>
      </c>
      <c r="Z15" s="15">
        <f t="shared" si="6"/>
        <v>0</v>
      </c>
      <c r="AA15" s="17">
        <v>0</v>
      </c>
      <c r="AB15" s="17">
        <v>0</v>
      </c>
      <c r="AC15" s="15">
        <f t="shared" si="7"/>
        <v>0</v>
      </c>
      <c r="AD15" s="17">
        <v>0</v>
      </c>
      <c r="AE15" s="17">
        <v>0</v>
      </c>
      <c r="AF15" s="15">
        <f t="shared" si="8"/>
        <v>0</v>
      </c>
      <c r="AG15" s="17">
        <v>0</v>
      </c>
      <c r="AH15" s="17">
        <v>0</v>
      </c>
      <c r="AI15" s="15">
        <f t="shared" si="9"/>
        <v>0</v>
      </c>
      <c r="AJ15" s="17"/>
    </row>
    <row r="16" spans="1:36" hidden="1" x14ac:dyDescent="0.3">
      <c r="A16" s="15" t="s">
        <v>66</v>
      </c>
      <c r="B16" s="15">
        <v>1000</v>
      </c>
      <c r="C16" s="15" t="s">
        <v>54</v>
      </c>
      <c r="D16" s="15" t="s">
        <v>55</v>
      </c>
      <c r="E16" s="15">
        <f>'17-july2026'!T16</f>
        <v>1</v>
      </c>
      <c r="F16" s="15">
        <f>'17-july2026'!U16</f>
        <v>0</v>
      </c>
      <c r="G16" s="15">
        <f>'17-july2026'!V16</f>
        <v>0</v>
      </c>
      <c r="H16" s="15">
        <f t="shared" si="0"/>
        <v>1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5">
        <f t="shared" si="1"/>
        <v>1</v>
      </c>
      <c r="T16" s="15">
        <f t="shared" si="2"/>
        <v>1</v>
      </c>
      <c r="U16" s="15">
        <f t="shared" si="3"/>
        <v>0</v>
      </c>
      <c r="V16" s="15">
        <f t="shared" si="4"/>
        <v>0</v>
      </c>
      <c r="W16" s="18" t="str">
        <f t="shared" si="5"/>
        <v/>
      </c>
      <c r="X16" s="17">
        <v>0</v>
      </c>
      <c r="Y16" s="17">
        <v>0</v>
      </c>
      <c r="Z16" s="15">
        <f t="shared" si="6"/>
        <v>0</v>
      </c>
      <c r="AA16" s="17">
        <v>0</v>
      </c>
      <c r="AB16" s="17">
        <v>0</v>
      </c>
      <c r="AC16" s="15">
        <f t="shared" si="7"/>
        <v>0</v>
      </c>
      <c r="AD16" s="17">
        <v>0</v>
      </c>
      <c r="AE16" s="17">
        <v>0</v>
      </c>
      <c r="AF16" s="15">
        <f t="shared" si="8"/>
        <v>0</v>
      </c>
      <c r="AG16" s="17">
        <v>0</v>
      </c>
      <c r="AH16" s="17">
        <v>0</v>
      </c>
      <c r="AI16" s="15">
        <f t="shared" si="9"/>
        <v>0</v>
      </c>
      <c r="AJ16" s="17"/>
    </row>
    <row r="17" spans="1:36" x14ac:dyDescent="0.3">
      <c r="A17" s="15" t="s">
        <v>67</v>
      </c>
      <c r="B17" s="15">
        <v>1000</v>
      </c>
      <c r="C17" s="15" t="s">
        <v>54</v>
      </c>
      <c r="D17" s="15" t="s">
        <v>68</v>
      </c>
      <c r="E17" s="15">
        <f>'17-july2026'!T17</f>
        <v>3</v>
      </c>
      <c r="F17" s="15">
        <f>'17-july2026'!U17</f>
        <v>0</v>
      </c>
      <c r="G17" s="15">
        <f>'17-july2026'!V17</f>
        <v>0</v>
      </c>
      <c r="H17" s="15">
        <f t="shared" si="0"/>
        <v>3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5">
        <f t="shared" si="1"/>
        <v>3</v>
      </c>
      <c r="T17" s="15">
        <f t="shared" si="2"/>
        <v>3</v>
      </c>
      <c r="U17" s="15">
        <f t="shared" si="3"/>
        <v>0</v>
      </c>
      <c r="V17" s="15">
        <f t="shared" si="4"/>
        <v>0</v>
      </c>
      <c r="W17" s="18" t="str">
        <f t="shared" si="5"/>
        <v/>
      </c>
      <c r="X17" s="17">
        <v>0</v>
      </c>
      <c r="Y17" s="17">
        <v>0</v>
      </c>
      <c r="Z17" s="15">
        <f t="shared" si="6"/>
        <v>0</v>
      </c>
      <c r="AA17" s="17">
        <v>0</v>
      </c>
      <c r="AB17" s="17">
        <v>0</v>
      </c>
      <c r="AC17" s="15">
        <f t="shared" si="7"/>
        <v>0</v>
      </c>
      <c r="AD17" s="17">
        <v>0</v>
      </c>
      <c r="AE17" s="17">
        <v>0</v>
      </c>
      <c r="AF17" s="15">
        <f t="shared" si="8"/>
        <v>0</v>
      </c>
      <c r="AG17" s="17">
        <v>0</v>
      </c>
      <c r="AH17" s="17">
        <v>0</v>
      </c>
      <c r="AI17" s="15">
        <f t="shared" si="9"/>
        <v>0</v>
      </c>
      <c r="AJ17" s="17"/>
    </row>
    <row r="18" spans="1:36" x14ac:dyDescent="0.3">
      <c r="A18" s="15" t="s">
        <v>69</v>
      </c>
      <c r="B18" s="15">
        <v>100000</v>
      </c>
      <c r="C18" s="15" t="s">
        <v>54</v>
      </c>
      <c r="D18" s="15" t="s">
        <v>68</v>
      </c>
      <c r="E18" s="15">
        <f>'17-july2026'!T18</f>
        <v>2</v>
      </c>
      <c r="F18" s="15">
        <f>'17-july2026'!U18</f>
        <v>0</v>
      </c>
      <c r="G18" s="15">
        <f>'17-july2026'!V18</f>
        <v>0</v>
      </c>
      <c r="H18" s="15">
        <f t="shared" si="0"/>
        <v>2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5">
        <f t="shared" si="1"/>
        <v>2</v>
      </c>
      <c r="T18" s="15">
        <f t="shared" si="2"/>
        <v>2</v>
      </c>
      <c r="U18" s="15">
        <f t="shared" si="3"/>
        <v>0</v>
      </c>
      <c r="V18" s="15">
        <f t="shared" si="4"/>
        <v>0</v>
      </c>
      <c r="W18" s="18" t="str">
        <f t="shared" si="5"/>
        <v/>
      </c>
      <c r="X18" s="17">
        <v>0</v>
      </c>
      <c r="Y18" s="17">
        <v>0</v>
      </c>
      <c r="Z18" s="15">
        <f t="shared" si="6"/>
        <v>0</v>
      </c>
      <c r="AA18" s="17">
        <v>0</v>
      </c>
      <c r="AB18" s="17">
        <v>0</v>
      </c>
      <c r="AC18" s="15">
        <f t="shared" si="7"/>
        <v>0</v>
      </c>
      <c r="AD18" s="17">
        <v>0</v>
      </c>
      <c r="AE18" s="17">
        <v>0</v>
      </c>
      <c r="AF18" s="15">
        <f t="shared" si="8"/>
        <v>0</v>
      </c>
      <c r="AG18" s="17">
        <v>0</v>
      </c>
      <c r="AH18" s="17">
        <v>0</v>
      </c>
      <c r="AI18" s="15">
        <f t="shared" si="9"/>
        <v>0</v>
      </c>
      <c r="AJ18" s="17"/>
    </row>
    <row r="19" spans="1:36" hidden="1" x14ac:dyDescent="0.3">
      <c r="A19" s="15" t="s">
        <v>70</v>
      </c>
      <c r="B19" s="15">
        <v>1000</v>
      </c>
      <c r="C19" s="15" t="s">
        <v>54</v>
      </c>
      <c r="D19" s="15" t="s">
        <v>55</v>
      </c>
      <c r="E19" s="15">
        <f>'17-july2026'!T19</f>
        <v>8</v>
      </c>
      <c r="F19" s="15">
        <f>'17-july2026'!U19</f>
        <v>0</v>
      </c>
      <c r="G19" s="15">
        <f>'17-july2026'!V19</f>
        <v>0</v>
      </c>
      <c r="H19" s="15">
        <f t="shared" si="0"/>
        <v>8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5">
        <f t="shared" si="1"/>
        <v>8</v>
      </c>
      <c r="T19" s="15">
        <f t="shared" si="2"/>
        <v>8</v>
      </c>
      <c r="U19" s="15">
        <f t="shared" si="3"/>
        <v>0</v>
      </c>
      <c r="V19" s="15">
        <f t="shared" si="4"/>
        <v>0</v>
      </c>
      <c r="W19" s="18" t="str">
        <f t="shared" si="5"/>
        <v/>
      </c>
      <c r="X19" s="17">
        <v>0</v>
      </c>
      <c r="Y19" s="17">
        <v>0</v>
      </c>
      <c r="Z19" s="15">
        <f t="shared" si="6"/>
        <v>0</v>
      </c>
      <c r="AA19" s="17">
        <v>0</v>
      </c>
      <c r="AB19" s="17">
        <v>0</v>
      </c>
      <c r="AC19" s="15">
        <f t="shared" si="7"/>
        <v>0</v>
      </c>
      <c r="AD19" s="17">
        <v>0</v>
      </c>
      <c r="AE19" s="17">
        <v>0</v>
      </c>
      <c r="AF19" s="15">
        <f t="shared" si="8"/>
        <v>0</v>
      </c>
      <c r="AG19" s="17">
        <v>0</v>
      </c>
      <c r="AH19" s="17">
        <v>0</v>
      </c>
      <c r="AI19" s="15">
        <f t="shared" si="9"/>
        <v>0</v>
      </c>
      <c r="AJ19" s="17"/>
    </row>
    <row r="20" spans="1:36" x14ac:dyDescent="0.3">
      <c r="A20" s="15" t="s">
        <v>70</v>
      </c>
      <c r="B20" s="15">
        <v>1000</v>
      </c>
      <c r="C20" s="15" t="s">
        <v>54</v>
      </c>
      <c r="D20" s="15" t="s">
        <v>57</v>
      </c>
      <c r="E20" s="15">
        <f>'17-july2026'!T20</f>
        <v>1</v>
      </c>
      <c r="F20" s="15">
        <f>'17-july2026'!U20</f>
        <v>0</v>
      </c>
      <c r="G20" s="15">
        <f>'17-july2026'!V20</f>
        <v>0</v>
      </c>
      <c r="H20" s="15">
        <f t="shared" si="0"/>
        <v>1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5">
        <f t="shared" si="1"/>
        <v>1</v>
      </c>
      <c r="T20" s="15">
        <f t="shared" si="2"/>
        <v>1</v>
      </c>
      <c r="U20" s="15">
        <f t="shared" si="3"/>
        <v>0</v>
      </c>
      <c r="V20" s="15">
        <f t="shared" si="4"/>
        <v>0</v>
      </c>
      <c r="W20" s="18" t="str">
        <f t="shared" si="5"/>
        <v/>
      </c>
      <c r="X20" s="17">
        <v>0</v>
      </c>
      <c r="Y20" s="17">
        <v>0</v>
      </c>
      <c r="Z20" s="15">
        <f t="shared" si="6"/>
        <v>0</v>
      </c>
      <c r="AA20" s="17">
        <v>0</v>
      </c>
      <c r="AB20" s="17">
        <v>0</v>
      </c>
      <c r="AC20" s="15">
        <f t="shared" si="7"/>
        <v>0</v>
      </c>
      <c r="AD20" s="17">
        <v>0</v>
      </c>
      <c r="AE20" s="17">
        <v>0</v>
      </c>
      <c r="AF20" s="15">
        <f t="shared" si="8"/>
        <v>0</v>
      </c>
      <c r="AG20" s="17">
        <v>0</v>
      </c>
      <c r="AH20" s="17">
        <v>0</v>
      </c>
      <c r="AI20" s="15">
        <f t="shared" si="9"/>
        <v>0</v>
      </c>
      <c r="AJ20" s="17"/>
    </row>
    <row r="21" spans="1:36" hidden="1" x14ac:dyDescent="0.3">
      <c r="A21" s="15" t="s">
        <v>71</v>
      </c>
      <c r="B21" s="15">
        <v>100</v>
      </c>
      <c r="C21" s="15" t="s">
        <v>54</v>
      </c>
      <c r="D21" s="15" t="s">
        <v>55</v>
      </c>
      <c r="E21" s="15">
        <f>'17-july2026'!T21</f>
        <v>4</v>
      </c>
      <c r="F21" s="15">
        <f>'17-july2026'!U21</f>
        <v>0</v>
      </c>
      <c r="G21" s="15">
        <f>'17-july2026'!V21</f>
        <v>0</v>
      </c>
      <c r="H21" s="15">
        <f t="shared" si="0"/>
        <v>4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5">
        <f t="shared" si="1"/>
        <v>4</v>
      </c>
      <c r="T21" s="15">
        <f t="shared" si="2"/>
        <v>4</v>
      </c>
      <c r="U21" s="15">
        <f t="shared" si="3"/>
        <v>0</v>
      </c>
      <c r="V21" s="15">
        <f t="shared" si="4"/>
        <v>0</v>
      </c>
      <c r="W21" s="18" t="str">
        <f t="shared" si="5"/>
        <v/>
      </c>
      <c r="X21" s="17">
        <v>0</v>
      </c>
      <c r="Y21" s="17">
        <v>0</v>
      </c>
      <c r="Z21" s="15">
        <f t="shared" si="6"/>
        <v>0</v>
      </c>
      <c r="AA21" s="17">
        <v>0</v>
      </c>
      <c r="AB21" s="17">
        <v>0</v>
      </c>
      <c r="AC21" s="15">
        <f t="shared" si="7"/>
        <v>0</v>
      </c>
      <c r="AD21" s="17">
        <v>0</v>
      </c>
      <c r="AE21" s="17">
        <v>0</v>
      </c>
      <c r="AF21" s="15">
        <f t="shared" si="8"/>
        <v>0</v>
      </c>
      <c r="AG21" s="17">
        <v>0</v>
      </c>
      <c r="AH21" s="17">
        <v>0</v>
      </c>
      <c r="AI21" s="15">
        <f t="shared" si="9"/>
        <v>0</v>
      </c>
      <c r="AJ21" s="17"/>
    </row>
    <row r="22" spans="1:36" hidden="1" x14ac:dyDescent="0.3">
      <c r="A22" s="15" t="s">
        <v>71</v>
      </c>
      <c r="B22" s="15">
        <v>1000</v>
      </c>
      <c r="C22" s="15" t="s">
        <v>54</v>
      </c>
      <c r="D22" s="15" t="s">
        <v>55</v>
      </c>
      <c r="E22" s="15">
        <f>'17-july2026'!T22</f>
        <v>8</v>
      </c>
      <c r="F22" s="15">
        <f>'17-july2026'!U22</f>
        <v>0</v>
      </c>
      <c r="G22" s="15">
        <f>'17-july2026'!V22</f>
        <v>0</v>
      </c>
      <c r="H22" s="15">
        <f t="shared" si="0"/>
        <v>8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5">
        <f t="shared" si="1"/>
        <v>8</v>
      </c>
      <c r="T22" s="15">
        <f t="shared" si="2"/>
        <v>8</v>
      </c>
      <c r="U22" s="15">
        <f t="shared" si="3"/>
        <v>0</v>
      </c>
      <c r="V22" s="15">
        <f t="shared" si="4"/>
        <v>0</v>
      </c>
      <c r="W22" s="18" t="str">
        <f t="shared" si="5"/>
        <v/>
      </c>
      <c r="X22" s="17">
        <v>0</v>
      </c>
      <c r="Y22" s="17">
        <v>0</v>
      </c>
      <c r="Z22" s="15">
        <f t="shared" si="6"/>
        <v>0</v>
      </c>
      <c r="AA22" s="17">
        <v>0</v>
      </c>
      <c r="AB22" s="17">
        <v>0</v>
      </c>
      <c r="AC22" s="15">
        <f t="shared" si="7"/>
        <v>0</v>
      </c>
      <c r="AD22" s="17">
        <v>0</v>
      </c>
      <c r="AE22" s="17">
        <v>0</v>
      </c>
      <c r="AF22" s="15">
        <f t="shared" si="8"/>
        <v>0</v>
      </c>
      <c r="AG22" s="17">
        <v>0</v>
      </c>
      <c r="AH22" s="17">
        <v>0</v>
      </c>
      <c r="AI22" s="15">
        <f t="shared" si="9"/>
        <v>0</v>
      </c>
      <c r="AJ22" s="17"/>
    </row>
    <row r="23" spans="1:36" x14ac:dyDescent="0.3">
      <c r="A23" s="15" t="s">
        <v>72</v>
      </c>
      <c r="B23" s="15">
        <v>100</v>
      </c>
      <c r="C23" s="15" t="s">
        <v>54</v>
      </c>
      <c r="D23" s="15" t="s">
        <v>57</v>
      </c>
      <c r="E23" s="15">
        <f>'17-july2026'!T23</f>
        <v>20</v>
      </c>
      <c r="F23" s="15">
        <f>'17-july2026'!U23</f>
        <v>0</v>
      </c>
      <c r="G23" s="15">
        <f>'17-july2026'!V23</f>
        <v>0</v>
      </c>
      <c r="H23" s="15">
        <f t="shared" si="0"/>
        <v>20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5">
        <f t="shared" si="1"/>
        <v>20</v>
      </c>
      <c r="T23" s="15">
        <f t="shared" si="2"/>
        <v>20</v>
      </c>
      <c r="U23" s="15">
        <f t="shared" si="3"/>
        <v>0</v>
      </c>
      <c r="V23" s="15">
        <f t="shared" si="4"/>
        <v>0</v>
      </c>
      <c r="W23" s="18" t="str">
        <f t="shared" si="5"/>
        <v/>
      </c>
      <c r="X23" s="17">
        <v>0</v>
      </c>
      <c r="Y23" s="17">
        <v>0</v>
      </c>
      <c r="Z23" s="15">
        <f t="shared" si="6"/>
        <v>0</v>
      </c>
      <c r="AA23" s="17">
        <v>0</v>
      </c>
      <c r="AB23" s="17">
        <v>0</v>
      </c>
      <c r="AC23" s="15">
        <f t="shared" si="7"/>
        <v>0</v>
      </c>
      <c r="AD23" s="17">
        <v>0</v>
      </c>
      <c r="AE23" s="17">
        <v>0</v>
      </c>
      <c r="AF23" s="15">
        <f t="shared" si="8"/>
        <v>0</v>
      </c>
      <c r="AG23" s="17">
        <v>0</v>
      </c>
      <c r="AH23" s="17">
        <v>0</v>
      </c>
      <c r="AI23" s="15">
        <f t="shared" si="9"/>
        <v>0</v>
      </c>
      <c r="AJ23" s="17"/>
    </row>
    <row r="24" spans="1:36" x14ac:dyDescent="0.3">
      <c r="A24" s="15" t="s">
        <v>72</v>
      </c>
      <c r="B24" s="15">
        <v>500</v>
      </c>
      <c r="C24" s="15" t="s">
        <v>54</v>
      </c>
      <c r="D24" s="15" t="s">
        <v>57</v>
      </c>
      <c r="E24" s="15">
        <f>'17-july2026'!T24</f>
        <v>2</v>
      </c>
      <c r="F24" s="15">
        <f>'17-july2026'!U24</f>
        <v>0</v>
      </c>
      <c r="G24" s="15">
        <f>'17-july2026'!V24</f>
        <v>0</v>
      </c>
      <c r="H24" s="15">
        <f t="shared" si="0"/>
        <v>2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5">
        <f t="shared" si="1"/>
        <v>2</v>
      </c>
      <c r="T24" s="15">
        <f t="shared" si="2"/>
        <v>2</v>
      </c>
      <c r="U24" s="15">
        <f t="shared" si="3"/>
        <v>0</v>
      </c>
      <c r="V24" s="15">
        <f t="shared" si="4"/>
        <v>0</v>
      </c>
      <c r="W24" s="18" t="str">
        <f t="shared" si="5"/>
        <v/>
      </c>
      <c r="X24" s="17">
        <v>0</v>
      </c>
      <c r="Y24" s="17">
        <v>0</v>
      </c>
      <c r="Z24" s="15">
        <f t="shared" si="6"/>
        <v>0</v>
      </c>
      <c r="AA24" s="17">
        <v>0</v>
      </c>
      <c r="AB24" s="17">
        <v>0</v>
      </c>
      <c r="AC24" s="15">
        <f t="shared" si="7"/>
        <v>0</v>
      </c>
      <c r="AD24" s="17">
        <v>0</v>
      </c>
      <c r="AE24" s="17">
        <v>0</v>
      </c>
      <c r="AF24" s="15">
        <f t="shared" si="8"/>
        <v>0</v>
      </c>
      <c r="AG24" s="17">
        <v>0</v>
      </c>
      <c r="AH24" s="17">
        <v>0</v>
      </c>
      <c r="AI24" s="15">
        <f t="shared" si="9"/>
        <v>0</v>
      </c>
      <c r="AJ24" s="17"/>
    </row>
    <row r="25" spans="1:36" hidden="1" x14ac:dyDescent="0.3">
      <c r="A25" s="15" t="s">
        <v>73</v>
      </c>
      <c r="B25" s="15">
        <v>100</v>
      </c>
      <c r="C25" s="15" t="s">
        <v>54</v>
      </c>
      <c r="D25" s="15" t="s">
        <v>55</v>
      </c>
      <c r="E25" s="15">
        <f>'17-july2026'!T25</f>
        <v>1</v>
      </c>
      <c r="F25" s="15">
        <f>'17-july2026'!U25</f>
        <v>141</v>
      </c>
      <c r="G25" s="15">
        <f>'17-july2026'!V25</f>
        <v>0</v>
      </c>
      <c r="H25" s="15">
        <f t="shared" si="0"/>
        <v>142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5">
        <f t="shared" si="1"/>
        <v>142</v>
      </c>
      <c r="T25" s="15">
        <f t="shared" si="2"/>
        <v>1</v>
      </c>
      <c r="U25" s="15">
        <f t="shared" si="3"/>
        <v>141</v>
      </c>
      <c r="V25" s="15">
        <f t="shared" si="4"/>
        <v>0</v>
      </c>
      <c r="W25" s="18" t="str">
        <f t="shared" si="5"/>
        <v/>
      </c>
      <c r="X25" s="17">
        <v>0</v>
      </c>
      <c r="Y25" s="17">
        <v>0</v>
      </c>
      <c r="Z25" s="15">
        <f t="shared" si="6"/>
        <v>0</v>
      </c>
      <c r="AA25" s="17">
        <v>0</v>
      </c>
      <c r="AB25" s="17">
        <v>0</v>
      </c>
      <c r="AC25" s="15">
        <f t="shared" si="7"/>
        <v>0</v>
      </c>
      <c r="AD25" s="17">
        <v>0</v>
      </c>
      <c r="AE25" s="17">
        <v>0</v>
      </c>
      <c r="AF25" s="15">
        <f t="shared" si="8"/>
        <v>0</v>
      </c>
      <c r="AG25" s="17">
        <v>0</v>
      </c>
      <c r="AH25" s="17">
        <v>0</v>
      </c>
      <c r="AI25" s="15">
        <f t="shared" si="9"/>
        <v>0</v>
      </c>
      <c r="AJ25" s="17"/>
    </row>
    <row r="26" spans="1:36" hidden="1" x14ac:dyDescent="0.3">
      <c r="A26" s="15" t="s">
        <v>74</v>
      </c>
      <c r="B26" s="15">
        <v>100</v>
      </c>
      <c r="C26" s="15" t="s">
        <v>54</v>
      </c>
      <c r="D26" s="15" t="s">
        <v>55</v>
      </c>
      <c r="E26" s="15">
        <f>'17-july2026'!T26</f>
        <v>89</v>
      </c>
      <c r="F26" s="15">
        <f>'17-july2026'!U26</f>
        <v>18</v>
      </c>
      <c r="G26" s="15">
        <f>'17-july2026'!V26</f>
        <v>4</v>
      </c>
      <c r="H26" s="15">
        <f t="shared" si="0"/>
        <v>111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1</v>
      </c>
      <c r="O26" s="17">
        <v>1</v>
      </c>
      <c r="P26" s="17">
        <v>0</v>
      </c>
      <c r="Q26" s="17">
        <v>0</v>
      </c>
      <c r="R26" s="17">
        <v>0</v>
      </c>
      <c r="S26" s="15">
        <f t="shared" si="1"/>
        <v>111</v>
      </c>
      <c r="T26" s="15">
        <f t="shared" si="2"/>
        <v>90</v>
      </c>
      <c r="U26" s="15">
        <f t="shared" si="3"/>
        <v>18</v>
      </c>
      <c r="V26" s="15">
        <f t="shared" si="4"/>
        <v>3</v>
      </c>
      <c r="W26" s="18" t="str">
        <f t="shared" si="5"/>
        <v/>
      </c>
      <c r="X26" s="17">
        <v>0</v>
      </c>
      <c r="Y26" s="17">
        <v>0</v>
      </c>
      <c r="Z26" s="15">
        <f t="shared" si="6"/>
        <v>0</v>
      </c>
      <c r="AA26" s="17">
        <v>0</v>
      </c>
      <c r="AB26" s="17">
        <v>0</v>
      </c>
      <c r="AC26" s="15">
        <f t="shared" si="7"/>
        <v>0</v>
      </c>
      <c r="AD26" s="17">
        <v>0</v>
      </c>
      <c r="AE26" s="17">
        <v>0</v>
      </c>
      <c r="AF26" s="15">
        <f t="shared" si="8"/>
        <v>0</v>
      </c>
      <c r="AG26" s="17">
        <v>0</v>
      </c>
      <c r="AH26" s="17">
        <v>0</v>
      </c>
      <c r="AI26" s="15">
        <f t="shared" si="9"/>
        <v>0</v>
      </c>
      <c r="AJ26" s="17"/>
    </row>
    <row r="27" spans="1:36" x14ac:dyDescent="0.3">
      <c r="A27" s="15" t="s">
        <v>75</v>
      </c>
      <c r="B27" s="15">
        <v>1000</v>
      </c>
      <c r="C27" s="15" t="s">
        <v>54</v>
      </c>
      <c r="D27" s="15" t="s">
        <v>68</v>
      </c>
      <c r="E27" s="15">
        <f>'17-july2026'!T27</f>
        <v>2</v>
      </c>
      <c r="F27" s="15">
        <f>'17-july2026'!U27</f>
        <v>0</v>
      </c>
      <c r="G27" s="15">
        <f>'17-july2026'!V27</f>
        <v>0</v>
      </c>
      <c r="H27" s="15">
        <f t="shared" si="0"/>
        <v>2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5">
        <f t="shared" si="1"/>
        <v>2</v>
      </c>
      <c r="T27" s="15">
        <f t="shared" si="2"/>
        <v>2</v>
      </c>
      <c r="U27" s="15">
        <f t="shared" si="3"/>
        <v>0</v>
      </c>
      <c r="V27" s="15">
        <f t="shared" si="4"/>
        <v>0</v>
      </c>
      <c r="W27" s="18" t="str">
        <f t="shared" si="5"/>
        <v/>
      </c>
      <c r="X27" s="17">
        <v>0</v>
      </c>
      <c r="Y27" s="17">
        <v>0</v>
      </c>
      <c r="Z27" s="15">
        <f t="shared" si="6"/>
        <v>0</v>
      </c>
      <c r="AA27" s="17">
        <v>0</v>
      </c>
      <c r="AB27" s="17">
        <v>0</v>
      </c>
      <c r="AC27" s="15">
        <f t="shared" si="7"/>
        <v>0</v>
      </c>
      <c r="AD27" s="17">
        <v>0</v>
      </c>
      <c r="AE27" s="17">
        <v>0</v>
      </c>
      <c r="AF27" s="15">
        <f t="shared" si="8"/>
        <v>0</v>
      </c>
      <c r="AG27" s="17">
        <v>0</v>
      </c>
      <c r="AH27" s="17">
        <v>0</v>
      </c>
      <c r="AI27" s="15">
        <f t="shared" si="9"/>
        <v>0</v>
      </c>
      <c r="AJ27" s="17"/>
    </row>
    <row r="28" spans="1:36" x14ac:dyDescent="0.3">
      <c r="A28" s="15" t="s">
        <v>76</v>
      </c>
      <c r="B28" s="15">
        <v>100</v>
      </c>
      <c r="C28" s="15" t="s">
        <v>54</v>
      </c>
      <c r="D28" s="15" t="s">
        <v>68</v>
      </c>
      <c r="E28" s="15">
        <f>'17-july2026'!T28</f>
        <v>6</v>
      </c>
      <c r="F28" s="15">
        <f>'17-july2026'!U28</f>
        <v>0</v>
      </c>
      <c r="G28" s="15">
        <f>'17-july2026'!V28</f>
        <v>0</v>
      </c>
      <c r="H28" s="15">
        <f t="shared" si="0"/>
        <v>6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5">
        <f t="shared" si="1"/>
        <v>6</v>
      </c>
      <c r="T28" s="15">
        <f t="shared" si="2"/>
        <v>6</v>
      </c>
      <c r="U28" s="15">
        <f t="shared" si="3"/>
        <v>0</v>
      </c>
      <c r="V28" s="15">
        <f t="shared" si="4"/>
        <v>0</v>
      </c>
      <c r="W28" s="18" t="str">
        <f t="shared" si="5"/>
        <v/>
      </c>
      <c r="X28" s="17">
        <v>0</v>
      </c>
      <c r="Y28" s="17">
        <v>0</v>
      </c>
      <c r="Z28" s="15">
        <f t="shared" si="6"/>
        <v>0</v>
      </c>
      <c r="AA28" s="17">
        <v>0</v>
      </c>
      <c r="AB28" s="17">
        <v>0</v>
      </c>
      <c r="AC28" s="15">
        <f t="shared" si="7"/>
        <v>0</v>
      </c>
      <c r="AD28" s="17">
        <v>0</v>
      </c>
      <c r="AE28" s="17">
        <v>0</v>
      </c>
      <c r="AF28" s="15">
        <f t="shared" si="8"/>
        <v>0</v>
      </c>
      <c r="AG28" s="17">
        <v>0</v>
      </c>
      <c r="AH28" s="17">
        <v>0</v>
      </c>
      <c r="AI28" s="15">
        <f t="shared" si="9"/>
        <v>0</v>
      </c>
      <c r="AJ28" s="17"/>
    </row>
    <row r="29" spans="1:36" hidden="1" x14ac:dyDescent="0.3">
      <c r="A29" s="15" t="s">
        <v>77</v>
      </c>
      <c r="B29" s="15">
        <v>100</v>
      </c>
      <c r="C29" s="15" t="s">
        <v>54</v>
      </c>
      <c r="D29" s="15" t="s">
        <v>55</v>
      </c>
      <c r="E29" s="15">
        <f>'17-july2026'!T29</f>
        <v>34</v>
      </c>
      <c r="F29" s="15">
        <f>'17-july2026'!U29</f>
        <v>0</v>
      </c>
      <c r="G29" s="15">
        <f>'17-july2026'!V29</f>
        <v>0</v>
      </c>
      <c r="H29" s="15">
        <f t="shared" si="0"/>
        <v>34</v>
      </c>
      <c r="I29" s="17">
        <v>34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5">
        <f t="shared" si="1"/>
        <v>0</v>
      </c>
      <c r="T29" s="15">
        <f t="shared" si="2"/>
        <v>0</v>
      </c>
      <c r="U29" s="15">
        <f t="shared" si="3"/>
        <v>0</v>
      </c>
      <c r="V29" s="15">
        <f t="shared" si="4"/>
        <v>0</v>
      </c>
      <c r="W29" s="18" t="str">
        <f t="shared" si="5"/>
        <v/>
      </c>
      <c r="X29" s="17">
        <v>0</v>
      </c>
      <c r="Y29" s="17">
        <v>0</v>
      </c>
      <c r="Z29" s="15">
        <f t="shared" si="6"/>
        <v>0</v>
      </c>
      <c r="AA29" s="17">
        <v>0</v>
      </c>
      <c r="AB29" s="17">
        <v>0</v>
      </c>
      <c r="AC29" s="15">
        <f t="shared" si="7"/>
        <v>0</v>
      </c>
      <c r="AD29" s="17">
        <v>0</v>
      </c>
      <c r="AE29" s="17">
        <v>0</v>
      </c>
      <c r="AF29" s="15">
        <f t="shared" si="8"/>
        <v>0</v>
      </c>
      <c r="AG29" s="17">
        <v>0</v>
      </c>
      <c r="AH29" s="17">
        <v>0</v>
      </c>
      <c r="AI29" s="15">
        <f t="shared" si="9"/>
        <v>0</v>
      </c>
      <c r="AJ29" s="17"/>
    </row>
    <row r="30" spans="1:36" hidden="1" x14ac:dyDescent="0.3">
      <c r="A30" s="15" t="s">
        <v>78</v>
      </c>
      <c r="B30" s="15">
        <v>1000</v>
      </c>
      <c r="C30" s="15" t="s">
        <v>54</v>
      </c>
      <c r="D30" s="15" t="s">
        <v>55</v>
      </c>
      <c r="E30" s="15">
        <f>'17-july2026'!T30</f>
        <v>0</v>
      </c>
      <c r="F30" s="15">
        <f>'17-july2026'!U30</f>
        <v>7</v>
      </c>
      <c r="G30" s="15">
        <f>'17-july2026'!V30</f>
        <v>25</v>
      </c>
      <c r="H30" s="15">
        <f t="shared" si="0"/>
        <v>32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16</v>
      </c>
      <c r="O30" s="17">
        <v>16</v>
      </c>
      <c r="P30" s="17">
        <v>0</v>
      </c>
      <c r="Q30" s="17">
        <v>0</v>
      </c>
      <c r="R30" s="17">
        <v>0</v>
      </c>
      <c r="S30" s="15">
        <f t="shared" si="1"/>
        <v>32</v>
      </c>
      <c r="T30" s="15">
        <f t="shared" si="2"/>
        <v>16</v>
      </c>
      <c r="U30" s="15">
        <f t="shared" si="3"/>
        <v>7</v>
      </c>
      <c r="V30" s="15">
        <f t="shared" si="4"/>
        <v>9</v>
      </c>
      <c r="W30" s="18" t="str">
        <f t="shared" si="5"/>
        <v/>
      </c>
      <c r="X30" s="17">
        <v>0</v>
      </c>
      <c r="Y30" s="17">
        <v>0</v>
      </c>
      <c r="Z30" s="15">
        <f t="shared" si="6"/>
        <v>0</v>
      </c>
      <c r="AA30" s="17">
        <v>0</v>
      </c>
      <c r="AB30" s="17">
        <v>0</v>
      </c>
      <c r="AC30" s="15">
        <f t="shared" si="7"/>
        <v>0</v>
      </c>
      <c r="AD30" s="17">
        <v>0</v>
      </c>
      <c r="AE30" s="17">
        <v>0</v>
      </c>
      <c r="AF30" s="15">
        <f t="shared" si="8"/>
        <v>0</v>
      </c>
      <c r="AG30" s="17">
        <v>0</v>
      </c>
      <c r="AH30" s="17">
        <v>0</v>
      </c>
      <c r="AI30" s="15">
        <f t="shared" si="9"/>
        <v>0</v>
      </c>
      <c r="AJ30" s="17"/>
    </row>
    <row r="31" spans="1:36" hidden="1" x14ac:dyDescent="0.3">
      <c r="A31" s="15" t="s">
        <v>79</v>
      </c>
      <c r="B31" s="15">
        <v>1000</v>
      </c>
      <c r="C31" s="15" t="s">
        <v>54</v>
      </c>
      <c r="D31" s="15" t="s">
        <v>55</v>
      </c>
      <c r="E31" s="15">
        <f>'17-july2026'!T31</f>
        <v>9</v>
      </c>
      <c r="F31" s="15">
        <f>'17-july2026'!U31</f>
        <v>5</v>
      </c>
      <c r="G31" s="15">
        <f>'17-july2026'!V31</f>
        <v>27</v>
      </c>
      <c r="H31" s="15">
        <f t="shared" si="0"/>
        <v>41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27</v>
      </c>
      <c r="O31" s="17">
        <v>27</v>
      </c>
      <c r="P31" s="17">
        <v>0</v>
      </c>
      <c r="Q31" s="17">
        <v>0</v>
      </c>
      <c r="R31" s="17">
        <v>0</v>
      </c>
      <c r="S31" s="15">
        <f t="shared" si="1"/>
        <v>41</v>
      </c>
      <c r="T31" s="15">
        <f t="shared" si="2"/>
        <v>36</v>
      </c>
      <c r="U31" s="15">
        <f t="shared" si="3"/>
        <v>5</v>
      </c>
      <c r="V31" s="15">
        <f t="shared" si="4"/>
        <v>0</v>
      </c>
      <c r="W31" s="18" t="str">
        <f t="shared" si="5"/>
        <v/>
      </c>
      <c r="X31" s="17">
        <v>0</v>
      </c>
      <c r="Y31" s="17">
        <v>0</v>
      </c>
      <c r="Z31" s="15">
        <f t="shared" si="6"/>
        <v>0</v>
      </c>
      <c r="AA31" s="17">
        <v>0</v>
      </c>
      <c r="AB31" s="17">
        <v>0</v>
      </c>
      <c r="AC31" s="15">
        <f t="shared" si="7"/>
        <v>0</v>
      </c>
      <c r="AD31" s="17">
        <v>0</v>
      </c>
      <c r="AE31" s="17">
        <v>0</v>
      </c>
      <c r="AF31" s="15">
        <f t="shared" si="8"/>
        <v>0</v>
      </c>
      <c r="AG31" s="17">
        <v>0</v>
      </c>
      <c r="AH31" s="17">
        <v>0</v>
      </c>
      <c r="AI31" s="15">
        <f t="shared" si="9"/>
        <v>0</v>
      </c>
      <c r="AJ31" s="17"/>
    </row>
    <row r="32" spans="1:36" hidden="1" x14ac:dyDescent="0.3">
      <c r="A32" s="15" t="s">
        <v>80</v>
      </c>
      <c r="B32" s="15">
        <v>25000</v>
      </c>
      <c r="C32" s="15" t="s">
        <v>54</v>
      </c>
      <c r="D32" s="15" t="s">
        <v>55</v>
      </c>
      <c r="E32" s="15">
        <f>'17-july2026'!T32</f>
        <v>4</v>
      </c>
      <c r="F32" s="15">
        <f>'17-july2026'!U32</f>
        <v>0</v>
      </c>
      <c r="G32" s="15">
        <f>'17-july2026'!V32</f>
        <v>0</v>
      </c>
      <c r="H32" s="15">
        <f t="shared" si="0"/>
        <v>4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5">
        <f t="shared" si="1"/>
        <v>4</v>
      </c>
      <c r="T32" s="15">
        <f t="shared" si="2"/>
        <v>4</v>
      </c>
      <c r="U32" s="15">
        <f t="shared" si="3"/>
        <v>0</v>
      </c>
      <c r="V32" s="15">
        <f t="shared" si="4"/>
        <v>0</v>
      </c>
      <c r="W32" s="18" t="str">
        <f t="shared" si="5"/>
        <v/>
      </c>
      <c r="X32" s="17">
        <v>0</v>
      </c>
      <c r="Y32" s="17">
        <v>0</v>
      </c>
      <c r="Z32" s="15">
        <f t="shared" si="6"/>
        <v>0</v>
      </c>
      <c r="AA32" s="17">
        <v>0</v>
      </c>
      <c r="AB32" s="17">
        <v>0</v>
      </c>
      <c r="AC32" s="15">
        <f t="shared" si="7"/>
        <v>0</v>
      </c>
      <c r="AD32" s="17">
        <v>0</v>
      </c>
      <c r="AE32" s="17">
        <v>0</v>
      </c>
      <c r="AF32" s="15">
        <f t="shared" si="8"/>
        <v>0</v>
      </c>
      <c r="AG32" s="17">
        <v>0</v>
      </c>
      <c r="AH32" s="17">
        <v>0</v>
      </c>
      <c r="AI32" s="15">
        <f t="shared" si="9"/>
        <v>0</v>
      </c>
      <c r="AJ32" s="17"/>
    </row>
    <row r="33" spans="1:36" hidden="1" x14ac:dyDescent="0.3">
      <c r="A33" s="15" t="s">
        <v>81</v>
      </c>
      <c r="B33" s="15">
        <v>25000</v>
      </c>
      <c r="C33" s="15" t="s">
        <v>54</v>
      </c>
      <c r="D33" s="15" t="s">
        <v>55</v>
      </c>
      <c r="E33" s="15">
        <f>'17-july2026'!T33</f>
        <v>10</v>
      </c>
      <c r="F33" s="15">
        <f>'17-july2026'!U33</f>
        <v>0</v>
      </c>
      <c r="G33" s="15">
        <f>'17-july2026'!V33</f>
        <v>0</v>
      </c>
      <c r="H33" s="15">
        <f t="shared" si="0"/>
        <v>10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5">
        <f t="shared" si="1"/>
        <v>10</v>
      </c>
      <c r="T33" s="15">
        <f t="shared" si="2"/>
        <v>10</v>
      </c>
      <c r="U33" s="15">
        <f t="shared" si="3"/>
        <v>0</v>
      </c>
      <c r="V33" s="15">
        <f t="shared" si="4"/>
        <v>0</v>
      </c>
      <c r="W33" s="18" t="str">
        <f t="shared" si="5"/>
        <v/>
      </c>
      <c r="X33" s="17">
        <v>0</v>
      </c>
      <c r="Y33" s="17">
        <v>0</v>
      </c>
      <c r="Z33" s="15">
        <f t="shared" si="6"/>
        <v>0</v>
      </c>
      <c r="AA33" s="17">
        <v>0</v>
      </c>
      <c r="AB33" s="17">
        <v>0</v>
      </c>
      <c r="AC33" s="15">
        <f t="shared" si="7"/>
        <v>0</v>
      </c>
      <c r="AD33" s="17">
        <v>0</v>
      </c>
      <c r="AE33" s="17">
        <v>0</v>
      </c>
      <c r="AF33" s="15">
        <f t="shared" si="8"/>
        <v>0</v>
      </c>
      <c r="AG33" s="17">
        <v>0</v>
      </c>
      <c r="AH33" s="17">
        <v>0</v>
      </c>
      <c r="AI33" s="15">
        <f t="shared" si="9"/>
        <v>0</v>
      </c>
      <c r="AJ33" s="17"/>
    </row>
    <row r="34" spans="1:36" x14ac:dyDescent="0.3">
      <c r="A34" s="15" t="s">
        <v>82</v>
      </c>
      <c r="B34" s="15">
        <v>1000</v>
      </c>
      <c r="C34" s="15" t="s">
        <v>54</v>
      </c>
      <c r="D34" s="15" t="s">
        <v>68</v>
      </c>
      <c r="E34" s="15">
        <f>'17-july2026'!T34</f>
        <v>2</v>
      </c>
      <c r="F34" s="15">
        <f>'17-july2026'!U34</f>
        <v>0</v>
      </c>
      <c r="G34" s="15">
        <f>'17-july2026'!V34</f>
        <v>0</v>
      </c>
      <c r="H34" s="15">
        <f t="shared" si="0"/>
        <v>2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5">
        <f t="shared" si="1"/>
        <v>2</v>
      </c>
      <c r="T34" s="15">
        <f t="shared" si="2"/>
        <v>2</v>
      </c>
      <c r="U34" s="15">
        <f t="shared" si="3"/>
        <v>0</v>
      </c>
      <c r="V34" s="15">
        <f t="shared" si="4"/>
        <v>0</v>
      </c>
      <c r="W34" s="18" t="str">
        <f t="shared" si="5"/>
        <v/>
      </c>
      <c r="X34" s="17">
        <v>0</v>
      </c>
      <c r="Y34" s="17">
        <v>0</v>
      </c>
      <c r="Z34" s="15">
        <f t="shared" si="6"/>
        <v>0</v>
      </c>
      <c r="AA34" s="17">
        <v>0</v>
      </c>
      <c r="AB34" s="17">
        <v>0</v>
      </c>
      <c r="AC34" s="15">
        <f t="shared" si="7"/>
        <v>0</v>
      </c>
      <c r="AD34" s="17">
        <v>0</v>
      </c>
      <c r="AE34" s="17">
        <v>0</v>
      </c>
      <c r="AF34" s="15">
        <f t="shared" si="8"/>
        <v>0</v>
      </c>
      <c r="AG34" s="17">
        <v>0</v>
      </c>
      <c r="AH34" s="17">
        <v>0</v>
      </c>
      <c r="AI34" s="15">
        <f t="shared" si="9"/>
        <v>0</v>
      </c>
      <c r="AJ34" s="17"/>
    </row>
    <row r="35" spans="1:36" x14ac:dyDescent="0.3">
      <c r="A35" s="15" t="s">
        <v>83</v>
      </c>
      <c r="B35" s="15">
        <v>100</v>
      </c>
      <c r="C35" s="15" t="s">
        <v>54</v>
      </c>
      <c r="D35" s="15" t="s">
        <v>57</v>
      </c>
      <c r="E35" s="15">
        <f>'17-july2026'!T35</f>
        <v>2</v>
      </c>
      <c r="F35" s="15">
        <f>'17-july2026'!U35</f>
        <v>0</v>
      </c>
      <c r="G35" s="15">
        <f>'17-july2026'!V35</f>
        <v>0</v>
      </c>
      <c r="H35" s="15">
        <f t="shared" ref="H35:H66" si="10">E35+F35+G35</f>
        <v>2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5">
        <f t="shared" ref="S35:S66" si="11">H35+O35+P35+Q35+R35-(I35+J35+K35+L35+M35+N35)</f>
        <v>2</v>
      </c>
      <c r="T35" s="15">
        <f t="shared" ref="T35:T66" si="12">E35+O35-I35-L35</f>
        <v>2</v>
      </c>
      <c r="U35" s="15">
        <f t="shared" ref="U35:U66" si="13">F35+P35-J35-M35</f>
        <v>0</v>
      </c>
      <c r="V35" s="15">
        <f t="shared" ref="V35:V66" si="14">G35+Q35-K35-N35</f>
        <v>0</v>
      </c>
      <c r="W35" s="18" t="str">
        <f t="shared" ref="W35:W66" si="15">IF(MIN(T35,U35,V35)&lt;0,"NEGATIVE STOCK - CHECK ENTRIES","")</f>
        <v/>
      </c>
      <c r="X35" s="17">
        <v>0</v>
      </c>
      <c r="Y35" s="17">
        <v>0</v>
      </c>
      <c r="Z35" s="15">
        <f t="shared" ref="Z35:Z66" si="16">X35-Y35</f>
        <v>0</v>
      </c>
      <c r="AA35" s="17">
        <v>0</v>
      </c>
      <c r="AB35" s="17">
        <v>0</v>
      </c>
      <c r="AC35" s="15">
        <f t="shared" ref="AC35:AC66" si="17">AA35-AB35</f>
        <v>0</v>
      </c>
      <c r="AD35" s="17">
        <v>0</v>
      </c>
      <c r="AE35" s="17">
        <v>0</v>
      </c>
      <c r="AF35" s="15">
        <f t="shared" ref="AF35:AF66" si="18">AD35-AE35</f>
        <v>0</v>
      </c>
      <c r="AG35" s="17">
        <v>0</v>
      </c>
      <c r="AH35" s="17">
        <v>0</v>
      </c>
      <c r="AI35" s="15">
        <f t="shared" ref="AI35:AI66" si="19">AG35-AH35</f>
        <v>0</v>
      </c>
      <c r="AJ35" s="17"/>
    </row>
    <row r="36" spans="1:36" hidden="1" x14ac:dyDescent="0.3">
      <c r="A36" s="15" t="s">
        <v>84</v>
      </c>
      <c r="B36" s="15">
        <v>1000</v>
      </c>
      <c r="C36" s="15" t="s">
        <v>54</v>
      </c>
      <c r="D36" s="15" t="s">
        <v>55</v>
      </c>
      <c r="E36" s="15">
        <f>'17-july2026'!T36</f>
        <v>0</v>
      </c>
      <c r="F36" s="15">
        <f>'17-july2026'!U36</f>
        <v>0</v>
      </c>
      <c r="G36" s="15">
        <f>'17-july2026'!V36</f>
        <v>0</v>
      </c>
      <c r="H36" s="15">
        <f t="shared" si="10"/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13</v>
      </c>
      <c r="P36" s="17">
        <v>0</v>
      </c>
      <c r="Q36" s="17">
        <v>0</v>
      </c>
      <c r="R36" s="17">
        <v>0</v>
      </c>
      <c r="S36" s="15">
        <f t="shared" si="11"/>
        <v>13</v>
      </c>
      <c r="T36" s="15">
        <f t="shared" si="12"/>
        <v>13</v>
      </c>
      <c r="U36" s="15">
        <f t="shared" si="13"/>
        <v>0</v>
      </c>
      <c r="V36" s="15">
        <f t="shared" si="14"/>
        <v>0</v>
      </c>
      <c r="W36" s="18" t="str">
        <f t="shared" si="15"/>
        <v/>
      </c>
      <c r="X36" s="17">
        <v>0</v>
      </c>
      <c r="Y36" s="17">
        <v>0</v>
      </c>
      <c r="Z36" s="15">
        <f t="shared" si="16"/>
        <v>0</v>
      </c>
      <c r="AA36" s="17">
        <v>0</v>
      </c>
      <c r="AB36" s="17">
        <v>0</v>
      </c>
      <c r="AC36" s="15">
        <f t="shared" si="17"/>
        <v>0</v>
      </c>
      <c r="AD36" s="17">
        <v>0</v>
      </c>
      <c r="AE36" s="17">
        <v>0</v>
      </c>
      <c r="AF36" s="15">
        <f t="shared" si="18"/>
        <v>0</v>
      </c>
      <c r="AG36" s="17">
        <v>0</v>
      </c>
      <c r="AH36" s="17">
        <v>0</v>
      </c>
      <c r="AI36" s="15">
        <f t="shared" si="19"/>
        <v>0</v>
      </c>
      <c r="AJ36" s="17"/>
    </row>
    <row r="37" spans="1:36" x14ac:dyDescent="0.3">
      <c r="A37" s="15" t="s">
        <v>85</v>
      </c>
      <c r="B37" s="15">
        <v>1000</v>
      </c>
      <c r="C37" s="15" t="s">
        <v>54</v>
      </c>
      <c r="D37" s="15" t="s">
        <v>68</v>
      </c>
      <c r="E37" s="15">
        <f>'17-july2026'!T37</f>
        <v>5</v>
      </c>
      <c r="F37" s="15">
        <f>'17-july2026'!U37</f>
        <v>0</v>
      </c>
      <c r="G37" s="15">
        <f>'17-july2026'!V37</f>
        <v>0</v>
      </c>
      <c r="H37" s="15">
        <f t="shared" si="10"/>
        <v>5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5">
        <f t="shared" si="11"/>
        <v>5</v>
      </c>
      <c r="T37" s="15">
        <f t="shared" si="12"/>
        <v>5</v>
      </c>
      <c r="U37" s="15">
        <f t="shared" si="13"/>
        <v>0</v>
      </c>
      <c r="V37" s="15">
        <f t="shared" si="14"/>
        <v>0</v>
      </c>
      <c r="W37" s="18" t="str">
        <f t="shared" si="15"/>
        <v/>
      </c>
      <c r="X37" s="17">
        <v>0</v>
      </c>
      <c r="Y37" s="17">
        <v>0</v>
      </c>
      <c r="Z37" s="15">
        <f t="shared" si="16"/>
        <v>0</v>
      </c>
      <c r="AA37" s="17">
        <v>0</v>
      </c>
      <c r="AB37" s="17">
        <v>0</v>
      </c>
      <c r="AC37" s="15">
        <f t="shared" si="17"/>
        <v>0</v>
      </c>
      <c r="AD37" s="17">
        <v>0</v>
      </c>
      <c r="AE37" s="17">
        <v>0</v>
      </c>
      <c r="AF37" s="15">
        <f t="shared" si="18"/>
        <v>0</v>
      </c>
      <c r="AG37" s="17">
        <v>0</v>
      </c>
      <c r="AH37" s="17">
        <v>0</v>
      </c>
      <c r="AI37" s="15">
        <f t="shared" si="19"/>
        <v>0</v>
      </c>
      <c r="AJ37" s="17"/>
    </row>
    <row r="38" spans="1:36" x14ac:dyDescent="0.3">
      <c r="A38" s="15" t="s">
        <v>86</v>
      </c>
      <c r="B38" s="15">
        <v>100</v>
      </c>
      <c r="C38" s="15" t="s">
        <v>54</v>
      </c>
      <c r="D38" s="15" t="s">
        <v>57</v>
      </c>
      <c r="E38" s="15">
        <f>'17-july2026'!T38</f>
        <v>1</v>
      </c>
      <c r="F38" s="15">
        <f>'17-july2026'!U38</f>
        <v>0</v>
      </c>
      <c r="G38" s="15">
        <f>'17-july2026'!V38</f>
        <v>0</v>
      </c>
      <c r="H38" s="15">
        <f t="shared" si="10"/>
        <v>1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5">
        <f t="shared" si="11"/>
        <v>1</v>
      </c>
      <c r="T38" s="15">
        <f t="shared" si="12"/>
        <v>1</v>
      </c>
      <c r="U38" s="15">
        <f t="shared" si="13"/>
        <v>0</v>
      </c>
      <c r="V38" s="15">
        <f t="shared" si="14"/>
        <v>0</v>
      </c>
      <c r="W38" s="18" t="str">
        <f t="shared" si="15"/>
        <v/>
      </c>
      <c r="X38" s="17">
        <v>0</v>
      </c>
      <c r="Y38" s="17">
        <v>0</v>
      </c>
      <c r="Z38" s="15">
        <f t="shared" si="16"/>
        <v>0</v>
      </c>
      <c r="AA38" s="17">
        <v>0</v>
      </c>
      <c r="AB38" s="17">
        <v>0</v>
      </c>
      <c r="AC38" s="15">
        <f t="shared" si="17"/>
        <v>0</v>
      </c>
      <c r="AD38" s="17">
        <v>0</v>
      </c>
      <c r="AE38" s="17">
        <v>0</v>
      </c>
      <c r="AF38" s="15">
        <f t="shared" si="18"/>
        <v>0</v>
      </c>
      <c r="AG38" s="17">
        <v>0</v>
      </c>
      <c r="AH38" s="17">
        <v>0</v>
      </c>
      <c r="AI38" s="15">
        <f t="shared" si="19"/>
        <v>0</v>
      </c>
      <c r="AJ38" s="17"/>
    </row>
    <row r="39" spans="1:36" x14ac:dyDescent="0.3">
      <c r="A39" s="15" t="s">
        <v>87</v>
      </c>
      <c r="B39" s="15">
        <v>100000</v>
      </c>
      <c r="C39" s="15" t="s">
        <v>54</v>
      </c>
      <c r="D39" s="15" t="s">
        <v>68</v>
      </c>
      <c r="E39" s="15">
        <f>'17-july2026'!T39</f>
        <v>2</v>
      </c>
      <c r="F39" s="15">
        <f>'17-july2026'!U39</f>
        <v>0</v>
      </c>
      <c r="G39" s="15">
        <f>'17-july2026'!V39</f>
        <v>0</v>
      </c>
      <c r="H39" s="15">
        <f t="shared" si="10"/>
        <v>2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5">
        <f t="shared" si="11"/>
        <v>2</v>
      </c>
      <c r="T39" s="15">
        <f t="shared" si="12"/>
        <v>2</v>
      </c>
      <c r="U39" s="15">
        <f t="shared" si="13"/>
        <v>0</v>
      </c>
      <c r="V39" s="15">
        <f t="shared" si="14"/>
        <v>0</v>
      </c>
      <c r="W39" s="18" t="str">
        <f t="shared" si="15"/>
        <v/>
      </c>
      <c r="X39" s="17">
        <v>0</v>
      </c>
      <c r="Y39" s="17">
        <v>0</v>
      </c>
      <c r="Z39" s="15">
        <f t="shared" si="16"/>
        <v>0</v>
      </c>
      <c r="AA39" s="17">
        <v>0</v>
      </c>
      <c r="AB39" s="17">
        <v>0</v>
      </c>
      <c r="AC39" s="15">
        <f t="shared" si="17"/>
        <v>0</v>
      </c>
      <c r="AD39" s="17">
        <v>0</v>
      </c>
      <c r="AE39" s="17">
        <v>0</v>
      </c>
      <c r="AF39" s="15">
        <f t="shared" si="18"/>
        <v>0</v>
      </c>
      <c r="AG39" s="17">
        <v>0</v>
      </c>
      <c r="AH39" s="17">
        <v>0</v>
      </c>
      <c r="AI39" s="15">
        <f t="shared" si="19"/>
        <v>0</v>
      </c>
      <c r="AJ39" s="17"/>
    </row>
    <row r="40" spans="1:36" x14ac:dyDescent="0.3">
      <c r="A40" s="15" t="s">
        <v>88</v>
      </c>
      <c r="B40" s="15">
        <v>100000</v>
      </c>
      <c r="C40" s="15" t="s">
        <v>54</v>
      </c>
      <c r="D40" s="15" t="s">
        <v>68</v>
      </c>
      <c r="E40" s="15">
        <f>'17-july2026'!T40</f>
        <v>1</v>
      </c>
      <c r="F40" s="15">
        <f>'17-july2026'!U40</f>
        <v>0</v>
      </c>
      <c r="G40" s="15">
        <f>'17-july2026'!V40</f>
        <v>0</v>
      </c>
      <c r="H40" s="15">
        <f t="shared" si="10"/>
        <v>1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5">
        <f t="shared" si="11"/>
        <v>1</v>
      </c>
      <c r="T40" s="15">
        <f t="shared" si="12"/>
        <v>1</v>
      </c>
      <c r="U40" s="15">
        <f t="shared" si="13"/>
        <v>0</v>
      </c>
      <c r="V40" s="15">
        <f t="shared" si="14"/>
        <v>0</v>
      </c>
      <c r="W40" s="18" t="str">
        <f t="shared" si="15"/>
        <v/>
      </c>
      <c r="X40" s="17">
        <v>0</v>
      </c>
      <c r="Y40" s="17">
        <v>0</v>
      </c>
      <c r="Z40" s="15">
        <f t="shared" si="16"/>
        <v>0</v>
      </c>
      <c r="AA40" s="17">
        <v>0</v>
      </c>
      <c r="AB40" s="17">
        <v>0</v>
      </c>
      <c r="AC40" s="15">
        <f t="shared" si="17"/>
        <v>0</v>
      </c>
      <c r="AD40" s="17">
        <v>0</v>
      </c>
      <c r="AE40" s="17">
        <v>0</v>
      </c>
      <c r="AF40" s="15">
        <f t="shared" si="18"/>
        <v>0</v>
      </c>
      <c r="AG40" s="17">
        <v>0</v>
      </c>
      <c r="AH40" s="17">
        <v>0</v>
      </c>
      <c r="AI40" s="15">
        <f t="shared" si="19"/>
        <v>0</v>
      </c>
      <c r="AJ40" s="17"/>
    </row>
    <row r="41" spans="1:36" hidden="1" x14ac:dyDescent="0.3">
      <c r="A41" s="15" t="s">
        <v>89</v>
      </c>
      <c r="B41" s="15">
        <v>100</v>
      </c>
      <c r="C41" s="15" t="s">
        <v>54</v>
      </c>
      <c r="D41" s="15" t="s">
        <v>55</v>
      </c>
      <c r="E41" s="15">
        <f>'17-july2026'!T41</f>
        <v>9</v>
      </c>
      <c r="F41" s="15">
        <f>'17-july2026'!U41</f>
        <v>0</v>
      </c>
      <c r="G41" s="15">
        <f>'17-july2026'!V41</f>
        <v>0</v>
      </c>
      <c r="H41" s="15">
        <f t="shared" si="10"/>
        <v>9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5">
        <f t="shared" si="11"/>
        <v>9</v>
      </c>
      <c r="T41" s="15">
        <f t="shared" si="12"/>
        <v>9</v>
      </c>
      <c r="U41" s="15">
        <f t="shared" si="13"/>
        <v>0</v>
      </c>
      <c r="V41" s="15">
        <f t="shared" si="14"/>
        <v>0</v>
      </c>
      <c r="W41" s="18" t="str">
        <f t="shared" si="15"/>
        <v/>
      </c>
      <c r="X41" s="17">
        <v>0</v>
      </c>
      <c r="Y41" s="17">
        <v>0</v>
      </c>
      <c r="Z41" s="15">
        <f t="shared" si="16"/>
        <v>0</v>
      </c>
      <c r="AA41" s="17">
        <v>0</v>
      </c>
      <c r="AB41" s="17">
        <v>0</v>
      </c>
      <c r="AC41" s="15">
        <f t="shared" si="17"/>
        <v>0</v>
      </c>
      <c r="AD41" s="17">
        <v>0</v>
      </c>
      <c r="AE41" s="17">
        <v>0</v>
      </c>
      <c r="AF41" s="15">
        <f t="shared" si="18"/>
        <v>0</v>
      </c>
      <c r="AG41" s="17">
        <v>0</v>
      </c>
      <c r="AH41" s="17">
        <v>0</v>
      </c>
      <c r="AI41" s="15">
        <f t="shared" si="19"/>
        <v>0</v>
      </c>
      <c r="AJ41" s="17"/>
    </row>
    <row r="42" spans="1:36" x14ac:dyDescent="0.3">
      <c r="A42" s="15" t="s">
        <v>90</v>
      </c>
      <c r="B42" s="15">
        <v>100</v>
      </c>
      <c r="C42" s="15" t="s">
        <v>54</v>
      </c>
      <c r="D42" s="15" t="s">
        <v>57</v>
      </c>
      <c r="E42" s="15">
        <f>'17-july2026'!T42</f>
        <v>10</v>
      </c>
      <c r="F42" s="15">
        <f>'17-july2026'!U42</f>
        <v>0</v>
      </c>
      <c r="G42" s="15">
        <f>'17-july2026'!V42</f>
        <v>0</v>
      </c>
      <c r="H42" s="15">
        <f t="shared" si="10"/>
        <v>10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5">
        <f t="shared" si="11"/>
        <v>10</v>
      </c>
      <c r="T42" s="15">
        <f t="shared" si="12"/>
        <v>10</v>
      </c>
      <c r="U42" s="15">
        <f t="shared" si="13"/>
        <v>0</v>
      </c>
      <c r="V42" s="15">
        <f t="shared" si="14"/>
        <v>0</v>
      </c>
      <c r="W42" s="18" t="str">
        <f t="shared" si="15"/>
        <v/>
      </c>
      <c r="X42" s="17">
        <v>0</v>
      </c>
      <c r="Y42" s="17">
        <v>0</v>
      </c>
      <c r="Z42" s="15">
        <f t="shared" si="16"/>
        <v>0</v>
      </c>
      <c r="AA42" s="17">
        <v>0</v>
      </c>
      <c r="AB42" s="17">
        <v>0</v>
      </c>
      <c r="AC42" s="15">
        <f t="shared" si="17"/>
        <v>0</v>
      </c>
      <c r="AD42" s="17">
        <v>0</v>
      </c>
      <c r="AE42" s="17">
        <v>0</v>
      </c>
      <c r="AF42" s="15">
        <f t="shared" si="18"/>
        <v>0</v>
      </c>
      <c r="AG42" s="17">
        <v>0</v>
      </c>
      <c r="AH42" s="17">
        <v>0</v>
      </c>
      <c r="AI42" s="15">
        <f t="shared" si="19"/>
        <v>0</v>
      </c>
      <c r="AJ42" s="17"/>
    </row>
    <row r="43" spans="1:36" hidden="1" x14ac:dyDescent="0.3">
      <c r="A43" s="15" t="s">
        <v>91</v>
      </c>
      <c r="B43" s="15">
        <v>1000</v>
      </c>
      <c r="C43" s="15" t="s">
        <v>54</v>
      </c>
      <c r="D43" s="15" t="s">
        <v>55</v>
      </c>
      <c r="E43" s="15">
        <f>'17-july2026'!T43</f>
        <v>71</v>
      </c>
      <c r="F43" s="15">
        <f>'17-july2026'!U43</f>
        <v>136</v>
      </c>
      <c r="G43" s="15">
        <f>'17-july2026'!V43</f>
        <v>5</v>
      </c>
      <c r="H43" s="15">
        <f t="shared" si="10"/>
        <v>212</v>
      </c>
      <c r="I43" s="17">
        <v>8</v>
      </c>
      <c r="J43" s="17">
        <v>0</v>
      </c>
      <c r="K43" s="17">
        <v>1</v>
      </c>
      <c r="L43" s="17">
        <v>0</v>
      </c>
      <c r="M43" s="17">
        <v>0</v>
      </c>
      <c r="N43" s="17">
        <v>4</v>
      </c>
      <c r="O43" s="17">
        <v>4</v>
      </c>
      <c r="P43" s="17">
        <v>0</v>
      </c>
      <c r="Q43" s="17">
        <v>0</v>
      </c>
      <c r="R43" s="17">
        <v>0</v>
      </c>
      <c r="S43" s="15">
        <f t="shared" si="11"/>
        <v>203</v>
      </c>
      <c r="T43" s="15">
        <f t="shared" si="12"/>
        <v>67</v>
      </c>
      <c r="U43" s="15">
        <f t="shared" si="13"/>
        <v>136</v>
      </c>
      <c r="V43" s="15">
        <f t="shared" si="14"/>
        <v>0</v>
      </c>
      <c r="W43" s="18" t="str">
        <f t="shared" si="15"/>
        <v/>
      </c>
      <c r="X43" s="17">
        <v>0</v>
      </c>
      <c r="Y43" s="17">
        <v>0</v>
      </c>
      <c r="Z43" s="15">
        <f t="shared" si="16"/>
        <v>0</v>
      </c>
      <c r="AA43" s="17">
        <v>0</v>
      </c>
      <c r="AB43" s="17">
        <v>0</v>
      </c>
      <c r="AC43" s="15">
        <f t="shared" si="17"/>
        <v>0</v>
      </c>
      <c r="AD43" s="17">
        <v>0</v>
      </c>
      <c r="AE43" s="17">
        <v>0</v>
      </c>
      <c r="AF43" s="15">
        <f t="shared" si="18"/>
        <v>0</v>
      </c>
      <c r="AG43" s="17">
        <v>0</v>
      </c>
      <c r="AH43" s="17">
        <v>0</v>
      </c>
      <c r="AI43" s="15">
        <f t="shared" si="19"/>
        <v>0</v>
      </c>
      <c r="AJ43" s="17"/>
    </row>
    <row r="44" spans="1:36" x14ac:dyDescent="0.3">
      <c r="A44" s="15" t="s">
        <v>92</v>
      </c>
      <c r="B44" s="15">
        <v>100</v>
      </c>
      <c r="C44" s="15" t="s">
        <v>54</v>
      </c>
      <c r="D44" s="15" t="s">
        <v>68</v>
      </c>
      <c r="E44" s="15">
        <f>'17-july2026'!T44</f>
        <v>6</v>
      </c>
      <c r="F44" s="15">
        <f>'17-july2026'!U44</f>
        <v>0</v>
      </c>
      <c r="G44" s="15">
        <f>'17-july2026'!V44</f>
        <v>0</v>
      </c>
      <c r="H44" s="15">
        <f t="shared" si="10"/>
        <v>6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5">
        <f t="shared" si="11"/>
        <v>6</v>
      </c>
      <c r="T44" s="15">
        <f t="shared" si="12"/>
        <v>6</v>
      </c>
      <c r="U44" s="15">
        <f t="shared" si="13"/>
        <v>0</v>
      </c>
      <c r="V44" s="15">
        <f t="shared" si="14"/>
        <v>0</v>
      </c>
      <c r="W44" s="18" t="str">
        <f t="shared" si="15"/>
        <v/>
      </c>
      <c r="X44" s="17">
        <v>0</v>
      </c>
      <c r="Y44" s="17">
        <v>0</v>
      </c>
      <c r="Z44" s="15">
        <f t="shared" si="16"/>
        <v>0</v>
      </c>
      <c r="AA44" s="17">
        <v>0</v>
      </c>
      <c r="AB44" s="17">
        <v>0</v>
      </c>
      <c r="AC44" s="15">
        <f t="shared" si="17"/>
        <v>0</v>
      </c>
      <c r="AD44" s="17">
        <v>0</v>
      </c>
      <c r="AE44" s="17">
        <v>0</v>
      </c>
      <c r="AF44" s="15">
        <f t="shared" si="18"/>
        <v>0</v>
      </c>
      <c r="AG44" s="17">
        <v>0</v>
      </c>
      <c r="AH44" s="17">
        <v>0</v>
      </c>
      <c r="AI44" s="15">
        <f t="shared" si="19"/>
        <v>0</v>
      </c>
      <c r="AJ44" s="17"/>
    </row>
    <row r="45" spans="1:36" x14ac:dyDescent="0.3">
      <c r="A45" s="15" t="s">
        <v>93</v>
      </c>
      <c r="B45" s="15">
        <v>100000</v>
      </c>
      <c r="C45" s="15" t="s">
        <v>54</v>
      </c>
      <c r="D45" s="15" t="s">
        <v>68</v>
      </c>
      <c r="E45" s="15">
        <f>'17-july2026'!T45</f>
        <v>2</v>
      </c>
      <c r="F45" s="15">
        <f>'17-july2026'!U45</f>
        <v>0</v>
      </c>
      <c r="G45" s="15">
        <f>'17-july2026'!V45</f>
        <v>0</v>
      </c>
      <c r="H45" s="15">
        <f t="shared" si="10"/>
        <v>2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5">
        <f t="shared" si="11"/>
        <v>2</v>
      </c>
      <c r="T45" s="15">
        <f t="shared" si="12"/>
        <v>2</v>
      </c>
      <c r="U45" s="15">
        <f t="shared" si="13"/>
        <v>0</v>
      </c>
      <c r="V45" s="15">
        <f t="shared" si="14"/>
        <v>0</v>
      </c>
      <c r="W45" s="18" t="str">
        <f t="shared" si="15"/>
        <v/>
      </c>
      <c r="X45" s="17">
        <v>0</v>
      </c>
      <c r="Y45" s="17">
        <v>0</v>
      </c>
      <c r="Z45" s="15">
        <f t="shared" si="16"/>
        <v>0</v>
      </c>
      <c r="AA45" s="17">
        <v>0</v>
      </c>
      <c r="AB45" s="17">
        <v>0</v>
      </c>
      <c r="AC45" s="15">
        <f t="shared" si="17"/>
        <v>0</v>
      </c>
      <c r="AD45" s="17">
        <v>0</v>
      </c>
      <c r="AE45" s="17">
        <v>0</v>
      </c>
      <c r="AF45" s="15">
        <f t="shared" si="18"/>
        <v>0</v>
      </c>
      <c r="AG45" s="17">
        <v>0</v>
      </c>
      <c r="AH45" s="17">
        <v>0</v>
      </c>
      <c r="AI45" s="15">
        <f t="shared" si="19"/>
        <v>0</v>
      </c>
      <c r="AJ45" s="17"/>
    </row>
    <row r="46" spans="1:36" hidden="1" x14ac:dyDescent="0.3">
      <c r="A46" s="15" t="s">
        <v>94</v>
      </c>
      <c r="B46" s="15">
        <v>100</v>
      </c>
      <c r="C46" s="15" t="s">
        <v>54</v>
      </c>
      <c r="D46" s="15" t="s">
        <v>55</v>
      </c>
      <c r="E46" s="15">
        <f>'17-july2026'!T46</f>
        <v>5</v>
      </c>
      <c r="F46" s="15">
        <f>'17-july2026'!U46</f>
        <v>0</v>
      </c>
      <c r="G46" s="15">
        <f>'17-july2026'!V46</f>
        <v>0</v>
      </c>
      <c r="H46" s="15">
        <f t="shared" si="10"/>
        <v>5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5">
        <f t="shared" si="11"/>
        <v>5</v>
      </c>
      <c r="T46" s="15">
        <f t="shared" si="12"/>
        <v>5</v>
      </c>
      <c r="U46" s="15">
        <f t="shared" si="13"/>
        <v>0</v>
      </c>
      <c r="V46" s="15">
        <f t="shared" si="14"/>
        <v>0</v>
      </c>
      <c r="W46" s="18" t="str">
        <f t="shared" si="15"/>
        <v/>
      </c>
      <c r="X46" s="17">
        <v>0</v>
      </c>
      <c r="Y46" s="17">
        <v>0</v>
      </c>
      <c r="Z46" s="15">
        <f t="shared" si="16"/>
        <v>0</v>
      </c>
      <c r="AA46" s="17">
        <v>0</v>
      </c>
      <c r="AB46" s="17">
        <v>0</v>
      </c>
      <c r="AC46" s="15">
        <f t="shared" si="17"/>
        <v>0</v>
      </c>
      <c r="AD46" s="17">
        <v>0</v>
      </c>
      <c r="AE46" s="17">
        <v>0</v>
      </c>
      <c r="AF46" s="15">
        <f t="shared" si="18"/>
        <v>0</v>
      </c>
      <c r="AG46" s="17">
        <v>0</v>
      </c>
      <c r="AH46" s="17">
        <v>0</v>
      </c>
      <c r="AI46" s="15">
        <f t="shared" si="19"/>
        <v>0</v>
      </c>
      <c r="AJ46" s="17"/>
    </row>
    <row r="47" spans="1:36" x14ac:dyDescent="0.3">
      <c r="A47" s="15" t="s">
        <v>94</v>
      </c>
      <c r="B47" s="15">
        <v>100</v>
      </c>
      <c r="C47" s="15" t="s">
        <v>54</v>
      </c>
      <c r="D47" s="15" t="s">
        <v>57</v>
      </c>
      <c r="E47" s="15">
        <f>'17-july2026'!T47</f>
        <v>1</v>
      </c>
      <c r="F47" s="15">
        <f>'17-july2026'!U47</f>
        <v>0</v>
      </c>
      <c r="G47" s="15">
        <f>'17-july2026'!V47</f>
        <v>0</v>
      </c>
      <c r="H47" s="15">
        <f t="shared" si="10"/>
        <v>1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5">
        <f t="shared" si="11"/>
        <v>1</v>
      </c>
      <c r="T47" s="15">
        <f t="shared" si="12"/>
        <v>1</v>
      </c>
      <c r="U47" s="15">
        <f t="shared" si="13"/>
        <v>0</v>
      </c>
      <c r="V47" s="15">
        <f t="shared" si="14"/>
        <v>0</v>
      </c>
      <c r="W47" s="18" t="str">
        <f t="shared" si="15"/>
        <v/>
      </c>
      <c r="X47" s="17">
        <v>0</v>
      </c>
      <c r="Y47" s="17">
        <v>0</v>
      </c>
      <c r="Z47" s="15">
        <f t="shared" si="16"/>
        <v>0</v>
      </c>
      <c r="AA47" s="17">
        <v>0</v>
      </c>
      <c r="AB47" s="17">
        <v>0</v>
      </c>
      <c r="AC47" s="15">
        <f t="shared" si="17"/>
        <v>0</v>
      </c>
      <c r="AD47" s="17">
        <v>0</v>
      </c>
      <c r="AE47" s="17">
        <v>0</v>
      </c>
      <c r="AF47" s="15">
        <f t="shared" si="18"/>
        <v>0</v>
      </c>
      <c r="AG47" s="17">
        <v>0</v>
      </c>
      <c r="AH47" s="17">
        <v>0</v>
      </c>
      <c r="AI47" s="15">
        <f t="shared" si="19"/>
        <v>0</v>
      </c>
      <c r="AJ47" s="17"/>
    </row>
    <row r="48" spans="1:36" x14ac:dyDescent="0.3">
      <c r="A48" s="15" t="s">
        <v>95</v>
      </c>
      <c r="B48" s="15">
        <v>100</v>
      </c>
      <c r="C48" s="15" t="s">
        <v>54</v>
      </c>
      <c r="D48" s="15" t="s">
        <v>57</v>
      </c>
      <c r="E48" s="15">
        <f>'17-july2026'!T48</f>
        <v>1</v>
      </c>
      <c r="F48" s="15">
        <f>'17-july2026'!U48</f>
        <v>0</v>
      </c>
      <c r="G48" s="15">
        <f>'17-july2026'!V48</f>
        <v>0</v>
      </c>
      <c r="H48" s="15">
        <f t="shared" si="10"/>
        <v>1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5">
        <f t="shared" si="11"/>
        <v>1</v>
      </c>
      <c r="T48" s="15">
        <f t="shared" si="12"/>
        <v>1</v>
      </c>
      <c r="U48" s="15">
        <f t="shared" si="13"/>
        <v>0</v>
      </c>
      <c r="V48" s="15">
        <f t="shared" si="14"/>
        <v>0</v>
      </c>
      <c r="W48" s="18" t="str">
        <f t="shared" si="15"/>
        <v/>
      </c>
      <c r="X48" s="17">
        <v>0</v>
      </c>
      <c r="Y48" s="17">
        <v>0</v>
      </c>
      <c r="Z48" s="15">
        <f t="shared" si="16"/>
        <v>0</v>
      </c>
      <c r="AA48" s="17">
        <v>0</v>
      </c>
      <c r="AB48" s="17">
        <v>0</v>
      </c>
      <c r="AC48" s="15">
        <f t="shared" si="17"/>
        <v>0</v>
      </c>
      <c r="AD48" s="17">
        <v>0</v>
      </c>
      <c r="AE48" s="17">
        <v>0</v>
      </c>
      <c r="AF48" s="15">
        <f t="shared" si="18"/>
        <v>0</v>
      </c>
      <c r="AG48" s="17">
        <v>0</v>
      </c>
      <c r="AH48" s="17">
        <v>0</v>
      </c>
      <c r="AI48" s="15">
        <f t="shared" si="19"/>
        <v>0</v>
      </c>
      <c r="AJ48" s="17"/>
    </row>
    <row r="49" spans="1:36" hidden="1" x14ac:dyDescent="0.3">
      <c r="A49" s="15" t="s">
        <v>96</v>
      </c>
      <c r="B49" s="15">
        <v>1000</v>
      </c>
      <c r="C49" s="15"/>
      <c r="D49" s="15" t="s">
        <v>55</v>
      </c>
      <c r="E49" s="15">
        <f>'17-july2026'!T49</f>
        <v>0</v>
      </c>
      <c r="F49" s="15">
        <f>'17-july2026'!U49</f>
        <v>0</v>
      </c>
      <c r="G49" s="15">
        <f>'17-july2026'!V49</f>
        <v>0</v>
      </c>
      <c r="H49" s="15">
        <f t="shared" si="10"/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5">
        <f t="shared" si="11"/>
        <v>0</v>
      </c>
      <c r="T49" s="15">
        <f t="shared" si="12"/>
        <v>0</v>
      </c>
      <c r="U49" s="15">
        <f t="shared" si="13"/>
        <v>0</v>
      </c>
      <c r="V49" s="15">
        <f t="shared" si="14"/>
        <v>0</v>
      </c>
      <c r="W49" s="18" t="str">
        <f t="shared" si="15"/>
        <v/>
      </c>
      <c r="X49" s="17">
        <v>0</v>
      </c>
      <c r="Y49" s="17">
        <v>0</v>
      </c>
      <c r="Z49" s="15">
        <f t="shared" si="16"/>
        <v>0</v>
      </c>
      <c r="AA49" s="17">
        <v>0</v>
      </c>
      <c r="AB49" s="17">
        <v>0</v>
      </c>
      <c r="AC49" s="15">
        <f t="shared" si="17"/>
        <v>0</v>
      </c>
      <c r="AD49" s="17">
        <v>0</v>
      </c>
      <c r="AE49" s="17">
        <v>0</v>
      </c>
      <c r="AF49" s="15">
        <f t="shared" si="18"/>
        <v>0</v>
      </c>
      <c r="AG49" s="17">
        <v>0</v>
      </c>
      <c r="AH49" s="17">
        <v>0</v>
      </c>
      <c r="AI49" s="15">
        <f t="shared" si="19"/>
        <v>0</v>
      </c>
      <c r="AJ49" s="17"/>
    </row>
    <row r="50" spans="1:36" hidden="1" x14ac:dyDescent="0.3">
      <c r="A50" s="15" t="s">
        <v>97</v>
      </c>
      <c r="B50" s="15">
        <v>1000</v>
      </c>
      <c r="C50" s="15" t="s">
        <v>54</v>
      </c>
      <c r="D50" s="15" t="s">
        <v>55</v>
      </c>
      <c r="E50" s="17">
        <v>3</v>
      </c>
      <c r="F50" s="17">
        <v>17</v>
      </c>
      <c r="G50" s="17">
        <v>0</v>
      </c>
      <c r="H50" s="15">
        <f t="shared" si="10"/>
        <v>20</v>
      </c>
      <c r="I50" s="17">
        <v>8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70</v>
      </c>
      <c r="P50" s="17">
        <v>0</v>
      </c>
      <c r="Q50" s="17">
        <v>0</v>
      </c>
      <c r="R50" s="17">
        <v>0</v>
      </c>
      <c r="S50" s="15">
        <f t="shared" si="11"/>
        <v>82</v>
      </c>
      <c r="T50" s="15">
        <f t="shared" si="12"/>
        <v>65</v>
      </c>
      <c r="U50" s="15">
        <f t="shared" si="13"/>
        <v>17</v>
      </c>
      <c r="V50" s="15">
        <f t="shared" si="14"/>
        <v>0</v>
      </c>
      <c r="W50" s="18" t="str">
        <f t="shared" si="15"/>
        <v/>
      </c>
      <c r="X50" s="17">
        <v>0</v>
      </c>
      <c r="Y50" s="17">
        <v>0</v>
      </c>
      <c r="Z50" s="15">
        <f t="shared" si="16"/>
        <v>0</v>
      </c>
      <c r="AA50" s="17">
        <v>0</v>
      </c>
      <c r="AB50" s="17">
        <v>0</v>
      </c>
      <c r="AC50" s="15">
        <f t="shared" si="17"/>
        <v>0</v>
      </c>
      <c r="AD50" s="17">
        <v>0</v>
      </c>
      <c r="AE50" s="17">
        <v>0</v>
      </c>
      <c r="AF50" s="15">
        <f t="shared" si="18"/>
        <v>0</v>
      </c>
      <c r="AG50" s="17">
        <v>0</v>
      </c>
      <c r="AH50" s="17">
        <v>0</v>
      </c>
      <c r="AI50" s="15">
        <f t="shared" si="19"/>
        <v>0</v>
      </c>
      <c r="AJ50" s="17"/>
    </row>
    <row r="51" spans="1:36" hidden="1" x14ac:dyDescent="0.3">
      <c r="A51" s="15" t="s">
        <v>98</v>
      </c>
      <c r="B51" s="15">
        <v>1000</v>
      </c>
      <c r="C51" s="15" t="s">
        <v>54</v>
      </c>
      <c r="D51" s="15" t="s">
        <v>55</v>
      </c>
      <c r="E51" s="15">
        <f>'17-july2026'!T51</f>
        <v>3</v>
      </c>
      <c r="F51" s="15">
        <f>'17-july2026'!U51</f>
        <v>17</v>
      </c>
      <c r="G51" s="15">
        <f>'17-july2026'!V51</f>
        <v>0</v>
      </c>
      <c r="H51" s="15">
        <f t="shared" si="10"/>
        <v>20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5">
        <f t="shared" si="11"/>
        <v>20</v>
      </c>
      <c r="T51" s="15">
        <f t="shared" si="12"/>
        <v>3</v>
      </c>
      <c r="U51" s="15">
        <f t="shared" si="13"/>
        <v>17</v>
      </c>
      <c r="V51" s="15">
        <f t="shared" si="14"/>
        <v>0</v>
      </c>
      <c r="W51" s="18" t="str">
        <f t="shared" si="15"/>
        <v/>
      </c>
      <c r="X51" s="17">
        <v>0</v>
      </c>
      <c r="Y51" s="17">
        <v>0</v>
      </c>
      <c r="Z51" s="15">
        <f t="shared" si="16"/>
        <v>0</v>
      </c>
      <c r="AA51" s="17">
        <v>0</v>
      </c>
      <c r="AB51" s="17">
        <v>0</v>
      </c>
      <c r="AC51" s="15">
        <f t="shared" si="17"/>
        <v>0</v>
      </c>
      <c r="AD51" s="17">
        <v>0</v>
      </c>
      <c r="AE51" s="17">
        <v>0</v>
      </c>
      <c r="AF51" s="15">
        <f t="shared" si="18"/>
        <v>0</v>
      </c>
      <c r="AG51" s="17">
        <v>0</v>
      </c>
      <c r="AH51" s="17">
        <v>0</v>
      </c>
      <c r="AI51" s="15">
        <f t="shared" si="19"/>
        <v>0</v>
      </c>
      <c r="AJ51" s="17"/>
    </row>
    <row r="52" spans="1:36" hidden="1" x14ac:dyDescent="0.3">
      <c r="A52" s="15" t="s">
        <v>99</v>
      </c>
      <c r="B52" s="15">
        <v>1000</v>
      </c>
      <c r="C52" s="15" t="s">
        <v>54</v>
      </c>
      <c r="D52" s="15" t="s">
        <v>55</v>
      </c>
      <c r="E52" s="15">
        <f>'17-july2026'!T52</f>
        <v>5</v>
      </c>
      <c r="F52" s="15">
        <f>'17-july2026'!U52</f>
        <v>1</v>
      </c>
      <c r="G52" s="15">
        <f>'17-july2026'!V52</f>
        <v>2</v>
      </c>
      <c r="H52" s="15">
        <f t="shared" si="10"/>
        <v>8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2</v>
      </c>
      <c r="O52" s="17">
        <v>2</v>
      </c>
      <c r="P52" s="17">
        <v>0</v>
      </c>
      <c r="Q52" s="17">
        <v>0</v>
      </c>
      <c r="R52" s="17">
        <v>0</v>
      </c>
      <c r="S52" s="15">
        <f t="shared" si="11"/>
        <v>8</v>
      </c>
      <c r="T52" s="15">
        <f t="shared" si="12"/>
        <v>7</v>
      </c>
      <c r="U52" s="15">
        <f t="shared" si="13"/>
        <v>1</v>
      </c>
      <c r="V52" s="15">
        <f t="shared" si="14"/>
        <v>0</v>
      </c>
      <c r="W52" s="18" t="str">
        <f t="shared" si="15"/>
        <v/>
      </c>
      <c r="X52" s="17">
        <v>0</v>
      </c>
      <c r="Y52" s="17">
        <v>0</v>
      </c>
      <c r="Z52" s="15">
        <f t="shared" si="16"/>
        <v>0</v>
      </c>
      <c r="AA52" s="17">
        <v>0</v>
      </c>
      <c r="AB52" s="17">
        <v>0</v>
      </c>
      <c r="AC52" s="15">
        <f t="shared" si="17"/>
        <v>0</v>
      </c>
      <c r="AD52" s="17">
        <v>0</v>
      </c>
      <c r="AE52" s="17">
        <v>0</v>
      </c>
      <c r="AF52" s="15">
        <f t="shared" si="18"/>
        <v>0</v>
      </c>
      <c r="AG52" s="17">
        <v>0</v>
      </c>
      <c r="AH52" s="17">
        <v>0</v>
      </c>
      <c r="AI52" s="15">
        <f t="shared" si="19"/>
        <v>0</v>
      </c>
      <c r="AJ52" s="17"/>
    </row>
    <row r="53" spans="1:36" x14ac:dyDescent="0.3">
      <c r="A53" s="15" t="s">
        <v>100</v>
      </c>
      <c r="B53" s="15">
        <v>100</v>
      </c>
      <c r="C53" s="15" t="s">
        <v>54</v>
      </c>
      <c r="D53" s="15" t="s">
        <v>68</v>
      </c>
      <c r="E53" s="15">
        <f>'17-july2026'!T53</f>
        <v>3</v>
      </c>
      <c r="F53" s="15">
        <f>'17-july2026'!U53</f>
        <v>0</v>
      </c>
      <c r="G53" s="15">
        <f>'17-july2026'!V53</f>
        <v>0</v>
      </c>
      <c r="H53" s="15">
        <f t="shared" si="10"/>
        <v>3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5">
        <f t="shared" si="11"/>
        <v>3</v>
      </c>
      <c r="T53" s="15">
        <f t="shared" si="12"/>
        <v>3</v>
      </c>
      <c r="U53" s="15">
        <f t="shared" si="13"/>
        <v>0</v>
      </c>
      <c r="V53" s="15">
        <f t="shared" si="14"/>
        <v>0</v>
      </c>
      <c r="W53" s="18" t="str">
        <f t="shared" si="15"/>
        <v/>
      </c>
      <c r="X53" s="17">
        <v>0</v>
      </c>
      <c r="Y53" s="17">
        <v>0</v>
      </c>
      <c r="Z53" s="15">
        <f t="shared" si="16"/>
        <v>0</v>
      </c>
      <c r="AA53" s="17">
        <v>0</v>
      </c>
      <c r="AB53" s="17">
        <v>0</v>
      </c>
      <c r="AC53" s="15">
        <f t="shared" si="17"/>
        <v>0</v>
      </c>
      <c r="AD53" s="17">
        <v>0</v>
      </c>
      <c r="AE53" s="17">
        <v>0</v>
      </c>
      <c r="AF53" s="15">
        <f t="shared" si="18"/>
        <v>0</v>
      </c>
      <c r="AG53" s="17">
        <v>0</v>
      </c>
      <c r="AH53" s="17">
        <v>0</v>
      </c>
      <c r="AI53" s="15">
        <f t="shared" si="19"/>
        <v>0</v>
      </c>
      <c r="AJ53" s="17"/>
    </row>
    <row r="54" spans="1:36" x14ac:dyDescent="0.3">
      <c r="A54" s="15" t="s">
        <v>101</v>
      </c>
      <c r="B54" s="15">
        <v>1000</v>
      </c>
      <c r="C54" s="15" t="s">
        <v>54</v>
      </c>
      <c r="D54" s="15" t="s">
        <v>68</v>
      </c>
      <c r="E54" s="15">
        <f>'17-july2026'!T54</f>
        <v>7</v>
      </c>
      <c r="F54" s="15">
        <f>'17-july2026'!U54</f>
        <v>0</v>
      </c>
      <c r="G54" s="15">
        <f>'17-july2026'!V54</f>
        <v>0</v>
      </c>
      <c r="H54" s="15">
        <f t="shared" si="10"/>
        <v>7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5">
        <f t="shared" si="11"/>
        <v>7</v>
      </c>
      <c r="T54" s="15">
        <f t="shared" si="12"/>
        <v>7</v>
      </c>
      <c r="U54" s="15">
        <f t="shared" si="13"/>
        <v>0</v>
      </c>
      <c r="V54" s="15">
        <f t="shared" si="14"/>
        <v>0</v>
      </c>
      <c r="W54" s="18" t="str">
        <f t="shared" si="15"/>
        <v/>
      </c>
      <c r="X54" s="17">
        <v>0</v>
      </c>
      <c r="Y54" s="17">
        <v>0</v>
      </c>
      <c r="Z54" s="15">
        <f t="shared" si="16"/>
        <v>0</v>
      </c>
      <c r="AA54" s="17">
        <v>0</v>
      </c>
      <c r="AB54" s="17">
        <v>0</v>
      </c>
      <c r="AC54" s="15">
        <f t="shared" si="17"/>
        <v>0</v>
      </c>
      <c r="AD54" s="17">
        <v>0</v>
      </c>
      <c r="AE54" s="17">
        <v>0</v>
      </c>
      <c r="AF54" s="15">
        <f t="shared" si="18"/>
        <v>0</v>
      </c>
      <c r="AG54" s="17">
        <v>0</v>
      </c>
      <c r="AH54" s="17">
        <v>0</v>
      </c>
      <c r="AI54" s="15">
        <f t="shared" si="19"/>
        <v>0</v>
      </c>
      <c r="AJ54" s="17"/>
    </row>
    <row r="55" spans="1:36" x14ac:dyDescent="0.3">
      <c r="A55" s="15" t="s">
        <v>102</v>
      </c>
      <c r="B55" s="15">
        <v>5000</v>
      </c>
      <c r="C55" s="15" t="s">
        <v>54</v>
      </c>
      <c r="D55" s="15" t="s">
        <v>57</v>
      </c>
      <c r="E55" s="15">
        <f>'17-july2026'!T55</f>
        <v>1</v>
      </c>
      <c r="F55" s="15">
        <f>'17-july2026'!U55</f>
        <v>0</v>
      </c>
      <c r="G55" s="15">
        <f>'17-july2026'!V55</f>
        <v>0</v>
      </c>
      <c r="H55" s="15">
        <f t="shared" si="10"/>
        <v>1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5">
        <f t="shared" si="11"/>
        <v>1</v>
      </c>
      <c r="T55" s="15">
        <f t="shared" si="12"/>
        <v>1</v>
      </c>
      <c r="U55" s="15">
        <f t="shared" si="13"/>
        <v>0</v>
      </c>
      <c r="V55" s="15">
        <f t="shared" si="14"/>
        <v>0</v>
      </c>
      <c r="W55" s="18" t="str">
        <f t="shared" si="15"/>
        <v/>
      </c>
      <c r="X55" s="17">
        <v>0</v>
      </c>
      <c r="Y55" s="17">
        <v>0</v>
      </c>
      <c r="Z55" s="15">
        <f t="shared" si="16"/>
        <v>0</v>
      </c>
      <c r="AA55" s="17">
        <v>0</v>
      </c>
      <c r="AB55" s="17">
        <v>0</v>
      </c>
      <c r="AC55" s="15">
        <f t="shared" si="17"/>
        <v>0</v>
      </c>
      <c r="AD55" s="17">
        <v>0</v>
      </c>
      <c r="AE55" s="17">
        <v>0</v>
      </c>
      <c r="AF55" s="15">
        <f t="shared" si="18"/>
        <v>0</v>
      </c>
      <c r="AG55" s="17">
        <v>0</v>
      </c>
      <c r="AH55" s="17">
        <v>0</v>
      </c>
      <c r="AI55" s="15">
        <f t="shared" si="19"/>
        <v>0</v>
      </c>
      <c r="AJ55" s="17"/>
    </row>
    <row r="56" spans="1:36" x14ac:dyDescent="0.3">
      <c r="A56" s="15" t="s">
        <v>103</v>
      </c>
      <c r="B56" s="15">
        <v>1000</v>
      </c>
      <c r="C56" s="15" t="s">
        <v>54</v>
      </c>
      <c r="D56" s="15" t="s">
        <v>68</v>
      </c>
      <c r="E56" s="15">
        <f>'17-july2026'!T56</f>
        <v>1</v>
      </c>
      <c r="F56" s="15">
        <f>'17-july2026'!U56</f>
        <v>0</v>
      </c>
      <c r="G56" s="15">
        <f>'17-july2026'!V56</f>
        <v>0</v>
      </c>
      <c r="H56" s="15">
        <f t="shared" si="10"/>
        <v>1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5">
        <f t="shared" si="11"/>
        <v>1</v>
      </c>
      <c r="T56" s="15">
        <f t="shared" si="12"/>
        <v>1</v>
      </c>
      <c r="U56" s="15">
        <f t="shared" si="13"/>
        <v>0</v>
      </c>
      <c r="V56" s="15">
        <f t="shared" si="14"/>
        <v>0</v>
      </c>
      <c r="W56" s="18" t="str">
        <f t="shared" si="15"/>
        <v/>
      </c>
      <c r="X56" s="17">
        <v>0</v>
      </c>
      <c r="Y56" s="17">
        <v>0</v>
      </c>
      <c r="Z56" s="15">
        <f t="shared" si="16"/>
        <v>0</v>
      </c>
      <c r="AA56" s="17">
        <v>0</v>
      </c>
      <c r="AB56" s="17">
        <v>0</v>
      </c>
      <c r="AC56" s="15">
        <f t="shared" si="17"/>
        <v>0</v>
      </c>
      <c r="AD56" s="17">
        <v>0</v>
      </c>
      <c r="AE56" s="17">
        <v>0</v>
      </c>
      <c r="AF56" s="15">
        <f t="shared" si="18"/>
        <v>0</v>
      </c>
      <c r="AG56" s="17">
        <v>0</v>
      </c>
      <c r="AH56" s="17">
        <v>0</v>
      </c>
      <c r="AI56" s="15">
        <f t="shared" si="19"/>
        <v>0</v>
      </c>
      <c r="AJ56" s="17"/>
    </row>
    <row r="57" spans="1:36" hidden="1" x14ac:dyDescent="0.3">
      <c r="A57" s="15" t="s">
        <v>104</v>
      </c>
      <c r="B57" s="15">
        <v>1000</v>
      </c>
      <c r="C57" s="15" t="s">
        <v>54</v>
      </c>
      <c r="D57" s="15" t="s">
        <v>55</v>
      </c>
      <c r="E57" s="15">
        <f>'17-july2026'!T57</f>
        <v>0</v>
      </c>
      <c r="F57" s="15">
        <f>'17-july2026'!U57</f>
        <v>2</v>
      </c>
      <c r="G57" s="15">
        <f>'17-july2026'!V57</f>
        <v>0</v>
      </c>
      <c r="H57" s="15">
        <f t="shared" si="10"/>
        <v>2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5">
        <f t="shared" si="11"/>
        <v>2</v>
      </c>
      <c r="T57" s="15">
        <f t="shared" si="12"/>
        <v>0</v>
      </c>
      <c r="U57" s="15">
        <f t="shared" si="13"/>
        <v>2</v>
      </c>
      <c r="V57" s="15">
        <f t="shared" si="14"/>
        <v>0</v>
      </c>
      <c r="W57" s="18" t="str">
        <f t="shared" si="15"/>
        <v/>
      </c>
      <c r="X57" s="17">
        <v>0</v>
      </c>
      <c r="Y57" s="17">
        <v>0</v>
      </c>
      <c r="Z57" s="15">
        <f t="shared" si="16"/>
        <v>0</v>
      </c>
      <c r="AA57" s="17">
        <v>0</v>
      </c>
      <c r="AB57" s="17">
        <v>0</v>
      </c>
      <c r="AC57" s="15">
        <f t="shared" si="17"/>
        <v>0</v>
      </c>
      <c r="AD57" s="17">
        <v>0</v>
      </c>
      <c r="AE57" s="17">
        <v>0</v>
      </c>
      <c r="AF57" s="15">
        <f t="shared" si="18"/>
        <v>0</v>
      </c>
      <c r="AG57" s="17">
        <v>0</v>
      </c>
      <c r="AH57" s="17">
        <v>0</v>
      </c>
      <c r="AI57" s="15">
        <f t="shared" si="19"/>
        <v>0</v>
      </c>
      <c r="AJ57" s="17"/>
    </row>
    <row r="58" spans="1:36" x14ac:dyDescent="0.3">
      <c r="A58" s="15" t="s">
        <v>105</v>
      </c>
      <c r="B58" s="15">
        <v>100000</v>
      </c>
      <c r="C58" s="15" t="s">
        <v>54</v>
      </c>
      <c r="D58" s="15" t="s">
        <v>68</v>
      </c>
      <c r="E58" s="15">
        <f>'17-july2026'!T58</f>
        <v>2</v>
      </c>
      <c r="F58" s="15">
        <f>'17-july2026'!U58</f>
        <v>0</v>
      </c>
      <c r="G58" s="15">
        <f>'17-july2026'!V58</f>
        <v>0</v>
      </c>
      <c r="H58" s="15">
        <f t="shared" si="10"/>
        <v>2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5">
        <f t="shared" si="11"/>
        <v>2</v>
      </c>
      <c r="T58" s="15">
        <f t="shared" si="12"/>
        <v>2</v>
      </c>
      <c r="U58" s="15">
        <f t="shared" si="13"/>
        <v>0</v>
      </c>
      <c r="V58" s="15">
        <f t="shared" si="14"/>
        <v>0</v>
      </c>
      <c r="W58" s="18" t="str">
        <f t="shared" si="15"/>
        <v/>
      </c>
      <c r="X58" s="17">
        <v>0</v>
      </c>
      <c r="Y58" s="17">
        <v>0</v>
      </c>
      <c r="Z58" s="15">
        <f t="shared" si="16"/>
        <v>0</v>
      </c>
      <c r="AA58" s="17">
        <v>0</v>
      </c>
      <c r="AB58" s="17">
        <v>0</v>
      </c>
      <c r="AC58" s="15">
        <f t="shared" si="17"/>
        <v>0</v>
      </c>
      <c r="AD58" s="17">
        <v>0</v>
      </c>
      <c r="AE58" s="17">
        <v>0</v>
      </c>
      <c r="AF58" s="15">
        <f t="shared" si="18"/>
        <v>0</v>
      </c>
      <c r="AG58" s="17">
        <v>0</v>
      </c>
      <c r="AH58" s="17">
        <v>0</v>
      </c>
      <c r="AI58" s="15">
        <f t="shared" si="19"/>
        <v>0</v>
      </c>
      <c r="AJ58" s="17"/>
    </row>
    <row r="59" spans="1:36" hidden="1" x14ac:dyDescent="0.3">
      <c r="A59" s="15" t="s">
        <v>106</v>
      </c>
      <c r="B59" s="15">
        <v>100</v>
      </c>
      <c r="C59" s="15" t="s">
        <v>54</v>
      </c>
      <c r="D59" s="15" t="s">
        <v>55</v>
      </c>
      <c r="E59" s="15">
        <f>'17-july2026'!T59</f>
        <v>0</v>
      </c>
      <c r="F59" s="15">
        <f>'17-july2026'!U59</f>
        <v>0</v>
      </c>
      <c r="G59" s="15">
        <f>'17-july2026'!V59</f>
        <v>6</v>
      </c>
      <c r="H59" s="15">
        <f t="shared" si="10"/>
        <v>6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6</v>
      </c>
      <c r="O59" s="17">
        <v>6</v>
      </c>
      <c r="P59" s="17">
        <v>0</v>
      </c>
      <c r="Q59" s="17">
        <v>0</v>
      </c>
      <c r="R59" s="17">
        <v>0</v>
      </c>
      <c r="S59" s="15">
        <f t="shared" si="11"/>
        <v>6</v>
      </c>
      <c r="T59" s="15">
        <f t="shared" si="12"/>
        <v>6</v>
      </c>
      <c r="U59" s="15">
        <f t="shared" si="13"/>
        <v>0</v>
      </c>
      <c r="V59" s="15">
        <f t="shared" si="14"/>
        <v>0</v>
      </c>
      <c r="W59" s="18" t="str">
        <f t="shared" si="15"/>
        <v/>
      </c>
      <c r="X59" s="17">
        <v>0</v>
      </c>
      <c r="Y59" s="17">
        <v>0</v>
      </c>
      <c r="Z59" s="15">
        <f t="shared" si="16"/>
        <v>0</v>
      </c>
      <c r="AA59" s="17">
        <v>0</v>
      </c>
      <c r="AB59" s="17">
        <v>0</v>
      </c>
      <c r="AC59" s="15">
        <f t="shared" si="17"/>
        <v>0</v>
      </c>
      <c r="AD59" s="17">
        <v>0</v>
      </c>
      <c r="AE59" s="17">
        <v>0</v>
      </c>
      <c r="AF59" s="15">
        <f t="shared" si="18"/>
        <v>0</v>
      </c>
      <c r="AG59" s="17">
        <v>0</v>
      </c>
      <c r="AH59" s="17">
        <v>0</v>
      </c>
      <c r="AI59" s="15">
        <f t="shared" si="19"/>
        <v>0</v>
      </c>
      <c r="AJ59" s="17"/>
    </row>
    <row r="60" spans="1:36" x14ac:dyDescent="0.3">
      <c r="A60" s="15" t="s">
        <v>107</v>
      </c>
      <c r="B60" s="15">
        <v>100000</v>
      </c>
      <c r="C60" s="15" t="s">
        <v>54</v>
      </c>
      <c r="D60" s="15" t="s">
        <v>68</v>
      </c>
      <c r="E60" s="15">
        <f>'17-july2026'!T60</f>
        <v>5</v>
      </c>
      <c r="F60" s="15">
        <f>'17-july2026'!U60</f>
        <v>0</v>
      </c>
      <c r="G60" s="15">
        <f>'17-july2026'!V60</f>
        <v>0</v>
      </c>
      <c r="H60" s="15">
        <f t="shared" si="10"/>
        <v>5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5">
        <f t="shared" si="11"/>
        <v>5</v>
      </c>
      <c r="T60" s="15">
        <f t="shared" si="12"/>
        <v>5</v>
      </c>
      <c r="U60" s="15">
        <f t="shared" si="13"/>
        <v>0</v>
      </c>
      <c r="V60" s="15">
        <f t="shared" si="14"/>
        <v>0</v>
      </c>
      <c r="W60" s="18" t="str">
        <f t="shared" si="15"/>
        <v/>
      </c>
      <c r="X60" s="17">
        <v>0</v>
      </c>
      <c r="Y60" s="17">
        <v>0</v>
      </c>
      <c r="Z60" s="15">
        <f t="shared" si="16"/>
        <v>0</v>
      </c>
      <c r="AA60" s="17">
        <v>0</v>
      </c>
      <c r="AB60" s="17">
        <v>0</v>
      </c>
      <c r="AC60" s="15">
        <f t="shared" si="17"/>
        <v>0</v>
      </c>
      <c r="AD60" s="17">
        <v>0</v>
      </c>
      <c r="AE60" s="17">
        <v>0</v>
      </c>
      <c r="AF60" s="15">
        <f t="shared" si="18"/>
        <v>0</v>
      </c>
      <c r="AG60" s="17">
        <v>0</v>
      </c>
      <c r="AH60" s="17">
        <v>0</v>
      </c>
      <c r="AI60" s="15">
        <f t="shared" si="19"/>
        <v>0</v>
      </c>
      <c r="AJ60" s="17"/>
    </row>
    <row r="61" spans="1:36" x14ac:dyDescent="0.3">
      <c r="A61" s="15" t="s">
        <v>108</v>
      </c>
      <c r="B61" s="15">
        <v>100</v>
      </c>
      <c r="C61" s="15" t="s">
        <v>54</v>
      </c>
      <c r="D61" s="15" t="s">
        <v>68</v>
      </c>
      <c r="E61" s="15">
        <f>'17-july2026'!T61</f>
        <v>3</v>
      </c>
      <c r="F61" s="15">
        <f>'17-july2026'!U61</f>
        <v>0</v>
      </c>
      <c r="G61" s="15">
        <f>'17-july2026'!V61</f>
        <v>0</v>
      </c>
      <c r="H61" s="15">
        <f t="shared" si="10"/>
        <v>3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5">
        <f t="shared" si="11"/>
        <v>3</v>
      </c>
      <c r="T61" s="15">
        <f t="shared" si="12"/>
        <v>3</v>
      </c>
      <c r="U61" s="15">
        <f t="shared" si="13"/>
        <v>0</v>
      </c>
      <c r="V61" s="15">
        <f t="shared" si="14"/>
        <v>0</v>
      </c>
      <c r="W61" s="18" t="str">
        <f t="shared" si="15"/>
        <v/>
      </c>
      <c r="X61" s="17">
        <v>0</v>
      </c>
      <c r="Y61" s="17">
        <v>0</v>
      </c>
      <c r="Z61" s="15">
        <f t="shared" si="16"/>
        <v>0</v>
      </c>
      <c r="AA61" s="17">
        <v>0</v>
      </c>
      <c r="AB61" s="17">
        <v>0</v>
      </c>
      <c r="AC61" s="15">
        <f t="shared" si="17"/>
        <v>0</v>
      </c>
      <c r="AD61" s="17">
        <v>0</v>
      </c>
      <c r="AE61" s="17">
        <v>0</v>
      </c>
      <c r="AF61" s="15">
        <f t="shared" si="18"/>
        <v>0</v>
      </c>
      <c r="AG61" s="17">
        <v>0</v>
      </c>
      <c r="AH61" s="17">
        <v>0</v>
      </c>
      <c r="AI61" s="15">
        <f t="shared" si="19"/>
        <v>0</v>
      </c>
      <c r="AJ61" s="17"/>
    </row>
    <row r="62" spans="1:36" hidden="1" x14ac:dyDescent="0.3">
      <c r="A62" s="15" t="s">
        <v>109</v>
      </c>
      <c r="B62" s="15">
        <v>0</v>
      </c>
      <c r="C62" s="15" t="s">
        <v>110</v>
      </c>
      <c r="D62" s="15" t="s">
        <v>55</v>
      </c>
      <c r="E62" s="15">
        <v>0</v>
      </c>
      <c r="F62" s="15">
        <v>0</v>
      </c>
      <c r="G62" s="15">
        <v>0</v>
      </c>
      <c r="H62" s="15">
        <f t="shared" si="10"/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5">
        <f t="shared" si="11"/>
        <v>0</v>
      </c>
      <c r="T62" s="15">
        <f t="shared" si="12"/>
        <v>0</v>
      </c>
      <c r="U62" s="15">
        <f t="shared" si="13"/>
        <v>0</v>
      </c>
      <c r="V62" s="15">
        <f t="shared" si="14"/>
        <v>0</v>
      </c>
      <c r="W62" s="18" t="str">
        <f t="shared" si="15"/>
        <v/>
      </c>
      <c r="X62" s="17">
        <v>0</v>
      </c>
      <c r="Y62" s="17">
        <v>0</v>
      </c>
      <c r="Z62" s="15">
        <f t="shared" si="16"/>
        <v>0</v>
      </c>
      <c r="AA62" s="17">
        <v>0</v>
      </c>
      <c r="AB62" s="17">
        <v>0</v>
      </c>
      <c r="AC62" s="15">
        <f t="shared" si="17"/>
        <v>0</v>
      </c>
      <c r="AD62" s="17">
        <v>0</v>
      </c>
      <c r="AE62" s="17">
        <v>0</v>
      </c>
      <c r="AF62" s="15">
        <f t="shared" si="18"/>
        <v>0</v>
      </c>
      <c r="AG62" s="17">
        <v>0</v>
      </c>
      <c r="AH62" s="17">
        <v>0</v>
      </c>
      <c r="AI62" s="15">
        <f t="shared" si="19"/>
        <v>0</v>
      </c>
      <c r="AJ62" s="17"/>
    </row>
    <row r="63" spans="1:36" x14ac:dyDescent="0.3">
      <c r="A63" s="15" t="s">
        <v>111</v>
      </c>
      <c r="B63" s="15">
        <v>1000</v>
      </c>
      <c r="C63" s="15" t="s">
        <v>54</v>
      </c>
      <c r="D63" s="15" t="s">
        <v>68</v>
      </c>
      <c r="E63" s="15">
        <f>'17-july2026'!T63</f>
        <v>3</v>
      </c>
      <c r="F63" s="15">
        <f>'17-july2026'!U63</f>
        <v>0</v>
      </c>
      <c r="G63" s="15">
        <f>'17-july2026'!V63</f>
        <v>0</v>
      </c>
      <c r="H63" s="15">
        <f t="shared" si="10"/>
        <v>3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5">
        <f t="shared" si="11"/>
        <v>3</v>
      </c>
      <c r="T63" s="15">
        <f t="shared" si="12"/>
        <v>3</v>
      </c>
      <c r="U63" s="15">
        <f t="shared" si="13"/>
        <v>0</v>
      </c>
      <c r="V63" s="15">
        <f t="shared" si="14"/>
        <v>0</v>
      </c>
      <c r="W63" s="18" t="str">
        <f t="shared" si="15"/>
        <v/>
      </c>
      <c r="X63" s="17">
        <v>0</v>
      </c>
      <c r="Y63" s="17">
        <v>0</v>
      </c>
      <c r="Z63" s="15">
        <f t="shared" si="16"/>
        <v>0</v>
      </c>
      <c r="AA63" s="17">
        <v>0</v>
      </c>
      <c r="AB63" s="17">
        <v>0</v>
      </c>
      <c r="AC63" s="15">
        <f t="shared" si="17"/>
        <v>0</v>
      </c>
      <c r="AD63" s="17">
        <v>0</v>
      </c>
      <c r="AE63" s="17">
        <v>0</v>
      </c>
      <c r="AF63" s="15">
        <f t="shared" si="18"/>
        <v>0</v>
      </c>
      <c r="AG63" s="17">
        <v>0</v>
      </c>
      <c r="AH63" s="17">
        <v>0</v>
      </c>
      <c r="AI63" s="15">
        <f t="shared" si="19"/>
        <v>0</v>
      </c>
      <c r="AJ63" s="17"/>
    </row>
    <row r="64" spans="1:36" x14ac:dyDescent="0.3">
      <c r="A64" s="15" t="s">
        <v>112</v>
      </c>
      <c r="B64" s="15">
        <v>1000</v>
      </c>
      <c r="C64" s="15" t="s">
        <v>54</v>
      </c>
      <c r="D64" s="15" t="s">
        <v>68</v>
      </c>
      <c r="E64" s="15">
        <f>'17-july2026'!T64</f>
        <v>2</v>
      </c>
      <c r="F64" s="15">
        <f>'17-july2026'!U64</f>
        <v>0</v>
      </c>
      <c r="G64" s="15">
        <f>'17-july2026'!V64</f>
        <v>0</v>
      </c>
      <c r="H64" s="15">
        <f t="shared" si="10"/>
        <v>2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5">
        <f t="shared" si="11"/>
        <v>2</v>
      </c>
      <c r="T64" s="15">
        <f t="shared" si="12"/>
        <v>2</v>
      </c>
      <c r="U64" s="15">
        <f t="shared" si="13"/>
        <v>0</v>
      </c>
      <c r="V64" s="15">
        <f t="shared" si="14"/>
        <v>0</v>
      </c>
      <c r="W64" s="18" t="str">
        <f t="shared" si="15"/>
        <v/>
      </c>
      <c r="X64" s="17">
        <v>0</v>
      </c>
      <c r="Y64" s="17">
        <v>0</v>
      </c>
      <c r="Z64" s="15">
        <f t="shared" si="16"/>
        <v>0</v>
      </c>
      <c r="AA64" s="17">
        <v>0</v>
      </c>
      <c r="AB64" s="17">
        <v>0</v>
      </c>
      <c r="AC64" s="15">
        <f t="shared" si="17"/>
        <v>0</v>
      </c>
      <c r="AD64" s="17">
        <v>0</v>
      </c>
      <c r="AE64" s="17">
        <v>0</v>
      </c>
      <c r="AF64" s="15">
        <f t="shared" si="18"/>
        <v>0</v>
      </c>
      <c r="AG64" s="17">
        <v>0</v>
      </c>
      <c r="AH64" s="17">
        <v>0</v>
      </c>
      <c r="AI64" s="15">
        <f t="shared" si="19"/>
        <v>0</v>
      </c>
      <c r="AJ64" s="17"/>
    </row>
    <row r="65" spans="1:36" x14ac:dyDescent="0.3">
      <c r="A65" s="15" t="s">
        <v>113</v>
      </c>
      <c r="B65" s="15">
        <v>1000</v>
      </c>
      <c r="C65" s="15" t="s">
        <v>54</v>
      </c>
      <c r="D65" s="15" t="s">
        <v>68</v>
      </c>
      <c r="E65" s="15">
        <f>'17-july2026'!T65</f>
        <v>4</v>
      </c>
      <c r="F65" s="15">
        <f>'17-july2026'!U65</f>
        <v>0</v>
      </c>
      <c r="G65" s="15">
        <f>'17-july2026'!V65</f>
        <v>0</v>
      </c>
      <c r="H65" s="15">
        <f t="shared" si="10"/>
        <v>4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5">
        <f t="shared" si="11"/>
        <v>4</v>
      </c>
      <c r="T65" s="15">
        <f t="shared" si="12"/>
        <v>4</v>
      </c>
      <c r="U65" s="15">
        <f t="shared" si="13"/>
        <v>0</v>
      </c>
      <c r="V65" s="15">
        <f t="shared" si="14"/>
        <v>0</v>
      </c>
      <c r="W65" s="18" t="str">
        <f t="shared" si="15"/>
        <v/>
      </c>
      <c r="X65" s="17">
        <v>0</v>
      </c>
      <c r="Y65" s="17">
        <v>0</v>
      </c>
      <c r="Z65" s="15">
        <f t="shared" si="16"/>
        <v>0</v>
      </c>
      <c r="AA65" s="17">
        <v>0</v>
      </c>
      <c r="AB65" s="17">
        <v>0</v>
      </c>
      <c r="AC65" s="15">
        <f t="shared" si="17"/>
        <v>0</v>
      </c>
      <c r="AD65" s="17">
        <v>0</v>
      </c>
      <c r="AE65" s="17">
        <v>0</v>
      </c>
      <c r="AF65" s="15">
        <f t="shared" si="18"/>
        <v>0</v>
      </c>
      <c r="AG65" s="17">
        <v>0</v>
      </c>
      <c r="AH65" s="17">
        <v>0</v>
      </c>
      <c r="AI65" s="15">
        <f t="shared" si="19"/>
        <v>0</v>
      </c>
      <c r="AJ65" s="17"/>
    </row>
    <row r="66" spans="1:36" x14ac:dyDescent="0.3">
      <c r="A66" s="15" t="s">
        <v>114</v>
      </c>
      <c r="B66" s="15">
        <v>100</v>
      </c>
      <c r="C66" s="15" t="s">
        <v>54</v>
      </c>
      <c r="D66" s="15" t="s">
        <v>57</v>
      </c>
      <c r="E66" s="15">
        <f>'17-july2026'!T66</f>
        <v>4</v>
      </c>
      <c r="F66" s="15">
        <f>'17-july2026'!U66</f>
        <v>0</v>
      </c>
      <c r="G66" s="15">
        <f>'17-july2026'!V66</f>
        <v>0</v>
      </c>
      <c r="H66" s="15">
        <f t="shared" si="10"/>
        <v>4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5">
        <f t="shared" si="11"/>
        <v>4</v>
      </c>
      <c r="T66" s="15">
        <f t="shared" si="12"/>
        <v>4</v>
      </c>
      <c r="U66" s="15">
        <f t="shared" si="13"/>
        <v>0</v>
      </c>
      <c r="V66" s="15">
        <f t="shared" si="14"/>
        <v>0</v>
      </c>
      <c r="W66" s="18" t="str">
        <f t="shared" si="15"/>
        <v/>
      </c>
      <c r="X66" s="17">
        <v>0</v>
      </c>
      <c r="Y66" s="17">
        <v>0</v>
      </c>
      <c r="Z66" s="15">
        <f t="shared" si="16"/>
        <v>0</v>
      </c>
      <c r="AA66" s="17">
        <v>0</v>
      </c>
      <c r="AB66" s="17">
        <v>0</v>
      </c>
      <c r="AC66" s="15">
        <f t="shared" si="17"/>
        <v>0</v>
      </c>
      <c r="AD66" s="17">
        <v>0</v>
      </c>
      <c r="AE66" s="17">
        <v>0</v>
      </c>
      <c r="AF66" s="15">
        <f t="shared" si="18"/>
        <v>0</v>
      </c>
      <c r="AG66" s="17">
        <v>0</v>
      </c>
      <c r="AH66" s="17">
        <v>0</v>
      </c>
      <c r="AI66" s="15">
        <f t="shared" si="19"/>
        <v>0</v>
      </c>
      <c r="AJ66" s="17"/>
    </row>
    <row r="67" spans="1:36" hidden="1" x14ac:dyDescent="0.3">
      <c r="A67" s="15" t="s">
        <v>115</v>
      </c>
      <c r="B67" s="15">
        <v>1000</v>
      </c>
      <c r="C67" s="15" t="s">
        <v>54</v>
      </c>
      <c r="D67" s="15" t="s">
        <v>55</v>
      </c>
      <c r="E67" s="15">
        <f>'17-july2026'!T67</f>
        <v>2</v>
      </c>
      <c r="F67" s="15">
        <f>'17-july2026'!U67</f>
        <v>0</v>
      </c>
      <c r="G67" s="15">
        <f>'17-july2026'!V67</f>
        <v>0</v>
      </c>
      <c r="H67" s="15">
        <f t="shared" ref="H67:H98" si="20">E67+F67+G67</f>
        <v>2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5">
        <f t="shared" ref="S67:S98" si="21">H67+O67+P67+Q67+R67-(I67+J67+K67+L67+M67+N67)</f>
        <v>2</v>
      </c>
      <c r="T67" s="15">
        <f t="shared" ref="T67:T98" si="22">E67+O67-I67-L67</f>
        <v>2</v>
      </c>
      <c r="U67" s="15">
        <f t="shared" ref="U67:U98" si="23">F67+P67-J67-M67</f>
        <v>0</v>
      </c>
      <c r="V67" s="15">
        <f t="shared" ref="V67:V98" si="24">G67+Q67-K67-N67</f>
        <v>0</v>
      </c>
      <c r="W67" s="18" t="str">
        <f t="shared" ref="W67:W98" si="25">IF(MIN(T67,U67,V67)&lt;0,"NEGATIVE STOCK - CHECK ENTRIES","")</f>
        <v/>
      </c>
      <c r="X67" s="17">
        <v>0</v>
      </c>
      <c r="Y67" s="17">
        <v>0</v>
      </c>
      <c r="Z67" s="15">
        <f t="shared" ref="Z67:Z98" si="26">X67-Y67</f>
        <v>0</v>
      </c>
      <c r="AA67" s="17">
        <v>0</v>
      </c>
      <c r="AB67" s="17">
        <v>0</v>
      </c>
      <c r="AC67" s="15">
        <f t="shared" ref="AC67:AC98" si="27">AA67-AB67</f>
        <v>0</v>
      </c>
      <c r="AD67" s="17">
        <v>0</v>
      </c>
      <c r="AE67" s="17">
        <v>0</v>
      </c>
      <c r="AF67" s="15">
        <f t="shared" ref="AF67:AF98" si="28">AD67-AE67</f>
        <v>0</v>
      </c>
      <c r="AG67" s="17">
        <v>0</v>
      </c>
      <c r="AH67" s="17">
        <v>0</v>
      </c>
      <c r="AI67" s="15">
        <f t="shared" ref="AI67:AI98" si="29">AG67-AH67</f>
        <v>0</v>
      </c>
      <c r="AJ67" s="17"/>
    </row>
    <row r="68" spans="1:36" x14ac:dyDescent="0.3">
      <c r="A68" s="15" t="s">
        <v>116</v>
      </c>
      <c r="B68" s="15">
        <v>5000</v>
      </c>
      <c r="C68" s="15" t="s">
        <v>54</v>
      </c>
      <c r="D68" s="15" t="s">
        <v>68</v>
      </c>
      <c r="E68" s="15">
        <f>'17-july2026'!T68</f>
        <v>1</v>
      </c>
      <c r="F68" s="15">
        <f>'17-july2026'!U68</f>
        <v>0</v>
      </c>
      <c r="G68" s="15">
        <f>'17-july2026'!V68</f>
        <v>0</v>
      </c>
      <c r="H68" s="15">
        <f t="shared" si="20"/>
        <v>1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5">
        <f t="shared" si="21"/>
        <v>1</v>
      </c>
      <c r="T68" s="15">
        <f t="shared" si="22"/>
        <v>1</v>
      </c>
      <c r="U68" s="15">
        <f t="shared" si="23"/>
        <v>0</v>
      </c>
      <c r="V68" s="15">
        <f t="shared" si="24"/>
        <v>0</v>
      </c>
      <c r="W68" s="18" t="str">
        <f t="shared" si="25"/>
        <v/>
      </c>
      <c r="X68" s="17">
        <v>0</v>
      </c>
      <c r="Y68" s="17">
        <v>0</v>
      </c>
      <c r="Z68" s="15">
        <f t="shared" si="26"/>
        <v>0</v>
      </c>
      <c r="AA68" s="17">
        <v>0</v>
      </c>
      <c r="AB68" s="17">
        <v>0</v>
      </c>
      <c r="AC68" s="15">
        <f t="shared" si="27"/>
        <v>0</v>
      </c>
      <c r="AD68" s="17">
        <v>0</v>
      </c>
      <c r="AE68" s="17">
        <v>0</v>
      </c>
      <c r="AF68" s="15">
        <f t="shared" si="28"/>
        <v>0</v>
      </c>
      <c r="AG68" s="17">
        <v>0</v>
      </c>
      <c r="AH68" s="17">
        <v>0</v>
      </c>
      <c r="AI68" s="15">
        <f t="shared" si="29"/>
        <v>0</v>
      </c>
      <c r="AJ68" s="17"/>
    </row>
    <row r="69" spans="1:36" x14ac:dyDescent="0.3">
      <c r="A69" s="15" t="s">
        <v>117</v>
      </c>
      <c r="B69" s="15">
        <v>100</v>
      </c>
      <c r="C69" s="15" t="s">
        <v>54</v>
      </c>
      <c r="D69" s="15" t="s">
        <v>57</v>
      </c>
      <c r="E69" s="15">
        <f>'17-july2026'!T69</f>
        <v>10</v>
      </c>
      <c r="F69" s="15">
        <f>'17-july2026'!U69</f>
        <v>0</v>
      </c>
      <c r="G69" s="15">
        <f>'17-july2026'!V69</f>
        <v>0</v>
      </c>
      <c r="H69" s="15">
        <f t="shared" si="20"/>
        <v>10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5">
        <f t="shared" si="21"/>
        <v>10</v>
      </c>
      <c r="T69" s="15">
        <f t="shared" si="22"/>
        <v>10</v>
      </c>
      <c r="U69" s="15">
        <f t="shared" si="23"/>
        <v>0</v>
      </c>
      <c r="V69" s="15">
        <f t="shared" si="24"/>
        <v>0</v>
      </c>
      <c r="W69" s="18" t="str">
        <f t="shared" si="25"/>
        <v/>
      </c>
      <c r="X69" s="17">
        <v>0</v>
      </c>
      <c r="Y69" s="17">
        <v>0</v>
      </c>
      <c r="Z69" s="15">
        <f t="shared" si="26"/>
        <v>0</v>
      </c>
      <c r="AA69" s="17">
        <v>0</v>
      </c>
      <c r="AB69" s="17">
        <v>0</v>
      </c>
      <c r="AC69" s="15">
        <f t="shared" si="27"/>
        <v>0</v>
      </c>
      <c r="AD69" s="17">
        <v>0</v>
      </c>
      <c r="AE69" s="17">
        <v>0</v>
      </c>
      <c r="AF69" s="15">
        <f t="shared" si="28"/>
        <v>0</v>
      </c>
      <c r="AG69" s="17">
        <v>0</v>
      </c>
      <c r="AH69" s="17">
        <v>0</v>
      </c>
      <c r="AI69" s="15">
        <f t="shared" si="29"/>
        <v>0</v>
      </c>
      <c r="AJ69" s="17"/>
    </row>
    <row r="70" spans="1:36" x14ac:dyDescent="0.3">
      <c r="A70" s="15" t="s">
        <v>118</v>
      </c>
      <c r="B70" s="15">
        <v>5000</v>
      </c>
      <c r="C70" s="15" t="s">
        <v>54</v>
      </c>
      <c r="D70" s="15" t="s">
        <v>68</v>
      </c>
      <c r="E70" s="15">
        <f>'17-july2026'!T70</f>
        <v>3</v>
      </c>
      <c r="F70" s="15">
        <f>'17-july2026'!U70</f>
        <v>0</v>
      </c>
      <c r="G70" s="15">
        <f>'17-july2026'!V70</f>
        <v>0</v>
      </c>
      <c r="H70" s="15">
        <f t="shared" si="20"/>
        <v>3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5">
        <f t="shared" si="21"/>
        <v>3</v>
      </c>
      <c r="T70" s="15">
        <f t="shared" si="22"/>
        <v>3</v>
      </c>
      <c r="U70" s="15">
        <f t="shared" si="23"/>
        <v>0</v>
      </c>
      <c r="V70" s="15">
        <f t="shared" si="24"/>
        <v>0</v>
      </c>
      <c r="W70" s="18" t="str">
        <f t="shared" si="25"/>
        <v/>
      </c>
      <c r="X70" s="17">
        <v>0</v>
      </c>
      <c r="Y70" s="17">
        <v>0</v>
      </c>
      <c r="Z70" s="15">
        <f t="shared" si="26"/>
        <v>0</v>
      </c>
      <c r="AA70" s="17">
        <v>0</v>
      </c>
      <c r="AB70" s="17">
        <v>0</v>
      </c>
      <c r="AC70" s="15">
        <f t="shared" si="27"/>
        <v>0</v>
      </c>
      <c r="AD70" s="17">
        <v>0</v>
      </c>
      <c r="AE70" s="17">
        <v>0</v>
      </c>
      <c r="AF70" s="15">
        <f t="shared" si="28"/>
        <v>0</v>
      </c>
      <c r="AG70" s="17">
        <v>0</v>
      </c>
      <c r="AH70" s="17">
        <v>0</v>
      </c>
      <c r="AI70" s="15">
        <f t="shared" si="29"/>
        <v>0</v>
      </c>
      <c r="AJ70" s="17"/>
    </row>
    <row r="71" spans="1:36" x14ac:dyDescent="0.3">
      <c r="A71" s="15" t="s">
        <v>119</v>
      </c>
      <c r="B71" s="15">
        <v>100</v>
      </c>
      <c r="C71" s="15" t="s">
        <v>54</v>
      </c>
      <c r="D71" s="15" t="s">
        <v>68</v>
      </c>
      <c r="E71" s="15">
        <f>'17-july2026'!T71</f>
        <v>2</v>
      </c>
      <c r="F71" s="15">
        <f>'17-july2026'!U71</f>
        <v>0</v>
      </c>
      <c r="G71" s="15">
        <f>'17-july2026'!V71</f>
        <v>0</v>
      </c>
      <c r="H71" s="15">
        <f t="shared" si="20"/>
        <v>2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5">
        <f t="shared" si="21"/>
        <v>2</v>
      </c>
      <c r="T71" s="15">
        <f t="shared" si="22"/>
        <v>2</v>
      </c>
      <c r="U71" s="15">
        <f t="shared" si="23"/>
        <v>0</v>
      </c>
      <c r="V71" s="15">
        <f t="shared" si="24"/>
        <v>0</v>
      </c>
      <c r="W71" s="18" t="str">
        <f t="shared" si="25"/>
        <v/>
      </c>
      <c r="X71" s="17">
        <v>0</v>
      </c>
      <c r="Y71" s="17">
        <v>0</v>
      </c>
      <c r="Z71" s="15">
        <f t="shared" si="26"/>
        <v>0</v>
      </c>
      <c r="AA71" s="17">
        <v>0</v>
      </c>
      <c r="AB71" s="17">
        <v>0</v>
      </c>
      <c r="AC71" s="15">
        <f t="shared" si="27"/>
        <v>0</v>
      </c>
      <c r="AD71" s="17">
        <v>0</v>
      </c>
      <c r="AE71" s="17">
        <v>0</v>
      </c>
      <c r="AF71" s="15">
        <f t="shared" si="28"/>
        <v>0</v>
      </c>
      <c r="AG71" s="17">
        <v>0</v>
      </c>
      <c r="AH71" s="17">
        <v>0</v>
      </c>
      <c r="AI71" s="15">
        <f t="shared" si="29"/>
        <v>0</v>
      </c>
      <c r="AJ71" s="17"/>
    </row>
    <row r="72" spans="1:36" x14ac:dyDescent="0.3">
      <c r="A72" s="15" t="s">
        <v>120</v>
      </c>
      <c r="B72" s="15">
        <v>100</v>
      </c>
      <c r="C72" s="15" t="s">
        <v>54</v>
      </c>
      <c r="D72" s="15" t="s">
        <v>57</v>
      </c>
      <c r="E72" s="15">
        <f>'17-july2026'!T72</f>
        <v>2</v>
      </c>
      <c r="F72" s="15">
        <f>'17-july2026'!U72</f>
        <v>0</v>
      </c>
      <c r="G72" s="15">
        <f>'17-july2026'!V72</f>
        <v>0</v>
      </c>
      <c r="H72" s="15">
        <f t="shared" si="20"/>
        <v>2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5">
        <f t="shared" si="21"/>
        <v>2</v>
      </c>
      <c r="T72" s="15">
        <f t="shared" si="22"/>
        <v>2</v>
      </c>
      <c r="U72" s="15">
        <f t="shared" si="23"/>
        <v>0</v>
      </c>
      <c r="V72" s="15">
        <f t="shared" si="24"/>
        <v>0</v>
      </c>
      <c r="W72" s="18" t="str">
        <f t="shared" si="25"/>
        <v/>
      </c>
      <c r="X72" s="17">
        <v>0</v>
      </c>
      <c r="Y72" s="17">
        <v>0</v>
      </c>
      <c r="Z72" s="15">
        <f t="shared" si="26"/>
        <v>0</v>
      </c>
      <c r="AA72" s="17">
        <v>0</v>
      </c>
      <c r="AB72" s="17">
        <v>0</v>
      </c>
      <c r="AC72" s="15">
        <f t="shared" si="27"/>
        <v>0</v>
      </c>
      <c r="AD72" s="17">
        <v>0</v>
      </c>
      <c r="AE72" s="17">
        <v>0</v>
      </c>
      <c r="AF72" s="15">
        <f t="shared" si="28"/>
        <v>0</v>
      </c>
      <c r="AG72" s="17">
        <v>0</v>
      </c>
      <c r="AH72" s="17">
        <v>0</v>
      </c>
      <c r="AI72" s="15">
        <f t="shared" si="29"/>
        <v>0</v>
      </c>
      <c r="AJ72" s="17"/>
    </row>
    <row r="73" spans="1:36" x14ac:dyDescent="0.3">
      <c r="A73" s="15" t="s">
        <v>121</v>
      </c>
      <c r="B73" s="15">
        <v>100</v>
      </c>
      <c r="C73" s="15" t="s">
        <v>54</v>
      </c>
      <c r="D73" s="15" t="s">
        <v>68</v>
      </c>
      <c r="E73" s="15">
        <f>'17-july2026'!T73</f>
        <v>5</v>
      </c>
      <c r="F73" s="15">
        <f>'17-july2026'!U73</f>
        <v>0</v>
      </c>
      <c r="G73" s="15">
        <f>'17-july2026'!V73</f>
        <v>0</v>
      </c>
      <c r="H73" s="15">
        <f t="shared" si="20"/>
        <v>5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5">
        <f t="shared" si="21"/>
        <v>5</v>
      </c>
      <c r="T73" s="15">
        <f t="shared" si="22"/>
        <v>5</v>
      </c>
      <c r="U73" s="15">
        <f t="shared" si="23"/>
        <v>0</v>
      </c>
      <c r="V73" s="15">
        <f t="shared" si="24"/>
        <v>0</v>
      </c>
      <c r="W73" s="18" t="str">
        <f t="shared" si="25"/>
        <v/>
      </c>
      <c r="X73" s="17">
        <v>0</v>
      </c>
      <c r="Y73" s="17">
        <v>0</v>
      </c>
      <c r="Z73" s="15">
        <f t="shared" si="26"/>
        <v>0</v>
      </c>
      <c r="AA73" s="17">
        <v>0</v>
      </c>
      <c r="AB73" s="17">
        <v>0</v>
      </c>
      <c r="AC73" s="15">
        <f t="shared" si="27"/>
        <v>0</v>
      </c>
      <c r="AD73" s="17">
        <v>0</v>
      </c>
      <c r="AE73" s="17">
        <v>0</v>
      </c>
      <c r="AF73" s="15">
        <f t="shared" si="28"/>
        <v>0</v>
      </c>
      <c r="AG73" s="17">
        <v>0</v>
      </c>
      <c r="AH73" s="17">
        <v>0</v>
      </c>
      <c r="AI73" s="15">
        <f t="shared" si="29"/>
        <v>0</v>
      </c>
      <c r="AJ73" s="17"/>
    </row>
    <row r="74" spans="1:36" x14ac:dyDescent="0.3">
      <c r="A74" s="15" t="s">
        <v>122</v>
      </c>
      <c r="B74" s="15">
        <v>1000</v>
      </c>
      <c r="C74" s="15" t="s">
        <v>54</v>
      </c>
      <c r="D74" s="15" t="s">
        <v>68</v>
      </c>
      <c r="E74" s="15">
        <f>'17-july2026'!T74</f>
        <v>2</v>
      </c>
      <c r="F74" s="15">
        <f>'17-july2026'!U74</f>
        <v>0</v>
      </c>
      <c r="G74" s="15">
        <f>'17-july2026'!V74</f>
        <v>0</v>
      </c>
      <c r="H74" s="15">
        <f t="shared" si="20"/>
        <v>2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5">
        <f t="shared" si="21"/>
        <v>2</v>
      </c>
      <c r="T74" s="15">
        <f t="shared" si="22"/>
        <v>2</v>
      </c>
      <c r="U74" s="15">
        <f t="shared" si="23"/>
        <v>0</v>
      </c>
      <c r="V74" s="15">
        <f t="shared" si="24"/>
        <v>0</v>
      </c>
      <c r="W74" s="18" t="str">
        <f t="shared" si="25"/>
        <v/>
      </c>
      <c r="X74" s="17">
        <v>0</v>
      </c>
      <c r="Y74" s="17">
        <v>0</v>
      </c>
      <c r="Z74" s="15">
        <f t="shared" si="26"/>
        <v>0</v>
      </c>
      <c r="AA74" s="17">
        <v>0</v>
      </c>
      <c r="AB74" s="17">
        <v>0</v>
      </c>
      <c r="AC74" s="15">
        <f t="shared" si="27"/>
        <v>0</v>
      </c>
      <c r="AD74" s="17">
        <v>0</v>
      </c>
      <c r="AE74" s="17">
        <v>0</v>
      </c>
      <c r="AF74" s="15">
        <f t="shared" si="28"/>
        <v>0</v>
      </c>
      <c r="AG74" s="17">
        <v>0</v>
      </c>
      <c r="AH74" s="17">
        <v>0</v>
      </c>
      <c r="AI74" s="15">
        <f t="shared" si="29"/>
        <v>0</v>
      </c>
      <c r="AJ74" s="17"/>
    </row>
    <row r="75" spans="1:36" hidden="1" x14ac:dyDescent="0.3">
      <c r="A75" s="15" t="s">
        <v>123</v>
      </c>
      <c r="B75" s="15" t="s">
        <v>124</v>
      </c>
      <c r="C75" s="15" t="s">
        <v>123</v>
      </c>
      <c r="D75" s="15" t="s">
        <v>55</v>
      </c>
      <c r="E75" s="15">
        <f>'17-july2026'!T75</f>
        <v>1</v>
      </c>
      <c r="F75" s="15">
        <f>'17-july2026'!U75</f>
        <v>0</v>
      </c>
      <c r="G75" s="15">
        <f>'17-july2026'!V75</f>
        <v>0</v>
      </c>
      <c r="H75" s="15">
        <f t="shared" si="20"/>
        <v>1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5">
        <f t="shared" si="21"/>
        <v>1</v>
      </c>
      <c r="T75" s="15">
        <f t="shared" si="22"/>
        <v>1</v>
      </c>
      <c r="U75" s="15">
        <f t="shared" si="23"/>
        <v>0</v>
      </c>
      <c r="V75" s="15">
        <f t="shared" si="24"/>
        <v>0</v>
      </c>
      <c r="W75" s="18" t="str">
        <f t="shared" si="25"/>
        <v/>
      </c>
      <c r="X75" s="17">
        <v>0</v>
      </c>
      <c r="Y75" s="17">
        <v>0</v>
      </c>
      <c r="Z75" s="15">
        <f t="shared" si="26"/>
        <v>0</v>
      </c>
      <c r="AA75" s="17">
        <v>0</v>
      </c>
      <c r="AB75" s="17">
        <v>0</v>
      </c>
      <c r="AC75" s="15">
        <f t="shared" si="27"/>
        <v>0</v>
      </c>
      <c r="AD75" s="17">
        <v>0</v>
      </c>
      <c r="AE75" s="17">
        <v>0</v>
      </c>
      <c r="AF75" s="15">
        <f t="shared" si="28"/>
        <v>0</v>
      </c>
      <c r="AG75" s="17">
        <v>0</v>
      </c>
      <c r="AH75" s="17">
        <v>0</v>
      </c>
      <c r="AI75" s="15">
        <f t="shared" si="29"/>
        <v>0</v>
      </c>
      <c r="AJ75" s="17"/>
    </row>
    <row r="76" spans="1:36" x14ac:dyDescent="0.3">
      <c r="A76" s="15" t="s">
        <v>125</v>
      </c>
      <c r="B76" s="15">
        <v>1000</v>
      </c>
      <c r="C76" s="15" t="s">
        <v>54</v>
      </c>
      <c r="D76" s="15" t="s">
        <v>68</v>
      </c>
      <c r="E76" s="15">
        <f>'17-july2026'!T76</f>
        <v>4</v>
      </c>
      <c r="F76" s="15">
        <f>'17-july2026'!U76</f>
        <v>0</v>
      </c>
      <c r="G76" s="15">
        <f>'17-july2026'!V76</f>
        <v>0</v>
      </c>
      <c r="H76" s="15">
        <f t="shared" si="20"/>
        <v>4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5">
        <f t="shared" si="21"/>
        <v>4</v>
      </c>
      <c r="T76" s="15">
        <f t="shared" si="22"/>
        <v>4</v>
      </c>
      <c r="U76" s="15">
        <f t="shared" si="23"/>
        <v>0</v>
      </c>
      <c r="V76" s="15">
        <f t="shared" si="24"/>
        <v>0</v>
      </c>
      <c r="W76" s="18" t="str">
        <f t="shared" si="25"/>
        <v/>
      </c>
      <c r="X76" s="17">
        <v>0</v>
      </c>
      <c r="Y76" s="17">
        <v>0</v>
      </c>
      <c r="Z76" s="15">
        <f t="shared" si="26"/>
        <v>0</v>
      </c>
      <c r="AA76" s="17">
        <v>0</v>
      </c>
      <c r="AB76" s="17">
        <v>0</v>
      </c>
      <c r="AC76" s="15">
        <f t="shared" si="27"/>
        <v>0</v>
      </c>
      <c r="AD76" s="17">
        <v>0</v>
      </c>
      <c r="AE76" s="17">
        <v>0</v>
      </c>
      <c r="AF76" s="15">
        <f t="shared" si="28"/>
        <v>0</v>
      </c>
      <c r="AG76" s="17">
        <v>0</v>
      </c>
      <c r="AH76" s="17">
        <v>0</v>
      </c>
      <c r="AI76" s="15">
        <f t="shared" si="29"/>
        <v>0</v>
      </c>
      <c r="AJ76" s="17"/>
    </row>
    <row r="77" spans="1:36" x14ac:dyDescent="0.3">
      <c r="A77" s="15" t="s">
        <v>126</v>
      </c>
      <c r="B77" s="15">
        <v>1000</v>
      </c>
      <c r="C77" s="15" t="s">
        <v>54</v>
      </c>
      <c r="D77" s="15" t="s">
        <v>68</v>
      </c>
      <c r="E77" s="15">
        <f>'17-july2026'!T77</f>
        <v>4</v>
      </c>
      <c r="F77" s="15">
        <f>'17-july2026'!U77</f>
        <v>0</v>
      </c>
      <c r="G77" s="15">
        <f>'17-july2026'!V77</f>
        <v>0</v>
      </c>
      <c r="H77" s="15">
        <f t="shared" si="20"/>
        <v>4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5">
        <f t="shared" si="21"/>
        <v>4</v>
      </c>
      <c r="T77" s="15">
        <f t="shared" si="22"/>
        <v>4</v>
      </c>
      <c r="U77" s="15">
        <f t="shared" si="23"/>
        <v>0</v>
      </c>
      <c r="V77" s="15">
        <f t="shared" si="24"/>
        <v>0</v>
      </c>
      <c r="W77" s="18" t="str">
        <f t="shared" si="25"/>
        <v/>
      </c>
      <c r="X77" s="17">
        <v>0</v>
      </c>
      <c r="Y77" s="17">
        <v>0</v>
      </c>
      <c r="Z77" s="15">
        <f t="shared" si="26"/>
        <v>0</v>
      </c>
      <c r="AA77" s="17">
        <v>0</v>
      </c>
      <c r="AB77" s="17">
        <v>0</v>
      </c>
      <c r="AC77" s="15">
        <f t="shared" si="27"/>
        <v>0</v>
      </c>
      <c r="AD77" s="17">
        <v>0</v>
      </c>
      <c r="AE77" s="17">
        <v>0</v>
      </c>
      <c r="AF77" s="15">
        <f t="shared" si="28"/>
        <v>0</v>
      </c>
      <c r="AG77" s="17">
        <v>0</v>
      </c>
      <c r="AH77" s="17">
        <v>0</v>
      </c>
      <c r="AI77" s="15">
        <f t="shared" si="29"/>
        <v>0</v>
      </c>
      <c r="AJ77" s="17"/>
    </row>
    <row r="78" spans="1:36" hidden="1" x14ac:dyDescent="0.3">
      <c r="A78" s="15" t="s">
        <v>127</v>
      </c>
      <c r="B78" s="15">
        <v>0</v>
      </c>
      <c r="C78" s="15" t="s">
        <v>128</v>
      </c>
      <c r="D78" s="15" t="s">
        <v>55</v>
      </c>
      <c r="E78" s="15">
        <f>'17-july2026'!T78</f>
        <v>107</v>
      </c>
      <c r="F78" s="15">
        <f>'17-july2026'!U78</f>
        <v>6</v>
      </c>
      <c r="G78" s="15">
        <f>'17-july2026'!V78</f>
        <v>0</v>
      </c>
      <c r="H78" s="15">
        <f t="shared" si="20"/>
        <v>113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5">
        <f t="shared" si="21"/>
        <v>113</v>
      </c>
      <c r="T78" s="15">
        <f t="shared" si="22"/>
        <v>107</v>
      </c>
      <c r="U78" s="15">
        <f t="shared" si="23"/>
        <v>6</v>
      </c>
      <c r="V78" s="15">
        <f t="shared" si="24"/>
        <v>0</v>
      </c>
      <c r="W78" s="18" t="str">
        <f t="shared" si="25"/>
        <v/>
      </c>
      <c r="X78" s="17">
        <v>0</v>
      </c>
      <c r="Y78" s="17">
        <v>0</v>
      </c>
      <c r="Z78" s="15">
        <f t="shared" si="26"/>
        <v>0</v>
      </c>
      <c r="AA78" s="17">
        <v>0</v>
      </c>
      <c r="AB78" s="17">
        <v>0</v>
      </c>
      <c r="AC78" s="15">
        <f t="shared" si="27"/>
        <v>0</v>
      </c>
      <c r="AD78" s="17">
        <v>0</v>
      </c>
      <c r="AE78" s="17">
        <v>0</v>
      </c>
      <c r="AF78" s="15">
        <f t="shared" si="28"/>
        <v>0</v>
      </c>
      <c r="AG78" s="17">
        <v>0</v>
      </c>
      <c r="AH78" s="17">
        <v>0</v>
      </c>
      <c r="AI78" s="15">
        <f t="shared" si="29"/>
        <v>0</v>
      </c>
      <c r="AJ78" s="17"/>
    </row>
    <row r="79" spans="1:36" hidden="1" x14ac:dyDescent="0.3">
      <c r="A79" s="15" t="s">
        <v>129</v>
      </c>
      <c r="B79" s="15">
        <v>0</v>
      </c>
      <c r="C79" s="15" t="s">
        <v>128</v>
      </c>
      <c r="D79" s="15" t="s">
        <v>55</v>
      </c>
      <c r="E79" s="15">
        <f>'17-july2026'!T79</f>
        <v>96</v>
      </c>
      <c r="F79" s="15">
        <f>'17-july2026'!U79</f>
        <v>4</v>
      </c>
      <c r="G79" s="15">
        <f>'17-july2026'!V79</f>
        <v>5</v>
      </c>
      <c r="H79" s="15">
        <f t="shared" si="20"/>
        <v>105</v>
      </c>
      <c r="I79" s="17">
        <v>0</v>
      </c>
      <c r="J79" s="17">
        <v>0</v>
      </c>
      <c r="K79" s="17">
        <v>0</v>
      </c>
      <c r="L79" s="17">
        <v>50</v>
      </c>
      <c r="M79" s="17">
        <v>0</v>
      </c>
      <c r="N79" s="17">
        <v>0</v>
      </c>
      <c r="O79" s="17">
        <v>0</v>
      </c>
      <c r="P79" s="17">
        <v>0</v>
      </c>
      <c r="Q79" s="17">
        <v>50</v>
      </c>
      <c r="R79" s="17">
        <v>0</v>
      </c>
      <c r="S79" s="15">
        <f t="shared" si="21"/>
        <v>105</v>
      </c>
      <c r="T79" s="15">
        <f t="shared" si="22"/>
        <v>46</v>
      </c>
      <c r="U79" s="15">
        <f t="shared" si="23"/>
        <v>4</v>
      </c>
      <c r="V79" s="15">
        <f t="shared" si="24"/>
        <v>55</v>
      </c>
      <c r="W79" s="18" t="str">
        <f t="shared" si="25"/>
        <v/>
      </c>
      <c r="X79" s="17">
        <v>0</v>
      </c>
      <c r="Y79" s="17">
        <v>0</v>
      </c>
      <c r="Z79" s="15">
        <f t="shared" si="26"/>
        <v>0</v>
      </c>
      <c r="AA79" s="17">
        <v>0</v>
      </c>
      <c r="AB79" s="17">
        <v>0</v>
      </c>
      <c r="AC79" s="15">
        <f t="shared" si="27"/>
        <v>0</v>
      </c>
      <c r="AD79" s="17">
        <v>0</v>
      </c>
      <c r="AE79" s="17">
        <v>0</v>
      </c>
      <c r="AF79" s="15">
        <f t="shared" si="28"/>
        <v>0</v>
      </c>
      <c r="AG79" s="17">
        <v>0</v>
      </c>
      <c r="AH79" s="17">
        <v>0</v>
      </c>
      <c r="AI79" s="15">
        <f t="shared" si="29"/>
        <v>0</v>
      </c>
      <c r="AJ79" s="17"/>
    </row>
    <row r="80" spans="1:36" hidden="1" x14ac:dyDescent="0.3">
      <c r="A80" s="15" t="s">
        <v>130</v>
      </c>
      <c r="B80" s="15">
        <v>100</v>
      </c>
      <c r="C80" s="15" t="s">
        <v>54</v>
      </c>
      <c r="D80" s="15" t="s">
        <v>55</v>
      </c>
      <c r="E80" s="15">
        <f>'17-july2026'!T80</f>
        <v>50</v>
      </c>
      <c r="F80" s="15">
        <f>'17-july2026'!U80</f>
        <v>113</v>
      </c>
      <c r="G80" s="15">
        <f>'17-july2026'!V80</f>
        <v>104</v>
      </c>
      <c r="H80" s="15">
        <f t="shared" si="20"/>
        <v>267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5">
        <f t="shared" si="21"/>
        <v>267</v>
      </c>
      <c r="T80" s="15">
        <f t="shared" si="22"/>
        <v>50</v>
      </c>
      <c r="U80" s="15">
        <f t="shared" si="23"/>
        <v>113</v>
      </c>
      <c r="V80" s="15">
        <f t="shared" si="24"/>
        <v>104</v>
      </c>
      <c r="W80" s="18" t="str">
        <f t="shared" si="25"/>
        <v/>
      </c>
      <c r="X80" s="17">
        <v>0</v>
      </c>
      <c r="Y80" s="17">
        <v>0</v>
      </c>
      <c r="Z80" s="15">
        <f t="shared" si="26"/>
        <v>0</v>
      </c>
      <c r="AA80" s="17">
        <v>0</v>
      </c>
      <c r="AB80" s="17">
        <v>0</v>
      </c>
      <c r="AC80" s="15">
        <f t="shared" si="27"/>
        <v>0</v>
      </c>
      <c r="AD80" s="17">
        <v>0</v>
      </c>
      <c r="AE80" s="17">
        <v>0</v>
      </c>
      <c r="AF80" s="15">
        <f t="shared" si="28"/>
        <v>0</v>
      </c>
      <c r="AG80" s="17">
        <v>0</v>
      </c>
      <c r="AH80" s="17">
        <v>0</v>
      </c>
      <c r="AI80" s="15">
        <f t="shared" si="29"/>
        <v>0</v>
      </c>
      <c r="AJ80" s="17"/>
    </row>
    <row r="81" spans="1:36" hidden="1" x14ac:dyDescent="0.3">
      <c r="A81" s="15" t="s">
        <v>131</v>
      </c>
      <c r="B81" s="15">
        <v>500</v>
      </c>
      <c r="C81" s="15" t="s">
        <v>54</v>
      </c>
      <c r="D81" s="15" t="s">
        <v>55</v>
      </c>
      <c r="E81" s="15">
        <f>'17-july2026'!T81</f>
        <v>6</v>
      </c>
      <c r="F81" s="15">
        <f>'17-july2026'!U81</f>
        <v>0</v>
      </c>
      <c r="G81" s="15">
        <f>'17-july2026'!V81</f>
        <v>0</v>
      </c>
      <c r="H81" s="15">
        <f t="shared" si="20"/>
        <v>6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5">
        <f t="shared" si="21"/>
        <v>6</v>
      </c>
      <c r="T81" s="15">
        <f t="shared" si="22"/>
        <v>6</v>
      </c>
      <c r="U81" s="15">
        <f t="shared" si="23"/>
        <v>0</v>
      </c>
      <c r="V81" s="15">
        <f t="shared" si="24"/>
        <v>0</v>
      </c>
      <c r="W81" s="18" t="str">
        <f t="shared" si="25"/>
        <v/>
      </c>
      <c r="X81" s="17">
        <v>0</v>
      </c>
      <c r="Y81" s="17">
        <v>0</v>
      </c>
      <c r="Z81" s="15">
        <f t="shared" si="26"/>
        <v>0</v>
      </c>
      <c r="AA81" s="17">
        <v>0</v>
      </c>
      <c r="AB81" s="17">
        <v>0</v>
      </c>
      <c r="AC81" s="15">
        <f t="shared" si="27"/>
        <v>0</v>
      </c>
      <c r="AD81" s="17">
        <v>0</v>
      </c>
      <c r="AE81" s="17">
        <v>0</v>
      </c>
      <c r="AF81" s="15">
        <f t="shared" si="28"/>
        <v>0</v>
      </c>
      <c r="AG81" s="17">
        <v>0</v>
      </c>
      <c r="AH81" s="17">
        <v>0</v>
      </c>
      <c r="AI81" s="15">
        <f t="shared" si="29"/>
        <v>0</v>
      </c>
      <c r="AJ81" s="17"/>
    </row>
    <row r="82" spans="1:36" hidden="1" x14ac:dyDescent="0.3">
      <c r="A82" s="15" t="s">
        <v>132</v>
      </c>
      <c r="B82" s="15">
        <v>100</v>
      </c>
      <c r="C82" s="15" t="s">
        <v>54</v>
      </c>
      <c r="D82" s="15" t="s">
        <v>55</v>
      </c>
      <c r="E82" s="15">
        <f>'17-july2026'!T82</f>
        <v>77</v>
      </c>
      <c r="F82" s="15">
        <f>'17-july2026'!U82</f>
        <v>277</v>
      </c>
      <c r="G82" s="15">
        <f>'17-july2026'!V82</f>
        <v>35</v>
      </c>
      <c r="H82" s="15">
        <f t="shared" si="20"/>
        <v>389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24</v>
      </c>
      <c r="O82" s="17">
        <v>24</v>
      </c>
      <c r="P82" s="17">
        <v>0</v>
      </c>
      <c r="Q82" s="17">
        <v>0</v>
      </c>
      <c r="R82" s="17">
        <v>0</v>
      </c>
      <c r="S82" s="15">
        <f t="shared" si="21"/>
        <v>389</v>
      </c>
      <c r="T82" s="15">
        <f t="shared" si="22"/>
        <v>101</v>
      </c>
      <c r="U82" s="15">
        <f t="shared" si="23"/>
        <v>277</v>
      </c>
      <c r="V82" s="15">
        <f t="shared" si="24"/>
        <v>11</v>
      </c>
      <c r="W82" s="18" t="str">
        <f t="shared" si="25"/>
        <v/>
      </c>
      <c r="X82" s="17">
        <v>0</v>
      </c>
      <c r="Y82" s="17">
        <v>0</v>
      </c>
      <c r="Z82" s="15">
        <f t="shared" si="26"/>
        <v>0</v>
      </c>
      <c r="AA82" s="17">
        <v>0</v>
      </c>
      <c r="AB82" s="17">
        <v>0</v>
      </c>
      <c r="AC82" s="15">
        <f t="shared" si="27"/>
        <v>0</v>
      </c>
      <c r="AD82" s="17">
        <v>0</v>
      </c>
      <c r="AE82" s="17">
        <v>0</v>
      </c>
      <c r="AF82" s="15">
        <f t="shared" si="28"/>
        <v>0</v>
      </c>
      <c r="AG82" s="17">
        <v>0</v>
      </c>
      <c r="AH82" s="17">
        <v>0</v>
      </c>
      <c r="AI82" s="15">
        <f t="shared" si="29"/>
        <v>0</v>
      </c>
      <c r="AJ82" s="17"/>
    </row>
    <row r="83" spans="1:36" hidden="1" x14ac:dyDescent="0.3">
      <c r="A83" s="15" t="s">
        <v>133</v>
      </c>
      <c r="B83" s="15">
        <v>1000</v>
      </c>
      <c r="C83" s="15" t="s">
        <v>54</v>
      </c>
      <c r="D83" s="15" t="s">
        <v>55</v>
      </c>
      <c r="E83" s="15">
        <f>'17-july2026'!T83</f>
        <v>-3</v>
      </c>
      <c r="F83" s="15">
        <f>'17-july2026'!U83</f>
        <v>0</v>
      </c>
      <c r="G83" s="15">
        <f>'17-july2026'!V83</f>
        <v>0</v>
      </c>
      <c r="H83" s="15">
        <f t="shared" si="20"/>
        <v>-3</v>
      </c>
      <c r="I83" s="17">
        <v>8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30</v>
      </c>
      <c r="P83" s="17">
        <v>0</v>
      </c>
      <c r="Q83" s="17">
        <v>0</v>
      </c>
      <c r="R83" s="17">
        <v>0</v>
      </c>
      <c r="S83" s="15">
        <f t="shared" si="21"/>
        <v>19</v>
      </c>
      <c r="T83" s="15">
        <f t="shared" si="22"/>
        <v>19</v>
      </c>
      <c r="U83" s="15">
        <f t="shared" si="23"/>
        <v>0</v>
      </c>
      <c r="V83" s="15">
        <f t="shared" si="24"/>
        <v>0</v>
      </c>
      <c r="W83" s="18" t="str">
        <f t="shared" si="25"/>
        <v/>
      </c>
      <c r="X83" s="17">
        <v>0</v>
      </c>
      <c r="Y83" s="17">
        <v>0</v>
      </c>
      <c r="Z83" s="15">
        <f t="shared" si="26"/>
        <v>0</v>
      </c>
      <c r="AA83" s="17">
        <v>0</v>
      </c>
      <c r="AB83" s="17">
        <v>0</v>
      </c>
      <c r="AC83" s="15">
        <f t="shared" si="27"/>
        <v>0</v>
      </c>
      <c r="AD83" s="17">
        <v>0</v>
      </c>
      <c r="AE83" s="17">
        <v>0</v>
      </c>
      <c r="AF83" s="15">
        <f t="shared" si="28"/>
        <v>0</v>
      </c>
      <c r="AG83" s="17">
        <v>0</v>
      </c>
      <c r="AH83" s="17">
        <v>0</v>
      </c>
      <c r="AI83" s="15">
        <f t="shared" si="29"/>
        <v>0</v>
      </c>
      <c r="AJ83" s="17"/>
    </row>
    <row r="84" spans="1:36" x14ac:dyDescent="0.3">
      <c r="A84" s="15" t="s">
        <v>134</v>
      </c>
      <c r="B84" s="15">
        <v>100</v>
      </c>
      <c r="C84" s="15" t="s">
        <v>54</v>
      </c>
      <c r="D84" s="15" t="s">
        <v>57</v>
      </c>
      <c r="E84" s="15">
        <f>'17-july2026'!T84</f>
        <v>3</v>
      </c>
      <c r="F84" s="15">
        <f>'17-july2026'!U84</f>
        <v>0</v>
      </c>
      <c r="G84" s="15">
        <f>'17-july2026'!V84</f>
        <v>0</v>
      </c>
      <c r="H84" s="15">
        <f t="shared" si="20"/>
        <v>3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5">
        <f t="shared" si="21"/>
        <v>3</v>
      </c>
      <c r="T84" s="15">
        <f t="shared" si="22"/>
        <v>3</v>
      </c>
      <c r="U84" s="15">
        <f t="shared" si="23"/>
        <v>0</v>
      </c>
      <c r="V84" s="15">
        <f t="shared" si="24"/>
        <v>0</v>
      </c>
      <c r="W84" s="18" t="str">
        <f t="shared" si="25"/>
        <v/>
      </c>
      <c r="X84" s="17">
        <v>0</v>
      </c>
      <c r="Y84" s="17">
        <v>0</v>
      </c>
      <c r="Z84" s="15">
        <f t="shared" si="26"/>
        <v>0</v>
      </c>
      <c r="AA84" s="17">
        <v>0</v>
      </c>
      <c r="AB84" s="17">
        <v>0</v>
      </c>
      <c r="AC84" s="15">
        <f t="shared" si="27"/>
        <v>0</v>
      </c>
      <c r="AD84" s="17">
        <v>0</v>
      </c>
      <c r="AE84" s="17">
        <v>0</v>
      </c>
      <c r="AF84" s="15">
        <f t="shared" si="28"/>
        <v>0</v>
      </c>
      <c r="AG84" s="17">
        <v>0</v>
      </c>
      <c r="AH84" s="17">
        <v>0</v>
      </c>
      <c r="AI84" s="15">
        <f t="shared" si="29"/>
        <v>0</v>
      </c>
      <c r="AJ84" s="17"/>
    </row>
    <row r="85" spans="1:36" x14ac:dyDescent="0.3">
      <c r="A85" s="15" t="s">
        <v>135</v>
      </c>
      <c r="B85" s="15">
        <v>100</v>
      </c>
      <c r="C85" s="15" t="s">
        <v>54</v>
      </c>
      <c r="D85" s="15" t="s">
        <v>57</v>
      </c>
      <c r="E85" s="15">
        <f>'17-july2026'!T85</f>
        <v>4</v>
      </c>
      <c r="F85" s="15">
        <f>'17-july2026'!U85</f>
        <v>0</v>
      </c>
      <c r="G85" s="15">
        <f>'17-july2026'!V85</f>
        <v>0</v>
      </c>
      <c r="H85" s="15">
        <f t="shared" si="20"/>
        <v>4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5">
        <f t="shared" si="21"/>
        <v>4</v>
      </c>
      <c r="T85" s="15">
        <f t="shared" si="22"/>
        <v>4</v>
      </c>
      <c r="U85" s="15">
        <f t="shared" si="23"/>
        <v>0</v>
      </c>
      <c r="V85" s="15">
        <f t="shared" si="24"/>
        <v>0</v>
      </c>
      <c r="W85" s="18" t="str">
        <f t="shared" si="25"/>
        <v/>
      </c>
      <c r="X85" s="17">
        <v>0</v>
      </c>
      <c r="Y85" s="17">
        <v>0</v>
      </c>
      <c r="Z85" s="15">
        <f t="shared" si="26"/>
        <v>0</v>
      </c>
      <c r="AA85" s="17">
        <v>0</v>
      </c>
      <c r="AB85" s="17">
        <v>0</v>
      </c>
      <c r="AC85" s="15">
        <f t="shared" si="27"/>
        <v>0</v>
      </c>
      <c r="AD85" s="17">
        <v>0</v>
      </c>
      <c r="AE85" s="17">
        <v>0</v>
      </c>
      <c r="AF85" s="15">
        <f t="shared" si="28"/>
        <v>0</v>
      </c>
      <c r="AG85" s="17">
        <v>0</v>
      </c>
      <c r="AH85" s="17">
        <v>0</v>
      </c>
      <c r="AI85" s="15">
        <f t="shared" si="29"/>
        <v>0</v>
      </c>
      <c r="AJ85" s="17"/>
    </row>
    <row r="86" spans="1:36" x14ac:dyDescent="0.3">
      <c r="A86" s="15" t="s">
        <v>135</v>
      </c>
      <c r="B86" s="15">
        <v>1000</v>
      </c>
      <c r="C86" s="15" t="s">
        <v>54</v>
      </c>
      <c r="D86" s="15" t="s">
        <v>57</v>
      </c>
      <c r="E86" s="15">
        <f>'17-july2026'!T86</f>
        <v>1</v>
      </c>
      <c r="F86" s="15">
        <f>'17-july2026'!U86</f>
        <v>0</v>
      </c>
      <c r="G86" s="15">
        <f>'17-july2026'!V86</f>
        <v>0</v>
      </c>
      <c r="H86" s="15">
        <f t="shared" si="20"/>
        <v>1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5">
        <f t="shared" si="21"/>
        <v>1</v>
      </c>
      <c r="T86" s="15">
        <f t="shared" si="22"/>
        <v>1</v>
      </c>
      <c r="U86" s="15">
        <f t="shared" si="23"/>
        <v>0</v>
      </c>
      <c r="V86" s="15">
        <f t="shared" si="24"/>
        <v>0</v>
      </c>
      <c r="W86" s="18" t="str">
        <f t="shared" si="25"/>
        <v/>
      </c>
      <c r="X86" s="17">
        <v>0</v>
      </c>
      <c r="Y86" s="17">
        <v>0</v>
      </c>
      <c r="Z86" s="15">
        <f t="shared" si="26"/>
        <v>0</v>
      </c>
      <c r="AA86" s="17">
        <v>0</v>
      </c>
      <c r="AB86" s="17">
        <v>0</v>
      </c>
      <c r="AC86" s="15">
        <f t="shared" si="27"/>
        <v>0</v>
      </c>
      <c r="AD86" s="17">
        <v>0</v>
      </c>
      <c r="AE86" s="17">
        <v>0</v>
      </c>
      <c r="AF86" s="15">
        <f t="shared" si="28"/>
        <v>0</v>
      </c>
      <c r="AG86" s="17">
        <v>0</v>
      </c>
      <c r="AH86" s="17">
        <v>0</v>
      </c>
      <c r="AI86" s="15">
        <f t="shared" si="29"/>
        <v>0</v>
      </c>
      <c r="AJ86" s="17"/>
    </row>
    <row r="87" spans="1:36" x14ac:dyDescent="0.3">
      <c r="A87" s="15" t="s">
        <v>136</v>
      </c>
      <c r="B87" s="15">
        <v>100000</v>
      </c>
      <c r="C87" s="15" t="s">
        <v>54</v>
      </c>
      <c r="D87" s="15" t="s">
        <v>68</v>
      </c>
      <c r="E87" s="15">
        <f>'17-july2026'!T87</f>
        <v>1</v>
      </c>
      <c r="F87" s="15">
        <f>'17-july2026'!U87</f>
        <v>0</v>
      </c>
      <c r="G87" s="15">
        <f>'17-july2026'!V87</f>
        <v>0</v>
      </c>
      <c r="H87" s="15">
        <f t="shared" si="20"/>
        <v>1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5">
        <f t="shared" si="21"/>
        <v>1</v>
      </c>
      <c r="T87" s="15">
        <f t="shared" si="22"/>
        <v>1</v>
      </c>
      <c r="U87" s="15">
        <f t="shared" si="23"/>
        <v>0</v>
      </c>
      <c r="V87" s="15">
        <f t="shared" si="24"/>
        <v>0</v>
      </c>
      <c r="W87" s="18" t="str">
        <f t="shared" si="25"/>
        <v/>
      </c>
      <c r="X87" s="17">
        <v>0</v>
      </c>
      <c r="Y87" s="17">
        <v>0</v>
      </c>
      <c r="Z87" s="15">
        <f t="shared" si="26"/>
        <v>0</v>
      </c>
      <c r="AA87" s="17">
        <v>0</v>
      </c>
      <c r="AB87" s="17">
        <v>0</v>
      </c>
      <c r="AC87" s="15">
        <f t="shared" si="27"/>
        <v>0</v>
      </c>
      <c r="AD87" s="17">
        <v>0</v>
      </c>
      <c r="AE87" s="17">
        <v>0</v>
      </c>
      <c r="AF87" s="15">
        <f t="shared" si="28"/>
        <v>0</v>
      </c>
      <c r="AG87" s="17">
        <v>0</v>
      </c>
      <c r="AH87" s="17">
        <v>0</v>
      </c>
      <c r="AI87" s="15">
        <f t="shared" si="29"/>
        <v>0</v>
      </c>
      <c r="AJ87" s="17"/>
    </row>
    <row r="88" spans="1:36" x14ac:dyDescent="0.3">
      <c r="A88" s="15" t="s">
        <v>137</v>
      </c>
      <c r="B88" s="15">
        <v>1000</v>
      </c>
      <c r="C88" s="15" t="s">
        <v>54</v>
      </c>
      <c r="D88" s="15" t="s">
        <v>68</v>
      </c>
      <c r="E88" s="15">
        <f>'17-july2026'!T88</f>
        <v>5</v>
      </c>
      <c r="F88" s="15">
        <f>'17-july2026'!U88</f>
        <v>0</v>
      </c>
      <c r="G88" s="15">
        <f>'17-july2026'!V88</f>
        <v>0</v>
      </c>
      <c r="H88" s="15">
        <f t="shared" si="20"/>
        <v>5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5">
        <f t="shared" si="21"/>
        <v>5</v>
      </c>
      <c r="T88" s="15">
        <f t="shared" si="22"/>
        <v>5</v>
      </c>
      <c r="U88" s="15">
        <f t="shared" si="23"/>
        <v>0</v>
      </c>
      <c r="V88" s="15">
        <f t="shared" si="24"/>
        <v>0</v>
      </c>
      <c r="W88" s="18" t="str">
        <f t="shared" si="25"/>
        <v/>
      </c>
      <c r="X88" s="17">
        <v>0</v>
      </c>
      <c r="Y88" s="17">
        <v>0</v>
      </c>
      <c r="Z88" s="15">
        <f t="shared" si="26"/>
        <v>0</v>
      </c>
      <c r="AA88" s="17">
        <v>0</v>
      </c>
      <c r="AB88" s="17">
        <v>0</v>
      </c>
      <c r="AC88" s="15">
        <f t="shared" si="27"/>
        <v>0</v>
      </c>
      <c r="AD88" s="17">
        <v>0</v>
      </c>
      <c r="AE88" s="17">
        <v>0</v>
      </c>
      <c r="AF88" s="15">
        <f t="shared" si="28"/>
        <v>0</v>
      </c>
      <c r="AG88" s="17">
        <v>0</v>
      </c>
      <c r="AH88" s="17">
        <v>0</v>
      </c>
      <c r="AI88" s="15">
        <f t="shared" si="29"/>
        <v>0</v>
      </c>
      <c r="AJ88" s="17"/>
    </row>
    <row r="89" spans="1:36" x14ac:dyDescent="0.3">
      <c r="A89" s="15" t="s">
        <v>138</v>
      </c>
      <c r="B89" s="15">
        <v>100</v>
      </c>
      <c r="C89" s="15" t="s">
        <v>54</v>
      </c>
      <c r="D89" s="15" t="s">
        <v>57</v>
      </c>
      <c r="E89" s="15">
        <f>'17-july2026'!T89</f>
        <v>4</v>
      </c>
      <c r="F89" s="15">
        <f>'17-july2026'!U89</f>
        <v>0</v>
      </c>
      <c r="G89" s="15">
        <f>'17-july2026'!V89</f>
        <v>0</v>
      </c>
      <c r="H89" s="15">
        <f t="shared" si="20"/>
        <v>4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5">
        <f t="shared" si="21"/>
        <v>4</v>
      </c>
      <c r="T89" s="15">
        <f t="shared" si="22"/>
        <v>4</v>
      </c>
      <c r="U89" s="15">
        <f t="shared" si="23"/>
        <v>0</v>
      </c>
      <c r="V89" s="15">
        <f t="shared" si="24"/>
        <v>0</v>
      </c>
      <c r="W89" s="18" t="str">
        <f t="shared" si="25"/>
        <v/>
      </c>
      <c r="X89" s="17">
        <v>0</v>
      </c>
      <c r="Y89" s="17">
        <v>0</v>
      </c>
      <c r="Z89" s="15">
        <f t="shared" si="26"/>
        <v>0</v>
      </c>
      <c r="AA89" s="17">
        <v>0</v>
      </c>
      <c r="AB89" s="17">
        <v>0</v>
      </c>
      <c r="AC89" s="15">
        <f t="shared" si="27"/>
        <v>0</v>
      </c>
      <c r="AD89" s="17">
        <v>0</v>
      </c>
      <c r="AE89" s="17">
        <v>0</v>
      </c>
      <c r="AF89" s="15">
        <f t="shared" si="28"/>
        <v>0</v>
      </c>
      <c r="AG89" s="17">
        <v>0</v>
      </c>
      <c r="AH89" s="17">
        <v>0</v>
      </c>
      <c r="AI89" s="15">
        <f t="shared" si="29"/>
        <v>0</v>
      </c>
      <c r="AJ89" s="17"/>
    </row>
    <row r="90" spans="1:36" x14ac:dyDescent="0.3">
      <c r="A90" s="15" t="s">
        <v>139</v>
      </c>
      <c r="B90" s="15">
        <v>100</v>
      </c>
      <c r="C90" s="15" t="s">
        <v>54</v>
      </c>
      <c r="D90" s="15" t="s">
        <v>68</v>
      </c>
      <c r="E90" s="15">
        <f>'17-july2026'!T90</f>
        <v>8</v>
      </c>
      <c r="F90" s="15">
        <f>'17-july2026'!U90</f>
        <v>0</v>
      </c>
      <c r="G90" s="15">
        <f>'17-july2026'!V90</f>
        <v>0</v>
      </c>
      <c r="H90" s="15">
        <f t="shared" si="20"/>
        <v>8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5">
        <f t="shared" si="21"/>
        <v>8</v>
      </c>
      <c r="T90" s="15">
        <f t="shared" si="22"/>
        <v>8</v>
      </c>
      <c r="U90" s="15">
        <f t="shared" si="23"/>
        <v>0</v>
      </c>
      <c r="V90" s="15">
        <f t="shared" si="24"/>
        <v>0</v>
      </c>
      <c r="W90" s="18" t="str">
        <f t="shared" si="25"/>
        <v/>
      </c>
      <c r="X90" s="17">
        <v>0</v>
      </c>
      <c r="Y90" s="17">
        <v>0</v>
      </c>
      <c r="Z90" s="15">
        <f t="shared" si="26"/>
        <v>0</v>
      </c>
      <c r="AA90" s="17">
        <v>0</v>
      </c>
      <c r="AB90" s="17">
        <v>0</v>
      </c>
      <c r="AC90" s="15">
        <f t="shared" si="27"/>
        <v>0</v>
      </c>
      <c r="AD90" s="17">
        <v>0</v>
      </c>
      <c r="AE90" s="17">
        <v>0</v>
      </c>
      <c r="AF90" s="15">
        <f t="shared" si="28"/>
        <v>0</v>
      </c>
      <c r="AG90" s="17">
        <v>0</v>
      </c>
      <c r="AH90" s="17">
        <v>0</v>
      </c>
      <c r="AI90" s="15">
        <f t="shared" si="29"/>
        <v>0</v>
      </c>
      <c r="AJ90" s="17"/>
    </row>
    <row r="91" spans="1:36" x14ac:dyDescent="0.3">
      <c r="A91" s="15" t="s">
        <v>140</v>
      </c>
      <c r="B91" s="15">
        <v>1000</v>
      </c>
      <c r="C91" s="15" t="s">
        <v>54</v>
      </c>
      <c r="D91" s="15" t="s">
        <v>68</v>
      </c>
      <c r="E91" s="15">
        <f>'17-july2026'!T91</f>
        <v>7</v>
      </c>
      <c r="F91" s="15">
        <f>'17-july2026'!U91</f>
        <v>0</v>
      </c>
      <c r="G91" s="15">
        <f>'17-july2026'!V91</f>
        <v>0</v>
      </c>
      <c r="H91" s="15">
        <f t="shared" si="20"/>
        <v>7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5">
        <f t="shared" si="21"/>
        <v>7</v>
      </c>
      <c r="T91" s="15">
        <f t="shared" si="22"/>
        <v>7</v>
      </c>
      <c r="U91" s="15">
        <f t="shared" si="23"/>
        <v>0</v>
      </c>
      <c r="V91" s="15">
        <f t="shared" si="24"/>
        <v>0</v>
      </c>
      <c r="W91" s="18" t="str">
        <f t="shared" si="25"/>
        <v/>
      </c>
      <c r="X91" s="17">
        <v>0</v>
      </c>
      <c r="Y91" s="17">
        <v>0</v>
      </c>
      <c r="Z91" s="15">
        <f t="shared" si="26"/>
        <v>0</v>
      </c>
      <c r="AA91" s="17">
        <v>0</v>
      </c>
      <c r="AB91" s="17">
        <v>0</v>
      </c>
      <c r="AC91" s="15">
        <f t="shared" si="27"/>
        <v>0</v>
      </c>
      <c r="AD91" s="17">
        <v>0</v>
      </c>
      <c r="AE91" s="17">
        <v>0</v>
      </c>
      <c r="AF91" s="15">
        <f t="shared" si="28"/>
        <v>0</v>
      </c>
      <c r="AG91" s="17">
        <v>0</v>
      </c>
      <c r="AH91" s="17">
        <v>0</v>
      </c>
      <c r="AI91" s="15">
        <f t="shared" si="29"/>
        <v>0</v>
      </c>
      <c r="AJ91" s="17"/>
    </row>
    <row r="92" spans="1:36" hidden="1" x14ac:dyDescent="0.3">
      <c r="A92" s="15" t="s">
        <v>141</v>
      </c>
      <c r="B92" s="15">
        <v>1000</v>
      </c>
      <c r="C92" s="15" t="s">
        <v>54</v>
      </c>
      <c r="D92" s="15" t="s">
        <v>55</v>
      </c>
      <c r="E92" s="15">
        <f>'17-july2026'!T92</f>
        <v>4</v>
      </c>
      <c r="F92" s="15">
        <f>'17-july2026'!U92</f>
        <v>0</v>
      </c>
      <c r="G92" s="15">
        <f>'17-july2026'!V92</f>
        <v>0</v>
      </c>
      <c r="H92" s="15">
        <f t="shared" si="20"/>
        <v>4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5">
        <f t="shared" si="21"/>
        <v>4</v>
      </c>
      <c r="T92" s="15">
        <f t="shared" si="22"/>
        <v>4</v>
      </c>
      <c r="U92" s="15">
        <f t="shared" si="23"/>
        <v>0</v>
      </c>
      <c r="V92" s="15">
        <f t="shared" si="24"/>
        <v>0</v>
      </c>
      <c r="W92" s="18" t="str">
        <f t="shared" si="25"/>
        <v/>
      </c>
      <c r="X92" s="17">
        <v>0</v>
      </c>
      <c r="Y92" s="17">
        <v>0</v>
      </c>
      <c r="Z92" s="15">
        <f t="shared" si="26"/>
        <v>0</v>
      </c>
      <c r="AA92" s="17">
        <v>0</v>
      </c>
      <c r="AB92" s="17">
        <v>0</v>
      </c>
      <c r="AC92" s="15">
        <f t="shared" si="27"/>
        <v>0</v>
      </c>
      <c r="AD92" s="17">
        <v>0</v>
      </c>
      <c r="AE92" s="17">
        <v>0</v>
      </c>
      <c r="AF92" s="15">
        <f t="shared" si="28"/>
        <v>0</v>
      </c>
      <c r="AG92" s="17">
        <v>0</v>
      </c>
      <c r="AH92" s="17">
        <v>0</v>
      </c>
      <c r="AI92" s="15">
        <f t="shared" si="29"/>
        <v>0</v>
      </c>
      <c r="AJ92" s="17"/>
    </row>
    <row r="93" spans="1:36" hidden="1" x14ac:dyDescent="0.3">
      <c r="A93" s="15" t="s">
        <v>142</v>
      </c>
      <c r="B93" s="15">
        <v>100</v>
      </c>
      <c r="C93" s="15" t="s">
        <v>54</v>
      </c>
      <c r="D93" s="15" t="s">
        <v>55</v>
      </c>
      <c r="E93" s="15">
        <f>'17-july2026'!T93</f>
        <v>1</v>
      </c>
      <c r="F93" s="15">
        <f>'17-july2026'!U93</f>
        <v>0</v>
      </c>
      <c r="G93" s="15">
        <f>'17-july2026'!V93</f>
        <v>0</v>
      </c>
      <c r="H93" s="15">
        <f t="shared" si="20"/>
        <v>1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5">
        <f t="shared" si="21"/>
        <v>1</v>
      </c>
      <c r="T93" s="15">
        <f t="shared" si="22"/>
        <v>1</v>
      </c>
      <c r="U93" s="15">
        <f t="shared" si="23"/>
        <v>0</v>
      </c>
      <c r="V93" s="15">
        <f t="shared" si="24"/>
        <v>0</v>
      </c>
      <c r="W93" s="18" t="str">
        <f t="shared" si="25"/>
        <v/>
      </c>
      <c r="X93" s="17">
        <v>0</v>
      </c>
      <c r="Y93" s="17">
        <v>0</v>
      </c>
      <c r="Z93" s="15">
        <f t="shared" si="26"/>
        <v>0</v>
      </c>
      <c r="AA93" s="17">
        <v>0</v>
      </c>
      <c r="AB93" s="17">
        <v>0</v>
      </c>
      <c r="AC93" s="15">
        <f t="shared" si="27"/>
        <v>0</v>
      </c>
      <c r="AD93" s="17">
        <v>0</v>
      </c>
      <c r="AE93" s="17">
        <v>0</v>
      </c>
      <c r="AF93" s="15">
        <f t="shared" si="28"/>
        <v>0</v>
      </c>
      <c r="AG93" s="17">
        <v>0</v>
      </c>
      <c r="AH93" s="17">
        <v>0</v>
      </c>
      <c r="AI93" s="15">
        <f t="shared" si="29"/>
        <v>0</v>
      </c>
      <c r="AJ93" s="17"/>
    </row>
    <row r="94" spans="1:36" x14ac:dyDescent="0.3">
      <c r="A94" s="15" t="s">
        <v>143</v>
      </c>
      <c r="B94" s="15">
        <v>1000</v>
      </c>
      <c r="C94" s="15" t="s">
        <v>54</v>
      </c>
      <c r="D94" s="15" t="s">
        <v>57</v>
      </c>
      <c r="E94" s="15">
        <f>'17-july2026'!T94</f>
        <v>1</v>
      </c>
      <c r="F94" s="15">
        <f>'17-july2026'!U94</f>
        <v>0</v>
      </c>
      <c r="G94" s="15">
        <f>'17-july2026'!V94</f>
        <v>0</v>
      </c>
      <c r="H94" s="15">
        <f t="shared" si="20"/>
        <v>1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5">
        <f t="shared" si="21"/>
        <v>1</v>
      </c>
      <c r="T94" s="15">
        <f t="shared" si="22"/>
        <v>1</v>
      </c>
      <c r="U94" s="15">
        <f t="shared" si="23"/>
        <v>0</v>
      </c>
      <c r="V94" s="15">
        <f t="shared" si="24"/>
        <v>0</v>
      </c>
      <c r="W94" s="18" t="str">
        <f t="shared" si="25"/>
        <v/>
      </c>
      <c r="X94" s="17">
        <v>0</v>
      </c>
      <c r="Y94" s="17">
        <v>0</v>
      </c>
      <c r="Z94" s="15">
        <f t="shared" si="26"/>
        <v>0</v>
      </c>
      <c r="AA94" s="17">
        <v>0</v>
      </c>
      <c r="AB94" s="17">
        <v>0</v>
      </c>
      <c r="AC94" s="15">
        <f t="shared" si="27"/>
        <v>0</v>
      </c>
      <c r="AD94" s="17">
        <v>0</v>
      </c>
      <c r="AE94" s="17">
        <v>0</v>
      </c>
      <c r="AF94" s="15">
        <f t="shared" si="28"/>
        <v>0</v>
      </c>
      <c r="AG94" s="17">
        <v>0</v>
      </c>
      <c r="AH94" s="17">
        <v>0</v>
      </c>
      <c r="AI94" s="15">
        <f t="shared" si="29"/>
        <v>0</v>
      </c>
      <c r="AJ94" s="17"/>
    </row>
    <row r="95" spans="1:36" x14ac:dyDescent="0.3">
      <c r="A95" s="15" t="s">
        <v>144</v>
      </c>
      <c r="B95" s="15">
        <v>1000</v>
      </c>
      <c r="C95" s="15" t="s">
        <v>54</v>
      </c>
      <c r="D95" s="15" t="s">
        <v>68</v>
      </c>
      <c r="E95" s="15">
        <f>'17-july2026'!T95</f>
        <v>1</v>
      </c>
      <c r="F95" s="15">
        <f>'17-july2026'!U95</f>
        <v>0</v>
      </c>
      <c r="G95" s="15">
        <f>'17-july2026'!V95</f>
        <v>0</v>
      </c>
      <c r="H95" s="15">
        <f t="shared" si="20"/>
        <v>1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5">
        <f t="shared" si="21"/>
        <v>1</v>
      </c>
      <c r="T95" s="15">
        <f t="shared" si="22"/>
        <v>1</v>
      </c>
      <c r="U95" s="15">
        <f t="shared" si="23"/>
        <v>0</v>
      </c>
      <c r="V95" s="15">
        <f t="shared" si="24"/>
        <v>0</v>
      </c>
      <c r="W95" s="18" t="str">
        <f t="shared" si="25"/>
        <v/>
      </c>
      <c r="X95" s="17">
        <v>0</v>
      </c>
      <c r="Y95" s="17">
        <v>0</v>
      </c>
      <c r="Z95" s="15">
        <f t="shared" si="26"/>
        <v>0</v>
      </c>
      <c r="AA95" s="17">
        <v>0</v>
      </c>
      <c r="AB95" s="17">
        <v>0</v>
      </c>
      <c r="AC95" s="15">
        <f t="shared" si="27"/>
        <v>0</v>
      </c>
      <c r="AD95" s="17">
        <v>0</v>
      </c>
      <c r="AE95" s="17">
        <v>0</v>
      </c>
      <c r="AF95" s="15">
        <f t="shared" si="28"/>
        <v>0</v>
      </c>
      <c r="AG95" s="17">
        <v>0</v>
      </c>
      <c r="AH95" s="17">
        <v>0</v>
      </c>
      <c r="AI95" s="15">
        <f t="shared" si="29"/>
        <v>0</v>
      </c>
      <c r="AJ95" s="17"/>
    </row>
    <row r="96" spans="1:36" x14ac:dyDescent="0.3">
      <c r="A96" s="15" t="s">
        <v>145</v>
      </c>
      <c r="B96" s="15">
        <v>1000</v>
      </c>
      <c r="C96" s="15" t="s">
        <v>54</v>
      </c>
      <c r="D96" s="15" t="s">
        <v>68</v>
      </c>
      <c r="E96" s="15">
        <f>'17-july2026'!T96</f>
        <v>5</v>
      </c>
      <c r="F96" s="15">
        <f>'17-july2026'!U96</f>
        <v>0</v>
      </c>
      <c r="G96" s="15">
        <f>'17-july2026'!V96</f>
        <v>0</v>
      </c>
      <c r="H96" s="15">
        <f t="shared" si="20"/>
        <v>5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5">
        <f t="shared" si="21"/>
        <v>5</v>
      </c>
      <c r="T96" s="15">
        <f t="shared" si="22"/>
        <v>5</v>
      </c>
      <c r="U96" s="15">
        <f t="shared" si="23"/>
        <v>0</v>
      </c>
      <c r="V96" s="15">
        <f t="shared" si="24"/>
        <v>0</v>
      </c>
      <c r="W96" s="18" t="str">
        <f t="shared" si="25"/>
        <v/>
      </c>
      <c r="X96" s="17">
        <v>0</v>
      </c>
      <c r="Y96" s="17">
        <v>0</v>
      </c>
      <c r="Z96" s="15">
        <f t="shared" si="26"/>
        <v>0</v>
      </c>
      <c r="AA96" s="17">
        <v>0</v>
      </c>
      <c r="AB96" s="17">
        <v>0</v>
      </c>
      <c r="AC96" s="15">
        <f t="shared" si="27"/>
        <v>0</v>
      </c>
      <c r="AD96" s="17">
        <v>0</v>
      </c>
      <c r="AE96" s="17">
        <v>0</v>
      </c>
      <c r="AF96" s="15">
        <f t="shared" si="28"/>
        <v>0</v>
      </c>
      <c r="AG96" s="17">
        <v>0</v>
      </c>
      <c r="AH96" s="17">
        <v>0</v>
      </c>
      <c r="AI96" s="15">
        <f t="shared" si="29"/>
        <v>0</v>
      </c>
      <c r="AJ96" s="17"/>
    </row>
    <row r="97" spans="1:36" x14ac:dyDescent="0.3">
      <c r="A97" s="15" t="s">
        <v>146</v>
      </c>
      <c r="B97" s="15">
        <v>1000</v>
      </c>
      <c r="C97" s="15" t="s">
        <v>54</v>
      </c>
      <c r="D97" s="15" t="s">
        <v>68</v>
      </c>
      <c r="E97" s="15">
        <f>'17-july2026'!T97</f>
        <v>4</v>
      </c>
      <c r="F97" s="15">
        <f>'17-july2026'!U97</f>
        <v>0</v>
      </c>
      <c r="G97" s="15">
        <f>'17-july2026'!V97</f>
        <v>0</v>
      </c>
      <c r="H97" s="15">
        <f t="shared" si="20"/>
        <v>4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5">
        <f t="shared" si="21"/>
        <v>4</v>
      </c>
      <c r="T97" s="15">
        <f t="shared" si="22"/>
        <v>4</v>
      </c>
      <c r="U97" s="15">
        <f t="shared" si="23"/>
        <v>0</v>
      </c>
      <c r="V97" s="15">
        <f t="shared" si="24"/>
        <v>0</v>
      </c>
      <c r="W97" s="18" t="str">
        <f t="shared" si="25"/>
        <v/>
      </c>
      <c r="X97" s="17">
        <v>0</v>
      </c>
      <c r="Y97" s="17">
        <v>0</v>
      </c>
      <c r="Z97" s="15">
        <f t="shared" si="26"/>
        <v>0</v>
      </c>
      <c r="AA97" s="17">
        <v>0</v>
      </c>
      <c r="AB97" s="17">
        <v>0</v>
      </c>
      <c r="AC97" s="15">
        <f t="shared" si="27"/>
        <v>0</v>
      </c>
      <c r="AD97" s="17">
        <v>0</v>
      </c>
      <c r="AE97" s="17">
        <v>0</v>
      </c>
      <c r="AF97" s="15">
        <f t="shared" si="28"/>
        <v>0</v>
      </c>
      <c r="AG97" s="17">
        <v>0</v>
      </c>
      <c r="AH97" s="17">
        <v>0</v>
      </c>
      <c r="AI97" s="15">
        <f t="shared" si="29"/>
        <v>0</v>
      </c>
      <c r="AJ97" s="17"/>
    </row>
    <row r="98" spans="1:36" hidden="1" x14ac:dyDescent="0.3">
      <c r="A98" s="15" t="s">
        <v>147</v>
      </c>
      <c r="B98" s="15">
        <v>1000</v>
      </c>
      <c r="C98" s="15" t="s">
        <v>54</v>
      </c>
      <c r="D98" s="15" t="s">
        <v>55</v>
      </c>
      <c r="E98" s="15">
        <f>'17-july2026'!T98</f>
        <v>0</v>
      </c>
      <c r="F98" s="15">
        <f>'17-july2026'!U98</f>
        <v>1</v>
      </c>
      <c r="G98" s="15">
        <f>'17-july2026'!V98</f>
        <v>39</v>
      </c>
      <c r="H98" s="15">
        <f t="shared" si="20"/>
        <v>40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34</v>
      </c>
      <c r="O98" s="17">
        <v>34</v>
      </c>
      <c r="P98" s="17">
        <v>0</v>
      </c>
      <c r="Q98" s="17">
        <v>0</v>
      </c>
      <c r="R98" s="17">
        <v>0</v>
      </c>
      <c r="S98" s="15">
        <f t="shared" si="21"/>
        <v>40</v>
      </c>
      <c r="T98" s="15">
        <f t="shared" si="22"/>
        <v>34</v>
      </c>
      <c r="U98" s="15">
        <f t="shared" si="23"/>
        <v>1</v>
      </c>
      <c r="V98" s="15">
        <f t="shared" si="24"/>
        <v>5</v>
      </c>
      <c r="W98" s="18" t="str">
        <f t="shared" si="25"/>
        <v/>
      </c>
      <c r="X98" s="17">
        <v>0</v>
      </c>
      <c r="Y98" s="17">
        <v>0</v>
      </c>
      <c r="Z98" s="15">
        <f t="shared" si="26"/>
        <v>0</v>
      </c>
      <c r="AA98" s="17">
        <v>0</v>
      </c>
      <c r="AB98" s="17">
        <v>0</v>
      </c>
      <c r="AC98" s="15">
        <f t="shared" si="27"/>
        <v>0</v>
      </c>
      <c r="AD98" s="17">
        <v>0</v>
      </c>
      <c r="AE98" s="17">
        <v>0</v>
      </c>
      <c r="AF98" s="15">
        <f t="shared" si="28"/>
        <v>0</v>
      </c>
      <c r="AG98" s="17">
        <v>0</v>
      </c>
      <c r="AH98" s="17">
        <v>0</v>
      </c>
      <c r="AI98" s="15">
        <f t="shared" si="29"/>
        <v>0</v>
      </c>
      <c r="AJ98" s="17"/>
    </row>
    <row r="99" spans="1:36" x14ac:dyDescent="0.3">
      <c r="A99" s="15" t="s">
        <v>148</v>
      </c>
      <c r="B99" s="15">
        <v>100</v>
      </c>
      <c r="C99" s="15" t="s">
        <v>54</v>
      </c>
      <c r="D99" s="15" t="s">
        <v>57</v>
      </c>
      <c r="E99" s="15">
        <f>'17-july2026'!T99</f>
        <v>2</v>
      </c>
      <c r="F99" s="15">
        <f>'17-july2026'!U99</f>
        <v>0</v>
      </c>
      <c r="G99" s="15">
        <f>'17-july2026'!V99</f>
        <v>0</v>
      </c>
      <c r="H99" s="15">
        <f t="shared" ref="H99:H130" si="30">E99+F99+G99</f>
        <v>2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5">
        <f t="shared" ref="S99:S130" si="31">H99+O99+P99+Q99+R99-(I99+J99+K99+L99+M99+N99)</f>
        <v>2</v>
      </c>
      <c r="T99" s="15">
        <f t="shared" ref="T99:T130" si="32">E99+O99-I99-L99</f>
        <v>2</v>
      </c>
      <c r="U99" s="15">
        <f t="shared" ref="U99:U130" si="33">F99+P99-J99-M99</f>
        <v>0</v>
      </c>
      <c r="V99" s="15">
        <f t="shared" ref="V99:V130" si="34">G99+Q99-K99-N99</f>
        <v>0</v>
      </c>
      <c r="W99" s="18" t="str">
        <f t="shared" ref="W99:W130" si="35">IF(MIN(T99,U99,V99)&lt;0,"NEGATIVE STOCK - CHECK ENTRIES","")</f>
        <v/>
      </c>
      <c r="X99" s="17">
        <v>0</v>
      </c>
      <c r="Y99" s="17">
        <v>0</v>
      </c>
      <c r="Z99" s="15">
        <f t="shared" ref="Z99:Z130" si="36">X99-Y99</f>
        <v>0</v>
      </c>
      <c r="AA99" s="17">
        <v>0</v>
      </c>
      <c r="AB99" s="17">
        <v>0</v>
      </c>
      <c r="AC99" s="15">
        <f t="shared" ref="AC99:AC130" si="37">AA99-AB99</f>
        <v>0</v>
      </c>
      <c r="AD99" s="17">
        <v>0</v>
      </c>
      <c r="AE99" s="17">
        <v>0</v>
      </c>
      <c r="AF99" s="15">
        <f t="shared" ref="AF99:AF130" si="38">AD99-AE99</f>
        <v>0</v>
      </c>
      <c r="AG99" s="17">
        <v>0</v>
      </c>
      <c r="AH99" s="17">
        <v>0</v>
      </c>
      <c r="AI99" s="15">
        <f t="shared" ref="AI99:AI130" si="39">AG99-AH99</f>
        <v>0</v>
      </c>
      <c r="AJ99" s="17"/>
    </row>
    <row r="100" spans="1:36" hidden="1" x14ac:dyDescent="0.3">
      <c r="A100" s="15" t="s">
        <v>149</v>
      </c>
      <c r="B100" s="15">
        <v>250</v>
      </c>
      <c r="C100" s="15" t="s">
        <v>54</v>
      </c>
      <c r="D100" s="15" t="s">
        <v>55</v>
      </c>
      <c r="E100" s="15">
        <v>0</v>
      </c>
      <c r="F100" s="15">
        <v>0</v>
      </c>
      <c r="G100" s="15">
        <v>0</v>
      </c>
      <c r="H100" s="15">
        <f t="shared" si="30"/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5">
        <f t="shared" si="31"/>
        <v>0</v>
      </c>
      <c r="T100" s="15">
        <f t="shared" si="32"/>
        <v>0</v>
      </c>
      <c r="U100" s="15">
        <f t="shared" si="33"/>
        <v>0</v>
      </c>
      <c r="V100" s="15">
        <f t="shared" si="34"/>
        <v>0</v>
      </c>
      <c r="W100" s="18" t="str">
        <f t="shared" si="35"/>
        <v/>
      </c>
      <c r="X100" s="17">
        <v>0</v>
      </c>
      <c r="Y100" s="17">
        <v>0</v>
      </c>
      <c r="Z100" s="15">
        <f t="shared" si="36"/>
        <v>0</v>
      </c>
      <c r="AA100" s="17">
        <v>0</v>
      </c>
      <c r="AB100" s="17">
        <v>0</v>
      </c>
      <c r="AC100" s="15">
        <f t="shared" si="37"/>
        <v>0</v>
      </c>
      <c r="AD100" s="17">
        <v>0</v>
      </c>
      <c r="AE100" s="17">
        <v>0</v>
      </c>
      <c r="AF100" s="15">
        <f t="shared" si="38"/>
        <v>0</v>
      </c>
      <c r="AG100" s="17">
        <v>0</v>
      </c>
      <c r="AH100" s="17">
        <v>0</v>
      </c>
      <c r="AI100" s="15">
        <f t="shared" si="39"/>
        <v>0</v>
      </c>
      <c r="AJ100" s="17"/>
    </row>
    <row r="101" spans="1:36" x14ac:dyDescent="0.3">
      <c r="A101" s="15" t="s">
        <v>150</v>
      </c>
      <c r="B101" s="15">
        <v>10000</v>
      </c>
      <c r="C101" s="15" t="s">
        <v>54</v>
      </c>
      <c r="D101" s="15" t="s">
        <v>68</v>
      </c>
      <c r="E101" s="15">
        <f>'17-july2026'!T101</f>
        <v>1</v>
      </c>
      <c r="F101" s="15">
        <f>'17-july2026'!U101</f>
        <v>0</v>
      </c>
      <c r="G101" s="15">
        <f>'17-july2026'!V101</f>
        <v>0</v>
      </c>
      <c r="H101" s="15">
        <f t="shared" si="30"/>
        <v>1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5">
        <f t="shared" si="31"/>
        <v>1</v>
      </c>
      <c r="T101" s="15">
        <f t="shared" si="32"/>
        <v>1</v>
      </c>
      <c r="U101" s="15">
        <f t="shared" si="33"/>
        <v>0</v>
      </c>
      <c r="V101" s="15">
        <f t="shared" si="34"/>
        <v>0</v>
      </c>
      <c r="W101" s="18" t="str">
        <f t="shared" si="35"/>
        <v/>
      </c>
      <c r="X101" s="17">
        <v>0</v>
      </c>
      <c r="Y101" s="17">
        <v>0</v>
      </c>
      <c r="Z101" s="15">
        <f t="shared" si="36"/>
        <v>0</v>
      </c>
      <c r="AA101" s="17">
        <v>0</v>
      </c>
      <c r="AB101" s="17">
        <v>0</v>
      </c>
      <c r="AC101" s="15">
        <f t="shared" si="37"/>
        <v>0</v>
      </c>
      <c r="AD101" s="17">
        <v>0</v>
      </c>
      <c r="AE101" s="17">
        <v>0</v>
      </c>
      <c r="AF101" s="15">
        <f t="shared" si="38"/>
        <v>0</v>
      </c>
      <c r="AG101" s="17">
        <v>0</v>
      </c>
      <c r="AH101" s="17">
        <v>0</v>
      </c>
      <c r="AI101" s="15">
        <f t="shared" si="39"/>
        <v>0</v>
      </c>
      <c r="AJ101" s="17"/>
    </row>
    <row r="102" spans="1:36" x14ac:dyDescent="0.3">
      <c r="A102" s="15" t="s">
        <v>151</v>
      </c>
      <c r="B102" s="15">
        <v>100000</v>
      </c>
      <c r="C102" s="15" t="s">
        <v>54</v>
      </c>
      <c r="D102" s="15" t="s">
        <v>68</v>
      </c>
      <c r="E102" s="15">
        <f>'17-july2026'!T102</f>
        <v>2</v>
      </c>
      <c r="F102" s="15">
        <f>'17-july2026'!U102</f>
        <v>0</v>
      </c>
      <c r="G102" s="15">
        <f>'17-july2026'!V102</f>
        <v>0</v>
      </c>
      <c r="H102" s="15">
        <f t="shared" si="30"/>
        <v>2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5">
        <f t="shared" si="31"/>
        <v>2</v>
      </c>
      <c r="T102" s="15">
        <f t="shared" si="32"/>
        <v>2</v>
      </c>
      <c r="U102" s="15">
        <f t="shared" si="33"/>
        <v>0</v>
      </c>
      <c r="V102" s="15">
        <f t="shared" si="34"/>
        <v>0</v>
      </c>
      <c r="W102" s="18" t="str">
        <f t="shared" si="35"/>
        <v/>
      </c>
      <c r="X102" s="17">
        <v>0</v>
      </c>
      <c r="Y102" s="17">
        <v>0</v>
      </c>
      <c r="Z102" s="15">
        <f t="shared" si="36"/>
        <v>0</v>
      </c>
      <c r="AA102" s="17">
        <v>0</v>
      </c>
      <c r="AB102" s="17">
        <v>0</v>
      </c>
      <c r="AC102" s="15">
        <f t="shared" si="37"/>
        <v>0</v>
      </c>
      <c r="AD102" s="17">
        <v>0</v>
      </c>
      <c r="AE102" s="17">
        <v>0</v>
      </c>
      <c r="AF102" s="15">
        <f t="shared" si="38"/>
        <v>0</v>
      </c>
      <c r="AG102" s="17">
        <v>0</v>
      </c>
      <c r="AH102" s="17">
        <v>0</v>
      </c>
      <c r="AI102" s="15">
        <f t="shared" si="39"/>
        <v>0</v>
      </c>
      <c r="AJ102" s="17"/>
    </row>
    <row r="103" spans="1:36" x14ac:dyDescent="0.3">
      <c r="A103" s="15" t="s">
        <v>152</v>
      </c>
      <c r="B103" s="15">
        <v>500</v>
      </c>
      <c r="C103" s="15" t="s">
        <v>54</v>
      </c>
      <c r="D103" s="15" t="s">
        <v>57</v>
      </c>
      <c r="E103" s="15">
        <f>'17-july2026'!T103</f>
        <v>1</v>
      </c>
      <c r="F103" s="15">
        <f>'17-july2026'!U103</f>
        <v>0</v>
      </c>
      <c r="G103" s="15">
        <f>'17-july2026'!V103</f>
        <v>0</v>
      </c>
      <c r="H103" s="15">
        <f t="shared" si="30"/>
        <v>1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5">
        <f t="shared" si="31"/>
        <v>1</v>
      </c>
      <c r="T103" s="15">
        <f t="shared" si="32"/>
        <v>1</v>
      </c>
      <c r="U103" s="15">
        <f t="shared" si="33"/>
        <v>0</v>
      </c>
      <c r="V103" s="15">
        <f t="shared" si="34"/>
        <v>0</v>
      </c>
      <c r="W103" s="18" t="str">
        <f t="shared" si="35"/>
        <v/>
      </c>
      <c r="X103" s="17">
        <v>0</v>
      </c>
      <c r="Y103" s="17">
        <v>0</v>
      </c>
      <c r="Z103" s="15">
        <f t="shared" si="36"/>
        <v>0</v>
      </c>
      <c r="AA103" s="17">
        <v>0</v>
      </c>
      <c r="AB103" s="17">
        <v>0</v>
      </c>
      <c r="AC103" s="15">
        <f t="shared" si="37"/>
        <v>0</v>
      </c>
      <c r="AD103" s="17">
        <v>0</v>
      </c>
      <c r="AE103" s="17">
        <v>0</v>
      </c>
      <c r="AF103" s="15">
        <f t="shared" si="38"/>
        <v>0</v>
      </c>
      <c r="AG103" s="17">
        <v>0</v>
      </c>
      <c r="AH103" s="17">
        <v>0</v>
      </c>
      <c r="AI103" s="15">
        <f t="shared" si="39"/>
        <v>0</v>
      </c>
      <c r="AJ103" s="17"/>
    </row>
    <row r="104" spans="1:36" hidden="1" x14ac:dyDescent="0.3">
      <c r="A104" s="15" t="s">
        <v>153</v>
      </c>
      <c r="B104" s="15">
        <v>100</v>
      </c>
      <c r="C104" s="15" t="s">
        <v>54</v>
      </c>
      <c r="D104" s="15" t="s">
        <v>68</v>
      </c>
      <c r="E104" s="15">
        <f>'17-july2026'!T104</f>
        <v>0</v>
      </c>
      <c r="F104" s="15">
        <f>'17-july2026'!U104</f>
        <v>0</v>
      </c>
      <c r="G104" s="15">
        <f>'17-july2026'!V104</f>
        <v>0</v>
      </c>
      <c r="H104" s="15">
        <f t="shared" si="30"/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5">
        <f t="shared" si="31"/>
        <v>0</v>
      </c>
      <c r="T104" s="15">
        <f t="shared" si="32"/>
        <v>0</v>
      </c>
      <c r="U104" s="15">
        <f t="shared" si="33"/>
        <v>0</v>
      </c>
      <c r="V104" s="15">
        <f t="shared" si="34"/>
        <v>0</v>
      </c>
      <c r="W104" s="18" t="str">
        <f t="shared" si="35"/>
        <v/>
      </c>
      <c r="X104" s="17">
        <v>0</v>
      </c>
      <c r="Y104" s="17">
        <v>0</v>
      </c>
      <c r="Z104" s="15">
        <f t="shared" si="36"/>
        <v>0</v>
      </c>
      <c r="AA104" s="17">
        <v>0</v>
      </c>
      <c r="AB104" s="17">
        <v>0</v>
      </c>
      <c r="AC104" s="15">
        <f t="shared" si="37"/>
        <v>0</v>
      </c>
      <c r="AD104" s="17">
        <v>0</v>
      </c>
      <c r="AE104" s="17">
        <v>0</v>
      </c>
      <c r="AF104" s="15">
        <f t="shared" si="38"/>
        <v>0</v>
      </c>
      <c r="AG104" s="17">
        <v>0</v>
      </c>
      <c r="AH104" s="17">
        <v>0</v>
      </c>
      <c r="AI104" s="15">
        <f t="shared" si="39"/>
        <v>0</v>
      </c>
      <c r="AJ104" s="17"/>
    </row>
    <row r="105" spans="1:36" hidden="1" x14ac:dyDescent="0.3">
      <c r="A105" s="15" t="s">
        <v>154</v>
      </c>
      <c r="B105" s="15">
        <v>100</v>
      </c>
      <c r="C105" s="15" t="s">
        <v>54</v>
      </c>
      <c r="D105" s="15" t="s">
        <v>55</v>
      </c>
      <c r="E105" s="15">
        <f>'17-july2026'!T105</f>
        <v>15</v>
      </c>
      <c r="F105" s="15">
        <f>'17-july2026'!U105</f>
        <v>4</v>
      </c>
      <c r="G105" s="15">
        <f>'17-july2026'!V105</f>
        <v>0</v>
      </c>
      <c r="H105" s="15">
        <f t="shared" si="30"/>
        <v>19</v>
      </c>
      <c r="I105" s="17">
        <v>0</v>
      </c>
      <c r="J105" s="17">
        <v>0</v>
      </c>
      <c r="K105" s="17">
        <v>0</v>
      </c>
      <c r="L105" s="17">
        <v>0</v>
      </c>
      <c r="M105" s="17">
        <v>4</v>
      </c>
      <c r="N105" s="17">
        <v>0</v>
      </c>
      <c r="O105" s="17">
        <v>54</v>
      </c>
      <c r="P105" s="17">
        <v>0</v>
      </c>
      <c r="Q105" s="17">
        <v>0</v>
      </c>
      <c r="R105" s="17">
        <v>0</v>
      </c>
      <c r="S105" s="15">
        <f t="shared" si="31"/>
        <v>69</v>
      </c>
      <c r="T105" s="15">
        <f t="shared" si="32"/>
        <v>69</v>
      </c>
      <c r="U105" s="15">
        <f t="shared" si="33"/>
        <v>0</v>
      </c>
      <c r="V105" s="15">
        <f t="shared" si="34"/>
        <v>0</v>
      </c>
      <c r="W105" s="18" t="str">
        <f t="shared" si="35"/>
        <v/>
      </c>
      <c r="X105" s="17">
        <v>0</v>
      </c>
      <c r="Y105" s="17">
        <v>0</v>
      </c>
      <c r="Z105" s="15">
        <f t="shared" si="36"/>
        <v>0</v>
      </c>
      <c r="AA105" s="17">
        <v>0</v>
      </c>
      <c r="AB105" s="17">
        <v>0</v>
      </c>
      <c r="AC105" s="15">
        <f t="shared" si="37"/>
        <v>0</v>
      </c>
      <c r="AD105" s="17">
        <v>0</v>
      </c>
      <c r="AE105" s="17">
        <v>0</v>
      </c>
      <c r="AF105" s="15">
        <f t="shared" si="38"/>
        <v>0</v>
      </c>
      <c r="AG105" s="17">
        <v>0</v>
      </c>
      <c r="AH105" s="17">
        <v>0</v>
      </c>
      <c r="AI105" s="15">
        <f t="shared" si="39"/>
        <v>0</v>
      </c>
      <c r="AJ105" s="17"/>
    </row>
    <row r="106" spans="1:36" x14ac:dyDescent="0.3">
      <c r="A106" s="15" t="s">
        <v>155</v>
      </c>
      <c r="B106" s="15">
        <v>100</v>
      </c>
      <c r="C106" s="15" t="s">
        <v>54</v>
      </c>
      <c r="D106" s="15" t="s">
        <v>68</v>
      </c>
      <c r="E106" s="15">
        <f>'17-july2026'!T106</f>
        <v>1</v>
      </c>
      <c r="F106" s="15">
        <f>'17-july2026'!U106</f>
        <v>0</v>
      </c>
      <c r="G106" s="15">
        <f>'17-july2026'!V106</f>
        <v>0</v>
      </c>
      <c r="H106" s="15">
        <f t="shared" si="30"/>
        <v>1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5">
        <f t="shared" si="31"/>
        <v>1</v>
      </c>
      <c r="T106" s="15">
        <f t="shared" si="32"/>
        <v>1</v>
      </c>
      <c r="U106" s="15">
        <f t="shared" si="33"/>
        <v>0</v>
      </c>
      <c r="V106" s="15">
        <f t="shared" si="34"/>
        <v>0</v>
      </c>
      <c r="W106" s="18" t="str">
        <f t="shared" si="35"/>
        <v/>
      </c>
      <c r="X106" s="17">
        <v>0</v>
      </c>
      <c r="Y106" s="17">
        <v>0</v>
      </c>
      <c r="Z106" s="15">
        <f t="shared" si="36"/>
        <v>0</v>
      </c>
      <c r="AA106" s="17">
        <v>0</v>
      </c>
      <c r="AB106" s="17">
        <v>0</v>
      </c>
      <c r="AC106" s="15">
        <f t="shared" si="37"/>
        <v>0</v>
      </c>
      <c r="AD106" s="17">
        <v>0</v>
      </c>
      <c r="AE106" s="17">
        <v>0</v>
      </c>
      <c r="AF106" s="15">
        <f t="shared" si="38"/>
        <v>0</v>
      </c>
      <c r="AG106" s="17">
        <v>0</v>
      </c>
      <c r="AH106" s="17">
        <v>0</v>
      </c>
      <c r="AI106" s="15">
        <f t="shared" si="39"/>
        <v>0</v>
      </c>
      <c r="AJ106" s="17"/>
    </row>
    <row r="107" spans="1:36" x14ac:dyDescent="0.3">
      <c r="A107" s="15" t="s">
        <v>156</v>
      </c>
      <c r="B107" s="15">
        <v>2500</v>
      </c>
      <c r="C107" s="15" t="s">
        <v>54</v>
      </c>
      <c r="D107" s="15" t="s">
        <v>68</v>
      </c>
      <c r="E107" s="15">
        <f>'17-july2026'!T107</f>
        <v>1</v>
      </c>
      <c r="F107" s="15">
        <f>'17-july2026'!U107</f>
        <v>0</v>
      </c>
      <c r="G107" s="15">
        <f>'17-july2026'!V107</f>
        <v>0</v>
      </c>
      <c r="H107" s="15">
        <f t="shared" si="30"/>
        <v>1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5">
        <f t="shared" si="31"/>
        <v>1</v>
      </c>
      <c r="T107" s="15">
        <f t="shared" si="32"/>
        <v>1</v>
      </c>
      <c r="U107" s="15">
        <f t="shared" si="33"/>
        <v>0</v>
      </c>
      <c r="V107" s="15">
        <f t="shared" si="34"/>
        <v>0</v>
      </c>
      <c r="W107" s="18" t="str">
        <f t="shared" si="35"/>
        <v/>
      </c>
      <c r="X107" s="17">
        <v>0</v>
      </c>
      <c r="Y107" s="17">
        <v>0</v>
      </c>
      <c r="Z107" s="15">
        <f t="shared" si="36"/>
        <v>0</v>
      </c>
      <c r="AA107" s="17">
        <v>0</v>
      </c>
      <c r="AB107" s="17">
        <v>0</v>
      </c>
      <c r="AC107" s="15">
        <f t="shared" si="37"/>
        <v>0</v>
      </c>
      <c r="AD107" s="17">
        <v>0</v>
      </c>
      <c r="AE107" s="17">
        <v>0</v>
      </c>
      <c r="AF107" s="15">
        <f t="shared" si="38"/>
        <v>0</v>
      </c>
      <c r="AG107" s="17">
        <v>0</v>
      </c>
      <c r="AH107" s="17">
        <v>0</v>
      </c>
      <c r="AI107" s="15">
        <f t="shared" si="39"/>
        <v>0</v>
      </c>
      <c r="AJ107" s="17"/>
    </row>
    <row r="108" spans="1:36" x14ac:dyDescent="0.3">
      <c r="A108" s="15" t="s">
        <v>157</v>
      </c>
      <c r="B108" s="15">
        <v>100</v>
      </c>
      <c r="C108" s="15" t="s">
        <v>54</v>
      </c>
      <c r="D108" s="15" t="s">
        <v>57</v>
      </c>
      <c r="E108" s="15">
        <f>'17-july2026'!T108</f>
        <v>2</v>
      </c>
      <c r="F108" s="15">
        <f>'17-july2026'!U108</f>
        <v>0</v>
      </c>
      <c r="G108" s="15">
        <f>'17-july2026'!V108</f>
        <v>0</v>
      </c>
      <c r="H108" s="15">
        <f t="shared" si="30"/>
        <v>2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5">
        <f t="shared" si="31"/>
        <v>2</v>
      </c>
      <c r="T108" s="15">
        <f t="shared" si="32"/>
        <v>2</v>
      </c>
      <c r="U108" s="15">
        <f t="shared" si="33"/>
        <v>0</v>
      </c>
      <c r="V108" s="15">
        <f t="shared" si="34"/>
        <v>0</v>
      </c>
      <c r="W108" s="18" t="str">
        <f t="shared" si="35"/>
        <v/>
      </c>
      <c r="X108" s="17">
        <v>0</v>
      </c>
      <c r="Y108" s="17">
        <v>0</v>
      </c>
      <c r="Z108" s="15">
        <f t="shared" si="36"/>
        <v>0</v>
      </c>
      <c r="AA108" s="17">
        <v>0</v>
      </c>
      <c r="AB108" s="17">
        <v>0</v>
      </c>
      <c r="AC108" s="15">
        <f t="shared" si="37"/>
        <v>0</v>
      </c>
      <c r="AD108" s="17">
        <v>0</v>
      </c>
      <c r="AE108" s="17">
        <v>0</v>
      </c>
      <c r="AF108" s="15">
        <f t="shared" si="38"/>
        <v>0</v>
      </c>
      <c r="AG108" s="17">
        <v>0</v>
      </c>
      <c r="AH108" s="17">
        <v>0</v>
      </c>
      <c r="AI108" s="15">
        <f t="shared" si="39"/>
        <v>0</v>
      </c>
      <c r="AJ108" s="17"/>
    </row>
    <row r="109" spans="1:36" hidden="1" x14ac:dyDescent="0.3">
      <c r="A109" s="15" t="s">
        <v>158</v>
      </c>
      <c r="B109" s="15">
        <v>100</v>
      </c>
      <c r="C109" s="15" t="s">
        <v>54</v>
      </c>
      <c r="D109" s="15" t="s">
        <v>55</v>
      </c>
      <c r="E109" s="15">
        <f>'17-july2026'!T109</f>
        <v>27</v>
      </c>
      <c r="F109" s="15">
        <f>'17-july2026'!U109</f>
        <v>0</v>
      </c>
      <c r="G109" s="15">
        <f>'17-july2026'!V109</f>
        <v>0</v>
      </c>
      <c r="H109" s="15">
        <f t="shared" si="30"/>
        <v>27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5">
        <f t="shared" si="31"/>
        <v>27</v>
      </c>
      <c r="T109" s="15">
        <f t="shared" si="32"/>
        <v>27</v>
      </c>
      <c r="U109" s="15">
        <f t="shared" si="33"/>
        <v>0</v>
      </c>
      <c r="V109" s="15">
        <f t="shared" si="34"/>
        <v>0</v>
      </c>
      <c r="W109" s="18" t="str">
        <f t="shared" si="35"/>
        <v/>
      </c>
      <c r="X109" s="17">
        <v>0</v>
      </c>
      <c r="Y109" s="17">
        <v>0</v>
      </c>
      <c r="Z109" s="15">
        <f t="shared" si="36"/>
        <v>0</v>
      </c>
      <c r="AA109" s="17">
        <v>0</v>
      </c>
      <c r="AB109" s="17">
        <v>0</v>
      </c>
      <c r="AC109" s="15">
        <f t="shared" si="37"/>
        <v>0</v>
      </c>
      <c r="AD109" s="17">
        <v>0</v>
      </c>
      <c r="AE109" s="17">
        <v>0</v>
      </c>
      <c r="AF109" s="15">
        <f t="shared" si="38"/>
        <v>0</v>
      </c>
      <c r="AG109" s="17">
        <v>0</v>
      </c>
      <c r="AH109" s="17">
        <v>0</v>
      </c>
      <c r="AI109" s="15">
        <f t="shared" si="39"/>
        <v>0</v>
      </c>
      <c r="AJ109" s="17"/>
    </row>
    <row r="110" spans="1:36" hidden="1" x14ac:dyDescent="0.3">
      <c r="A110" s="15" t="s">
        <v>159</v>
      </c>
      <c r="B110" s="15">
        <v>100</v>
      </c>
      <c r="C110" s="15" t="s">
        <v>54</v>
      </c>
      <c r="D110" s="15" t="s">
        <v>55</v>
      </c>
      <c r="E110" s="15">
        <f>'17-july2026'!T110</f>
        <v>99</v>
      </c>
      <c r="F110" s="15">
        <f>'17-july2026'!U110</f>
        <v>0</v>
      </c>
      <c r="G110" s="15">
        <f>'17-july2026'!V110</f>
        <v>0</v>
      </c>
      <c r="H110" s="15">
        <f t="shared" si="30"/>
        <v>99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5">
        <f t="shared" si="31"/>
        <v>99</v>
      </c>
      <c r="T110" s="15">
        <f t="shared" si="32"/>
        <v>99</v>
      </c>
      <c r="U110" s="15">
        <f t="shared" si="33"/>
        <v>0</v>
      </c>
      <c r="V110" s="15">
        <f t="shared" si="34"/>
        <v>0</v>
      </c>
      <c r="W110" s="18" t="str">
        <f t="shared" si="35"/>
        <v/>
      </c>
      <c r="X110" s="17">
        <v>0</v>
      </c>
      <c r="Y110" s="17">
        <v>0</v>
      </c>
      <c r="Z110" s="15">
        <f t="shared" si="36"/>
        <v>0</v>
      </c>
      <c r="AA110" s="17">
        <v>0</v>
      </c>
      <c r="AB110" s="17">
        <v>0</v>
      </c>
      <c r="AC110" s="15">
        <f t="shared" si="37"/>
        <v>0</v>
      </c>
      <c r="AD110" s="17">
        <v>0</v>
      </c>
      <c r="AE110" s="17">
        <v>0</v>
      </c>
      <c r="AF110" s="15">
        <f t="shared" si="38"/>
        <v>0</v>
      </c>
      <c r="AG110" s="17">
        <v>0</v>
      </c>
      <c r="AH110" s="17">
        <v>0</v>
      </c>
      <c r="AI110" s="15">
        <f t="shared" si="39"/>
        <v>0</v>
      </c>
      <c r="AJ110" s="17"/>
    </row>
    <row r="111" spans="1:36" hidden="1" x14ac:dyDescent="0.3">
      <c r="A111" s="15" t="s">
        <v>160</v>
      </c>
      <c r="B111" s="15">
        <v>100</v>
      </c>
      <c r="C111" s="15" t="s">
        <v>54</v>
      </c>
      <c r="D111" s="15" t="s">
        <v>55</v>
      </c>
      <c r="E111" s="15">
        <f>'17-july2026'!T111</f>
        <v>119</v>
      </c>
      <c r="F111" s="15">
        <f>'17-july2026'!U111</f>
        <v>4</v>
      </c>
      <c r="G111" s="15">
        <f>'17-july2026'!V111</f>
        <v>13</v>
      </c>
      <c r="H111" s="15">
        <f t="shared" si="30"/>
        <v>136</v>
      </c>
      <c r="I111" s="17">
        <v>1</v>
      </c>
      <c r="J111" s="17">
        <v>0</v>
      </c>
      <c r="K111" s="17">
        <v>0</v>
      </c>
      <c r="L111" s="17">
        <v>4</v>
      </c>
      <c r="M111" s="17">
        <v>0</v>
      </c>
      <c r="N111" s="17">
        <v>8</v>
      </c>
      <c r="O111" s="17">
        <v>8</v>
      </c>
      <c r="P111" s="17">
        <v>0</v>
      </c>
      <c r="Q111" s="17">
        <v>0</v>
      </c>
      <c r="R111" s="17">
        <v>0</v>
      </c>
      <c r="S111" s="15">
        <f t="shared" si="31"/>
        <v>131</v>
      </c>
      <c r="T111" s="15">
        <f t="shared" si="32"/>
        <v>122</v>
      </c>
      <c r="U111" s="15">
        <f t="shared" si="33"/>
        <v>4</v>
      </c>
      <c r="V111" s="15">
        <f t="shared" si="34"/>
        <v>5</v>
      </c>
      <c r="W111" s="18" t="str">
        <f t="shared" si="35"/>
        <v/>
      </c>
      <c r="X111" s="17">
        <v>0</v>
      </c>
      <c r="Y111" s="17">
        <v>0</v>
      </c>
      <c r="Z111" s="15">
        <f t="shared" si="36"/>
        <v>0</v>
      </c>
      <c r="AA111" s="17">
        <v>0</v>
      </c>
      <c r="AB111" s="17">
        <v>0</v>
      </c>
      <c r="AC111" s="15">
        <f t="shared" si="37"/>
        <v>0</v>
      </c>
      <c r="AD111" s="17">
        <v>0</v>
      </c>
      <c r="AE111" s="17">
        <v>0</v>
      </c>
      <c r="AF111" s="15">
        <f t="shared" si="38"/>
        <v>0</v>
      </c>
      <c r="AG111" s="17">
        <v>0</v>
      </c>
      <c r="AH111" s="17">
        <v>0</v>
      </c>
      <c r="AI111" s="15">
        <f t="shared" si="39"/>
        <v>0</v>
      </c>
      <c r="AJ111" s="17"/>
    </row>
    <row r="112" spans="1:36" hidden="1" x14ac:dyDescent="0.3">
      <c r="A112" s="15" t="s">
        <v>161</v>
      </c>
      <c r="B112" s="15">
        <v>100</v>
      </c>
      <c r="C112" s="15" t="s">
        <v>54</v>
      </c>
      <c r="D112" s="15" t="s">
        <v>55</v>
      </c>
      <c r="E112" s="15">
        <f>'17-july2026'!T112</f>
        <v>267</v>
      </c>
      <c r="F112" s="15">
        <f>'17-july2026'!U112</f>
        <v>60</v>
      </c>
      <c r="G112" s="15">
        <f>'17-july2026'!V112</f>
        <v>55</v>
      </c>
      <c r="H112" s="15">
        <f t="shared" si="30"/>
        <v>382</v>
      </c>
      <c r="I112" s="17">
        <v>10</v>
      </c>
      <c r="J112" s="17">
        <v>0</v>
      </c>
      <c r="K112" s="17">
        <v>0</v>
      </c>
      <c r="L112" s="17">
        <v>12</v>
      </c>
      <c r="M112" s="17">
        <v>0</v>
      </c>
      <c r="N112" s="17">
        <v>47</v>
      </c>
      <c r="O112" s="17">
        <v>47</v>
      </c>
      <c r="P112" s="17">
        <v>0</v>
      </c>
      <c r="Q112" s="17">
        <v>0</v>
      </c>
      <c r="R112" s="17">
        <v>12</v>
      </c>
      <c r="S112" s="15">
        <f t="shared" si="31"/>
        <v>372</v>
      </c>
      <c r="T112" s="15">
        <f t="shared" si="32"/>
        <v>292</v>
      </c>
      <c r="U112" s="15">
        <f t="shared" si="33"/>
        <v>60</v>
      </c>
      <c r="V112" s="15">
        <f t="shared" si="34"/>
        <v>8</v>
      </c>
      <c r="W112" s="18" t="str">
        <f t="shared" si="35"/>
        <v/>
      </c>
      <c r="X112" s="17">
        <v>0</v>
      </c>
      <c r="Y112" s="17">
        <v>0</v>
      </c>
      <c r="Z112" s="15">
        <f t="shared" si="36"/>
        <v>0</v>
      </c>
      <c r="AA112" s="17">
        <v>0</v>
      </c>
      <c r="AB112" s="17">
        <v>0</v>
      </c>
      <c r="AC112" s="15">
        <f t="shared" si="37"/>
        <v>0</v>
      </c>
      <c r="AD112" s="17">
        <v>0</v>
      </c>
      <c r="AE112" s="17">
        <v>0</v>
      </c>
      <c r="AF112" s="15">
        <f t="shared" si="38"/>
        <v>0</v>
      </c>
      <c r="AG112" s="17">
        <v>0</v>
      </c>
      <c r="AH112" s="17">
        <v>0</v>
      </c>
      <c r="AI112" s="15">
        <f t="shared" si="39"/>
        <v>0</v>
      </c>
      <c r="AJ112" s="17"/>
    </row>
    <row r="113" spans="1:36" hidden="1" x14ac:dyDescent="0.3">
      <c r="A113" s="15" t="s">
        <v>162</v>
      </c>
      <c r="B113" s="15">
        <v>1000</v>
      </c>
      <c r="C113" s="15" t="s">
        <v>54</v>
      </c>
      <c r="D113" s="15" t="s">
        <v>55</v>
      </c>
      <c r="E113" s="15">
        <f>'17-july2026'!T113</f>
        <v>0</v>
      </c>
      <c r="F113" s="15">
        <f>'17-july2026'!U113</f>
        <v>7</v>
      </c>
      <c r="G113" s="15">
        <f>'17-july2026'!V113</f>
        <v>5</v>
      </c>
      <c r="H113" s="15">
        <f t="shared" si="30"/>
        <v>12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5</v>
      </c>
      <c r="O113" s="17">
        <v>5</v>
      </c>
      <c r="P113" s="17">
        <v>0</v>
      </c>
      <c r="Q113" s="17">
        <v>0</v>
      </c>
      <c r="R113" s="17">
        <v>0</v>
      </c>
      <c r="S113" s="15">
        <f t="shared" si="31"/>
        <v>12</v>
      </c>
      <c r="T113" s="15">
        <f t="shared" si="32"/>
        <v>5</v>
      </c>
      <c r="U113" s="15">
        <f t="shared" si="33"/>
        <v>7</v>
      </c>
      <c r="V113" s="15">
        <f t="shared" si="34"/>
        <v>0</v>
      </c>
      <c r="W113" s="18" t="str">
        <f t="shared" si="35"/>
        <v/>
      </c>
      <c r="X113" s="17">
        <v>0</v>
      </c>
      <c r="Y113" s="17">
        <v>0</v>
      </c>
      <c r="Z113" s="15">
        <f t="shared" si="36"/>
        <v>0</v>
      </c>
      <c r="AA113" s="17">
        <v>0</v>
      </c>
      <c r="AB113" s="17">
        <v>0</v>
      </c>
      <c r="AC113" s="15">
        <f t="shared" si="37"/>
        <v>0</v>
      </c>
      <c r="AD113" s="17">
        <v>0</v>
      </c>
      <c r="AE113" s="17">
        <v>0</v>
      </c>
      <c r="AF113" s="15">
        <f t="shared" si="38"/>
        <v>0</v>
      </c>
      <c r="AG113" s="17">
        <v>0</v>
      </c>
      <c r="AH113" s="17">
        <v>0</v>
      </c>
      <c r="AI113" s="15">
        <f t="shared" si="39"/>
        <v>0</v>
      </c>
      <c r="AJ113" s="17"/>
    </row>
    <row r="114" spans="1:36" hidden="1" x14ac:dyDescent="0.3">
      <c r="A114" s="15" t="s">
        <v>163</v>
      </c>
      <c r="B114" s="15">
        <v>500</v>
      </c>
      <c r="C114" s="15" t="s">
        <v>54</v>
      </c>
      <c r="D114" s="15" t="s">
        <v>55</v>
      </c>
      <c r="E114" s="15">
        <f>'17-july2026'!T114</f>
        <v>0</v>
      </c>
      <c r="F114" s="15">
        <f>'17-july2026'!U114</f>
        <v>2</v>
      </c>
      <c r="G114" s="15">
        <f>'17-july2026'!V114</f>
        <v>1</v>
      </c>
      <c r="H114" s="15">
        <f t="shared" si="30"/>
        <v>3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1</v>
      </c>
      <c r="O114" s="17">
        <v>1</v>
      </c>
      <c r="P114" s="17">
        <v>0</v>
      </c>
      <c r="Q114" s="17">
        <v>0</v>
      </c>
      <c r="R114" s="17">
        <v>0</v>
      </c>
      <c r="S114" s="15">
        <f t="shared" si="31"/>
        <v>3</v>
      </c>
      <c r="T114" s="15">
        <f t="shared" si="32"/>
        <v>1</v>
      </c>
      <c r="U114" s="15">
        <f t="shared" si="33"/>
        <v>2</v>
      </c>
      <c r="V114" s="15">
        <f t="shared" si="34"/>
        <v>0</v>
      </c>
      <c r="W114" s="18" t="str">
        <f t="shared" si="35"/>
        <v/>
      </c>
      <c r="X114" s="17">
        <v>0</v>
      </c>
      <c r="Y114" s="17">
        <v>0</v>
      </c>
      <c r="Z114" s="15">
        <f t="shared" si="36"/>
        <v>0</v>
      </c>
      <c r="AA114" s="17">
        <v>0</v>
      </c>
      <c r="AB114" s="17">
        <v>0</v>
      </c>
      <c r="AC114" s="15">
        <f t="shared" si="37"/>
        <v>0</v>
      </c>
      <c r="AD114" s="17">
        <v>0</v>
      </c>
      <c r="AE114" s="17">
        <v>0</v>
      </c>
      <c r="AF114" s="15">
        <f t="shared" si="38"/>
        <v>0</v>
      </c>
      <c r="AG114" s="17">
        <v>0</v>
      </c>
      <c r="AH114" s="17">
        <v>0</v>
      </c>
      <c r="AI114" s="15">
        <f t="shared" si="39"/>
        <v>0</v>
      </c>
      <c r="AJ114" s="17"/>
    </row>
    <row r="115" spans="1:36" x14ac:dyDescent="0.3">
      <c r="A115" s="15" t="s">
        <v>164</v>
      </c>
      <c r="B115" s="15">
        <v>100</v>
      </c>
      <c r="C115" s="15" t="s">
        <v>54</v>
      </c>
      <c r="D115" s="15" t="s">
        <v>68</v>
      </c>
      <c r="E115" s="15">
        <f>'17-july2026'!T115</f>
        <v>2</v>
      </c>
      <c r="F115" s="15">
        <f>'17-july2026'!U115</f>
        <v>0</v>
      </c>
      <c r="G115" s="15">
        <f>'17-july2026'!V115</f>
        <v>0</v>
      </c>
      <c r="H115" s="15">
        <f t="shared" si="30"/>
        <v>2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5">
        <f t="shared" si="31"/>
        <v>2</v>
      </c>
      <c r="T115" s="15">
        <f t="shared" si="32"/>
        <v>2</v>
      </c>
      <c r="U115" s="15">
        <f t="shared" si="33"/>
        <v>0</v>
      </c>
      <c r="V115" s="15">
        <f t="shared" si="34"/>
        <v>0</v>
      </c>
      <c r="W115" s="18" t="str">
        <f t="shared" si="35"/>
        <v/>
      </c>
      <c r="X115" s="17">
        <v>0</v>
      </c>
      <c r="Y115" s="17">
        <v>0</v>
      </c>
      <c r="Z115" s="15">
        <f t="shared" si="36"/>
        <v>0</v>
      </c>
      <c r="AA115" s="17">
        <v>0</v>
      </c>
      <c r="AB115" s="17">
        <v>0</v>
      </c>
      <c r="AC115" s="15">
        <f t="shared" si="37"/>
        <v>0</v>
      </c>
      <c r="AD115" s="17">
        <v>0</v>
      </c>
      <c r="AE115" s="17">
        <v>0</v>
      </c>
      <c r="AF115" s="15">
        <f t="shared" si="38"/>
        <v>0</v>
      </c>
      <c r="AG115" s="17">
        <v>0</v>
      </c>
      <c r="AH115" s="17">
        <v>0</v>
      </c>
      <c r="AI115" s="15">
        <f t="shared" si="39"/>
        <v>0</v>
      </c>
      <c r="AJ115" s="17"/>
    </row>
    <row r="116" spans="1:36" x14ac:dyDescent="0.3">
      <c r="A116" s="15" t="s">
        <v>165</v>
      </c>
      <c r="B116" s="15">
        <v>100000</v>
      </c>
      <c r="C116" s="15" t="s">
        <v>54</v>
      </c>
      <c r="D116" s="15" t="s">
        <v>68</v>
      </c>
      <c r="E116" s="15">
        <f>'17-july2026'!T116</f>
        <v>2</v>
      </c>
      <c r="F116" s="15">
        <f>'17-july2026'!U116</f>
        <v>0</v>
      </c>
      <c r="G116" s="15">
        <f>'17-july2026'!V116</f>
        <v>0</v>
      </c>
      <c r="H116" s="15">
        <f t="shared" si="30"/>
        <v>2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5">
        <f t="shared" si="31"/>
        <v>2</v>
      </c>
      <c r="T116" s="15">
        <f t="shared" si="32"/>
        <v>2</v>
      </c>
      <c r="U116" s="15">
        <f t="shared" si="33"/>
        <v>0</v>
      </c>
      <c r="V116" s="15">
        <f t="shared" si="34"/>
        <v>0</v>
      </c>
      <c r="W116" s="18" t="str">
        <f t="shared" si="35"/>
        <v/>
      </c>
      <c r="X116" s="17">
        <v>0</v>
      </c>
      <c r="Y116" s="17">
        <v>0</v>
      </c>
      <c r="Z116" s="15">
        <f t="shared" si="36"/>
        <v>0</v>
      </c>
      <c r="AA116" s="17">
        <v>0</v>
      </c>
      <c r="AB116" s="17">
        <v>0</v>
      </c>
      <c r="AC116" s="15">
        <f t="shared" si="37"/>
        <v>0</v>
      </c>
      <c r="AD116" s="17">
        <v>0</v>
      </c>
      <c r="AE116" s="17">
        <v>0</v>
      </c>
      <c r="AF116" s="15">
        <f t="shared" si="38"/>
        <v>0</v>
      </c>
      <c r="AG116" s="17">
        <v>0</v>
      </c>
      <c r="AH116" s="17">
        <v>0</v>
      </c>
      <c r="AI116" s="15">
        <f t="shared" si="39"/>
        <v>0</v>
      </c>
      <c r="AJ116" s="17"/>
    </row>
    <row r="117" spans="1:36" x14ac:dyDescent="0.3">
      <c r="A117" s="15" t="s">
        <v>165</v>
      </c>
      <c r="B117" s="15">
        <v>25000</v>
      </c>
      <c r="C117" s="15" t="s">
        <v>54</v>
      </c>
      <c r="D117" s="15" t="s">
        <v>68</v>
      </c>
      <c r="E117" s="15">
        <f>'17-july2026'!T117</f>
        <v>1</v>
      </c>
      <c r="F117" s="15">
        <f>'17-july2026'!U117</f>
        <v>0</v>
      </c>
      <c r="G117" s="15">
        <f>'17-july2026'!V117</f>
        <v>0</v>
      </c>
      <c r="H117" s="15">
        <f t="shared" si="30"/>
        <v>1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5">
        <f t="shared" si="31"/>
        <v>1</v>
      </c>
      <c r="T117" s="15">
        <f t="shared" si="32"/>
        <v>1</v>
      </c>
      <c r="U117" s="15">
        <f t="shared" si="33"/>
        <v>0</v>
      </c>
      <c r="V117" s="15">
        <f t="shared" si="34"/>
        <v>0</v>
      </c>
      <c r="W117" s="18" t="str">
        <f t="shared" si="35"/>
        <v/>
      </c>
      <c r="X117" s="17">
        <v>0</v>
      </c>
      <c r="Y117" s="17">
        <v>0</v>
      </c>
      <c r="Z117" s="15">
        <f t="shared" si="36"/>
        <v>0</v>
      </c>
      <c r="AA117" s="17">
        <v>0</v>
      </c>
      <c r="AB117" s="17">
        <v>0</v>
      </c>
      <c r="AC117" s="15">
        <f t="shared" si="37"/>
        <v>0</v>
      </c>
      <c r="AD117" s="17">
        <v>0</v>
      </c>
      <c r="AE117" s="17">
        <v>0</v>
      </c>
      <c r="AF117" s="15">
        <f t="shared" si="38"/>
        <v>0</v>
      </c>
      <c r="AG117" s="17">
        <v>0</v>
      </c>
      <c r="AH117" s="17">
        <v>0</v>
      </c>
      <c r="AI117" s="15">
        <f t="shared" si="39"/>
        <v>0</v>
      </c>
      <c r="AJ117" s="17"/>
    </row>
    <row r="118" spans="1:36" x14ac:dyDescent="0.3">
      <c r="A118" s="15" t="s">
        <v>166</v>
      </c>
      <c r="B118" s="15">
        <v>100000</v>
      </c>
      <c r="C118" s="15" t="s">
        <v>54</v>
      </c>
      <c r="D118" s="15" t="s">
        <v>68</v>
      </c>
      <c r="E118" s="15">
        <f>'17-july2026'!T118</f>
        <v>2</v>
      </c>
      <c r="F118" s="15">
        <f>'17-july2026'!U118</f>
        <v>0</v>
      </c>
      <c r="G118" s="15">
        <f>'17-july2026'!V118</f>
        <v>0</v>
      </c>
      <c r="H118" s="15">
        <f t="shared" si="30"/>
        <v>2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5">
        <f t="shared" si="31"/>
        <v>2</v>
      </c>
      <c r="T118" s="15">
        <f t="shared" si="32"/>
        <v>2</v>
      </c>
      <c r="U118" s="15">
        <f t="shared" si="33"/>
        <v>0</v>
      </c>
      <c r="V118" s="15">
        <f t="shared" si="34"/>
        <v>0</v>
      </c>
      <c r="W118" s="18" t="str">
        <f t="shared" si="35"/>
        <v/>
      </c>
      <c r="X118" s="17">
        <v>0</v>
      </c>
      <c r="Y118" s="17">
        <v>0</v>
      </c>
      <c r="Z118" s="15">
        <f t="shared" si="36"/>
        <v>0</v>
      </c>
      <c r="AA118" s="17">
        <v>0</v>
      </c>
      <c r="AB118" s="17">
        <v>0</v>
      </c>
      <c r="AC118" s="15">
        <f t="shared" si="37"/>
        <v>0</v>
      </c>
      <c r="AD118" s="17">
        <v>0</v>
      </c>
      <c r="AE118" s="17">
        <v>0</v>
      </c>
      <c r="AF118" s="15">
        <f t="shared" si="38"/>
        <v>0</v>
      </c>
      <c r="AG118" s="17">
        <v>0</v>
      </c>
      <c r="AH118" s="17">
        <v>0</v>
      </c>
      <c r="AI118" s="15">
        <f t="shared" si="39"/>
        <v>0</v>
      </c>
      <c r="AJ118" s="17"/>
    </row>
    <row r="119" spans="1:36" hidden="1" x14ac:dyDescent="0.3">
      <c r="A119" s="15" t="s">
        <v>167</v>
      </c>
      <c r="B119" s="15">
        <v>100</v>
      </c>
      <c r="C119" s="15" t="s">
        <v>54</v>
      </c>
      <c r="D119" s="15" t="s">
        <v>55</v>
      </c>
      <c r="E119" s="15">
        <f>'17-july2026'!T119</f>
        <v>94</v>
      </c>
      <c r="F119" s="15">
        <f>'17-july2026'!U119</f>
        <v>0</v>
      </c>
      <c r="G119" s="15">
        <f>'17-july2026'!V119</f>
        <v>5</v>
      </c>
      <c r="H119" s="15">
        <f t="shared" si="30"/>
        <v>99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5">
        <f t="shared" si="31"/>
        <v>99</v>
      </c>
      <c r="T119" s="15">
        <f t="shared" si="32"/>
        <v>94</v>
      </c>
      <c r="U119" s="15">
        <f t="shared" si="33"/>
        <v>0</v>
      </c>
      <c r="V119" s="15">
        <f t="shared" si="34"/>
        <v>5</v>
      </c>
      <c r="W119" s="18" t="str">
        <f t="shared" si="35"/>
        <v/>
      </c>
      <c r="X119" s="17">
        <v>0</v>
      </c>
      <c r="Y119" s="17">
        <v>0</v>
      </c>
      <c r="Z119" s="15">
        <f t="shared" si="36"/>
        <v>0</v>
      </c>
      <c r="AA119" s="17">
        <v>0</v>
      </c>
      <c r="AB119" s="17">
        <v>0</v>
      </c>
      <c r="AC119" s="15">
        <f t="shared" si="37"/>
        <v>0</v>
      </c>
      <c r="AD119" s="17">
        <v>0</v>
      </c>
      <c r="AE119" s="17">
        <v>0</v>
      </c>
      <c r="AF119" s="15">
        <f t="shared" si="38"/>
        <v>0</v>
      </c>
      <c r="AG119" s="17">
        <v>0</v>
      </c>
      <c r="AH119" s="17">
        <v>0</v>
      </c>
      <c r="AI119" s="15">
        <f t="shared" si="39"/>
        <v>0</v>
      </c>
      <c r="AJ119" s="17"/>
    </row>
    <row r="120" spans="1:36" x14ac:dyDescent="0.3">
      <c r="A120" s="15" t="s">
        <v>168</v>
      </c>
      <c r="B120" s="15">
        <v>100</v>
      </c>
      <c r="C120" s="15" t="s">
        <v>54</v>
      </c>
      <c r="D120" s="15" t="s">
        <v>68</v>
      </c>
      <c r="E120" s="15">
        <f>'17-july2026'!T120</f>
        <v>1</v>
      </c>
      <c r="F120" s="15">
        <f>'17-july2026'!U120</f>
        <v>0</v>
      </c>
      <c r="G120" s="15">
        <f>'17-july2026'!V120</f>
        <v>0</v>
      </c>
      <c r="H120" s="15">
        <f t="shared" si="30"/>
        <v>1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5">
        <f t="shared" si="31"/>
        <v>1</v>
      </c>
      <c r="T120" s="15">
        <f t="shared" si="32"/>
        <v>1</v>
      </c>
      <c r="U120" s="15">
        <f t="shared" si="33"/>
        <v>0</v>
      </c>
      <c r="V120" s="15">
        <f t="shared" si="34"/>
        <v>0</v>
      </c>
      <c r="W120" s="18" t="str">
        <f t="shared" si="35"/>
        <v/>
      </c>
      <c r="X120" s="17">
        <v>0</v>
      </c>
      <c r="Y120" s="17">
        <v>0</v>
      </c>
      <c r="Z120" s="15">
        <f t="shared" si="36"/>
        <v>0</v>
      </c>
      <c r="AA120" s="17">
        <v>0</v>
      </c>
      <c r="AB120" s="17">
        <v>0</v>
      </c>
      <c r="AC120" s="15">
        <f t="shared" si="37"/>
        <v>0</v>
      </c>
      <c r="AD120" s="17">
        <v>0</v>
      </c>
      <c r="AE120" s="17">
        <v>0</v>
      </c>
      <c r="AF120" s="15">
        <f t="shared" si="38"/>
        <v>0</v>
      </c>
      <c r="AG120" s="17">
        <v>0</v>
      </c>
      <c r="AH120" s="17">
        <v>0</v>
      </c>
      <c r="AI120" s="15">
        <f t="shared" si="39"/>
        <v>0</v>
      </c>
      <c r="AJ120" s="17"/>
    </row>
    <row r="121" spans="1:36" x14ac:dyDescent="0.3">
      <c r="A121" s="15" t="s">
        <v>169</v>
      </c>
      <c r="B121" s="15">
        <v>1000</v>
      </c>
      <c r="C121" s="15" t="s">
        <v>54</v>
      </c>
      <c r="D121" s="15" t="s">
        <v>68</v>
      </c>
      <c r="E121" s="15">
        <f>'17-july2026'!T121</f>
        <v>2</v>
      </c>
      <c r="F121" s="15">
        <f>'17-july2026'!U121</f>
        <v>0</v>
      </c>
      <c r="G121" s="15">
        <f>'17-july2026'!V121</f>
        <v>0</v>
      </c>
      <c r="H121" s="15">
        <f t="shared" si="30"/>
        <v>2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5">
        <f t="shared" si="31"/>
        <v>2</v>
      </c>
      <c r="T121" s="15">
        <f t="shared" si="32"/>
        <v>2</v>
      </c>
      <c r="U121" s="15">
        <f t="shared" si="33"/>
        <v>0</v>
      </c>
      <c r="V121" s="15">
        <f t="shared" si="34"/>
        <v>0</v>
      </c>
      <c r="W121" s="18" t="str">
        <f t="shared" si="35"/>
        <v/>
      </c>
      <c r="X121" s="17">
        <v>0</v>
      </c>
      <c r="Y121" s="17">
        <v>0</v>
      </c>
      <c r="Z121" s="15">
        <f t="shared" si="36"/>
        <v>0</v>
      </c>
      <c r="AA121" s="17">
        <v>0</v>
      </c>
      <c r="AB121" s="17">
        <v>0</v>
      </c>
      <c r="AC121" s="15">
        <f t="shared" si="37"/>
        <v>0</v>
      </c>
      <c r="AD121" s="17">
        <v>0</v>
      </c>
      <c r="AE121" s="17">
        <v>0</v>
      </c>
      <c r="AF121" s="15">
        <f t="shared" si="38"/>
        <v>0</v>
      </c>
      <c r="AG121" s="17">
        <v>0</v>
      </c>
      <c r="AH121" s="17">
        <v>0</v>
      </c>
      <c r="AI121" s="15">
        <f t="shared" si="39"/>
        <v>0</v>
      </c>
      <c r="AJ121" s="17"/>
    </row>
    <row r="122" spans="1:36" hidden="1" x14ac:dyDescent="0.3">
      <c r="A122" s="15" t="s">
        <v>170</v>
      </c>
      <c r="B122" s="15">
        <v>1000</v>
      </c>
      <c r="C122" s="15" t="s">
        <v>54</v>
      </c>
      <c r="D122" s="15" t="s">
        <v>55</v>
      </c>
      <c r="E122" s="15">
        <f>'17-july2026'!T122</f>
        <v>19</v>
      </c>
      <c r="F122" s="15">
        <f>'17-july2026'!U122</f>
        <v>0</v>
      </c>
      <c r="G122" s="15">
        <f>'17-july2026'!V122</f>
        <v>30</v>
      </c>
      <c r="H122" s="15">
        <f t="shared" si="30"/>
        <v>49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23</v>
      </c>
      <c r="O122" s="17">
        <v>23</v>
      </c>
      <c r="P122" s="17">
        <v>0</v>
      </c>
      <c r="Q122" s="17">
        <v>0</v>
      </c>
      <c r="R122" s="17">
        <v>0</v>
      </c>
      <c r="S122" s="15">
        <f t="shared" si="31"/>
        <v>49</v>
      </c>
      <c r="T122" s="15">
        <f t="shared" si="32"/>
        <v>42</v>
      </c>
      <c r="U122" s="15">
        <f t="shared" si="33"/>
        <v>0</v>
      </c>
      <c r="V122" s="15">
        <f t="shared" si="34"/>
        <v>7</v>
      </c>
      <c r="W122" s="18" t="str">
        <f t="shared" si="35"/>
        <v/>
      </c>
      <c r="X122" s="17">
        <v>0</v>
      </c>
      <c r="Y122" s="17">
        <v>0</v>
      </c>
      <c r="Z122" s="15">
        <f t="shared" si="36"/>
        <v>0</v>
      </c>
      <c r="AA122" s="17">
        <v>0</v>
      </c>
      <c r="AB122" s="17">
        <v>0</v>
      </c>
      <c r="AC122" s="15">
        <f t="shared" si="37"/>
        <v>0</v>
      </c>
      <c r="AD122" s="17">
        <v>0</v>
      </c>
      <c r="AE122" s="17">
        <v>0</v>
      </c>
      <c r="AF122" s="15">
        <f t="shared" si="38"/>
        <v>0</v>
      </c>
      <c r="AG122" s="17">
        <v>0</v>
      </c>
      <c r="AH122" s="17">
        <v>0</v>
      </c>
      <c r="AI122" s="15">
        <f t="shared" si="39"/>
        <v>0</v>
      </c>
      <c r="AJ122" s="17"/>
    </row>
    <row r="123" spans="1:36" hidden="1" x14ac:dyDescent="0.3">
      <c r="A123" s="15" t="s">
        <v>171</v>
      </c>
      <c r="B123" s="15">
        <v>1000</v>
      </c>
      <c r="C123" s="15" t="s">
        <v>54</v>
      </c>
      <c r="D123" s="15" t="s">
        <v>55</v>
      </c>
      <c r="E123" s="15">
        <f>'17-july2026'!T123</f>
        <v>0</v>
      </c>
      <c r="F123" s="15">
        <f>'17-july2026'!U123</f>
        <v>9</v>
      </c>
      <c r="G123" s="15">
        <f>'17-july2026'!V123</f>
        <v>5</v>
      </c>
      <c r="H123" s="15">
        <f t="shared" si="30"/>
        <v>14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1</v>
      </c>
      <c r="O123" s="17">
        <v>11</v>
      </c>
      <c r="P123" s="17">
        <v>0</v>
      </c>
      <c r="Q123" s="17">
        <v>0</v>
      </c>
      <c r="R123" s="17">
        <v>0</v>
      </c>
      <c r="S123" s="15">
        <f t="shared" si="31"/>
        <v>24</v>
      </c>
      <c r="T123" s="15">
        <f t="shared" si="32"/>
        <v>11</v>
      </c>
      <c r="U123" s="15">
        <f t="shared" si="33"/>
        <v>9</v>
      </c>
      <c r="V123" s="15">
        <f t="shared" si="34"/>
        <v>4</v>
      </c>
      <c r="W123" s="18" t="str">
        <f t="shared" si="35"/>
        <v/>
      </c>
      <c r="X123" s="17">
        <v>0</v>
      </c>
      <c r="Y123" s="17">
        <v>0</v>
      </c>
      <c r="Z123" s="15">
        <f t="shared" si="36"/>
        <v>0</v>
      </c>
      <c r="AA123" s="17">
        <v>0</v>
      </c>
      <c r="AB123" s="17">
        <v>0</v>
      </c>
      <c r="AC123" s="15">
        <f t="shared" si="37"/>
        <v>0</v>
      </c>
      <c r="AD123" s="17">
        <v>0</v>
      </c>
      <c r="AE123" s="17">
        <v>0</v>
      </c>
      <c r="AF123" s="15">
        <f t="shared" si="38"/>
        <v>0</v>
      </c>
      <c r="AG123" s="17">
        <v>0</v>
      </c>
      <c r="AH123" s="17">
        <v>0</v>
      </c>
      <c r="AI123" s="15">
        <f t="shared" si="39"/>
        <v>0</v>
      </c>
      <c r="AJ123" s="17"/>
    </row>
    <row r="124" spans="1:36" x14ac:dyDescent="0.3">
      <c r="A124" s="15" t="s">
        <v>172</v>
      </c>
      <c r="B124" s="15">
        <v>100</v>
      </c>
      <c r="C124" s="15" t="s">
        <v>54</v>
      </c>
      <c r="D124" s="15" t="s">
        <v>68</v>
      </c>
      <c r="E124" s="15">
        <f>'17-july2026'!T124</f>
        <v>10</v>
      </c>
      <c r="F124" s="15">
        <f>'17-july2026'!U124</f>
        <v>0</v>
      </c>
      <c r="G124" s="15">
        <f>'17-july2026'!V124</f>
        <v>0</v>
      </c>
      <c r="H124" s="15">
        <f t="shared" si="30"/>
        <v>10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5">
        <f t="shared" si="31"/>
        <v>10</v>
      </c>
      <c r="T124" s="15">
        <f t="shared" si="32"/>
        <v>10</v>
      </c>
      <c r="U124" s="15">
        <f t="shared" si="33"/>
        <v>0</v>
      </c>
      <c r="V124" s="15">
        <f t="shared" si="34"/>
        <v>0</v>
      </c>
      <c r="W124" s="18" t="str">
        <f t="shared" si="35"/>
        <v/>
      </c>
      <c r="X124" s="17">
        <v>0</v>
      </c>
      <c r="Y124" s="17">
        <v>0</v>
      </c>
      <c r="Z124" s="15">
        <f t="shared" si="36"/>
        <v>0</v>
      </c>
      <c r="AA124" s="17">
        <v>0</v>
      </c>
      <c r="AB124" s="17">
        <v>0</v>
      </c>
      <c r="AC124" s="15">
        <f t="shared" si="37"/>
        <v>0</v>
      </c>
      <c r="AD124" s="17">
        <v>0</v>
      </c>
      <c r="AE124" s="17">
        <v>0</v>
      </c>
      <c r="AF124" s="15">
        <f t="shared" si="38"/>
        <v>0</v>
      </c>
      <c r="AG124" s="17">
        <v>0</v>
      </c>
      <c r="AH124" s="17">
        <v>0</v>
      </c>
      <c r="AI124" s="15">
        <f t="shared" si="39"/>
        <v>0</v>
      </c>
      <c r="AJ124" s="17"/>
    </row>
    <row r="125" spans="1:36" x14ac:dyDescent="0.3">
      <c r="A125" s="15" t="s">
        <v>173</v>
      </c>
      <c r="B125" s="15">
        <v>100</v>
      </c>
      <c r="C125" s="15" t="s">
        <v>54</v>
      </c>
      <c r="D125" s="15" t="s">
        <v>68</v>
      </c>
      <c r="E125" s="15">
        <f>'17-july2026'!T125</f>
        <v>8</v>
      </c>
      <c r="F125" s="15">
        <f>'17-july2026'!U125</f>
        <v>0</v>
      </c>
      <c r="G125" s="15">
        <f>'17-july2026'!V125</f>
        <v>0</v>
      </c>
      <c r="H125" s="15">
        <f t="shared" si="30"/>
        <v>8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5">
        <f t="shared" si="31"/>
        <v>8</v>
      </c>
      <c r="T125" s="15">
        <f t="shared" si="32"/>
        <v>8</v>
      </c>
      <c r="U125" s="15">
        <f t="shared" si="33"/>
        <v>0</v>
      </c>
      <c r="V125" s="15">
        <f t="shared" si="34"/>
        <v>0</v>
      </c>
      <c r="W125" s="18" t="str">
        <f t="shared" si="35"/>
        <v/>
      </c>
      <c r="X125" s="17">
        <v>0</v>
      </c>
      <c r="Y125" s="17">
        <v>0</v>
      </c>
      <c r="Z125" s="15">
        <f t="shared" si="36"/>
        <v>0</v>
      </c>
      <c r="AA125" s="17">
        <v>0</v>
      </c>
      <c r="AB125" s="17">
        <v>0</v>
      </c>
      <c r="AC125" s="15">
        <f t="shared" si="37"/>
        <v>0</v>
      </c>
      <c r="AD125" s="17">
        <v>0</v>
      </c>
      <c r="AE125" s="17">
        <v>0</v>
      </c>
      <c r="AF125" s="15">
        <f t="shared" si="38"/>
        <v>0</v>
      </c>
      <c r="AG125" s="17">
        <v>0</v>
      </c>
      <c r="AH125" s="17">
        <v>0</v>
      </c>
      <c r="AI125" s="15">
        <f t="shared" si="39"/>
        <v>0</v>
      </c>
      <c r="AJ125" s="17"/>
    </row>
    <row r="126" spans="1:36" x14ac:dyDescent="0.3">
      <c r="A126" s="15" t="s">
        <v>174</v>
      </c>
      <c r="B126" s="15">
        <v>100</v>
      </c>
      <c r="C126" s="15" t="s">
        <v>54</v>
      </c>
      <c r="D126" s="15" t="s">
        <v>68</v>
      </c>
      <c r="E126" s="15">
        <f>'17-july2026'!T126</f>
        <v>4</v>
      </c>
      <c r="F126" s="15">
        <f>'17-july2026'!U126</f>
        <v>0</v>
      </c>
      <c r="G126" s="15">
        <f>'17-july2026'!V126</f>
        <v>0</v>
      </c>
      <c r="H126" s="15">
        <f t="shared" si="30"/>
        <v>4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5">
        <f t="shared" si="31"/>
        <v>4</v>
      </c>
      <c r="T126" s="15">
        <f t="shared" si="32"/>
        <v>4</v>
      </c>
      <c r="U126" s="15">
        <f t="shared" si="33"/>
        <v>0</v>
      </c>
      <c r="V126" s="15">
        <f t="shared" si="34"/>
        <v>0</v>
      </c>
      <c r="W126" s="18" t="str">
        <f t="shared" si="35"/>
        <v/>
      </c>
      <c r="X126" s="17">
        <v>0</v>
      </c>
      <c r="Y126" s="17">
        <v>0</v>
      </c>
      <c r="Z126" s="15">
        <f t="shared" si="36"/>
        <v>0</v>
      </c>
      <c r="AA126" s="17">
        <v>0</v>
      </c>
      <c r="AB126" s="17">
        <v>0</v>
      </c>
      <c r="AC126" s="15">
        <f t="shared" si="37"/>
        <v>0</v>
      </c>
      <c r="AD126" s="17">
        <v>0</v>
      </c>
      <c r="AE126" s="17">
        <v>0</v>
      </c>
      <c r="AF126" s="15">
        <f t="shared" si="38"/>
        <v>0</v>
      </c>
      <c r="AG126" s="17">
        <v>0</v>
      </c>
      <c r="AH126" s="17">
        <v>0</v>
      </c>
      <c r="AI126" s="15">
        <f t="shared" si="39"/>
        <v>0</v>
      </c>
      <c r="AJ126" s="17"/>
    </row>
    <row r="127" spans="1:36" x14ac:dyDescent="0.3">
      <c r="A127" s="15" t="s">
        <v>175</v>
      </c>
      <c r="B127" s="15">
        <v>100</v>
      </c>
      <c r="C127" s="15" t="s">
        <v>54</v>
      </c>
      <c r="D127" s="15" t="s">
        <v>57</v>
      </c>
      <c r="E127" s="15">
        <f>'17-july2026'!T127</f>
        <v>4</v>
      </c>
      <c r="F127" s="15">
        <f>'17-july2026'!U127</f>
        <v>0</v>
      </c>
      <c r="G127" s="15">
        <f>'17-july2026'!V127</f>
        <v>0</v>
      </c>
      <c r="H127" s="15">
        <f t="shared" si="30"/>
        <v>4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5">
        <f t="shared" si="31"/>
        <v>4</v>
      </c>
      <c r="T127" s="15">
        <f t="shared" si="32"/>
        <v>4</v>
      </c>
      <c r="U127" s="15">
        <f t="shared" si="33"/>
        <v>0</v>
      </c>
      <c r="V127" s="15">
        <f t="shared" si="34"/>
        <v>0</v>
      </c>
      <c r="W127" s="18" t="str">
        <f t="shared" si="35"/>
        <v/>
      </c>
      <c r="X127" s="17">
        <v>0</v>
      </c>
      <c r="Y127" s="17">
        <v>0</v>
      </c>
      <c r="Z127" s="15">
        <f t="shared" si="36"/>
        <v>0</v>
      </c>
      <c r="AA127" s="17">
        <v>0</v>
      </c>
      <c r="AB127" s="17">
        <v>0</v>
      </c>
      <c r="AC127" s="15">
        <f t="shared" si="37"/>
        <v>0</v>
      </c>
      <c r="AD127" s="17">
        <v>0</v>
      </c>
      <c r="AE127" s="17">
        <v>0</v>
      </c>
      <c r="AF127" s="15">
        <f t="shared" si="38"/>
        <v>0</v>
      </c>
      <c r="AG127" s="17">
        <v>0</v>
      </c>
      <c r="AH127" s="17">
        <v>0</v>
      </c>
      <c r="AI127" s="15">
        <f t="shared" si="39"/>
        <v>0</v>
      </c>
      <c r="AJ127" s="17"/>
    </row>
    <row r="128" spans="1:36" hidden="1" x14ac:dyDescent="0.3">
      <c r="A128" s="15" t="s">
        <v>176</v>
      </c>
      <c r="B128" s="15" t="s">
        <v>177</v>
      </c>
      <c r="C128" s="15" t="s">
        <v>178</v>
      </c>
      <c r="D128" s="15" t="s">
        <v>55</v>
      </c>
      <c r="E128" s="15">
        <v>0</v>
      </c>
      <c r="F128" s="15">
        <v>0</v>
      </c>
      <c r="G128" s="15">
        <v>0</v>
      </c>
      <c r="H128" s="15">
        <f t="shared" si="30"/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5">
        <f t="shared" si="31"/>
        <v>0</v>
      </c>
      <c r="T128" s="15">
        <f t="shared" si="32"/>
        <v>0</v>
      </c>
      <c r="U128" s="15">
        <f t="shared" si="33"/>
        <v>0</v>
      </c>
      <c r="V128" s="15">
        <f t="shared" si="34"/>
        <v>0</v>
      </c>
      <c r="W128" s="18" t="str">
        <f t="shared" si="35"/>
        <v/>
      </c>
      <c r="X128" s="17">
        <v>0</v>
      </c>
      <c r="Y128" s="17">
        <v>0</v>
      </c>
      <c r="Z128" s="15">
        <f t="shared" si="36"/>
        <v>0</v>
      </c>
      <c r="AA128" s="17">
        <v>0</v>
      </c>
      <c r="AB128" s="17">
        <v>0</v>
      </c>
      <c r="AC128" s="15">
        <f t="shared" si="37"/>
        <v>0</v>
      </c>
      <c r="AD128" s="17">
        <v>0</v>
      </c>
      <c r="AE128" s="17">
        <v>0</v>
      </c>
      <c r="AF128" s="15">
        <f t="shared" si="38"/>
        <v>0</v>
      </c>
      <c r="AG128" s="17">
        <v>0</v>
      </c>
      <c r="AH128" s="17">
        <v>0</v>
      </c>
      <c r="AI128" s="15">
        <f t="shared" si="39"/>
        <v>0</v>
      </c>
      <c r="AJ128" s="17"/>
    </row>
    <row r="129" spans="1:36" x14ac:dyDescent="0.3">
      <c r="A129" s="15" t="s">
        <v>179</v>
      </c>
      <c r="B129" s="15">
        <v>2500</v>
      </c>
      <c r="C129" s="15" t="s">
        <v>54</v>
      </c>
      <c r="D129" s="15" t="s">
        <v>68</v>
      </c>
      <c r="E129" s="15">
        <f>'17-july2026'!T129</f>
        <v>3</v>
      </c>
      <c r="F129" s="15">
        <f>'17-july2026'!U129</f>
        <v>0</v>
      </c>
      <c r="G129" s="15">
        <f>'17-july2026'!V129</f>
        <v>0</v>
      </c>
      <c r="H129" s="15">
        <f t="shared" si="30"/>
        <v>3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5">
        <f t="shared" si="31"/>
        <v>3</v>
      </c>
      <c r="T129" s="15">
        <f t="shared" si="32"/>
        <v>3</v>
      </c>
      <c r="U129" s="15">
        <f t="shared" si="33"/>
        <v>0</v>
      </c>
      <c r="V129" s="15">
        <f t="shared" si="34"/>
        <v>0</v>
      </c>
      <c r="W129" s="18" t="str">
        <f t="shared" si="35"/>
        <v/>
      </c>
      <c r="X129" s="17">
        <v>0</v>
      </c>
      <c r="Y129" s="17">
        <v>0</v>
      </c>
      <c r="Z129" s="15">
        <f t="shared" si="36"/>
        <v>0</v>
      </c>
      <c r="AA129" s="17">
        <v>0</v>
      </c>
      <c r="AB129" s="17">
        <v>0</v>
      </c>
      <c r="AC129" s="15">
        <f t="shared" si="37"/>
        <v>0</v>
      </c>
      <c r="AD129" s="17">
        <v>0</v>
      </c>
      <c r="AE129" s="17">
        <v>0</v>
      </c>
      <c r="AF129" s="15">
        <f t="shared" si="38"/>
        <v>0</v>
      </c>
      <c r="AG129" s="17">
        <v>0</v>
      </c>
      <c r="AH129" s="17">
        <v>0</v>
      </c>
      <c r="AI129" s="15">
        <f t="shared" si="39"/>
        <v>0</v>
      </c>
      <c r="AJ129" s="17"/>
    </row>
    <row r="130" spans="1:36" x14ac:dyDescent="0.3">
      <c r="A130" s="15" t="s">
        <v>180</v>
      </c>
      <c r="B130" s="15">
        <v>1000</v>
      </c>
      <c r="C130" s="15" t="s">
        <v>54</v>
      </c>
      <c r="D130" s="15" t="s">
        <v>68</v>
      </c>
      <c r="E130" s="15">
        <f>'17-july2026'!T130</f>
        <v>2</v>
      </c>
      <c r="F130" s="15">
        <f>'17-july2026'!U130</f>
        <v>0</v>
      </c>
      <c r="G130" s="15">
        <f>'17-july2026'!V130</f>
        <v>0</v>
      </c>
      <c r="H130" s="15">
        <f t="shared" si="30"/>
        <v>2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5">
        <f t="shared" si="31"/>
        <v>2</v>
      </c>
      <c r="T130" s="15">
        <f t="shared" si="32"/>
        <v>2</v>
      </c>
      <c r="U130" s="15">
        <f t="shared" si="33"/>
        <v>0</v>
      </c>
      <c r="V130" s="15">
        <f t="shared" si="34"/>
        <v>0</v>
      </c>
      <c r="W130" s="18" t="str">
        <f t="shared" si="35"/>
        <v/>
      </c>
      <c r="X130" s="17">
        <v>0</v>
      </c>
      <c r="Y130" s="17">
        <v>0</v>
      </c>
      <c r="Z130" s="15">
        <f t="shared" si="36"/>
        <v>0</v>
      </c>
      <c r="AA130" s="17">
        <v>0</v>
      </c>
      <c r="AB130" s="17">
        <v>0</v>
      </c>
      <c r="AC130" s="15">
        <f t="shared" si="37"/>
        <v>0</v>
      </c>
      <c r="AD130" s="17">
        <v>0</v>
      </c>
      <c r="AE130" s="17">
        <v>0</v>
      </c>
      <c r="AF130" s="15">
        <f t="shared" si="38"/>
        <v>0</v>
      </c>
      <c r="AG130" s="17">
        <v>0</v>
      </c>
      <c r="AH130" s="17">
        <v>0</v>
      </c>
      <c r="AI130" s="15">
        <f t="shared" si="39"/>
        <v>0</v>
      </c>
      <c r="AJ130" s="17"/>
    </row>
    <row r="131" spans="1:36" x14ac:dyDescent="0.3">
      <c r="A131" s="15" t="s">
        <v>181</v>
      </c>
      <c r="B131" s="15">
        <v>100</v>
      </c>
      <c r="C131" s="15" t="s">
        <v>54</v>
      </c>
      <c r="D131" s="15" t="s">
        <v>57</v>
      </c>
      <c r="E131" s="15">
        <f>'17-july2026'!T131</f>
        <v>7</v>
      </c>
      <c r="F131" s="15">
        <f>'17-july2026'!U131</f>
        <v>0</v>
      </c>
      <c r="G131" s="15">
        <f>'17-july2026'!V131</f>
        <v>0</v>
      </c>
      <c r="H131" s="15">
        <f t="shared" ref="H131:H162" si="40">E131+F131+G131</f>
        <v>7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5">
        <f t="shared" ref="S131:S162" si="41">H131+O131+P131+Q131+R131-(I131+J131+K131+L131+M131+N131)</f>
        <v>7</v>
      </c>
      <c r="T131" s="15">
        <f t="shared" ref="T131:T162" si="42">E131+O131-I131-L131</f>
        <v>7</v>
      </c>
      <c r="U131" s="15">
        <f t="shared" ref="U131:U162" si="43">F131+P131-J131-M131</f>
        <v>0</v>
      </c>
      <c r="V131" s="15">
        <f t="shared" ref="V131:V162" si="44">G131+Q131-K131-N131</f>
        <v>0</v>
      </c>
      <c r="W131" s="18" t="str">
        <f t="shared" ref="W131:W162" si="45">IF(MIN(T131,U131,V131)&lt;0,"NEGATIVE STOCK - CHECK ENTRIES","")</f>
        <v/>
      </c>
      <c r="X131" s="17">
        <v>0</v>
      </c>
      <c r="Y131" s="17">
        <v>0</v>
      </c>
      <c r="Z131" s="15">
        <f t="shared" ref="Z131:Z162" si="46">X131-Y131</f>
        <v>0</v>
      </c>
      <c r="AA131" s="17">
        <v>0</v>
      </c>
      <c r="AB131" s="17">
        <v>0</v>
      </c>
      <c r="AC131" s="15">
        <f t="shared" ref="AC131:AC162" si="47">AA131-AB131</f>
        <v>0</v>
      </c>
      <c r="AD131" s="17">
        <v>0</v>
      </c>
      <c r="AE131" s="17">
        <v>0</v>
      </c>
      <c r="AF131" s="15">
        <f t="shared" ref="AF131:AF162" si="48">AD131-AE131</f>
        <v>0</v>
      </c>
      <c r="AG131" s="17">
        <v>0</v>
      </c>
      <c r="AH131" s="17">
        <v>0</v>
      </c>
      <c r="AI131" s="15">
        <f t="shared" ref="AI131:AI162" si="49">AG131-AH131</f>
        <v>0</v>
      </c>
      <c r="AJ131" s="17"/>
    </row>
    <row r="132" spans="1:36" x14ac:dyDescent="0.3">
      <c r="A132" s="15" t="s">
        <v>182</v>
      </c>
      <c r="B132" s="15">
        <v>1000</v>
      </c>
      <c r="C132" s="15" t="s">
        <v>54</v>
      </c>
      <c r="D132" s="15" t="s">
        <v>68</v>
      </c>
      <c r="E132" s="15">
        <f>'17-july2026'!T132</f>
        <v>4</v>
      </c>
      <c r="F132" s="15">
        <f>'17-july2026'!U132</f>
        <v>0</v>
      </c>
      <c r="G132" s="15">
        <f>'17-july2026'!V132</f>
        <v>0</v>
      </c>
      <c r="H132" s="15">
        <f t="shared" si="40"/>
        <v>4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5">
        <f t="shared" si="41"/>
        <v>4</v>
      </c>
      <c r="T132" s="15">
        <f t="shared" si="42"/>
        <v>4</v>
      </c>
      <c r="U132" s="15">
        <f t="shared" si="43"/>
        <v>0</v>
      </c>
      <c r="V132" s="15">
        <f t="shared" si="44"/>
        <v>0</v>
      </c>
      <c r="W132" s="18" t="str">
        <f t="shared" si="45"/>
        <v/>
      </c>
      <c r="X132" s="17">
        <v>0</v>
      </c>
      <c r="Y132" s="17">
        <v>0</v>
      </c>
      <c r="Z132" s="15">
        <f t="shared" si="46"/>
        <v>0</v>
      </c>
      <c r="AA132" s="17">
        <v>0</v>
      </c>
      <c r="AB132" s="17">
        <v>0</v>
      </c>
      <c r="AC132" s="15">
        <f t="shared" si="47"/>
        <v>0</v>
      </c>
      <c r="AD132" s="17">
        <v>0</v>
      </c>
      <c r="AE132" s="17">
        <v>0</v>
      </c>
      <c r="AF132" s="15">
        <f t="shared" si="48"/>
        <v>0</v>
      </c>
      <c r="AG132" s="17">
        <v>0</v>
      </c>
      <c r="AH132" s="17">
        <v>0</v>
      </c>
      <c r="AI132" s="15">
        <f t="shared" si="49"/>
        <v>0</v>
      </c>
      <c r="AJ132" s="17"/>
    </row>
    <row r="133" spans="1:36" x14ac:dyDescent="0.3">
      <c r="A133" s="15" t="s">
        <v>183</v>
      </c>
      <c r="B133" s="15">
        <v>100</v>
      </c>
      <c r="C133" s="15" t="s">
        <v>54</v>
      </c>
      <c r="D133" s="15" t="s">
        <v>68</v>
      </c>
      <c r="E133" s="15">
        <f>'17-july2026'!T133</f>
        <v>2</v>
      </c>
      <c r="F133" s="15">
        <f>'17-july2026'!U133</f>
        <v>0</v>
      </c>
      <c r="G133" s="15">
        <f>'17-july2026'!V133</f>
        <v>0</v>
      </c>
      <c r="H133" s="15">
        <f t="shared" si="40"/>
        <v>2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5">
        <f t="shared" si="41"/>
        <v>2</v>
      </c>
      <c r="T133" s="15">
        <f t="shared" si="42"/>
        <v>2</v>
      </c>
      <c r="U133" s="15">
        <f t="shared" si="43"/>
        <v>0</v>
      </c>
      <c r="V133" s="15">
        <f t="shared" si="44"/>
        <v>0</v>
      </c>
      <c r="W133" s="18" t="str">
        <f t="shared" si="45"/>
        <v/>
      </c>
      <c r="X133" s="17">
        <v>0</v>
      </c>
      <c r="Y133" s="17">
        <v>0</v>
      </c>
      <c r="Z133" s="15">
        <f t="shared" si="46"/>
        <v>0</v>
      </c>
      <c r="AA133" s="17">
        <v>0</v>
      </c>
      <c r="AB133" s="17">
        <v>0</v>
      </c>
      <c r="AC133" s="15">
        <f t="shared" si="47"/>
        <v>0</v>
      </c>
      <c r="AD133" s="17">
        <v>0</v>
      </c>
      <c r="AE133" s="17">
        <v>0</v>
      </c>
      <c r="AF133" s="15">
        <f t="shared" si="48"/>
        <v>0</v>
      </c>
      <c r="AG133" s="17">
        <v>0</v>
      </c>
      <c r="AH133" s="17">
        <v>0</v>
      </c>
      <c r="AI133" s="15">
        <f t="shared" si="49"/>
        <v>0</v>
      </c>
      <c r="AJ133" s="17"/>
    </row>
    <row r="134" spans="1:36" hidden="1" x14ac:dyDescent="0.3">
      <c r="A134" s="15" t="s">
        <v>184</v>
      </c>
      <c r="B134" s="15">
        <v>1000</v>
      </c>
      <c r="C134" s="15" t="s">
        <v>54</v>
      </c>
      <c r="D134" s="15" t="s">
        <v>55</v>
      </c>
      <c r="E134" s="17">
        <v>0</v>
      </c>
      <c r="F134" s="17">
        <v>0</v>
      </c>
      <c r="G134" s="17">
        <v>0</v>
      </c>
      <c r="H134" s="15">
        <f t="shared" si="40"/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30</v>
      </c>
      <c r="P134" s="17">
        <v>0</v>
      </c>
      <c r="Q134" s="17">
        <v>0</v>
      </c>
      <c r="R134" s="17">
        <v>0</v>
      </c>
      <c r="S134" s="15">
        <f t="shared" si="41"/>
        <v>30</v>
      </c>
      <c r="T134" s="15">
        <f t="shared" si="42"/>
        <v>30</v>
      </c>
      <c r="U134" s="15">
        <f t="shared" si="43"/>
        <v>0</v>
      </c>
      <c r="V134" s="15">
        <f t="shared" si="44"/>
        <v>0</v>
      </c>
      <c r="W134" s="18" t="str">
        <f t="shared" si="45"/>
        <v/>
      </c>
      <c r="X134" s="17">
        <v>0</v>
      </c>
      <c r="Y134" s="17">
        <v>0</v>
      </c>
      <c r="Z134" s="15">
        <f t="shared" si="46"/>
        <v>0</v>
      </c>
      <c r="AA134" s="17">
        <v>0</v>
      </c>
      <c r="AB134" s="17">
        <v>0</v>
      </c>
      <c r="AC134" s="15">
        <f t="shared" si="47"/>
        <v>0</v>
      </c>
      <c r="AD134" s="17">
        <v>0</v>
      </c>
      <c r="AE134" s="17">
        <v>0</v>
      </c>
      <c r="AF134" s="15">
        <f t="shared" si="48"/>
        <v>0</v>
      </c>
      <c r="AG134" s="17">
        <v>0</v>
      </c>
      <c r="AH134" s="17">
        <v>0</v>
      </c>
      <c r="AI134" s="15">
        <f t="shared" si="49"/>
        <v>0</v>
      </c>
      <c r="AJ134" s="17"/>
    </row>
    <row r="135" spans="1:36" x14ac:dyDescent="0.3">
      <c r="A135" s="15" t="s">
        <v>185</v>
      </c>
      <c r="B135" s="15">
        <v>100</v>
      </c>
      <c r="C135" s="15" t="s">
        <v>54</v>
      </c>
      <c r="D135" s="15" t="s">
        <v>68</v>
      </c>
      <c r="E135" s="15">
        <f>'17-july2026'!T135</f>
        <v>6</v>
      </c>
      <c r="F135" s="15">
        <f>'17-july2026'!U135</f>
        <v>0</v>
      </c>
      <c r="G135" s="15">
        <f>'17-july2026'!V135</f>
        <v>0</v>
      </c>
      <c r="H135" s="15">
        <f t="shared" si="40"/>
        <v>6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5">
        <f t="shared" si="41"/>
        <v>6</v>
      </c>
      <c r="T135" s="15">
        <f t="shared" si="42"/>
        <v>6</v>
      </c>
      <c r="U135" s="15">
        <f t="shared" si="43"/>
        <v>0</v>
      </c>
      <c r="V135" s="15">
        <f t="shared" si="44"/>
        <v>0</v>
      </c>
      <c r="W135" s="18" t="str">
        <f t="shared" si="45"/>
        <v/>
      </c>
      <c r="X135" s="17">
        <v>0</v>
      </c>
      <c r="Y135" s="17">
        <v>0</v>
      </c>
      <c r="Z135" s="15">
        <f t="shared" si="46"/>
        <v>0</v>
      </c>
      <c r="AA135" s="17">
        <v>0</v>
      </c>
      <c r="AB135" s="17">
        <v>0</v>
      </c>
      <c r="AC135" s="15">
        <f t="shared" si="47"/>
        <v>0</v>
      </c>
      <c r="AD135" s="17">
        <v>0</v>
      </c>
      <c r="AE135" s="17">
        <v>0</v>
      </c>
      <c r="AF135" s="15">
        <f t="shared" si="48"/>
        <v>0</v>
      </c>
      <c r="AG135" s="17">
        <v>0</v>
      </c>
      <c r="AH135" s="17">
        <v>0</v>
      </c>
      <c r="AI135" s="15">
        <f t="shared" si="49"/>
        <v>0</v>
      </c>
      <c r="AJ135" s="17"/>
    </row>
    <row r="136" spans="1:36" x14ac:dyDescent="0.3">
      <c r="A136" s="15" t="s">
        <v>186</v>
      </c>
      <c r="B136" s="15">
        <v>100</v>
      </c>
      <c r="C136" s="15" t="s">
        <v>54</v>
      </c>
      <c r="D136" s="15" t="s">
        <v>57</v>
      </c>
      <c r="E136" s="15">
        <f>'17-july2026'!T136</f>
        <v>4</v>
      </c>
      <c r="F136" s="15">
        <f>'17-july2026'!U136</f>
        <v>0</v>
      </c>
      <c r="G136" s="15">
        <f>'17-july2026'!V136</f>
        <v>0</v>
      </c>
      <c r="H136" s="15">
        <f t="shared" si="40"/>
        <v>4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5">
        <f t="shared" si="41"/>
        <v>4</v>
      </c>
      <c r="T136" s="15">
        <f t="shared" si="42"/>
        <v>4</v>
      </c>
      <c r="U136" s="15">
        <f t="shared" si="43"/>
        <v>0</v>
      </c>
      <c r="V136" s="15">
        <f t="shared" si="44"/>
        <v>0</v>
      </c>
      <c r="W136" s="18" t="str">
        <f t="shared" si="45"/>
        <v/>
      </c>
      <c r="X136" s="17">
        <v>0</v>
      </c>
      <c r="Y136" s="17">
        <v>0</v>
      </c>
      <c r="Z136" s="15">
        <f t="shared" si="46"/>
        <v>0</v>
      </c>
      <c r="AA136" s="17">
        <v>0</v>
      </c>
      <c r="AB136" s="17">
        <v>0</v>
      </c>
      <c r="AC136" s="15">
        <f t="shared" si="47"/>
        <v>0</v>
      </c>
      <c r="AD136" s="17">
        <v>0</v>
      </c>
      <c r="AE136" s="17">
        <v>0</v>
      </c>
      <c r="AF136" s="15">
        <f t="shared" si="48"/>
        <v>0</v>
      </c>
      <c r="AG136" s="17">
        <v>0</v>
      </c>
      <c r="AH136" s="17">
        <v>0</v>
      </c>
      <c r="AI136" s="15">
        <f t="shared" si="49"/>
        <v>0</v>
      </c>
      <c r="AJ136" s="17"/>
    </row>
    <row r="137" spans="1:36" x14ac:dyDescent="0.3">
      <c r="A137" s="15" t="s">
        <v>187</v>
      </c>
      <c r="B137" s="15">
        <v>1000</v>
      </c>
      <c r="C137" s="15" t="s">
        <v>54</v>
      </c>
      <c r="D137" s="15" t="s">
        <v>68</v>
      </c>
      <c r="E137" s="15">
        <f>'17-july2026'!T137</f>
        <v>1</v>
      </c>
      <c r="F137" s="15">
        <f>'17-july2026'!U137</f>
        <v>0</v>
      </c>
      <c r="G137" s="15">
        <f>'17-july2026'!V137</f>
        <v>0</v>
      </c>
      <c r="H137" s="15">
        <f t="shared" si="40"/>
        <v>1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5">
        <f t="shared" si="41"/>
        <v>1</v>
      </c>
      <c r="T137" s="15">
        <f t="shared" si="42"/>
        <v>1</v>
      </c>
      <c r="U137" s="15">
        <f t="shared" si="43"/>
        <v>0</v>
      </c>
      <c r="V137" s="15">
        <f t="shared" si="44"/>
        <v>0</v>
      </c>
      <c r="W137" s="18" t="str">
        <f t="shared" si="45"/>
        <v/>
      </c>
      <c r="X137" s="17">
        <v>0</v>
      </c>
      <c r="Y137" s="17">
        <v>0</v>
      </c>
      <c r="Z137" s="15">
        <f t="shared" si="46"/>
        <v>0</v>
      </c>
      <c r="AA137" s="17">
        <v>0</v>
      </c>
      <c r="AB137" s="17">
        <v>0</v>
      </c>
      <c r="AC137" s="15">
        <f t="shared" si="47"/>
        <v>0</v>
      </c>
      <c r="AD137" s="17">
        <v>0</v>
      </c>
      <c r="AE137" s="17">
        <v>0</v>
      </c>
      <c r="AF137" s="15">
        <f t="shared" si="48"/>
        <v>0</v>
      </c>
      <c r="AG137" s="17">
        <v>0</v>
      </c>
      <c r="AH137" s="17">
        <v>0</v>
      </c>
      <c r="AI137" s="15">
        <f t="shared" si="49"/>
        <v>0</v>
      </c>
      <c r="AJ137" s="17"/>
    </row>
    <row r="138" spans="1:36" x14ac:dyDescent="0.3">
      <c r="A138" s="15" t="s">
        <v>188</v>
      </c>
      <c r="B138" s="15">
        <v>100</v>
      </c>
      <c r="C138" s="15" t="s">
        <v>54</v>
      </c>
      <c r="D138" s="15" t="s">
        <v>57</v>
      </c>
      <c r="E138" s="15">
        <f>'17-july2026'!T138</f>
        <v>3</v>
      </c>
      <c r="F138" s="15">
        <f>'17-july2026'!U138</f>
        <v>0</v>
      </c>
      <c r="G138" s="15">
        <f>'17-july2026'!V138</f>
        <v>0</v>
      </c>
      <c r="H138" s="15">
        <f t="shared" si="40"/>
        <v>3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5">
        <f t="shared" si="41"/>
        <v>3</v>
      </c>
      <c r="T138" s="15">
        <f t="shared" si="42"/>
        <v>3</v>
      </c>
      <c r="U138" s="15">
        <f t="shared" si="43"/>
        <v>0</v>
      </c>
      <c r="V138" s="15">
        <f t="shared" si="44"/>
        <v>0</v>
      </c>
      <c r="W138" s="18" t="str">
        <f t="shared" si="45"/>
        <v/>
      </c>
      <c r="X138" s="17">
        <v>0</v>
      </c>
      <c r="Y138" s="17">
        <v>0</v>
      </c>
      <c r="Z138" s="15">
        <f t="shared" si="46"/>
        <v>0</v>
      </c>
      <c r="AA138" s="17">
        <v>0</v>
      </c>
      <c r="AB138" s="17">
        <v>0</v>
      </c>
      <c r="AC138" s="15">
        <f t="shared" si="47"/>
        <v>0</v>
      </c>
      <c r="AD138" s="17">
        <v>0</v>
      </c>
      <c r="AE138" s="17">
        <v>0</v>
      </c>
      <c r="AF138" s="15">
        <f t="shared" si="48"/>
        <v>0</v>
      </c>
      <c r="AG138" s="17">
        <v>0</v>
      </c>
      <c r="AH138" s="17">
        <v>0</v>
      </c>
      <c r="AI138" s="15">
        <f t="shared" si="49"/>
        <v>0</v>
      </c>
      <c r="AJ138" s="17"/>
    </row>
    <row r="139" spans="1:36" x14ac:dyDescent="0.3">
      <c r="A139" s="15" t="s">
        <v>189</v>
      </c>
      <c r="B139" s="15">
        <v>100</v>
      </c>
      <c r="C139" s="15" t="s">
        <v>54</v>
      </c>
      <c r="D139" s="15" t="s">
        <v>68</v>
      </c>
      <c r="E139" s="15">
        <f>'17-july2026'!T139</f>
        <v>4</v>
      </c>
      <c r="F139" s="15">
        <f>'17-july2026'!U139</f>
        <v>0</v>
      </c>
      <c r="G139" s="15">
        <f>'17-july2026'!V139</f>
        <v>0</v>
      </c>
      <c r="H139" s="15">
        <f t="shared" si="40"/>
        <v>4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5">
        <f t="shared" si="41"/>
        <v>4</v>
      </c>
      <c r="T139" s="15">
        <f t="shared" si="42"/>
        <v>4</v>
      </c>
      <c r="U139" s="15">
        <f t="shared" si="43"/>
        <v>0</v>
      </c>
      <c r="V139" s="15">
        <f t="shared" si="44"/>
        <v>0</v>
      </c>
      <c r="W139" s="18" t="str">
        <f t="shared" si="45"/>
        <v/>
      </c>
      <c r="X139" s="17">
        <v>0</v>
      </c>
      <c r="Y139" s="17">
        <v>0</v>
      </c>
      <c r="Z139" s="15">
        <f t="shared" si="46"/>
        <v>0</v>
      </c>
      <c r="AA139" s="17">
        <v>0</v>
      </c>
      <c r="AB139" s="17">
        <v>0</v>
      </c>
      <c r="AC139" s="15">
        <f t="shared" si="47"/>
        <v>0</v>
      </c>
      <c r="AD139" s="17">
        <v>0</v>
      </c>
      <c r="AE139" s="17">
        <v>0</v>
      </c>
      <c r="AF139" s="15">
        <f t="shared" si="48"/>
        <v>0</v>
      </c>
      <c r="AG139" s="17">
        <v>0</v>
      </c>
      <c r="AH139" s="17">
        <v>0</v>
      </c>
      <c r="AI139" s="15">
        <f t="shared" si="49"/>
        <v>0</v>
      </c>
      <c r="AJ139" s="17"/>
    </row>
    <row r="140" spans="1:36" x14ac:dyDescent="0.3">
      <c r="A140" s="15" t="s">
        <v>190</v>
      </c>
      <c r="B140" s="15">
        <v>100</v>
      </c>
      <c r="C140" s="15" t="s">
        <v>54</v>
      </c>
      <c r="D140" s="15" t="s">
        <v>57</v>
      </c>
      <c r="E140" s="15">
        <f>'17-july2026'!T140</f>
        <v>4</v>
      </c>
      <c r="F140" s="15">
        <f>'17-july2026'!U140</f>
        <v>0</v>
      </c>
      <c r="G140" s="15">
        <f>'17-july2026'!V140</f>
        <v>0</v>
      </c>
      <c r="H140" s="15">
        <f t="shared" si="40"/>
        <v>4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2</v>
      </c>
      <c r="O140" s="17">
        <v>0</v>
      </c>
      <c r="P140" s="17">
        <v>0</v>
      </c>
      <c r="Q140" s="17">
        <v>0</v>
      </c>
      <c r="R140" s="17">
        <v>0</v>
      </c>
      <c r="S140" s="15">
        <f t="shared" si="41"/>
        <v>2</v>
      </c>
      <c r="T140" s="15">
        <f t="shared" si="42"/>
        <v>4</v>
      </c>
      <c r="U140" s="15">
        <f t="shared" si="43"/>
        <v>0</v>
      </c>
      <c r="V140" s="15">
        <f t="shared" si="44"/>
        <v>-2</v>
      </c>
      <c r="W140" s="18" t="str">
        <f t="shared" si="45"/>
        <v>NEGATIVE STOCK - CHECK ENTRIES</v>
      </c>
      <c r="X140" s="17">
        <v>0</v>
      </c>
      <c r="Y140" s="17">
        <v>0</v>
      </c>
      <c r="Z140" s="15">
        <f t="shared" si="46"/>
        <v>0</v>
      </c>
      <c r="AA140" s="17">
        <v>0</v>
      </c>
      <c r="AB140" s="17">
        <v>0</v>
      </c>
      <c r="AC140" s="15">
        <f t="shared" si="47"/>
        <v>0</v>
      </c>
      <c r="AD140" s="17">
        <v>0</v>
      </c>
      <c r="AE140" s="17">
        <v>0</v>
      </c>
      <c r="AF140" s="15">
        <f t="shared" si="48"/>
        <v>0</v>
      </c>
      <c r="AG140" s="17">
        <v>0</v>
      </c>
      <c r="AH140" s="17">
        <v>0</v>
      </c>
      <c r="AI140" s="15">
        <f t="shared" si="49"/>
        <v>0</v>
      </c>
      <c r="AJ140" s="17"/>
    </row>
    <row r="141" spans="1:36" x14ac:dyDescent="0.3">
      <c r="A141" s="15" t="s">
        <v>191</v>
      </c>
      <c r="B141" s="15">
        <v>100</v>
      </c>
      <c r="C141" s="15" t="s">
        <v>54</v>
      </c>
      <c r="D141" s="15" t="s">
        <v>68</v>
      </c>
      <c r="E141" s="15">
        <f>'17-july2026'!T141</f>
        <v>2</v>
      </c>
      <c r="F141" s="15">
        <f>'17-july2026'!U141</f>
        <v>0</v>
      </c>
      <c r="G141" s="15">
        <f>'17-july2026'!V141</f>
        <v>0</v>
      </c>
      <c r="H141" s="15">
        <f t="shared" si="40"/>
        <v>2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5">
        <f t="shared" si="41"/>
        <v>2</v>
      </c>
      <c r="T141" s="15">
        <f t="shared" si="42"/>
        <v>2</v>
      </c>
      <c r="U141" s="15">
        <f t="shared" si="43"/>
        <v>0</v>
      </c>
      <c r="V141" s="15">
        <f t="shared" si="44"/>
        <v>0</v>
      </c>
      <c r="W141" s="18" t="str">
        <f t="shared" si="45"/>
        <v/>
      </c>
      <c r="X141" s="17">
        <v>0</v>
      </c>
      <c r="Y141" s="17">
        <v>0</v>
      </c>
      <c r="Z141" s="15">
        <f t="shared" si="46"/>
        <v>0</v>
      </c>
      <c r="AA141" s="17">
        <v>0</v>
      </c>
      <c r="AB141" s="17">
        <v>0</v>
      </c>
      <c r="AC141" s="15">
        <f t="shared" si="47"/>
        <v>0</v>
      </c>
      <c r="AD141" s="17">
        <v>0</v>
      </c>
      <c r="AE141" s="17">
        <v>0</v>
      </c>
      <c r="AF141" s="15">
        <f t="shared" si="48"/>
        <v>0</v>
      </c>
      <c r="AG141" s="17">
        <v>0</v>
      </c>
      <c r="AH141" s="17">
        <v>0</v>
      </c>
      <c r="AI141" s="15">
        <f t="shared" si="49"/>
        <v>0</v>
      </c>
      <c r="AJ141" s="17"/>
    </row>
    <row r="142" spans="1:36" hidden="1" x14ac:dyDescent="0.3">
      <c r="A142" s="15" t="s">
        <v>192</v>
      </c>
      <c r="B142" s="15">
        <v>100</v>
      </c>
      <c r="C142" s="15" t="s">
        <v>54</v>
      </c>
      <c r="D142" s="15" t="s">
        <v>55</v>
      </c>
      <c r="E142" s="15">
        <f>'17-july2026'!T142</f>
        <v>13</v>
      </c>
      <c r="F142" s="15">
        <f>'17-july2026'!U142</f>
        <v>16</v>
      </c>
      <c r="G142" s="15">
        <f>'17-july2026'!V142</f>
        <v>10</v>
      </c>
      <c r="H142" s="15">
        <f t="shared" si="40"/>
        <v>39</v>
      </c>
      <c r="I142" s="17">
        <v>11</v>
      </c>
      <c r="J142" s="17">
        <v>14</v>
      </c>
      <c r="K142" s="17">
        <v>20</v>
      </c>
      <c r="L142" s="17">
        <v>20</v>
      </c>
      <c r="M142" s="17">
        <v>0</v>
      </c>
      <c r="N142" s="17">
        <v>0</v>
      </c>
      <c r="O142" s="17">
        <v>6300</v>
      </c>
      <c r="P142" s="17">
        <v>0</v>
      </c>
      <c r="Q142" s="17">
        <v>20</v>
      </c>
      <c r="R142" s="17">
        <v>0</v>
      </c>
      <c r="S142" s="15">
        <f t="shared" si="41"/>
        <v>6294</v>
      </c>
      <c r="T142" s="15">
        <f t="shared" si="42"/>
        <v>6282</v>
      </c>
      <c r="U142" s="15">
        <f t="shared" si="43"/>
        <v>2</v>
      </c>
      <c r="V142" s="15">
        <f t="shared" si="44"/>
        <v>10</v>
      </c>
      <c r="W142" s="18" t="str">
        <f t="shared" si="45"/>
        <v/>
      </c>
      <c r="X142" s="17">
        <v>0</v>
      </c>
      <c r="Y142" s="17">
        <v>0</v>
      </c>
      <c r="Z142" s="15">
        <f t="shared" si="46"/>
        <v>0</v>
      </c>
      <c r="AA142" s="17">
        <v>0</v>
      </c>
      <c r="AB142" s="17">
        <v>0</v>
      </c>
      <c r="AC142" s="15">
        <f t="shared" si="47"/>
        <v>0</v>
      </c>
      <c r="AD142" s="17">
        <v>0</v>
      </c>
      <c r="AE142" s="17">
        <v>0</v>
      </c>
      <c r="AF142" s="15">
        <f t="shared" si="48"/>
        <v>0</v>
      </c>
      <c r="AG142" s="17">
        <v>0</v>
      </c>
      <c r="AH142" s="17">
        <v>0</v>
      </c>
      <c r="AI142" s="15">
        <f t="shared" si="49"/>
        <v>0</v>
      </c>
      <c r="AJ142" s="17"/>
    </row>
    <row r="143" spans="1:36" hidden="1" x14ac:dyDescent="0.3">
      <c r="A143" s="15" t="s">
        <v>192</v>
      </c>
      <c r="B143" s="15">
        <v>500</v>
      </c>
      <c r="C143" s="15" t="s">
        <v>54</v>
      </c>
      <c r="D143" s="15" t="s">
        <v>55</v>
      </c>
      <c r="E143" s="15">
        <f>'17-july2026'!T143</f>
        <v>6</v>
      </c>
      <c r="F143" s="15">
        <f>'17-july2026'!U143</f>
        <v>2</v>
      </c>
      <c r="G143" s="15">
        <f>'17-july2026'!V143</f>
        <v>6</v>
      </c>
      <c r="H143" s="15">
        <f t="shared" si="40"/>
        <v>14</v>
      </c>
      <c r="I143" s="17">
        <v>0</v>
      </c>
      <c r="J143" s="17">
        <v>2</v>
      </c>
      <c r="K143" s="17">
        <v>4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5">
        <f t="shared" si="41"/>
        <v>8</v>
      </c>
      <c r="T143" s="15">
        <f t="shared" si="42"/>
        <v>6</v>
      </c>
      <c r="U143" s="15">
        <f t="shared" si="43"/>
        <v>0</v>
      </c>
      <c r="V143" s="15">
        <f t="shared" si="44"/>
        <v>2</v>
      </c>
      <c r="W143" s="18" t="str">
        <f t="shared" si="45"/>
        <v/>
      </c>
      <c r="X143" s="17">
        <v>0</v>
      </c>
      <c r="Y143" s="17">
        <v>0</v>
      </c>
      <c r="Z143" s="15">
        <f t="shared" si="46"/>
        <v>0</v>
      </c>
      <c r="AA143" s="17">
        <v>0</v>
      </c>
      <c r="AB143" s="17">
        <v>0</v>
      </c>
      <c r="AC143" s="15">
        <f t="shared" si="47"/>
        <v>0</v>
      </c>
      <c r="AD143" s="17">
        <v>0</v>
      </c>
      <c r="AE143" s="17">
        <v>0</v>
      </c>
      <c r="AF143" s="15">
        <f t="shared" si="48"/>
        <v>0</v>
      </c>
      <c r="AG143" s="17">
        <v>0</v>
      </c>
      <c r="AH143" s="17">
        <v>0</v>
      </c>
      <c r="AI143" s="15">
        <f t="shared" si="49"/>
        <v>0</v>
      </c>
      <c r="AJ143" s="17"/>
    </row>
    <row r="144" spans="1:36" x14ac:dyDescent="0.3">
      <c r="A144" s="15" t="s">
        <v>193</v>
      </c>
      <c r="B144" s="15">
        <v>100</v>
      </c>
      <c r="C144" s="15" t="s">
        <v>54</v>
      </c>
      <c r="D144" s="15" t="s">
        <v>57</v>
      </c>
      <c r="E144" s="15">
        <f>'17-july2026'!T144</f>
        <v>1</v>
      </c>
      <c r="F144" s="15">
        <f>'17-july2026'!U144</f>
        <v>0</v>
      </c>
      <c r="G144" s="15">
        <f>'17-july2026'!V144</f>
        <v>0</v>
      </c>
      <c r="H144" s="15">
        <f t="shared" si="40"/>
        <v>1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5">
        <f t="shared" si="41"/>
        <v>1</v>
      </c>
      <c r="T144" s="15">
        <f t="shared" si="42"/>
        <v>1</v>
      </c>
      <c r="U144" s="15">
        <f t="shared" si="43"/>
        <v>0</v>
      </c>
      <c r="V144" s="15">
        <f t="shared" si="44"/>
        <v>0</v>
      </c>
      <c r="W144" s="18" t="str">
        <f t="shared" si="45"/>
        <v/>
      </c>
      <c r="X144" s="17">
        <v>0</v>
      </c>
      <c r="Y144" s="17">
        <v>0</v>
      </c>
      <c r="Z144" s="15">
        <f t="shared" si="46"/>
        <v>0</v>
      </c>
      <c r="AA144" s="17">
        <v>0</v>
      </c>
      <c r="AB144" s="17">
        <v>0</v>
      </c>
      <c r="AC144" s="15">
        <f t="shared" si="47"/>
        <v>0</v>
      </c>
      <c r="AD144" s="17">
        <v>0</v>
      </c>
      <c r="AE144" s="17">
        <v>0</v>
      </c>
      <c r="AF144" s="15">
        <f t="shared" si="48"/>
        <v>0</v>
      </c>
      <c r="AG144" s="17">
        <v>0</v>
      </c>
      <c r="AH144" s="17">
        <v>0</v>
      </c>
      <c r="AI144" s="15">
        <f t="shared" si="49"/>
        <v>0</v>
      </c>
      <c r="AJ144" s="17"/>
    </row>
    <row r="145" spans="1:36" hidden="1" x14ac:dyDescent="0.3">
      <c r="A145" s="15" t="s">
        <v>194</v>
      </c>
      <c r="B145" s="15">
        <v>1000</v>
      </c>
      <c r="C145" s="15"/>
      <c r="D145" s="15" t="s">
        <v>55</v>
      </c>
      <c r="E145" s="15">
        <f>'17-july2026'!T145</f>
        <v>0</v>
      </c>
      <c r="F145" s="15">
        <f>'17-july2026'!U145</f>
        <v>0</v>
      </c>
      <c r="G145" s="15">
        <f>'17-july2026'!V145</f>
        <v>0</v>
      </c>
      <c r="H145" s="15">
        <f t="shared" si="40"/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5">
        <f t="shared" si="41"/>
        <v>0</v>
      </c>
      <c r="T145" s="15">
        <f t="shared" si="42"/>
        <v>0</v>
      </c>
      <c r="U145" s="15">
        <f t="shared" si="43"/>
        <v>0</v>
      </c>
      <c r="V145" s="15">
        <f t="shared" si="44"/>
        <v>0</v>
      </c>
      <c r="W145" s="18" t="str">
        <f t="shared" si="45"/>
        <v/>
      </c>
      <c r="X145" s="17">
        <v>0</v>
      </c>
      <c r="Y145" s="17">
        <v>0</v>
      </c>
      <c r="Z145" s="15">
        <f t="shared" si="46"/>
        <v>0</v>
      </c>
      <c r="AA145" s="17">
        <v>0</v>
      </c>
      <c r="AB145" s="17">
        <v>0</v>
      </c>
      <c r="AC145" s="15">
        <f t="shared" si="47"/>
        <v>0</v>
      </c>
      <c r="AD145" s="17">
        <v>0</v>
      </c>
      <c r="AE145" s="17">
        <v>0</v>
      </c>
      <c r="AF145" s="15">
        <f t="shared" si="48"/>
        <v>0</v>
      </c>
      <c r="AG145" s="17">
        <v>0</v>
      </c>
      <c r="AH145" s="17">
        <v>0</v>
      </c>
      <c r="AI145" s="15">
        <f t="shared" si="49"/>
        <v>0</v>
      </c>
      <c r="AJ145" s="17"/>
    </row>
    <row r="146" spans="1:36" x14ac:dyDescent="0.3">
      <c r="A146" s="15" t="s">
        <v>195</v>
      </c>
      <c r="B146" s="15">
        <v>1000</v>
      </c>
      <c r="C146" s="15" t="s">
        <v>54</v>
      </c>
      <c r="D146" s="15" t="s">
        <v>68</v>
      </c>
      <c r="E146" s="15">
        <f>'17-july2026'!T146</f>
        <v>2</v>
      </c>
      <c r="F146" s="15">
        <f>'17-july2026'!U146</f>
        <v>0</v>
      </c>
      <c r="G146" s="15">
        <f>'17-july2026'!V146</f>
        <v>0</v>
      </c>
      <c r="H146" s="15">
        <f t="shared" si="40"/>
        <v>2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5">
        <f t="shared" si="41"/>
        <v>2</v>
      </c>
      <c r="T146" s="15">
        <f t="shared" si="42"/>
        <v>2</v>
      </c>
      <c r="U146" s="15">
        <f t="shared" si="43"/>
        <v>0</v>
      </c>
      <c r="V146" s="15">
        <f t="shared" si="44"/>
        <v>0</v>
      </c>
      <c r="W146" s="18" t="str">
        <f t="shared" si="45"/>
        <v/>
      </c>
      <c r="X146" s="17">
        <v>0</v>
      </c>
      <c r="Y146" s="17">
        <v>0</v>
      </c>
      <c r="Z146" s="15">
        <f t="shared" si="46"/>
        <v>0</v>
      </c>
      <c r="AA146" s="17">
        <v>0</v>
      </c>
      <c r="AB146" s="17">
        <v>0</v>
      </c>
      <c r="AC146" s="15">
        <f t="shared" si="47"/>
        <v>0</v>
      </c>
      <c r="AD146" s="17">
        <v>0</v>
      </c>
      <c r="AE146" s="17">
        <v>0</v>
      </c>
      <c r="AF146" s="15">
        <f t="shared" si="48"/>
        <v>0</v>
      </c>
      <c r="AG146" s="17">
        <v>0</v>
      </c>
      <c r="AH146" s="17">
        <v>0</v>
      </c>
      <c r="AI146" s="15">
        <f t="shared" si="49"/>
        <v>0</v>
      </c>
      <c r="AJ146" s="17"/>
    </row>
    <row r="147" spans="1:36" hidden="1" x14ac:dyDescent="0.3">
      <c r="A147" s="15" t="s">
        <v>196</v>
      </c>
      <c r="B147" s="15">
        <v>100</v>
      </c>
      <c r="C147" s="15" t="s">
        <v>54</v>
      </c>
      <c r="D147" s="15" t="s">
        <v>55</v>
      </c>
      <c r="E147" s="15">
        <f>'17-july2026'!T147</f>
        <v>441</v>
      </c>
      <c r="F147" s="15">
        <f>'17-july2026'!U147</f>
        <v>145</v>
      </c>
      <c r="G147" s="15">
        <f>'17-july2026'!V147</f>
        <v>35</v>
      </c>
      <c r="H147" s="15">
        <f t="shared" si="40"/>
        <v>621</v>
      </c>
      <c r="I147" s="17">
        <v>5</v>
      </c>
      <c r="J147" s="17">
        <v>0</v>
      </c>
      <c r="K147" s="17">
        <v>13</v>
      </c>
      <c r="L147" s="17">
        <v>10</v>
      </c>
      <c r="M147" s="17">
        <v>0</v>
      </c>
      <c r="N147" s="17">
        <v>22</v>
      </c>
      <c r="O147" s="17">
        <v>22</v>
      </c>
      <c r="P147" s="17">
        <v>0</v>
      </c>
      <c r="Q147" s="17">
        <v>10</v>
      </c>
      <c r="R147" s="17">
        <v>0</v>
      </c>
      <c r="S147" s="15">
        <f t="shared" si="41"/>
        <v>603</v>
      </c>
      <c r="T147" s="15">
        <f t="shared" si="42"/>
        <v>448</v>
      </c>
      <c r="U147" s="15">
        <f t="shared" si="43"/>
        <v>145</v>
      </c>
      <c r="V147" s="15">
        <f t="shared" si="44"/>
        <v>10</v>
      </c>
      <c r="W147" s="18" t="str">
        <f t="shared" si="45"/>
        <v/>
      </c>
      <c r="X147" s="17">
        <v>0</v>
      </c>
      <c r="Y147" s="17">
        <v>0</v>
      </c>
      <c r="Z147" s="15">
        <f t="shared" si="46"/>
        <v>0</v>
      </c>
      <c r="AA147" s="17">
        <v>0</v>
      </c>
      <c r="AB147" s="17">
        <v>0</v>
      </c>
      <c r="AC147" s="15">
        <f t="shared" si="47"/>
        <v>0</v>
      </c>
      <c r="AD147" s="17">
        <v>0</v>
      </c>
      <c r="AE147" s="17">
        <v>0</v>
      </c>
      <c r="AF147" s="15">
        <f t="shared" si="48"/>
        <v>0</v>
      </c>
      <c r="AG147" s="17">
        <v>0</v>
      </c>
      <c r="AH147" s="17">
        <v>0</v>
      </c>
      <c r="AI147" s="15">
        <f t="shared" si="49"/>
        <v>0</v>
      </c>
      <c r="AJ147" s="17"/>
    </row>
    <row r="148" spans="1:36" hidden="1" x14ac:dyDescent="0.3">
      <c r="A148" s="15" t="s">
        <v>197</v>
      </c>
      <c r="B148" s="15">
        <v>100</v>
      </c>
      <c r="C148" s="15" t="s">
        <v>54</v>
      </c>
      <c r="D148" s="15" t="s">
        <v>55</v>
      </c>
      <c r="E148" s="15">
        <f>'17-july2026'!T148</f>
        <v>0</v>
      </c>
      <c r="F148" s="15">
        <f>'17-july2026'!U148</f>
        <v>0</v>
      </c>
      <c r="G148" s="15">
        <f>'17-july2026'!V148</f>
        <v>0</v>
      </c>
      <c r="H148" s="15">
        <f t="shared" si="40"/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5">
        <f t="shared" si="41"/>
        <v>0</v>
      </c>
      <c r="T148" s="15">
        <f t="shared" si="42"/>
        <v>0</v>
      </c>
      <c r="U148" s="15">
        <f t="shared" si="43"/>
        <v>0</v>
      </c>
      <c r="V148" s="15">
        <f t="shared" si="44"/>
        <v>0</v>
      </c>
      <c r="W148" s="18" t="str">
        <f t="shared" si="45"/>
        <v/>
      </c>
      <c r="X148" s="17">
        <v>0</v>
      </c>
      <c r="Y148" s="17">
        <v>0</v>
      </c>
      <c r="Z148" s="15">
        <f t="shared" si="46"/>
        <v>0</v>
      </c>
      <c r="AA148" s="17">
        <v>0</v>
      </c>
      <c r="AB148" s="17">
        <v>0</v>
      </c>
      <c r="AC148" s="15">
        <f t="shared" si="47"/>
        <v>0</v>
      </c>
      <c r="AD148" s="17">
        <v>0</v>
      </c>
      <c r="AE148" s="17">
        <v>0</v>
      </c>
      <c r="AF148" s="15">
        <f t="shared" si="48"/>
        <v>0</v>
      </c>
      <c r="AG148" s="17">
        <v>0</v>
      </c>
      <c r="AH148" s="17">
        <v>0</v>
      </c>
      <c r="AI148" s="15">
        <f t="shared" si="49"/>
        <v>0</v>
      </c>
      <c r="AJ148" s="17"/>
    </row>
    <row r="149" spans="1:36" hidden="1" x14ac:dyDescent="0.3">
      <c r="A149" s="15" t="s">
        <v>198</v>
      </c>
      <c r="B149" s="15">
        <v>100</v>
      </c>
      <c r="C149" s="15" t="s">
        <v>54</v>
      </c>
      <c r="D149" s="15" t="s">
        <v>55</v>
      </c>
      <c r="E149" s="15">
        <f>'17-july2026'!T149</f>
        <v>198</v>
      </c>
      <c r="F149" s="15">
        <f>'17-july2026'!U149</f>
        <v>41</v>
      </c>
      <c r="G149" s="15">
        <f>'17-july2026'!V149</f>
        <v>44</v>
      </c>
      <c r="H149" s="15">
        <f t="shared" si="40"/>
        <v>283</v>
      </c>
      <c r="I149" s="17">
        <v>16</v>
      </c>
      <c r="J149" s="17">
        <v>0</v>
      </c>
      <c r="K149" s="17">
        <v>11</v>
      </c>
      <c r="L149" s="17">
        <v>17</v>
      </c>
      <c r="M149" s="17">
        <v>0</v>
      </c>
      <c r="N149" s="17">
        <v>0</v>
      </c>
      <c r="O149" s="17">
        <v>0</v>
      </c>
      <c r="P149" s="17">
        <v>0</v>
      </c>
      <c r="Q149" s="17">
        <v>10</v>
      </c>
      <c r="R149" s="17">
        <v>7</v>
      </c>
      <c r="S149" s="15">
        <f t="shared" si="41"/>
        <v>256</v>
      </c>
      <c r="T149" s="15">
        <f t="shared" si="42"/>
        <v>165</v>
      </c>
      <c r="U149" s="15">
        <f t="shared" si="43"/>
        <v>41</v>
      </c>
      <c r="V149" s="15">
        <f t="shared" si="44"/>
        <v>43</v>
      </c>
      <c r="W149" s="18" t="str">
        <f t="shared" si="45"/>
        <v/>
      </c>
      <c r="X149" s="17">
        <v>0</v>
      </c>
      <c r="Y149" s="17">
        <v>0</v>
      </c>
      <c r="Z149" s="15">
        <f t="shared" si="46"/>
        <v>0</v>
      </c>
      <c r="AA149" s="17">
        <v>0</v>
      </c>
      <c r="AB149" s="17">
        <v>0</v>
      </c>
      <c r="AC149" s="15">
        <f t="shared" si="47"/>
        <v>0</v>
      </c>
      <c r="AD149" s="17">
        <v>0</v>
      </c>
      <c r="AE149" s="17">
        <v>0</v>
      </c>
      <c r="AF149" s="15">
        <f t="shared" si="48"/>
        <v>0</v>
      </c>
      <c r="AG149" s="17">
        <v>0</v>
      </c>
      <c r="AH149" s="17">
        <v>0</v>
      </c>
      <c r="AI149" s="15">
        <f t="shared" si="49"/>
        <v>0</v>
      </c>
      <c r="AJ149" s="17"/>
    </row>
    <row r="150" spans="1:36" hidden="1" x14ac:dyDescent="0.3">
      <c r="A150" s="15" t="s">
        <v>199</v>
      </c>
      <c r="B150" s="15">
        <v>500</v>
      </c>
      <c r="C150" s="15" t="s">
        <v>54</v>
      </c>
      <c r="D150" s="15" t="s">
        <v>55</v>
      </c>
      <c r="E150" s="15">
        <f>'17-july2026'!T150</f>
        <v>10</v>
      </c>
      <c r="F150" s="15">
        <f>'17-july2026'!U150</f>
        <v>1</v>
      </c>
      <c r="G150" s="15">
        <f>'17-july2026'!V150</f>
        <v>0</v>
      </c>
      <c r="H150" s="15">
        <f t="shared" si="40"/>
        <v>11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5">
        <f t="shared" si="41"/>
        <v>11</v>
      </c>
      <c r="T150" s="15">
        <f t="shared" si="42"/>
        <v>10</v>
      </c>
      <c r="U150" s="15">
        <f t="shared" si="43"/>
        <v>1</v>
      </c>
      <c r="V150" s="15">
        <f t="shared" si="44"/>
        <v>0</v>
      </c>
      <c r="W150" s="18" t="str">
        <f t="shared" si="45"/>
        <v/>
      </c>
      <c r="X150" s="17">
        <v>0</v>
      </c>
      <c r="Y150" s="17">
        <v>0</v>
      </c>
      <c r="Z150" s="15">
        <f t="shared" si="46"/>
        <v>0</v>
      </c>
      <c r="AA150" s="17">
        <v>0</v>
      </c>
      <c r="AB150" s="17">
        <v>0</v>
      </c>
      <c r="AC150" s="15">
        <f t="shared" si="47"/>
        <v>0</v>
      </c>
      <c r="AD150" s="17">
        <v>0</v>
      </c>
      <c r="AE150" s="17">
        <v>0</v>
      </c>
      <c r="AF150" s="15">
        <f t="shared" si="48"/>
        <v>0</v>
      </c>
      <c r="AG150" s="17">
        <v>0</v>
      </c>
      <c r="AH150" s="17">
        <v>0</v>
      </c>
      <c r="AI150" s="15">
        <f t="shared" si="49"/>
        <v>0</v>
      </c>
      <c r="AJ150" s="17"/>
    </row>
    <row r="151" spans="1:36" hidden="1" x14ac:dyDescent="0.3">
      <c r="A151" s="15" t="s">
        <v>200</v>
      </c>
      <c r="B151" s="15">
        <v>100</v>
      </c>
      <c r="C151" s="15" t="s">
        <v>54</v>
      </c>
      <c r="D151" s="15" t="s">
        <v>55</v>
      </c>
      <c r="E151" s="15">
        <f>'17-july2026'!T151</f>
        <v>15</v>
      </c>
      <c r="F151" s="15">
        <f>'17-july2026'!U151</f>
        <v>91</v>
      </c>
      <c r="G151" s="15">
        <f>'17-july2026'!V151</f>
        <v>44</v>
      </c>
      <c r="H151" s="15">
        <f t="shared" si="40"/>
        <v>150</v>
      </c>
      <c r="I151" s="17">
        <v>0</v>
      </c>
      <c r="J151" s="17">
        <v>0</v>
      </c>
      <c r="K151" s="17">
        <v>7</v>
      </c>
      <c r="L151" s="17">
        <v>0</v>
      </c>
      <c r="M151" s="17">
        <v>0</v>
      </c>
      <c r="N151" s="17">
        <v>13</v>
      </c>
      <c r="O151" s="17">
        <v>313</v>
      </c>
      <c r="P151" s="17">
        <v>0</v>
      </c>
      <c r="Q151" s="17">
        <v>0</v>
      </c>
      <c r="R151" s="17">
        <v>0</v>
      </c>
      <c r="S151" s="15">
        <f t="shared" si="41"/>
        <v>443</v>
      </c>
      <c r="T151" s="15">
        <f t="shared" si="42"/>
        <v>328</v>
      </c>
      <c r="U151" s="15">
        <f t="shared" si="43"/>
        <v>91</v>
      </c>
      <c r="V151" s="15">
        <f t="shared" si="44"/>
        <v>24</v>
      </c>
      <c r="W151" s="18" t="str">
        <f t="shared" si="45"/>
        <v/>
      </c>
      <c r="X151" s="17">
        <v>0</v>
      </c>
      <c r="Y151" s="17">
        <v>0</v>
      </c>
      <c r="Z151" s="15">
        <f t="shared" si="46"/>
        <v>0</v>
      </c>
      <c r="AA151" s="17">
        <v>0</v>
      </c>
      <c r="AB151" s="17">
        <v>0</v>
      </c>
      <c r="AC151" s="15">
        <f t="shared" si="47"/>
        <v>0</v>
      </c>
      <c r="AD151" s="17">
        <v>0</v>
      </c>
      <c r="AE151" s="17">
        <v>0</v>
      </c>
      <c r="AF151" s="15">
        <f t="shared" si="48"/>
        <v>0</v>
      </c>
      <c r="AG151" s="17">
        <v>0</v>
      </c>
      <c r="AH151" s="17">
        <v>0</v>
      </c>
      <c r="AI151" s="15">
        <f t="shared" si="49"/>
        <v>0</v>
      </c>
      <c r="AJ151" s="17"/>
    </row>
    <row r="152" spans="1:36" hidden="1" x14ac:dyDescent="0.3">
      <c r="A152" s="15" t="s">
        <v>201</v>
      </c>
      <c r="B152" s="15">
        <v>100</v>
      </c>
      <c r="C152" s="15" t="s">
        <v>54</v>
      </c>
      <c r="D152" s="15" t="s">
        <v>55</v>
      </c>
      <c r="E152" s="15">
        <f>'17-july2026'!T152</f>
        <v>244</v>
      </c>
      <c r="F152" s="15">
        <f>'17-july2026'!U152</f>
        <v>71</v>
      </c>
      <c r="G152" s="15">
        <f>'17-july2026'!V152</f>
        <v>30</v>
      </c>
      <c r="H152" s="15">
        <f t="shared" si="40"/>
        <v>345</v>
      </c>
      <c r="I152" s="17">
        <v>0</v>
      </c>
      <c r="J152" s="17">
        <v>0</v>
      </c>
      <c r="K152" s="17">
        <v>16</v>
      </c>
      <c r="L152" s="17">
        <v>6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6</v>
      </c>
      <c r="S152" s="15">
        <f t="shared" si="41"/>
        <v>329</v>
      </c>
      <c r="T152" s="15">
        <f t="shared" si="42"/>
        <v>238</v>
      </c>
      <c r="U152" s="15">
        <f t="shared" si="43"/>
        <v>71</v>
      </c>
      <c r="V152" s="15">
        <f t="shared" si="44"/>
        <v>14</v>
      </c>
      <c r="W152" s="18" t="str">
        <f t="shared" si="45"/>
        <v/>
      </c>
      <c r="X152" s="17">
        <v>0</v>
      </c>
      <c r="Y152" s="17">
        <v>0</v>
      </c>
      <c r="Z152" s="15">
        <f t="shared" si="46"/>
        <v>0</v>
      </c>
      <c r="AA152" s="17">
        <v>0</v>
      </c>
      <c r="AB152" s="17">
        <v>0</v>
      </c>
      <c r="AC152" s="15">
        <f t="shared" si="47"/>
        <v>0</v>
      </c>
      <c r="AD152" s="17">
        <v>0</v>
      </c>
      <c r="AE152" s="17">
        <v>0</v>
      </c>
      <c r="AF152" s="15">
        <f t="shared" si="48"/>
        <v>0</v>
      </c>
      <c r="AG152" s="17">
        <v>0</v>
      </c>
      <c r="AH152" s="17">
        <v>0</v>
      </c>
      <c r="AI152" s="15">
        <f t="shared" si="49"/>
        <v>0</v>
      </c>
      <c r="AJ152" s="17"/>
    </row>
    <row r="153" spans="1:36" hidden="1" x14ac:dyDescent="0.3">
      <c r="A153" s="15" t="s">
        <v>202</v>
      </c>
      <c r="B153" s="15">
        <v>100</v>
      </c>
      <c r="C153" s="15" t="s">
        <v>54</v>
      </c>
      <c r="D153" s="15" t="s">
        <v>55</v>
      </c>
      <c r="E153" s="15">
        <f>'17-july2026'!T153</f>
        <v>13</v>
      </c>
      <c r="F153" s="15">
        <f>'17-july2026'!U153</f>
        <v>0</v>
      </c>
      <c r="G153" s="15">
        <f>'17-july2026'!V153</f>
        <v>0</v>
      </c>
      <c r="H153" s="15">
        <f t="shared" si="40"/>
        <v>13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5">
        <f t="shared" si="41"/>
        <v>13</v>
      </c>
      <c r="T153" s="15">
        <f t="shared" si="42"/>
        <v>13</v>
      </c>
      <c r="U153" s="15">
        <f t="shared" si="43"/>
        <v>0</v>
      </c>
      <c r="V153" s="15">
        <f t="shared" si="44"/>
        <v>0</v>
      </c>
      <c r="W153" s="18" t="str">
        <f t="shared" si="45"/>
        <v/>
      </c>
      <c r="X153" s="17">
        <v>0</v>
      </c>
      <c r="Y153" s="17">
        <v>0</v>
      </c>
      <c r="Z153" s="15">
        <f t="shared" si="46"/>
        <v>0</v>
      </c>
      <c r="AA153" s="17">
        <v>0</v>
      </c>
      <c r="AB153" s="17">
        <v>0</v>
      </c>
      <c r="AC153" s="15">
        <f t="shared" si="47"/>
        <v>0</v>
      </c>
      <c r="AD153" s="17">
        <v>0</v>
      </c>
      <c r="AE153" s="17">
        <v>0</v>
      </c>
      <c r="AF153" s="15">
        <f t="shared" si="48"/>
        <v>0</v>
      </c>
      <c r="AG153" s="17">
        <v>0</v>
      </c>
      <c r="AH153" s="17">
        <v>0</v>
      </c>
      <c r="AI153" s="15">
        <f t="shared" si="49"/>
        <v>0</v>
      </c>
      <c r="AJ153" s="17"/>
    </row>
    <row r="154" spans="1:36" hidden="1" x14ac:dyDescent="0.3">
      <c r="A154" s="15" t="s">
        <v>203</v>
      </c>
      <c r="B154" s="15">
        <v>100</v>
      </c>
      <c r="C154" s="15" t="s">
        <v>54</v>
      </c>
      <c r="D154" s="15" t="s">
        <v>55</v>
      </c>
      <c r="E154" s="15">
        <f>'17-july2026'!T154</f>
        <v>13</v>
      </c>
      <c r="F154" s="15">
        <f>'17-july2026'!U154</f>
        <v>0</v>
      </c>
      <c r="G154" s="15">
        <f>'17-july2026'!V154</f>
        <v>0</v>
      </c>
      <c r="H154" s="15">
        <f t="shared" si="40"/>
        <v>13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5">
        <f t="shared" si="41"/>
        <v>13</v>
      </c>
      <c r="T154" s="15">
        <f t="shared" si="42"/>
        <v>13</v>
      </c>
      <c r="U154" s="15">
        <f t="shared" si="43"/>
        <v>0</v>
      </c>
      <c r="V154" s="15">
        <f t="shared" si="44"/>
        <v>0</v>
      </c>
      <c r="W154" s="18" t="str">
        <f t="shared" si="45"/>
        <v/>
      </c>
      <c r="X154" s="17">
        <v>0</v>
      </c>
      <c r="Y154" s="17">
        <v>0</v>
      </c>
      <c r="Z154" s="15">
        <f t="shared" si="46"/>
        <v>0</v>
      </c>
      <c r="AA154" s="17">
        <v>0</v>
      </c>
      <c r="AB154" s="17">
        <v>0</v>
      </c>
      <c r="AC154" s="15">
        <f t="shared" si="47"/>
        <v>0</v>
      </c>
      <c r="AD154" s="17">
        <v>0</v>
      </c>
      <c r="AE154" s="17">
        <v>0</v>
      </c>
      <c r="AF154" s="15">
        <f t="shared" si="48"/>
        <v>0</v>
      </c>
      <c r="AG154" s="17">
        <v>0</v>
      </c>
      <c r="AH154" s="17">
        <v>0</v>
      </c>
      <c r="AI154" s="15">
        <f t="shared" si="49"/>
        <v>0</v>
      </c>
      <c r="AJ154" s="17"/>
    </row>
    <row r="155" spans="1:36" hidden="1" x14ac:dyDescent="0.3">
      <c r="A155" s="15" t="s">
        <v>204</v>
      </c>
      <c r="B155" s="15">
        <v>10000</v>
      </c>
      <c r="C155" s="15" t="s">
        <v>54</v>
      </c>
      <c r="D155" s="15" t="s">
        <v>55</v>
      </c>
      <c r="E155" s="15">
        <v>0</v>
      </c>
      <c r="F155" s="15">
        <v>0</v>
      </c>
      <c r="G155" s="15">
        <v>0</v>
      </c>
      <c r="H155" s="15">
        <f t="shared" si="40"/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5">
        <f t="shared" si="41"/>
        <v>0</v>
      </c>
      <c r="T155" s="15">
        <f t="shared" si="42"/>
        <v>0</v>
      </c>
      <c r="U155" s="15">
        <f t="shared" si="43"/>
        <v>0</v>
      </c>
      <c r="V155" s="15">
        <f t="shared" si="44"/>
        <v>0</v>
      </c>
      <c r="W155" s="18" t="str">
        <f t="shared" si="45"/>
        <v/>
      </c>
      <c r="X155" s="17">
        <v>0</v>
      </c>
      <c r="Y155" s="17">
        <v>0</v>
      </c>
      <c r="Z155" s="15">
        <f t="shared" si="46"/>
        <v>0</v>
      </c>
      <c r="AA155" s="17">
        <v>0</v>
      </c>
      <c r="AB155" s="17">
        <v>0</v>
      </c>
      <c r="AC155" s="15">
        <f t="shared" si="47"/>
        <v>0</v>
      </c>
      <c r="AD155" s="17">
        <v>0</v>
      </c>
      <c r="AE155" s="17">
        <v>0</v>
      </c>
      <c r="AF155" s="15">
        <f t="shared" si="48"/>
        <v>0</v>
      </c>
      <c r="AG155" s="17">
        <v>0</v>
      </c>
      <c r="AH155" s="17">
        <v>0</v>
      </c>
      <c r="AI155" s="15">
        <f t="shared" si="49"/>
        <v>0</v>
      </c>
      <c r="AJ155" s="17"/>
    </row>
    <row r="156" spans="1:36" x14ac:dyDescent="0.3">
      <c r="A156" s="15" t="s">
        <v>205</v>
      </c>
      <c r="B156" s="15">
        <v>1000</v>
      </c>
      <c r="C156" s="15" t="s">
        <v>54</v>
      </c>
      <c r="D156" s="15" t="s">
        <v>57</v>
      </c>
      <c r="E156" s="15">
        <f>'17-july2026'!T156</f>
        <v>5</v>
      </c>
      <c r="F156" s="15">
        <f>'17-july2026'!U156</f>
        <v>0</v>
      </c>
      <c r="G156" s="15">
        <f>'17-july2026'!V156</f>
        <v>0</v>
      </c>
      <c r="H156" s="15">
        <f t="shared" si="40"/>
        <v>5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5">
        <f t="shared" si="41"/>
        <v>5</v>
      </c>
      <c r="T156" s="15">
        <f t="shared" si="42"/>
        <v>5</v>
      </c>
      <c r="U156" s="15">
        <f t="shared" si="43"/>
        <v>0</v>
      </c>
      <c r="V156" s="15">
        <f t="shared" si="44"/>
        <v>0</v>
      </c>
      <c r="W156" s="18" t="str">
        <f t="shared" si="45"/>
        <v/>
      </c>
      <c r="X156" s="17">
        <v>0</v>
      </c>
      <c r="Y156" s="17">
        <v>0</v>
      </c>
      <c r="Z156" s="15">
        <f t="shared" si="46"/>
        <v>0</v>
      </c>
      <c r="AA156" s="17">
        <v>0</v>
      </c>
      <c r="AB156" s="17">
        <v>0</v>
      </c>
      <c r="AC156" s="15">
        <f t="shared" si="47"/>
        <v>0</v>
      </c>
      <c r="AD156" s="17">
        <v>0</v>
      </c>
      <c r="AE156" s="17">
        <v>0</v>
      </c>
      <c r="AF156" s="15">
        <f t="shared" si="48"/>
        <v>0</v>
      </c>
      <c r="AG156" s="17">
        <v>0</v>
      </c>
      <c r="AH156" s="17">
        <v>0</v>
      </c>
      <c r="AI156" s="15">
        <f t="shared" si="49"/>
        <v>0</v>
      </c>
      <c r="AJ156" s="17"/>
    </row>
    <row r="157" spans="1:36" x14ac:dyDescent="0.3">
      <c r="A157" s="15" t="s">
        <v>206</v>
      </c>
      <c r="B157" s="15">
        <v>1000</v>
      </c>
      <c r="C157" s="15" t="s">
        <v>54</v>
      </c>
      <c r="D157" s="15" t="s">
        <v>57</v>
      </c>
      <c r="E157" s="15">
        <f>'17-july2026'!T157</f>
        <v>2</v>
      </c>
      <c r="F157" s="15">
        <f>'17-july2026'!U157</f>
        <v>0</v>
      </c>
      <c r="G157" s="15">
        <f>'17-july2026'!V157</f>
        <v>0</v>
      </c>
      <c r="H157" s="15">
        <f t="shared" si="40"/>
        <v>2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5">
        <f t="shared" si="41"/>
        <v>2</v>
      </c>
      <c r="T157" s="15">
        <f t="shared" si="42"/>
        <v>2</v>
      </c>
      <c r="U157" s="15">
        <f t="shared" si="43"/>
        <v>0</v>
      </c>
      <c r="V157" s="15">
        <f t="shared" si="44"/>
        <v>0</v>
      </c>
      <c r="W157" s="18" t="str">
        <f t="shared" si="45"/>
        <v/>
      </c>
      <c r="X157" s="17">
        <v>0</v>
      </c>
      <c r="Y157" s="17">
        <v>0</v>
      </c>
      <c r="Z157" s="15">
        <f t="shared" si="46"/>
        <v>0</v>
      </c>
      <c r="AA157" s="17">
        <v>0</v>
      </c>
      <c r="AB157" s="17">
        <v>0</v>
      </c>
      <c r="AC157" s="15">
        <f t="shared" si="47"/>
        <v>0</v>
      </c>
      <c r="AD157" s="17">
        <v>0</v>
      </c>
      <c r="AE157" s="17">
        <v>0</v>
      </c>
      <c r="AF157" s="15">
        <f t="shared" si="48"/>
        <v>0</v>
      </c>
      <c r="AG157" s="17">
        <v>0</v>
      </c>
      <c r="AH157" s="17">
        <v>0</v>
      </c>
      <c r="AI157" s="15">
        <f t="shared" si="49"/>
        <v>0</v>
      </c>
      <c r="AJ157" s="17"/>
    </row>
    <row r="158" spans="1:36" x14ac:dyDescent="0.3">
      <c r="A158" s="15" t="s">
        <v>207</v>
      </c>
      <c r="B158" s="15">
        <v>1000</v>
      </c>
      <c r="C158" s="15" t="s">
        <v>54</v>
      </c>
      <c r="D158" s="15" t="s">
        <v>68</v>
      </c>
      <c r="E158" s="15">
        <f>'17-july2026'!T158</f>
        <v>3</v>
      </c>
      <c r="F158" s="15">
        <f>'17-july2026'!U158</f>
        <v>0</v>
      </c>
      <c r="G158" s="15">
        <f>'17-july2026'!V158</f>
        <v>0</v>
      </c>
      <c r="H158" s="15">
        <f t="shared" si="40"/>
        <v>3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5">
        <f t="shared" si="41"/>
        <v>3</v>
      </c>
      <c r="T158" s="15">
        <f t="shared" si="42"/>
        <v>3</v>
      </c>
      <c r="U158" s="15">
        <f t="shared" si="43"/>
        <v>0</v>
      </c>
      <c r="V158" s="15">
        <f t="shared" si="44"/>
        <v>0</v>
      </c>
      <c r="W158" s="18" t="str">
        <f t="shared" si="45"/>
        <v/>
      </c>
      <c r="X158" s="17">
        <v>0</v>
      </c>
      <c r="Y158" s="17">
        <v>0</v>
      </c>
      <c r="Z158" s="15">
        <f t="shared" si="46"/>
        <v>0</v>
      </c>
      <c r="AA158" s="17">
        <v>0</v>
      </c>
      <c r="AB158" s="17">
        <v>0</v>
      </c>
      <c r="AC158" s="15">
        <f t="shared" si="47"/>
        <v>0</v>
      </c>
      <c r="AD158" s="17">
        <v>0</v>
      </c>
      <c r="AE158" s="17">
        <v>0</v>
      </c>
      <c r="AF158" s="15">
        <f t="shared" si="48"/>
        <v>0</v>
      </c>
      <c r="AG158" s="17">
        <v>0</v>
      </c>
      <c r="AH158" s="17">
        <v>0</v>
      </c>
      <c r="AI158" s="15">
        <f t="shared" si="49"/>
        <v>0</v>
      </c>
      <c r="AJ158" s="17"/>
    </row>
    <row r="159" spans="1:36" x14ac:dyDescent="0.3">
      <c r="A159" s="15" t="s">
        <v>208</v>
      </c>
      <c r="B159" s="15">
        <v>1000</v>
      </c>
      <c r="C159" s="15" t="s">
        <v>54</v>
      </c>
      <c r="D159" s="15" t="s">
        <v>68</v>
      </c>
      <c r="E159" s="15">
        <f>'17-july2026'!T159</f>
        <v>9</v>
      </c>
      <c r="F159" s="15">
        <f>'17-july2026'!U159</f>
        <v>0</v>
      </c>
      <c r="G159" s="15">
        <f>'17-july2026'!V159</f>
        <v>0</v>
      </c>
      <c r="H159" s="15">
        <f t="shared" si="40"/>
        <v>9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5">
        <f t="shared" si="41"/>
        <v>9</v>
      </c>
      <c r="T159" s="15">
        <f t="shared" si="42"/>
        <v>9</v>
      </c>
      <c r="U159" s="15">
        <f t="shared" si="43"/>
        <v>0</v>
      </c>
      <c r="V159" s="15">
        <f t="shared" si="44"/>
        <v>0</v>
      </c>
      <c r="W159" s="18" t="str">
        <f t="shared" si="45"/>
        <v/>
      </c>
      <c r="X159" s="17">
        <v>0</v>
      </c>
      <c r="Y159" s="17">
        <v>0</v>
      </c>
      <c r="Z159" s="15">
        <f t="shared" si="46"/>
        <v>0</v>
      </c>
      <c r="AA159" s="17">
        <v>0</v>
      </c>
      <c r="AB159" s="17">
        <v>0</v>
      </c>
      <c r="AC159" s="15">
        <f t="shared" si="47"/>
        <v>0</v>
      </c>
      <c r="AD159" s="17">
        <v>0</v>
      </c>
      <c r="AE159" s="17">
        <v>0</v>
      </c>
      <c r="AF159" s="15">
        <f t="shared" si="48"/>
        <v>0</v>
      </c>
      <c r="AG159" s="17">
        <v>0</v>
      </c>
      <c r="AH159" s="17">
        <v>0</v>
      </c>
      <c r="AI159" s="15">
        <f t="shared" si="49"/>
        <v>0</v>
      </c>
      <c r="AJ159" s="17"/>
    </row>
    <row r="160" spans="1:36" x14ac:dyDescent="0.3">
      <c r="A160" s="15" t="s">
        <v>209</v>
      </c>
      <c r="B160" s="15">
        <v>100</v>
      </c>
      <c r="C160" s="15" t="s">
        <v>54</v>
      </c>
      <c r="D160" s="15" t="s">
        <v>57</v>
      </c>
      <c r="E160" s="15">
        <f>'17-july2026'!T160</f>
        <v>1</v>
      </c>
      <c r="F160" s="15">
        <f>'17-july2026'!U160</f>
        <v>0</v>
      </c>
      <c r="G160" s="15">
        <f>'17-july2026'!V160</f>
        <v>0</v>
      </c>
      <c r="H160" s="15">
        <f t="shared" si="40"/>
        <v>1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5">
        <f t="shared" si="41"/>
        <v>1</v>
      </c>
      <c r="T160" s="15">
        <f t="shared" si="42"/>
        <v>1</v>
      </c>
      <c r="U160" s="15">
        <f t="shared" si="43"/>
        <v>0</v>
      </c>
      <c r="V160" s="15">
        <f t="shared" si="44"/>
        <v>0</v>
      </c>
      <c r="W160" s="18" t="str">
        <f t="shared" si="45"/>
        <v/>
      </c>
      <c r="X160" s="17">
        <v>0</v>
      </c>
      <c r="Y160" s="17">
        <v>0</v>
      </c>
      <c r="Z160" s="15">
        <f t="shared" si="46"/>
        <v>0</v>
      </c>
      <c r="AA160" s="17">
        <v>0</v>
      </c>
      <c r="AB160" s="17">
        <v>0</v>
      </c>
      <c r="AC160" s="15">
        <f t="shared" si="47"/>
        <v>0</v>
      </c>
      <c r="AD160" s="17">
        <v>0</v>
      </c>
      <c r="AE160" s="17">
        <v>0</v>
      </c>
      <c r="AF160" s="15">
        <f t="shared" si="48"/>
        <v>0</v>
      </c>
      <c r="AG160" s="17">
        <v>0</v>
      </c>
      <c r="AH160" s="17">
        <v>0</v>
      </c>
      <c r="AI160" s="15">
        <f t="shared" si="49"/>
        <v>0</v>
      </c>
      <c r="AJ160" s="17"/>
    </row>
    <row r="161" spans="1:36" x14ac:dyDescent="0.3">
      <c r="A161" s="15" t="s">
        <v>210</v>
      </c>
      <c r="B161" s="15">
        <v>1000</v>
      </c>
      <c r="C161" s="15" t="s">
        <v>54</v>
      </c>
      <c r="D161" s="15" t="s">
        <v>68</v>
      </c>
      <c r="E161" s="15">
        <f>'17-july2026'!T161</f>
        <v>3</v>
      </c>
      <c r="F161" s="15">
        <f>'17-july2026'!U161</f>
        <v>0</v>
      </c>
      <c r="G161" s="15">
        <f>'17-july2026'!V161</f>
        <v>0</v>
      </c>
      <c r="H161" s="15">
        <f t="shared" si="40"/>
        <v>3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5">
        <f t="shared" si="41"/>
        <v>3</v>
      </c>
      <c r="T161" s="15">
        <f t="shared" si="42"/>
        <v>3</v>
      </c>
      <c r="U161" s="15">
        <f t="shared" si="43"/>
        <v>0</v>
      </c>
      <c r="V161" s="15">
        <f t="shared" si="44"/>
        <v>0</v>
      </c>
      <c r="W161" s="18" t="str">
        <f t="shared" si="45"/>
        <v/>
      </c>
      <c r="X161" s="17">
        <v>0</v>
      </c>
      <c r="Y161" s="17">
        <v>0</v>
      </c>
      <c r="Z161" s="15">
        <f t="shared" si="46"/>
        <v>0</v>
      </c>
      <c r="AA161" s="17">
        <v>0</v>
      </c>
      <c r="AB161" s="17">
        <v>0</v>
      </c>
      <c r="AC161" s="15">
        <f t="shared" si="47"/>
        <v>0</v>
      </c>
      <c r="AD161" s="17">
        <v>0</v>
      </c>
      <c r="AE161" s="17">
        <v>0</v>
      </c>
      <c r="AF161" s="15">
        <f t="shared" si="48"/>
        <v>0</v>
      </c>
      <c r="AG161" s="17">
        <v>0</v>
      </c>
      <c r="AH161" s="17">
        <v>0</v>
      </c>
      <c r="AI161" s="15">
        <f t="shared" si="49"/>
        <v>0</v>
      </c>
      <c r="AJ161" s="17"/>
    </row>
    <row r="162" spans="1:36" hidden="1" x14ac:dyDescent="0.3">
      <c r="A162" s="15" t="s">
        <v>211</v>
      </c>
      <c r="B162" s="15">
        <v>100</v>
      </c>
      <c r="C162" s="15" t="s">
        <v>54</v>
      </c>
      <c r="D162" s="15" t="s">
        <v>55</v>
      </c>
      <c r="E162" s="15">
        <f>'17-july2026'!T162</f>
        <v>106</v>
      </c>
      <c r="F162" s="15">
        <f>'17-july2026'!U162</f>
        <v>165</v>
      </c>
      <c r="G162" s="15">
        <f>'17-july2026'!V162</f>
        <v>84</v>
      </c>
      <c r="H162" s="15">
        <f t="shared" si="40"/>
        <v>355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84</v>
      </c>
      <c r="O162" s="17">
        <v>84</v>
      </c>
      <c r="P162" s="17">
        <v>0</v>
      </c>
      <c r="Q162" s="17">
        <v>0</v>
      </c>
      <c r="R162" s="17">
        <v>0</v>
      </c>
      <c r="S162" s="15">
        <f t="shared" si="41"/>
        <v>355</v>
      </c>
      <c r="T162" s="15">
        <f t="shared" si="42"/>
        <v>190</v>
      </c>
      <c r="U162" s="15">
        <f t="shared" si="43"/>
        <v>165</v>
      </c>
      <c r="V162" s="15">
        <f t="shared" si="44"/>
        <v>0</v>
      </c>
      <c r="W162" s="18" t="str">
        <f t="shared" si="45"/>
        <v/>
      </c>
      <c r="X162" s="17">
        <v>0</v>
      </c>
      <c r="Y162" s="17">
        <v>0</v>
      </c>
      <c r="Z162" s="15">
        <f t="shared" si="46"/>
        <v>0</v>
      </c>
      <c r="AA162" s="17">
        <v>0</v>
      </c>
      <c r="AB162" s="17">
        <v>0</v>
      </c>
      <c r="AC162" s="15">
        <f t="shared" si="47"/>
        <v>0</v>
      </c>
      <c r="AD162" s="17">
        <v>0</v>
      </c>
      <c r="AE162" s="17">
        <v>0</v>
      </c>
      <c r="AF162" s="15">
        <f t="shared" si="48"/>
        <v>0</v>
      </c>
      <c r="AG162" s="17">
        <v>0</v>
      </c>
      <c r="AH162" s="17">
        <v>0</v>
      </c>
      <c r="AI162" s="15">
        <f t="shared" si="49"/>
        <v>0</v>
      </c>
      <c r="AJ162" s="17"/>
    </row>
    <row r="163" spans="1:36" hidden="1" x14ac:dyDescent="0.3">
      <c r="A163" s="15" t="s">
        <v>212</v>
      </c>
      <c r="B163" s="15">
        <v>100</v>
      </c>
      <c r="C163" s="15" t="s">
        <v>54</v>
      </c>
      <c r="D163" s="15" t="s">
        <v>55</v>
      </c>
      <c r="E163" s="15">
        <f>'17-july2026'!T163</f>
        <v>11</v>
      </c>
      <c r="F163" s="15">
        <f>'17-july2026'!U163</f>
        <v>6</v>
      </c>
      <c r="G163" s="15">
        <f>'17-july2026'!V163</f>
        <v>3</v>
      </c>
      <c r="H163" s="15">
        <f t="shared" ref="H163:H194" si="50">E163+F163+G163</f>
        <v>20</v>
      </c>
      <c r="I163" s="17">
        <v>0</v>
      </c>
      <c r="J163" s="17">
        <v>0</v>
      </c>
      <c r="K163" s="17">
        <v>1</v>
      </c>
      <c r="L163" s="17">
        <v>1</v>
      </c>
      <c r="M163" s="17">
        <v>0</v>
      </c>
      <c r="N163" s="17">
        <v>0</v>
      </c>
      <c r="O163" s="17">
        <v>20</v>
      </c>
      <c r="P163" s="17">
        <v>0</v>
      </c>
      <c r="Q163" s="17">
        <v>1</v>
      </c>
      <c r="R163" s="17">
        <v>0</v>
      </c>
      <c r="S163" s="15">
        <f t="shared" ref="S163:S194" si="51">H163+O163+P163+Q163+R163-(I163+J163+K163+L163+M163+N163)</f>
        <v>39</v>
      </c>
      <c r="T163" s="15">
        <f t="shared" ref="T163:T199" si="52">E163+O163-I163-L163</f>
        <v>30</v>
      </c>
      <c r="U163" s="15">
        <f t="shared" ref="U163:U199" si="53">F163+P163-J163-M163</f>
        <v>6</v>
      </c>
      <c r="V163" s="15">
        <f t="shared" ref="V163:V199" si="54">G163+Q163-K163-N163</f>
        <v>3</v>
      </c>
      <c r="W163" s="18" t="str">
        <f t="shared" ref="W163:W194" si="55">IF(MIN(T163,U163,V163)&lt;0,"NEGATIVE STOCK - CHECK ENTRIES","")</f>
        <v/>
      </c>
      <c r="X163" s="17">
        <v>0</v>
      </c>
      <c r="Y163" s="17">
        <v>0</v>
      </c>
      <c r="Z163" s="15">
        <f t="shared" ref="Z163:Z194" si="56">X163-Y163</f>
        <v>0</v>
      </c>
      <c r="AA163" s="17">
        <v>0</v>
      </c>
      <c r="AB163" s="17">
        <v>0</v>
      </c>
      <c r="AC163" s="15">
        <f t="shared" ref="AC163:AC194" si="57">AA163-AB163</f>
        <v>0</v>
      </c>
      <c r="AD163" s="17">
        <v>0</v>
      </c>
      <c r="AE163" s="17">
        <v>0</v>
      </c>
      <c r="AF163" s="15">
        <f t="shared" ref="AF163:AF194" si="58">AD163-AE163</f>
        <v>0</v>
      </c>
      <c r="AG163" s="17">
        <v>0</v>
      </c>
      <c r="AH163" s="17">
        <v>0</v>
      </c>
      <c r="AI163" s="15">
        <f t="shared" ref="AI163:AI194" si="59">AG163-AH163</f>
        <v>0</v>
      </c>
      <c r="AJ163" s="17"/>
    </row>
    <row r="164" spans="1:36" hidden="1" x14ac:dyDescent="0.3">
      <c r="A164" s="15" t="s">
        <v>213</v>
      </c>
      <c r="B164" s="15">
        <v>100</v>
      </c>
      <c r="C164" s="15" t="s">
        <v>54</v>
      </c>
      <c r="D164" s="15" t="s">
        <v>55</v>
      </c>
      <c r="E164" s="15">
        <f>'17-july2026'!T164</f>
        <v>614</v>
      </c>
      <c r="F164" s="15">
        <f>'17-july2026'!U164</f>
        <v>100</v>
      </c>
      <c r="G164" s="15">
        <f>'17-july2026'!V164</f>
        <v>38</v>
      </c>
      <c r="H164" s="15">
        <f t="shared" si="50"/>
        <v>752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30</v>
      </c>
      <c r="O164" s="17">
        <v>10</v>
      </c>
      <c r="P164" s="17">
        <v>0</v>
      </c>
      <c r="Q164" s="17">
        <v>0</v>
      </c>
      <c r="R164" s="17">
        <v>0</v>
      </c>
      <c r="S164" s="15">
        <f t="shared" si="51"/>
        <v>732</v>
      </c>
      <c r="T164" s="15">
        <f t="shared" si="52"/>
        <v>624</v>
      </c>
      <c r="U164" s="15">
        <f t="shared" si="53"/>
        <v>100</v>
      </c>
      <c r="V164" s="15">
        <f t="shared" si="54"/>
        <v>8</v>
      </c>
      <c r="W164" s="18" t="str">
        <f t="shared" si="55"/>
        <v/>
      </c>
      <c r="X164" s="17">
        <v>0</v>
      </c>
      <c r="Y164" s="17">
        <v>0</v>
      </c>
      <c r="Z164" s="15">
        <f t="shared" si="56"/>
        <v>0</v>
      </c>
      <c r="AA164" s="17">
        <v>0</v>
      </c>
      <c r="AB164" s="17">
        <v>0</v>
      </c>
      <c r="AC164" s="15">
        <f t="shared" si="57"/>
        <v>0</v>
      </c>
      <c r="AD164" s="17">
        <v>0</v>
      </c>
      <c r="AE164" s="17">
        <v>0</v>
      </c>
      <c r="AF164" s="15">
        <f t="shared" si="58"/>
        <v>0</v>
      </c>
      <c r="AG164" s="17">
        <v>0</v>
      </c>
      <c r="AH164" s="17">
        <v>0</v>
      </c>
      <c r="AI164" s="15">
        <f t="shared" si="59"/>
        <v>0</v>
      </c>
      <c r="AJ164" s="17"/>
    </row>
    <row r="165" spans="1:36" hidden="1" x14ac:dyDescent="0.3">
      <c r="A165" s="15" t="s">
        <v>213</v>
      </c>
      <c r="B165" s="15">
        <v>1000</v>
      </c>
      <c r="C165" s="15" t="s">
        <v>54</v>
      </c>
      <c r="D165" s="15" t="s">
        <v>55</v>
      </c>
      <c r="E165" s="15">
        <f>'17-july2026'!T165</f>
        <v>480</v>
      </c>
      <c r="F165" s="15">
        <f>'17-july2026'!U165</f>
        <v>131</v>
      </c>
      <c r="G165" s="15">
        <f>'17-july2026'!V165</f>
        <v>17</v>
      </c>
      <c r="H165" s="15">
        <f t="shared" si="50"/>
        <v>628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17</v>
      </c>
      <c r="O165" s="17">
        <v>9</v>
      </c>
      <c r="P165" s="17">
        <v>0</v>
      </c>
      <c r="Q165" s="17">
        <v>0</v>
      </c>
      <c r="R165" s="17">
        <v>0</v>
      </c>
      <c r="S165" s="15">
        <f t="shared" si="51"/>
        <v>620</v>
      </c>
      <c r="T165" s="15">
        <f t="shared" si="52"/>
        <v>489</v>
      </c>
      <c r="U165" s="15">
        <f t="shared" si="53"/>
        <v>131</v>
      </c>
      <c r="V165" s="15">
        <f t="shared" si="54"/>
        <v>0</v>
      </c>
      <c r="W165" s="18" t="str">
        <f t="shared" si="55"/>
        <v/>
      </c>
      <c r="X165" s="17">
        <v>0</v>
      </c>
      <c r="Y165" s="17">
        <v>0</v>
      </c>
      <c r="Z165" s="15">
        <f t="shared" si="56"/>
        <v>0</v>
      </c>
      <c r="AA165" s="17">
        <v>0</v>
      </c>
      <c r="AB165" s="17">
        <v>0</v>
      </c>
      <c r="AC165" s="15">
        <f t="shared" si="57"/>
        <v>0</v>
      </c>
      <c r="AD165" s="17">
        <v>0</v>
      </c>
      <c r="AE165" s="17">
        <v>0</v>
      </c>
      <c r="AF165" s="15">
        <f t="shared" si="58"/>
        <v>0</v>
      </c>
      <c r="AG165" s="17">
        <v>0</v>
      </c>
      <c r="AH165" s="17">
        <v>0</v>
      </c>
      <c r="AI165" s="15">
        <f t="shared" si="59"/>
        <v>0</v>
      </c>
      <c r="AJ165" s="17"/>
    </row>
    <row r="166" spans="1:36" hidden="1" x14ac:dyDescent="0.3">
      <c r="A166" s="15" t="s">
        <v>213</v>
      </c>
      <c r="B166" s="15">
        <v>500</v>
      </c>
      <c r="C166" s="15" t="s">
        <v>54</v>
      </c>
      <c r="D166" s="15" t="s">
        <v>55</v>
      </c>
      <c r="E166" s="15">
        <f>'17-july2026'!T166</f>
        <v>110</v>
      </c>
      <c r="F166" s="15">
        <f>'17-july2026'!U166</f>
        <v>0</v>
      </c>
      <c r="G166" s="15">
        <f>'17-july2026'!V166</f>
        <v>0</v>
      </c>
      <c r="H166" s="15">
        <f t="shared" si="50"/>
        <v>110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5">
        <f t="shared" si="51"/>
        <v>110</v>
      </c>
      <c r="T166" s="15">
        <f t="shared" si="52"/>
        <v>110</v>
      </c>
      <c r="U166" s="15">
        <f t="shared" si="53"/>
        <v>0</v>
      </c>
      <c r="V166" s="15">
        <f t="shared" si="54"/>
        <v>0</v>
      </c>
      <c r="W166" s="18" t="str">
        <f t="shared" si="55"/>
        <v/>
      </c>
      <c r="X166" s="17">
        <v>0</v>
      </c>
      <c r="Y166" s="17">
        <v>0</v>
      </c>
      <c r="Z166" s="15">
        <f t="shared" si="56"/>
        <v>0</v>
      </c>
      <c r="AA166" s="17">
        <v>0</v>
      </c>
      <c r="AB166" s="17">
        <v>0</v>
      </c>
      <c r="AC166" s="15">
        <f t="shared" si="57"/>
        <v>0</v>
      </c>
      <c r="AD166" s="17">
        <v>0</v>
      </c>
      <c r="AE166" s="17">
        <v>0</v>
      </c>
      <c r="AF166" s="15">
        <f t="shared" si="58"/>
        <v>0</v>
      </c>
      <c r="AG166" s="17">
        <v>0</v>
      </c>
      <c r="AH166" s="17">
        <v>0</v>
      </c>
      <c r="AI166" s="15">
        <f t="shared" si="59"/>
        <v>0</v>
      </c>
      <c r="AJ166" s="17"/>
    </row>
    <row r="167" spans="1:36" hidden="1" x14ac:dyDescent="0.3">
      <c r="A167" s="15" t="s">
        <v>214</v>
      </c>
      <c r="B167" s="15">
        <v>1000</v>
      </c>
      <c r="C167" s="15" t="s">
        <v>54</v>
      </c>
      <c r="D167" s="15" t="s">
        <v>55</v>
      </c>
      <c r="E167" s="15">
        <f>'17-july2026'!T167</f>
        <v>5</v>
      </c>
      <c r="F167" s="15">
        <f>'17-july2026'!U167</f>
        <v>0</v>
      </c>
      <c r="G167" s="15">
        <f>'17-july2026'!V167</f>
        <v>20</v>
      </c>
      <c r="H167" s="15">
        <f t="shared" si="50"/>
        <v>25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18</v>
      </c>
      <c r="O167" s="17">
        <v>18</v>
      </c>
      <c r="P167" s="17">
        <v>0</v>
      </c>
      <c r="Q167" s="17">
        <v>0</v>
      </c>
      <c r="R167" s="17">
        <v>0</v>
      </c>
      <c r="S167" s="15">
        <f t="shared" si="51"/>
        <v>25</v>
      </c>
      <c r="T167" s="15">
        <f t="shared" si="52"/>
        <v>23</v>
      </c>
      <c r="U167" s="15">
        <f t="shared" si="53"/>
        <v>0</v>
      </c>
      <c r="V167" s="15">
        <f t="shared" si="54"/>
        <v>2</v>
      </c>
      <c r="W167" s="18" t="str">
        <f t="shared" si="55"/>
        <v/>
      </c>
      <c r="X167" s="17">
        <v>0</v>
      </c>
      <c r="Y167" s="17">
        <v>0</v>
      </c>
      <c r="Z167" s="15">
        <f t="shared" si="56"/>
        <v>0</v>
      </c>
      <c r="AA167" s="17">
        <v>0</v>
      </c>
      <c r="AB167" s="17">
        <v>0</v>
      </c>
      <c r="AC167" s="15">
        <f t="shared" si="57"/>
        <v>0</v>
      </c>
      <c r="AD167" s="17">
        <v>0</v>
      </c>
      <c r="AE167" s="17">
        <v>0</v>
      </c>
      <c r="AF167" s="15">
        <f t="shared" si="58"/>
        <v>0</v>
      </c>
      <c r="AG167" s="17">
        <v>0</v>
      </c>
      <c r="AH167" s="17">
        <v>0</v>
      </c>
      <c r="AI167" s="15">
        <f t="shared" si="59"/>
        <v>0</v>
      </c>
      <c r="AJ167" s="17"/>
    </row>
    <row r="168" spans="1:36" hidden="1" x14ac:dyDescent="0.3">
      <c r="A168" s="15" t="s">
        <v>215</v>
      </c>
      <c r="B168" s="15">
        <v>100</v>
      </c>
      <c r="C168" s="15" t="s">
        <v>54</v>
      </c>
      <c r="D168" s="15" t="s">
        <v>55</v>
      </c>
      <c r="E168" s="15">
        <f>'17-july2026'!T168</f>
        <v>353</v>
      </c>
      <c r="F168" s="15">
        <f>'17-july2026'!U168</f>
        <v>642</v>
      </c>
      <c r="G168" s="15">
        <f>'17-july2026'!V168</f>
        <v>10</v>
      </c>
      <c r="H168" s="15">
        <f t="shared" si="50"/>
        <v>1005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10</v>
      </c>
      <c r="O168" s="17">
        <v>10</v>
      </c>
      <c r="P168" s="17">
        <v>0</v>
      </c>
      <c r="Q168" s="17">
        <v>0</v>
      </c>
      <c r="R168" s="17">
        <v>0</v>
      </c>
      <c r="S168" s="15">
        <f t="shared" si="51"/>
        <v>1005</v>
      </c>
      <c r="T168" s="15">
        <f t="shared" si="52"/>
        <v>363</v>
      </c>
      <c r="U168" s="15">
        <f t="shared" si="53"/>
        <v>642</v>
      </c>
      <c r="V168" s="15">
        <f t="shared" si="54"/>
        <v>0</v>
      </c>
      <c r="W168" s="18" t="str">
        <f t="shared" si="55"/>
        <v/>
      </c>
      <c r="X168" s="17">
        <v>0</v>
      </c>
      <c r="Y168" s="17">
        <v>0</v>
      </c>
      <c r="Z168" s="15">
        <f t="shared" si="56"/>
        <v>0</v>
      </c>
      <c r="AA168" s="17">
        <v>0</v>
      </c>
      <c r="AB168" s="17">
        <v>0</v>
      </c>
      <c r="AC168" s="15">
        <f t="shared" si="57"/>
        <v>0</v>
      </c>
      <c r="AD168" s="17">
        <v>0</v>
      </c>
      <c r="AE168" s="17">
        <v>0</v>
      </c>
      <c r="AF168" s="15">
        <f t="shared" si="58"/>
        <v>0</v>
      </c>
      <c r="AG168" s="17">
        <v>0</v>
      </c>
      <c r="AH168" s="17">
        <v>0</v>
      </c>
      <c r="AI168" s="15">
        <f t="shared" si="59"/>
        <v>0</v>
      </c>
      <c r="AJ168" s="17"/>
    </row>
    <row r="169" spans="1:36" hidden="1" x14ac:dyDescent="0.3">
      <c r="A169" s="15" t="s">
        <v>216</v>
      </c>
      <c r="B169" s="15">
        <v>100</v>
      </c>
      <c r="C169" s="15" t="s">
        <v>54</v>
      </c>
      <c r="D169" s="15" t="s">
        <v>55</v>
      </c>
      <c r="E169" s="15">
        <f>'17-july2026'!T169</f>
        <v>0</v>
      </c>
      <c r="F169" s="15">
        <f>'17-july2026'!U169</f>
        <v>9</v>
      </c>
      <c r="G169" s="15">
        <f>'17-july2026'!V169</f>
        <v>0</v>
      </c>
      <c r="H169" s="15">
        <f t="shared" si="50"/>
        <v>9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5">
        <f t="shared" si="51"/>
        <v>9</v>
      </c>
      <c r="T169" s="15">
        <f t="shared" si="52"/>
        <v>0</v>
      </c>
      <c r="U169" s="15">
        <f t="shared" si="53"/>
        <v>9</v>
      </c>
      <c r="V169" s="15">
        <f t="shared" si="54"/>
        <v>0</v>
      </c>
      <c r="W169" s="18" t="str">
        <f t="shared" si="55"/>
        <v/>
      </c>
      <c r="X169" s="17">
        <v>0</v>
      </c>
      <c r="Y169" s="17">
        <v>0</v>
      </c>
      <c r="Z169" s="15">
        <f t="shared" si="56"/>
        <v>0</v>
      </c>
      <c r="AA169" s="17">
        <v>0</v>
      </c>
      <c r="AB169" s="17">
        <v>0</v>
      </c>
      <c r="AC169" s="15">
        <f t="shared" si="57"/>
        <v>0</v>
      </c>
      <c r="AD169" s="17">
        <v>0</v>
      </c>
      <c r="AE169" s="17">
        <v>0</v>
      </c>
      <c r="AF169" s="15">
        <f t="shared" si="58"/>
        <v>0</v>
      </c>
      <c r="AG169" s="17">
        <v>0</v>
      </c>
      <c r="AH169" s="17">
        <v>0</v>
      </c>
      <c r="AI169" s="15">
        <f t="shared" si="59"/>
        <v>0</v>
      </c>
      <c r="AJ169" s="17"/>
    </row>
    <row r="170" spans="1:36" hidden="1" x14ac:dyDescent="0.3">
      <c r="A170" s="15" t="s">
        <v>217</v>
      </c>
      <c r="B170" s="15">
        <v>100</v>
      </c>
      <c r="C170" s="15" t="s">
        <v>54</v>
      </c>
      <c r="D170" s="15" t="s">
        <v>55</v>
      </c>
      <c r="E170" s="15">
        <f>'17-july2026'!T170</f>
        <v>33</v>
      </c>
      <c r="F170" s="15">
        <f>'17-july2026'!U170</f>
        <v>5</v>
      </c>
      <c r="G170" s="15">
        <f>'17-july2026'!V170</f>
        <v>1</v>
      </c>
      <c r="H170" s="15">
        <f t="shared" si="50"/>
        <v>39</v>
      </c>
      <c r="I170" s="17">
        <v>0</v>
      </c>
      <c r="J170" s="17">
        <v>0</v>
      </c>
      <c r="K170" s="17">
        <v>2</v>
      </c>
      <c r="L170" s="17">
        <v>2</v>
      </c>
      <c r="M170" s="17">
        <v>0</v>
      </c>
      <c r="N170" s="17">
        <v>1</v>
      </c>
      <c r="O170" s="17">
        <v>1</v>
      </c>
      <c r="P170" s="17">
        <v>0</v>
      </c>
      <c r="Q170" s="17">
        <v>2</v>
      </c>
      <c r="R170" s="17">
        <v>0</v>
      </c>
      <c r="S170" s="15">
        <f t="shared" si="51"/>
        <v>37</v>
      </c>
      <c r="T170" s="15">
        <f t="shared" si="52"/>
        <v>32</v>
      </c>
      <c r="U170" s="15">
        <f t="shared" si="53"/>
        <v>5</v>
      </c>
      <c r="V170" s="15">
        <f t="shared" si="54"/>
        <v>0</v>
      </c>
      <c r="W170" s="18" t="str">
        <f t="shared" si="55"/>
        <v/>
      </c>
      <c r="X170" s="17">
        <v>0</v>
      </c>
      <c r="Y170" s="17">
        <v>0</v>
      </c>
      <c r="Z170" s="15">
        <f t="shared" si="56"/>
        <v>0</v>
      </c>
      <c r="AA170" s="17">
        <v>0</v>
      </c>
      <c r="AB170" s="17">
        <v>0</v>
      </c>
      <c r="AC170" s="15">
        <f t="shared" si="57"/>
        <v>0</v>
      </c>
      <c r="AD170" s="17">
        <v>0</v>
      </c>
      <c r="AE170" s="17">
        <v>0</v>
      </c>
      <c r="AF170" s="15">
        <f t="shared" si="58"/>
        <v>0</v>
      </c>
      <c r="AG170" s="17">
        <v>0</v>
      </c>
      <c r="AH170" s="17">
        <v>0</v>
      </c>
      <c r="AI170" s="15">
        <f t="shared" si="59"/>
        <v>0</v>
      </c>
      <c r="AJ170" s="17"/>
    </row>
    <row r="171" spans="1:36" hidden="1" x14ac:dyDescent="0.3">
      <c r="A171" s="15" t="s">
        <v>218</v>
      </c>
      <c r="B171" s="15">
        <v>100</v>
      </c>
      <c r="C171" s="15" t="s">
        <v>54</v>
      </c>
      <c r="D171" s="15" t="s">
        <v>55</v>
      </c>
      <c r="E171" s="15">
        <f>'17-july2026'!T171</f>
        <v>293</v>
      </c>
      <c r="F171" s="15">
        <f>'17-july2026'!U171</f>
        <v>47</v>
      </c>
      <c r="G171" s="15">
        <f>'17-july2026'!V171</f>
        <v>42</v>
      </c>
      <c r="H171" s="15">
        <f t="shared" si="50"/>
        <v>382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42</v>
      </c>
      <c r="O171" s="17">
        <v>42</v>
      </c>
      <c r="P171" s="17">
        <v>0</v>
      </c>
      <c r="Q171" s="17">
        <v>0</v>
      </c>
      <c r="R171" s="17">
        <v>0</v>
      </c>
      <c r="S171" s="15">
        <f t="shared" si="51"/>
        <v>382</v>
      </c>
      <c r="T171" s="15">
        <f t="shared" si="52"/>
        <v>335</v>
      </c>
      <c r="U171" s="15">
        <f t="shared" si="53"/>
        <v>47</v>
      </c>
      <c r="V171" s="15">
        <f t="shared" si="54"/>
        <v>0</v>
      </c>
      <c r="W171" s="18" t="str">
        <f t="shared" si="55"/>
        <v/>
      </c>
      <c r="X171" s="17">
        <v>0</v>
      </c>
      <c r="Y171" s="17">
        <v>0</v>
      </c>
      <c r="Z171" s="15">
        <f t="shared" si="56"/>
        <v>0</v>
      </c>
      <c r="AA171" s="17">
        <v>0</v>
      </c>
      <c r="AB171" s="17">
        <v>0</v>
      </c>
      <c r="AC171" s="15">
        <f t="shared" si="57"/>
        <v>0</v>
      </c>
      <c r="AD171" s="17">
        <v>0</v>
      </c>
      <c r="AE171" s="17">
        <v>0</v>
      </c>
      <c r="AF171" s="15">
        <f t="shared" si="58"/>
        <v>0</v>
      </c>
      <c r="AG171" s="17">
        <v>0</v>
      </c>
      <c r="AH171" s="17">
        <v>0</v>
      </c>
      <c r="AI171" s="15">
        <f t="shared" si="59"/>
        <v>0</v>
      </c>
      <c r="AJ171" s="17"/>
    </row>
    <row r="172" spans="1:36" hidden="1" x14ac:dyDescent="0.3">
      <c r="A172" s="15" t="s">
        <v>219</v>
      </c>
      <c r="B172" s="15">
        <v>100</v>
      </c>
      <c r="C172" s="15" t="s">
        <v>54</v>
      </c>
      <c r="D172" s="15" t="s">
        <v>55</v>
      </c>
      <c r="E172" s="15">
        <f>'17-july2026'!T172</f>
        <v>37</v>
      </c>
      <c r="F172" s="15">
        <f>'17-july2026'!U172</f>
        <v>1</v>
      </c>
      <c r="G172" s="15">
        <f>'17-july2026'!V172</f>
        <v>0</v>
      </c>
      <c r="H172" s="15">
        <f t="shared" si="50"/>
        <v>38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5">
        <f t="shared" si="51"/>
        <v>38</v>
      </c>
      <c r="T172" s="15">
        <f t="shared" si="52"/>
        <v>37</v>
      </c>
      <c r="U172" s="15">
        <f t="shared" si="53"/>
        <v>1</v>
      </c>
      <c r="V172" s="15">
        <f t="shared" si="54"/>
        <v>0</v>
      </c>
      <c r="W172" s="18" t="str">
        <f t="shared" si="55"/>
        <v/>
      </c>
      <c r="X172" s="17">
        <v>0</v>
      </c>
      <c r="Y172" s="17">
        <v>0</v>
      </c>
      <c r="Z172" s="15">
        <f t="shared" si="56"/>
        <v>0</v>
      </c>
      <c r="AA172" s="17">
        <v>0</v>
      </c>
      <c r="AB172" s="17">
        <v>0</v>
      </c>
      <c r="AC172" s="15">
        <f t="shared" si="57"/>
        <v>0</v>
      </c>
      <c r="AD172" s="17">
        <v>0</v>
      </c>
      <c r="AE172" s="17">
        <v>0</v>
      </c>
      <c r="AF172" s="15">
        <f t="shared" si="58"/>
        <v>0</v>
      </c>
      <c r="AG172" s="17">
        <v>0</v>
      </c>
      <c r="AH172" s="17">
        <v>0</v>
      </c>
      <c r="AI172" s="15">
        <f t="shared" si="59"/>
        <v>0</v>
      </c>
      <c r="AJ172" s="17"/>
    </row>
    <row r="173" spans="1:36" x14ac:dyDescent="0.3">
      <c r="A173" s="15" t="s">
        <v>220</v>
      </c>
      <c r="B173" s="15">
        <v>1000</v>
      </c>
      <c r="C173" s="15" t="s">
        <v>54</v>
      </c>
      <c r="D173" s="15" t="s">
        <v>57</v>
      </c>
      <c r="E173" s="15">
        <f>'17-july2026'!T173</f>
        <v>5</v>
      </c>
      <c r="F173" s="15">
        <f>'17-july2026'!U173</f>
        <v>0</v>
      </c>
      <c r="G173" s="15">
        <f>'17-july2026'!V173</f>
        <v>0</v>
      </c>
      <c r="H173" s="15">
        <f t="shared" si="50"/>
        <v>5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5">
        <f t="shared" si="51"/>
        <v>5</v>
      </c>
      <c r="T173" s="15">
        <f t="shared" si="52"/>
        <v>5</v>
      </c>
      <c r="U173" s="15">
        <f t="shared" si="53"/>
        <v>0</v>
      </c>
      <c r="V173" s="15">
        <f t="shared" si="54"/>
        <v>0</v>
      </c>
      <c r="W173" s="18" t="str">
        <f t="shared" si="55"/>
        <v/>
      </c>
      <c r="X173" s="17">
        <v>0</v>
      </c>
      <c r="Y173" s="17">
        <v>0</v>
      </c>
      <c r="Z173" s="15">
        <f t="shared" si="56"/>
        <v>0</v>
      </c>
      <c r="AA173" s="17">
        <v>0</v>
      </c>
      <c r="AB173" s="17">
        <v>0</v>
      </c>
      <c r="AC173" s="15">
        <f t="shared" si="57"/>
        <v>0</v>
      </c>
      <c r="AD173" s="17">
        <v>0</v>
      </c>
      <c r="AE173" s="17">
        <v>0</v>
      </c>
      <c r="AF173" s="15">
        <f t="shared" si="58"/>
        <v>0</v>
      </c>
      <c r="AG173" s="17">
        <v>0</v>
      </c>
      <c r="AH173" s="17">
        <v>0</v>
      </c>
      <c r="AI173" s="15">
        <f t="shared" si="59"/>
        <v>0</v>
      </c>
      <c r="AJ173" s="17"/>
    </row>
    <row r="174" spans="1:36" x14ac:dyDescent="0.3">
      <c r="A174" s="15" t="s">
        <v>221</v>
      </c>
      <c r="B174" s="15">
        <v>1000</v>
      </c>
      <c r="C174" s="15" t="s">
        <v>54</v>
      </c>
      <c r="D174" s="15" t="s">
        <v>68</v>
      </c>
      <c r="E174" s="15">
        <f>'17-july2026'!T174</f>
        <v>2</v>
      </c>
      <c r="F174" s="15">
        <f>'17-july2026'!U174</f>
        <v>0</v>
      </c>
      <c r="G174" s="15">
        <f>'17-july2026'!V174</f>
        <v>0</v>
      </c>
      <c r="H174" s="15">
        <f t="shared" si="50"/>
        <v>2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5">
        <f t="shared" si="51"/>
        <v>2</v>
      </c>
      <c r="T174" s="15">
        <f t="shared" si="52"/>
        <v>2</v>
      </c>
      <c r="U174" s="15">
        <f t="shared" si="53"/>
        <v>0</v>
      </c>
      <c r="V174" s="15">
        <f t="shared" si="54"/>
        <v>0</v>
      </c>
      <c r="W174" s="18" t="str">
        <f t="shared" si="55"/>
        <v/>
      </c>
      <c r="X174" s="17">
        <v>0</v>
      </c>
      <c r="Y174" s="17">
        <v>0</v>
      </c>
      <c r="Z174" s="15">
        <f t="shared" si="56"/>
        <v>0</v>
      </c>
      <c r="AA174" s="17">
        <v>0</v>
      </c>
      <c r="AB174" s="17">
        <v>0</v>
      </c>
      <c r="AC174" s="15">
        <f t="shared" si="57"/>
        <v>0</v>
      </c>
      <c r="AD174" s="17">
        <v>0</v>
      </c>
      <c r="AE174" s="17">
        <v>0</v>
      </c>
      <c r="AF174" s="15">
        <f t="shared" si="58"/>
        <v>0</v>
      </c>
      <c r="AG174" s="17">
        <v>0</v>
      </c>
      <c r="AH174" s="17">
        <v>0</v>
      </c>
      <c r="AI174" s="15">
        <f t="shared" si="59"/>
        <v>0</v>
      </c>
      <c r="AJ174" s="17"/>
    </row>
    <row r="175" spans="1:36" x14ac:dyDescent="0.3">
      <c r="A175" s="15" t="s">
        <v>222</v>
      </c>
      <c r="B175" s="15">
        <v>1000</v>
      </c>
      <c r="C175" s="15" t="s">
        <v>54</v>
      </c>
      <c r="D175" s="15" t="s">
        <v>68</v>
      </c>
      <c r="E175" s="15">
        <f>'17-july2026'!T175</f>
        <v>2</v>
      </c>
      <c r="F175" s="15">
        <f>'17-july2026'!U175</f>
        <v>0</v>
      </c>
      <c r="G175" s="15">
        <f>'17-july2026'!V175</f>
        <v>0</v>
      </c>
      <c r="H175" s="15">
        <f t="shared" si="50"/>
        <v>2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5">
        <f t="shared" si="51"/>
        <v>2</v>
      </c>
      <c r="T175" s="15">
        <f t="shared" si="52"/>
        <v>2</v>
      </c>
      <c r="U175" s="15">
        <f t="shared" si="53"/>
        <v>0</v>
      </c>
      <c r="V175" s="15">
        <f t="shared" si="54"/>
        <v>0</v>
      </c>
      <c r="W175" s="18" t="str">
        <f t="shared" si="55"/>
        <v/>
      </c>
      <c r="X175" s="17">
        <v>0</v>
      </c>
      <c r="Y175" s="17">
        <v>0</v>
      </c>
      <c r="Z175" s="15">
        <f t="shared" si="56"/>
        <v>0</v>
      </c>
      <c r="AA175" s="17">
        <v>0</v>
      </c>
      <c r="AB175" s="17">
        <v>0</v>
      </c>
      <c r="AC175" s="15">
        <f t="shared" si="57"/>
        <v>0</v>
      </c>
      <c r="AD175" s="17">
        <v>0</v>
      </c>
      <c r="AE175" s="17">
        <v>0</v>
      </c>
      <c r="AF175" s="15">
        <f t="shared" si="58"/>
        <v>0</v>
      </c>
      <c r="AG175" s="17">
        <v>0</v>
      </c>
      <c r="AH175" s="17">
        <v>0</v>
      </c>
      <c r="AI175" s="15">
        <f t="shared" si="59"/>
        <v>0</v>
      </c>
      <c r="AJ175" s="17"/>
    </row>
    <row r="176" spans="1:36" x14ac:dyDescent="0.3">
      <c r="A176" s="15" t="s">
        <v>223</v>
      </c>
      <c r="B176" s="15">
        <v>100</v>
      </c>
      <c r="C176" s="15" t="s">
        <v>54</v>
      </c>
      <c r="D176" s="15" t="s">
        <v>57</v>
      </c>
      <c r="E176" s="15">
        <f>'17-july2026'!T176</f>
        <v>1</v>
      </c>
      <c r="F176" s="15">
        <f>'17-july2026'!U176</f>
        <v>0</v>
      </c>
      <c r="G176" s="15">
        <f>'17-july2026'!V176</f>
        <v>0</v>
      </c>
      <c r="H176" s="15">
        <f t="shared" si="50"/>
        <v>1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5">
        <f t="shared" si="51"/>
        <v>1</v>
      </c>
      <c r="T176" s="15">
        <f t="shared" si="52"/>
        <v>1</v>
      </c>
      <c r="U176" s="15">
        <f t="shared" si="53"/>
        <v>0</v>
      </c>
      <c r="V176" s="15">
        <f t="shared" si="54"/>
        <v>0</v>
      </c>
      <c r="W176" s="18" t="str">
        <f t="shared" si="55"/>
        <v/>
      </c>
      <c r="X176" s="17">
        <v>0</v>
      </c>
      <c r="Y176" s="17">
        <v>0</v>
      </c>
      <c r="Z176" s="15">
        <f t="shared" si="56"/>
        <v>0</v>
      </c>
      <c r="AA176" s="17">
        <v>0</v>
      </c>
      <c r="AB176" s="17">
        <v>0</v>
      </c>
      <c r="AC176" s="15">
        <f t="shared" si="57"/>
        <v>0</v>
      </c>
      <c r="AD176" s="17">
        <v>0</v>
      </c>
      <c r="AE176" s="17">
        <v>0</v>
      </c>
      <c r="AF176" s="15">
        <f t="shared" si="58"/>
        <v>0</v>
      </c>
      <c r="AG176" s="17">
        <v>0</v>
      </c>
      <c r="AH176" s="17">
        <v>0</v>
      </c>
      <c r="AI176" s="15">
        <f t="shared" si="59"/>
        <v>0</v>
      </c>
      <c r="AJ176" s="17"/>
    </row>
    <row r="177" spans="1:36" hidden="1" x14ac:dyDescent="0.3">
      <c r="A177" s="15" t="s">
        <v>224</v>
      </c>
      <c r="B177" s="15" t="s">
        <v>225</v>
      </c>
      <c r="C177" s="15" t="s">
        <v>54</v>
      </c>
      <c r="D177" s="15" t="s">
        <v>55</v>
      </c>
      <c r="E177" s="15">
        <f>'17-july2026'!T177</f>
        <v>0</v>
      </c>
      <c r="F177" s="15">
        <f>'17-july2026'!U177</f>
        <v>4</v>
      </c>
      <c r="G177" s="15">
        <f>'17-july2026'!V177</f>
        <v>0</v>
      </c>
      <c r="H177" s="15">
        <f t="shared" si="50"/>
        <v>4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5">
        <f t="shared" si="51"/>
        <v>4</v>
      </c>
      <c r="T177" s="15">
        <f t="shared" si="52"/>
        <v>0</v>
      </c>
      <c r="U177" s="15">
        <f t="shared" si="53"/>
        <v>4</v>
      </c>
      <c r="V177" s="15">
        <f t="shared" si="54"/>
        <v>0</v>
      </c>
      <c r="W177" s="18" t="str">
        <f t="shared" si="55"/>
        <v/>
      </c>
      <c r="X177" s="17">
        <v>0</v>
      </c>
      <c r="Y177" s="17">
        <v>0</v>
      </c>
      <c r="Z177" s="15">
        <f t="shared" si="56"/>
        <v>0</v>
      </c>
      <c r="AA177" s="17">
        <v>0</v>
      </c>
      <c r="AB177" s="17">
        <v>0</v>
      </c>
      <c r="AC177" s="15">
        <f t="shared" si="57"/>
        <v>0</v>
      </c>
      <c r="AD177" s="17">
        <v>0</v>
      </c>
      <c r="AE177" s="17">
        <v>0</v>
      </c>
      <c r="AF177" s="15">
        <f t="shared" si="58"/>
        <v>0</v>
      </c>
      <c r="AG177" s="17">
        <v>0</v>
      </c>
      <c r="AH177" s="17">
        <v>0</v>
      </c>
      <c r="AI177" s="15">
        <f t="shared" si="59"/>
        <v>0</v>
      </c>
      <c r="AJ177" s="17"/>
    </row>
    <row r="178" spans="1:36" x14ac:dyDescent="0.3">
      <c r="A178" s="15" t="s">
        <v>226</v>
      </c>
      <c r="B178" s="15">
        <v>100</v>
      </c>
      <c r="C178" s="15" t="s">
        <v>54</v>
      </c>
      <c r="D178" s="15" t="s">
        <v>68</v>
      </c>
      <c r="E178" s="15">
        <f>'17-july2026'!T178</f>
        <v>2</v>
      </c>
      <c r="F178" s="15">
        <f>'17-july2026'!U178</f>
        <v>0</v>
      </c>
      <c r="G178" s="15">
        <f>'17-july2026'!V178</f>
        <v>0</v>
      </c>
      <c r="H178" s="15">
        <f t="shared" si="50"/>
        <v>2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5">
        <f t="shared" si="51"/>
        <v>2</v>
      </c>
      <c r="T178" s="15">
        <f t="shared" si="52"/>
        <v>2</v>
      </c>
      <c r="U178" s="15">
        <f t="shared" si="53"/>
        <v>0</v>
      </c>
      <c r="V178" s="15">
        <f t="shared" si="54"/>
        <v>0</v>
      </c>
      <c r="W178" s="18" t="str">
        <f t="shared" si="55"/>
        <v/>
      </c>
      <c r="X178" s="17">
        <v>0</v>
      </c>
      <c r="Y178" s="17">
        <v>0</v>
      </c>
      <c r="Z178" s="15">
        <f t="shared" si="56"/>
        <v>0</v>
      </c>
      <c r="AA178" s="17">
        <v>0</v>
      </c>
      <c r="AB178" s="17">
        <v>0</v>
      </c>
      <c r="AC178" s="15">
        <f t="shared" si="57"/>
        <v>0</v>
      </c>
      <c r="AD178" s="17">
        <v>0</v>
      </c>
      <c r="AE178" s="17">
        <v>0</v>
      </c>
      <c r="AF178" s="15">
        <f t="shared" si="58"/>
        <v>0</v>
      </c>
      <c r="AG178" s="17">
        <v>0</v>
      </c>
      <c r="AH178" s="17">
        <v>0</v>
      </c>
      <c r="AI178" s="15">
        <f t="shared" si="59"/>
        <v>0</v>
      </c>
      <c r="AJ178" s="17"/>
    </row>
    <row r="179" spans="1:36" hidden="1" x14ac:dyDescent="0.3">
      <c r="A179" s="15" t="s">
        <v>227</v>
      </c>
      <c r="B179" s="15">
        <v>100</v>
      </c>
      <c r="C179" s="15" t="s">
        <v>54</v>
      </c>
      <c r="D179" s="15" t="s">
        <v>55</v>
      </c>
      <c r="E179" s="15">
        <f>'17-july2026'!T179</f>
        <v>81</v>
      </c>
      <c r="F179" s="15">
        <f>'17-july2026'!U179</f>
        <v>0</v>
      </c>
      <c r="G179" s="15">
        <f>'17-july2026'!V179</f>
        <v>0</v>
      </c>
      <c r="H179" s="15">
        <f t="shared" si="50"/>
        <v>81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5">
        <f t="shared" si="51"/>
        <v>81</v>
      </c>
      <c r="T179" s="15">
        <f t="shared" si="52"/>
        <v>81</v>
      </c>
      <c r="U179" s="15">
        <f t="shared" si="53"/>
        <v>0</v>
      </c>
      <c r="V179" s="15">
        <f t="shared" si="54"/>
        <v>0</v>
      </c>
      <c r="W179" s="18" t="str">
        <f t="shared" si="55"/>
        <v/>
      </c>
      <c r="X179" s="17">
        <v>0</v>
      </c>
      <c r="Y179" s="17">
        <v>0</v>
      </c>
      <c r="Z179" s="15">
        <f t="shared" si="56"/>
        <v>0</v>
      </c>
      <c r="AA179" s="17">
        <v>0</v>
      </c>
      <c r="AB179" s="17">
        <v>0</v>
      </c>
      <c r="AC179" s="15">
        <f t="shared" si="57"/>
        <v>0</v>
      </c>
      <c r="AD179" s="17">
        <v>0</v>
      </c>
      <c r="AE179" s="17">
        <v>0</v>
      </c>
      <c r="AF179" s="15">
        <f t="shared" si="58"/>
        <v>0</v>
      </c>
      <c r="AG179" s="17">
        <v>0</v>
      </c>
      <c r="AH179" s="17">
        <v>0</v>
      </c>
      <c r="AI179" s="15">
        <f t="shared" si="59"/>
        <v>0</v>
      </c>
      <c r="AJ179" s="17"/>
    </row>
    <row r="180" spans="1:36" x14ac:dyDescent="0.3">
      <c r="A180" s="15" t="s">
        <v>228</v>
      </c>
      <c r="B180" s="15">
        <v>1000</v>
      </c>
      <c r="C180" s="15" t="s">
        <v>54</v>
      </c>
      <c r="D180" s="15" t="s">
        <v>57</v>
      </c>
      <c r="E180" s="15">
        <f>'17-july2026'!T180</f>
        <v>5</v>
      </c>
      <c r="F180" s="15">
        <f>'17-july2026'!U180</f>
        <v>0</v>
      </c>
      <c r="G180" s="15">
        <f>'17-july2026'!V180</f>
        <v>0</v>
      </c>
      <c r="H180" s="15">
        <f t="shared" si="50"/>
        <v>5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5">
        <f t="shared" si="51"/>
        <v>5</v>
      </c>
      <c r="T180" s="15">
        <f t="shared" si="52"/>
        <v>5</v>
      </c>
      <c r="U180" s="15">
        <f t="shared" si="53"/>
        <v>0</v>
      </c>
      <c r="V180" s="15">
        <f t="shared" si="54"/>
        <v>0</v>
      </c>
      <c r="W180" s="18" t="str">
        <f t="shared" si="55"/>
        <v/>
      </c>
      <c r="X180" s="17">
        <v>0</v>
      </c>
      <c r="Y180" s="17">
        <v>0</v>
      </c>
      <c r="Z180" s="15">
        <f t="shared" si="56"/>
        <v>0</v>
      </c>
      <c r="AA180" s="17">
        <v>0</v>
      </c>
      <c r="AB180" s="17">
        <v>0</v>
      </c>
      <c r="AC180" s="15">
        <f t="shared" si="57"/>
        <v>0</v>
      </c>
      <c r="AD180" s="17">
        <v>0</v>
      </c>
      <c r="AE180" s="17">
        <v>0</v>
      </c>
      <c r="AF180" s="15">
        <f t="shared" si="58"/>
        <v>0</v>
      </c>
      <c r="AG180" s="17">
        <v>0</v>
      </c>
      <c r="AH180" s="17">
        <v>0</v>
      </c>
      <c r="AI180" s="15">
        <f t="shared" si="59"/>
        <v>0</v>
      </c>
      <c r="AJ180" s="17"/>
    </row>
    <row r="181" spans="1:36" x14ac:dyDescent="0.3">
      <c r="A181" s="15" t="s">
        <v>229</v>
      </c>
      <c r="B181" s="15">
        <v>100</v>
      </c>
      <c r="C181" s="15" t="s">
        <v>54</v>
      </c>
      <c r="D181" s="15" t="s">
        <v>68</v>
      </c>
      <c r="E181" s="15">
        <f>'17-july2026'!T181</f>
        <v>3</v>
      </c>
      <c r="F181" s="15">
        <f>'17-july2026'!U181</f>
        <v>0</v>
      </c>
      <c r="G181" s="15">
        <f>'17-july2026'!V181</f>
        <v>0</v>
      </c>
      <c r="H181" s="15">
        <f t="shared" si="50"/>
        <v>3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5">
        <f t="shared" si="51"/>
        <v>3</v>
      </c>
      <c r="T181" s="15">
        <f t="shared" si="52"/>
        <v>3</v>
      </c>
      <c r="U181" s="15">
        <f t="shared" si="53"/>
        <v>0</v>
      </c>
      <c r="V181" s="15">
        <f t="shared" si="54"/>
        <v>0</v>
      </c>
      <c r="W181" s="18" t="str">
        <f t="shared" si="55"/>
        <v/>
      </c>
      <c r="X181" s="17">
        <v>0</v>
      </c>
      <c r="Y181" s="17">
        <v>0</v>
      </c>
      <c r="Z181" s="15">
        <f t="shared" si="56"/>
        <v>0</v>
      </c>
      <c r="AA181" s="17">
        <v>0</v>
      </c>
      <c r="AB181" s="17">
        <v>0</v>
      </c>
      <c r="AC181" s="15">
        <f t="shared" si="57"/>
        <v>0</v>
      </c>
      <c r="AD181" s="17">
        <v>0</v>
      </c>
      <c r="AE181" s="17">
        <v>0</v>
      </c>
      <c r="AF181" s="15">
        <f t="shared" si="58"/>
        <v>0</v>
      </c>
      <c r="AG181" s="17">
        <v>0</v>
      </c>
      <c r="AH181" s="17">
        <v>0</v>
      </c>
      <c r="AI181" s="15">
        <f t="shared" si="59"/>
        <v>0</v>
      </c>
      <c r="AJ181" s="17"/>
    </row>
    <row r="182" spans="1:36" x14ac:dyDescent="0.3">
      <c r="A182" s="15" t="s">
        <v>230</v>
      </c>
      <c r="B182" s="15">
        <v>1000</v>
      </c>
      <c r="C182" s="15" t="s">
        <v>54</v>
      </c>
      <c r="D182" s="15" t="s">
        <v>68</v>
      </c>
      <c r="E182" s="15">
        <f>'17-july2026'!T182</f>
        <v>2</v>
      </c>
      <c r="F182" s="15">
        <f>'17-july2026'!U182</f>
        <v>0</v>
      </c>
      <c r="G182" s="15">
        <f>'17-july2026'!V182</f>
        <v>0</v>
      </c>
      <c r="H182" s="15">
        <f t="shared" si="50"/>
        <v>2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5">
        <f t="shared" si="51"/>
        <v>2</v>
      </c>
      <c r="T182" s="15">
        <f t="shared" si="52"/>
        <v>2</v>
      </c>
      <c r="U182" s="15">
        <f t="shared" si="53"/>
        <v>0</v>
      </c>
      <c r="V182" s="15">
        <f t="shared" si="54"/>
        <v>0</v>
      </c>
      <c r="W182" s="18" t="str">
        <f t="shared" si="55"/>
        <v/>
      </c>
      <c r="X182" s="17">
        <v>0</v>
      </c>
      <c r="Y182" s="17">
        <v>0</v>
      </c>
      <c r="Z182" s="15">
        <f t="shared" si="56"/>
        <v>0</v>
      </c>
      <c r="AA182" s="17">
        <v>0</v>
      </c>
      <c r="AB182" s="17">
        <v>0</v>
      </c>
      <c r="AC182" s="15">
        <f t="shared" si="57"/>
        <v>0</v>
      </c>
      <c r="AD182" s="17">
        <v>0</v>
      </c>
      <c r="AE182" s="17">
        <v>0</v>
      </c>
      <c r="AF182" s="15">
        <f t="shared" si="58"/>
        <v>0</v>
      </c>
      <c r="AG182" s="17">
        <v>0</v>
      </c>
      <c r="AH182" s="17">
        <v>0</v>
      </c>
      <c r="AI182" s="15">
        <f t="shared" si="59"/>
        <v>0</v>
      </c>
      <c r="AJ182" s="17"/>
    </row>
    <row r="183" spans="1:36" x14ac:dyDescent="0.3">
      <c r="A183" s="15" t="s">
        <v>231</v>
      </c>
      <c r="B183" s="15">
        <v>100</v>
      </c>
      <c r="C183" s="15" t="s">
        <v>54</v>
      </c>
      <c r="D183" s="15" t="s">
        <v>57</v>
      </c>
      <c r="E183" s="15">
        <f>'17-july2026'!T183</f>
        <v>1</v>
      </c>
      <c r="F183" s="15">
        <f>'17-july2026'!U183</f>
        <v>0</v>
      </c>
      <c r="G183" s="15">
        <f>'17-july2026'!V183</f>
        <v>0</v>
      </c>
      <c r="H183" s="15">
        <f t="shared" si="50"/>
        <v>1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5">
        <f t="shared" si="51"/>
        <v>1</v>
      </c>
      <c r="T183" s="15">
        <f t="shared" si="52"/>
        <v>1</v>
      </c>
      <c r="U183" s="15">
        <f t="shared" si="53"/>
        <v>0</v>
      </c>
      <c r="V183" s="15">
        <f t="shared" si="54"/>
        <v>0</v>
      </c>
      <c r="W183" s="18" t="str">
        <f t="shared" si="55"/>
        <v/>
      </c>
      <c r="X183" s="17">
        <v>0</v>
      </c>
      <c r="Y183" s="17">
        <v>0</v>
      </c>
      <c r="Z183" s="15">
        <f t="shared" si="56"/>
        <v>0</v>
      </c>
      <c r="AA183" s="17">
        <v>0</v>
      </c>
      <c r="AB183" s="17">
        <v>0</v>
      </c>
      <c r="AC183" s="15">
        <f t="shared" si="57"/>
        <v>0</v>
      </c>
      <c r="AD183" s="17">
        <v>0</v>
      </c>
      <c r="AE183" s="17">
        <v>0</v>
      </c>
      <c r="AF183" s="15">
        <f t="shared" si="58"/>
        <v>0</v>
      </c>
      <c r="AG183" s="17">
        <v>0</v>
      </c>
      <c r="AH183" s="17">
        <v>0</v>
      </c>
      <c r="AI183" s="15">
        <f t="shared" si="59"/>
        <v>0</v>
      </c>
      <c r="AJ183" s="17"/>
    </row>
    <row r="184" spans="1:36" x14ac:dyDescent="0.3">
      <c r="A184" s="15" t="s">
        <v>232</v>
      </c>
      <c r="B184" s="15">
        <v>100000</v>
      </c>
      <c r="C184" s="15" t="s">
        <v>54</v>
      </c>
      <c r="D184" s="15" t="s">
        <v>68</v>
      </c>
      <c r="E184" s="15">
        <f>'17-july2026'!T184</f>
        <v>2</v>
      </c>
      <c r="F184" s="15">
        <f>'17-july2026'!U184</f>
        <v>0</v>
      </c>
      <c r="G184" s="15">
        <f>'17-july2026'!V184</f>
        <v>0</v>
      </c>
      <c r="H184" s="15">
        <f t="shared" si="50"/>
        <v>2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5">
        <f t="shared" si="51"/>
        <v>2</v>
      </c>
      <c r="T184" s="15">
        <f t="shared" si="52"/>
        <v>2</v>
      </c>
      <c r="U184" s="15">
        <f t="shared" si="53"/>
        <v>0</v>
      </c>
      <c r="V184" s="15">
        <f t="shared" si="54"/>
        <v>0</v>
      </c>
      <c r="W184" s="18" t="str">
        <f t="shared" si="55"/>
        <v/>
      </c>
      <c r="X184" s="17">
        <v>0</v>
      </c>
      <c r="Y184" s="17">
        <v>0</v>
      </c>
      <c r="Z184" s="15">
        <f t="shared" si="56"/>
        <v>0</v>
      </c>
      <c r="AA184" s="17">
        <v>0</v>
      </c>
      <c r="AB184" s="17">
        <v>0</v>
      </c>
      <c r="AC184" s="15">
        <f t="shared" si="57"/>
        <v>0</v>
      </c>
      <c r="AD184" s="17">
        <v>0</v>
      </c>
      <c r="AE184" s="17">
        <v>0</v>
      </c>
      <c r="AF184" s="15">
        <f t="shared" si="58"/>
        <v>0</v>
      </c>
      <c r="AG184" s="17">
        <v>0</v>
      </c>
      <c r="AH184" s="17">
        <v>0</v>
      </c>
      <c r="AI184" s="15">
        <f t="shared" si="59"/>
        <v>0</v>
      </c>
      <c r="AJ184" s="17"/>
    </row>
    <row r="185" spans="1:36" x14ac:dyDescent="0.3">
      <c r="A185" s="15" t="s">
        <v>233</v>
      </c>
      <c r="B185" s="15">
        <v>100</v>
      </c>
      <c r="C185" s="15" t="s">
        <v>54</v>
      </c>
      <c r="D185" s="15" t="s">
        <v>57</v>
      </c>
      <c r="E185" s="15">
        <f>'17-july2026'!T185</f>
        <v>3</v>
      </c>
      <c r="F185" s="15">
        <f>'17-july2026'!U185</f>
        <v>0</v>
      </c>
      <c r="G185" s="15">
        <f>'17-july2026'!V185</f>
        <v>0</v>
      </c>
      <c r="H185" s="15">
        <f t="shared" si="50"/>
        <v>3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5">
        <f t="shared" si="51"/>
        <v>3</v>
      </c>
      <c r="T185" s="15">
        <f t="shared" si="52"/>
        <v>3</v>
      </c>
      <c r="U185" s="15">
        <f t="shared" si="53"/>
        <v>0</v>
      </c>
      <c r="V185" s="15">
        <f t="shared" si="54"/>
        <v>0</v>
      </c>
      <c r="W185" s="18" t="str">
        <f t="shared" si="55"/>
        <v/>
      </c>
      <c r="X185" s="17">
        <v>0</v>
      </c>
      <c r="Y185" s="17">
        <v>0</v>
      </c>
      <c r="Z185" s="15">
        <f t="shared" si="56"/>
        <v>0</v>
      </c>
      <c r="AA185" s="17">
        <v>0</v>
      </c>
      <c r="AB185" s="17">
        <v>0</v>
      </c>
      <c r="AC185" s="15">
        <f t="shared" si="57"/>
        <v>0</v>
      </c>
      <c r="AD185" s="17">
        <v>0</v>
      </c>
      <c r="AE185" s="17">
        <v>0</v>
      </c>
      <c r="AF185" s="15">
        <f t="shared" si="58"/>
        <v>0</v>
      </c>
      <c r="AG185" s="17">
        <v>0</v>
      </c>
      <c r="AH185" s="17">
        <v>0</v>
      </c>
      <c r="AI185" s="15">
        <f t="shared" si="59"/>
        <v>0</v>
      </c>
      <c r="AJ185" s="17"/>
    </row>
    <row r="186" spans="1:36" x14ac:dyDescent="0.3">
      <c r="A186" s="15" t="s">
        <v>234</v>
      </c>
      <c r="B186" s="15">
        <v>1000</v>
      </c>
      <c r="C186" s="15" t="s">
        <v>54</v>
      </c>
      <c r="D186" s="15" t="s">
        <v>68</v>
      </c>
      <c r="E186" s="15">
        <f>'17-july2026'!T186</f>
        <v>2</v>
      </c>
      <c r="F186" s="15">
        <f>'17-july2026'!U186</f>
        <v>0</v>
      </c>
      <c r="G186" s="15">
        <f>'17-july2026'!V186</f>
        <v>0</v>
      </c>
      <c r="H186" s="15">
        <f t="shared" si="50"/>
        <v>2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5">
        <f t="shared" si="51"/>
        <v>2</v>
      </c>
      <c r="T186" s="15">
        <f t="shared" si="52"/>
        <v>2</v>
      </c>
      <c r="U186" s="15">
        <f t="shared" si="53"/>
        <v>0</v>
      </c>
      <c r="V186" s="15">
        <f t="shared" si="54"/>
        <v>0</v>
      </c>
      <c r="W186" s="18" t="str">
        <f t="shared" si="55"/>
        <v/>
      </c>
      <c r="X186" s="17">
        <v>0</v>
      </c>
      <c r="Y186" s="17">
        <v>0</v>
      </c>
      <c r="Z186" s="15">
        <f t="shared" si="56"/>
        <v>0</v>
      </c>
      <c r="AA186" s="17">
        <v>0</v>
      </c>
      <c r="AB186" s="17">
        <v>0</v>
      </c>
      <c r="AC186" s="15">
        <f t="shared" si="57"/>
        <v>0</v>
      </c>
      <c r="AD186" s="17">
        <v>0</v>
      </c>
      <c r="AE186" s="17">
        <v>0</v>
      </c>
      <c r="AF186" s="15">
        <f t="shared" si="58"/>
        <v>0</v>
      </c>
      <c r="AG186" s="17">
        <v>0</v>
      </c>
      <c r="AH186" s="17">
        <v>0</v>
      </c>
      <c r="AI186" s="15">
        <f t="shared" si="59"/>
        <v>0</v>
      </c>
      <c r="AJ186" s="17"/>
    </row>
    <row r="187" spans="1:36" x14ac:dyDescent="0.3">
      <c r="A187" s="15" t="s">
        <v>235</v>
      </c>
      <c r="B187" s="15">
        <v>100000</v>
      </c>
      <c r="C187" s="15" t="s">
        <v>54</v>
      </c>
      <c r="D187" s="15" t="s">
        <v>68</v>
      </c>
      <c r="E187" s="15">
        <f>'17-july2026'!T187</f>
        <v>3</v>
      </c>
      <c r="F187" s="15">
        <f>'17-july2026'!U187</f>
        <v>0</v>
      </c>
      <c r="G187" s="15">
        <f>'17-july2026'!V187</f>
        <v>0</v>
      </c>
      <c r="H187" s="15">
        <f t="shared" si="50"/>
        <v>3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5">
        <f t="shared" si="51"/>
        <v>3</v>
      </c>
      <c r="T187" s="15">
        <f t="shared" si="52"/>
        <v>3</v>
      </c>
      <c r="U187" s="15">
        <f t="shared" si="53"/>
        <v>0</v>
      </c>
      <c r="V187" s="15">
        <f t="shared" si="54"/>
        <v>0</v>
      </c>
      <c r="W187" s="18" t="str">
        <f t="shared" si="55"/>
        <v/>
      </c>
      <c r="X187" s="17">
        <v>0</v>
      </c>
      <c r="Y187" s="17">
        <v>0</v>
      </c>
      <c r="Z187" s="15">
        <f t="shared" si="56"/>
        <v>0</v>
      </c>
      <c r="AA187" s="17">
        <v>0</v>
      </c>
      <c r="AB187" s="17">
        <v>0</v>
      </c>
      <c r="AC187" s="15">
        <f t="shared" si="57"/>
        <v>0</v>
      </c>
      <c r="AD187" s="17">
        <v>0</v>
      </c>
      <c r="AE187" s="17">
        <v>0</v>
      </c>
      <c r="AF187" s="15">
        <f t="shared" si="58"/>
        <v>0</v>
      </c>
      <c r="AG187" s="17">
        <v>0</v>
      </c>
      <c r="AH187" s="17">
        <v>0</v>
      </c>
      <c r="AI187" s="15">
        <f t="shared" si="59"/>
        <v>0</v>
      </c>
      <c r="AJ187" s="17"/>
    </row>
    <row r="188" spans="1:36" hidden="1" x14ac:dyDescent="0.3">
      <c r="A188" s="15" t="s">
        <v>236</v>
      </c>
      <c r="B188" s="15">
        <v>1000</v>
      </c>
      <c r="C188" s="15" t="s">
        <v>54</v>
      </c>
      <c r="D188" s="15" t="s">
        <v>55</v>
      </c>
      <c r="E188" s="15">
        <f>'17-july2026'!T188</f>
        <v>14</v>
      </c>
      <c r="F188" s="15">
        <f>'17-july2026'!U188</f>
        <v>0</v>
      </c>
      <c r="G188" s="15">
        <f>'17-july2026'!V188</f>
        <v>0</v>
      </c>
      <c r="H188" s="15">
        <f t="shared" si="50"/>
        <v>14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5">
        <f t="shared" si="51"/>
        <v>14</v>
      </c>
      <c r="T188" s="15">
        <f t="shared" si="52"/>
        <v>14</v>
      </c>
      <c r="U188" s="15">
        <f t="shared" si="53"/>
        <v>0</v>
      </c>
      <c r="V188" s="15">
        <f t="shared" si="54"/>
        <v>0</v>
      </c>
      <c r="W188" s="18" t="str">
        <f t="shared" si="55"/>
        <v/>
      </c>
      <c r="X188" s="17">
        <v>0</v>
      </c>
      <c r="Y188" s="17">
        <v>0</v>
      </c>
      <c r="Z188" s="15">
        <f t="shared" si="56"/>
        <v>0</v>
      </c>
      <c r="AA188" s="17">
        <v>0</v>
      </c>
      <c r="AB188" s="17">
        <v>0</v>
      </c>
      <c r="AC188" s="15">
        <f t="shared" si="57"/>
        <v>0</v>
      </c>
      <c r="AD188" s="17">
        <v>0</v>
      </c>
      <c r="AE188" s="17">
        <v>0</v>
      </c>
      <c r="AF188" s="15">
        <f t="shared" si="58"/>
        <v>0</v>
      </c>
      <c r="AG188" s="17">
        <v>0</v>
      </c>
      <c r="AH188" s="17">
        <v>0</v>
      </c>
      <c r="AI188" s="15">
        <f t="shared" si="59"/>
        <v>0</v>
      </c>
      <c r="AJ188" s="17"/>
    </row>
    <row r="189" spans="1:36" hidden="1" x14ac:dyDescent="0.3">
      <c r="A189" s="15" t="s">
        <v>237</v>
      </c>
      <c r="B189" s="15">
        <v>1000</v>
      </c>
      <c r="C189" s="15" t="s">
        <v>54</v>
      </c>
      <c r="D189" s="15" t="s">
        <v>55</v>
      </c>
      <c r="E189" s="15">
        <f>'17-july2026'!T189</f>
        <v>0</v>
      </c>
      <c r="F189" s="15">
        <f>'17-july2026'!U189</f>
        <v>29</v>
      </c>
      <c r="G189" s="15">
        <f>'17-july2026'!V189</f>
        <v>1</v>
      </c>
      <c r="H189" s="15">
        <f t="shared" si="50"/>
        <v>30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1</v>
      </c>
      <c r="O189" s="17">
        <v>1</v>
      </c>
      <c r="P189" s="17">
        <v>0</v>
      </c>
      <c r="Q189" s="17">
        <v>0</v>
      </c>
      <c r="R189" s="17">
        <v>0</v>
      </c>
      <c r="S189" s="15">
        <f t="shared" si="51"/>
        <v>30</v>
      </c>
      <c r="T189" s="15">
        <f t="shared" si="52"/>
        <v>1</v>
      </c>
      <c r="U189" s="15">
        <f t="shared" si="53"/>
        <v>29</v>
      </c>
      <c r="V189" s="15">
        <f t="shared" si="54"/>
        <v>0</v>
      </c>
      <c r="W189" s="18" t="str">
        <f t="shared" si="55"/>
        <v/>
      </c>
      <c r="X189" s="17">
        <v>0</v>
      </c>
      <c r="Y189" s="17">
        <v>0</v>
      </c>
      <c r="Z189" s="15">
        <f t="shared" si="56"/>
        <v>0</v>
      </c>
      <c r="AA189" s="17">
        <v>0</v>
      </c>
      <c r="AB189" s="17">
        <v>0</v>
      </c>
      <c r="AC189" s="15">
        <f t="shared" si="57"/>
        <v>0</v>
      </c>
      <c r="AD189" s="17">
        <v>0</v>
      </c>
      <c r="AE189" s="17">
        <v>0</v>
      </c>
      <c r="AF189" s="15">
        <f t="shared" si="58"/>
        <v>0</v>
      </c>
      <c r="AG189" s="17">
        <v>0</v>
      </c>
      <c r="AH189" s="17">
        <v>0</v>
      </c>
      <c r="AI189" s="15">
        <f t="shared" si="59"/>
        <v>0</v>
      </c>
      <c r="AJ189" s="17"/>
    </row>
    <row r="190" spans="1:36" hidden="1" x14ac:dyDescent="0.3">
      <c r="A190" s="15" t="s">
        <v>238</v>
      </c>
      <c r="B190" s="15">
        <v>1000</v>
      </c>
      <c r="C190" s="15" t="s">
        <v>54</v>
      </c>
      <c r="D190" s="15" t="s">
        <v>55</v>
      </c>
      <c r="E190" s="15">
        <f>'17-july2026'!T190</f>
        <v>1</v>
      </c>
      <c r="F190" s="15">
        <f>'17-july2026'!U190</f>
        <v>0</v>
      </c>
      <c r="G190" s="15">
        <f>'17-july2026'!V190</f>
        <v>3</v>
      </c>
      <c r="H190" s="15">
        <f t="shared" si="50"/>
        <v>4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3</v>
      </c>
      <c r="O190" s="17">
        <v>3</v>
      </c>
      <c r="P190" s="17">
        <v>0</v>
      </c>
      <c r="Q190" s="17">
        <v>0</v>
      </c>
      <c r="R190" s="17">
        <v>0</v>
      </c>
      <c r="S190" s="15">
        <f t="shared" si="51"/>
        <v>4</v>
      </c>
      <c r="T190" s="15">
        <f t="shared" si="52"/>
        <v>4</v>
      </c>
      <c r="U190" s="15">
        <f t="shared" si="53"/>
        <v>0</v>
      </c>
      <c r="V190" s="15">
        <f t="shared" si="54"/>
        <v>0</v>
      </c>
      <c r="W190" s="18" t="str">
        <f t="shared" si="55"/>
        <v/>
      </c>
      <c r="X190" s="17">
        <v>0</v>
      </c>
      <c r="Y190" s="17">
        <v>0</v>
      </c>
      <c r="Z190" s="15">
        <f t="shared" si="56"/>
        <v>0</v>
      </c>
      <c r="AA190" s="17">
        <v>0</v>
      </c>
      <c r="AB190" s="17">
        <v>0</v>
      </c>
      <c r="AC190" s="15">
        <f t="shared" si="57"/>
        <v>0</v>
      </c>
      <c r="AD190" s="17">
        <v>0</v>
      </c>
      <c r="AE190" s="17">
        <v>0</v>
      </c>
      <c r="AF190" s="15">
        <f t="shared" si="58"/>
        <v>0</v>
      </c>
      <c r="AG190" s="17">
        <v>0</v>
      </c>
      <c r="AH190" s="17">
        <v>0</v>
      </c>
      <c r="AI190" s="15">
        <f t="shared" si="59"/>
        <v>0</v>
      </c>
      <c r="AJ190" s="17"/>
    </row>
    <row r="191" spans="1:36" hidden="1" x14ac:dyDescent="0.3">
      <c r="A191" s="15" t="s">
        <v>239</v>
      </c>
      <c r="B191" s="15">
        <v>1000</v>
      </c>
      <c r="C191" s="15" t="s">
        <v>54</v>
      </c>
      <c r="D191" s="15" t="s">
        <v>55</v>
      </c>
      <c r="E191" s="15">
        <v>0</v>
      </c>
      <c r="F191" s="15">
        <v>0</v>
      </c>
      <c r="G191" s="15">
        <v>0</v>
      </c>
      <c r="H191" s="15">
        <f t="shared" si="50"/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5">
        <f t="shared" si="51"/>
        <v>0</v>
      </c>
      <c r="T191" s="15">
        <f t="shared" si="52"/>
        <v>0</v>
      </c>
      <c r="U191" s="15">
        <f t="shared" si="53"/>
        <v>0</v>
      </c>
      <c r="V191" s="15">
        <f t="shared" si="54"/>
        <v>0</v>
      </c>
      <c r="W191" s="18" t="str">
        <f t="shared" si="55"/>
        <v/>
      </c>
      <c r="X191" s="17">
        <v>0</v>
      </c>
      <c r="Y191" s="17">
        <v>0</v>
      </c>
      <c r="Z191" s="15">
        <f t="shared" si="56"/>
        <v>0</v>
      </c>
      <c r="AA191" s="17">
        <v>0</v>
      </c>
      <c r="AB191" s="17">
        <v>0</v>
      </c>
      <c r="AC191" s="15">
        <f t="shared" si="57"/>
        <v>0</v>
      </c>
      <c r="AD191" s="17">
        <v>0</v>
      </c>
      <c r="AE191" s="17">
        <v>0</v>
      </c>
      <c r="AF191" s="15">
        <f t="shared" si="58"/>
        <v>0</v>
      </c>
      <c r="AG191" s="17">
        <v>0</v>
      </c>
      <c r="AH191" s="17">
        <v>0</v>
      </c>
      <c r="AI191" s="15">
        <f t="shared" si="59"/>
        <v>0</v>
      </c>
      <c r="AJ191" s="17"/>
    </row>
    <row r="192" spans="1:36" hidden="1" x14ac:dyDescent="0.3">
      <c r="A192" s="15" t="s">
        <v>239</v>
      </c>
      <c r="B192" s="15">
        <v>2500</v>
      </c>
      <c r="C192" s="15" t="s">
        <v>54</v>
      </c>
      <c r="D192" s="15" t="s">
        <v>55</v>
      </c>
      <c r="E192" s="15">
        <f>'17-july2026'!T192</f>
        <v>0</v>
      </c>
      <c r="F192" s="15">
        <f>'17-july2026'!U192</f>
        <v>0</v>
      </c>
      <c r="G192" s="15">
        <f>'17-july2026'!V192</f>
        <v>0</v>
      </c>
      <c r="H192" s="15">
        <f t="shared" si="50"/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5">
        <f t="shared" si="51"/>
        <v>0</v>
      </c>
      <c r="T192" s="15">
        <f t="shared" si="52"/>
        <v>0</v>
      </c>
      <c r="U192" s="15">
        <f t="shared" si="53"/>
        <v>0</v>
      </c>
      <c r="V192" s="15">
        <f t="shared" si="54"/>
        <v>0</v>
      </c>
      <c r="W192" s="18" t="str">
        <f t="shared" si="55"/>
        <v/>
      </c>
      <c r="X192" s="17">
        <v>0</v>
      </c>
      <c r="Y192" s="17">
        <v>0</v>
      </c>
      <c r="Z192" s="15">
        <f t="shared" si="56"/>
        <v>0</v>
      </c>
      <c r="AA192" s="17">
        <v>0</v>
      </c>
      <c r="AB192" s="17">
        <v>0</v>
      </c>
      <c r="AC192" s="15">
        <f t="shared" si="57"/>
        <v>0</v>
      </c>
      <c r="AD192" s="17">
        <v>0</v>
      </c>
      <c r="AE192" s="17">
        <v>0</v>
      </c>
      <c r="AF192" s="15">
        <f t="shared" si="58"/>
        <v>0</v>
      </c>
      <c r="AG192" s="17">
        <v>0</v>
      </c>
      <c r="AH192" s="17">
        <v>0</v>
      </c>
      <c r="AI192" s="15">
        <f t="shared" si="59"/>
        <v>0</v>
      </c>
      <c r="AJ192" s="17"/>
    </row>
    <row r="193" spans="1:36" hidden="1" x14ac:dyDescent="0.3">
      <c r="A193" s="15" t="s">
        <v>240</v>
      </c>
      <c r="B193" s="15">
        <v>100</v>
      </c>
      <c r="C193" s="15" t="s">
        <v>54</v>
      </c>
      <c r="D193" s="15" t="s">
        <v>55</v>
      </c>
      <c r="E193" s="15">
        <f>'17-july2026'!T193</f>
        <v>34</v>
      </c>
      <c r="F193" s="15">
        <f>'17-july2026'!U193</f>
        <v>0</v>
      </c>
      <c r="G193" s="15">
        <f>'17-july2026'!V193</f>
        <v>0</v>
      </c>
      <c r="H193" s="15">
        <f t="shared" si="50"/>
        <v>34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5">
        <f t="shared" si="51"/>
        <v>34</v>
      </c>
      <c r="T193" s="15">
        <f t="shared" si="52"/>
        <v>34</v>
      </c>
      <c r="U193" s="15">
        <f t="shared" si="53"/>
        <v>0</v>
      </c>
      <c r="V193" s="15">
        <f t="shared" si="54"/>
        <v>0</v>
      </c>
      <c r="W193" s="18" t="str">
        <f t="shared" si="55"/>
        <v/>
      </c>
      <c r="X193" s="17">
        <v>0</v>
      </c>
      <c r="Y193" s="17">
        <v>0</v>
      </c>
      <c r="Z193" s="15">
        <f t="shared" si="56"/>
        <v>0</v>
      </c>
      <c r="AA193" s="17">
        <v>0</v>
      </c>
      <c r="AB193" s="17">
        <v>0</v>
      </c>
      <c r="AC193" s="15">
        <f t="shared" si="57"/>
        <v>0</v>
      </c>
      <c r="AD193" s="17">
        <v>0</v>
      </c>
      <c r="AE193" s="17">
        <v>0</v>
      </c>
      <c r="AF193" s="15">
        <f t="shared" si="58"/>
        <v>0</v>
      </c>
      <c r="AG193" s="17">
        <v>0</v>
      </c>
      <c r="AH193" s="17">
        <v>0</v>
      </c>
      <c r="AI193" s="15">
        <f t="shared" si="59"/>
        <v>0</v>
      </c>
      <c r="AJ193" s="17"/>
    </row>
    <row r="194" spans="1:36" hidden="1" x14ac:dyDescent="0.3">
      <c r="A194" s="15" t="s">
        <v>240</v>
      </c>
      <c r="B194" s="15">
        <v>1000</v>
      </c>
      <c r="C194" s="15" t="s">
        <v>54</v>
      </c>
      <c r="D194" s="15" t="s">
        <v>55</v>
      </c>
      <c r="E194" s="15">
        <v>0</v>
      </c>
      <c r="F194" s="15">
        <v>0</v>
      </c>
      <c r="G194" s="15">
        <v>0</v>
      </c>
      <c r="H194" s="15">
        <f t="shared" si="50"/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5">
        <f t="shared" si="51"/>
        <v>0</v>
      </c>
      <c r="T194" s="15">
        <f t="shared" si="52"/>
        <v>0</v>
      </c>
      <c r="U194" s="15">
        <f t="shared" si="53"/>
        <v>0</v>
      </c>
      <c r="V194" s="15">
        <f t="shared" si="54"/>
        <v>0</v>
      </c>
      <c r="W194" s="18" t="str">
        <f t="shared" si="55"/>
        <v/>
      </c>
      <c r="X194" s="17">
        <v>0</v>
      </c>
      <c r="Y194" s="17">
        <v>0</v>
      </c>
      <c r="Z194" s="15">
        <f t="shared" si="56"/>
        <v>0</v>
      </c>
      <c r="AA194" s="17">
        <v>0</v>
      </c>
      <c r="AB194" s="17">
        <v>0</v>
      </c>
      <c r="AC194" s="15">
        <f t="shared" si="57"/>
        <v>0</v>
      </c>
      <c r="AD194" s="17">
        <v>0</v>
      </c>
      <c r="AE194" s="17">
        <v>0</v>
      </c>
      <c r="AF194" s="15">
        <f t="shared" si="58"/>
        <v>0</v>
      </c>
      <c r="AG194" s="17">
        <v>0</v>
      </c>
      <c r="AH194" s="17">
        <v>0</v>
      </c>
      <c r="AI194" s="15">
        <f t="shared" si="59"/>
        <v>0</v>
      </c>
      <c r="AJ194" s="17"/>
    </row>
    <row r="195" spans="1:36" x14ac:dyDescent="0.3">
      <c r="A195" s="15" t="s">
        <v>241</v>
      </c>
      <c r="B195" s="15">
        <v>25000</v>
      </c>
      <c r="C195" s="15" t="s">
        <v>54</v>
      </c>
      <c r="D195" s="15" t="s">
        <v>68</v>
      </c>
      <c r="E195" s="15">
        <f>'17-july2026'!T195</f>
        <v>2</v>
      </c>
      <c r="F195" s="15">
        <f>'17-july2026'!U195</f>
        <v>0</v>
      </c>
      <c r="G195" s="15">
        <f>'17-july2026'!V195</f>
        <v>0</v>
      </c>
      <c r="H195" s="15">
        <f t="shared" ref="H195:H199" si="60">E195+F195+G195</f>
        <v>2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5">
        <f t="shared" ref="S195:S199" si="61">H195+O195+P195+Q195+R195-(I195+J195+K195+L195+M195+N195)</f>
        <v>2</v>
      </c>
      <c r="T195" s="15">
        <f t="shared" si="52"/>
        <v>2</v>
      </c>
      <c r="U195" s="15">
        <f t="shared" si="53"/>
        <v>0</v>
      </c>
      <c r="V195" s="15">
        <f t="shared" si="54"/>
        <v>0</v>
      </c>
      <c r="W195" s="18" t="str">
        <f t="shared" ref="W195:W199" si="62">IF(MIN(T195,U195,V195)&lt;0,"NEGATIVE STOCK - CHECK ENTRIES","")</f>
        <v/>
      </c>
      <c r="X195" s="17">
        <v>0</v>
      </c>
      <c r="Y195" s="17">
        <v>0</v>
      </c>
      <c r="Z195" s="15">
        <f t="shared" ref="Z195:Z199" si="63">X195-Y195</f>
        <v>0</v>
      </c>
      <c r="AA195" s="17">
        <v>0</v>
      </c>
      <c r="AB195" s="17">
        <v>0</v>
      </c>
      <c r="AC195" s="15">
        <f t="shared" ref="AC195:AC199" si="64">AA195-AB195</f>
        <v>0</v>
      </c>
      <c r="AD195" s="17">
        <v>0</v>
      </c>
      <c r="AE195" s="17">
        <v>0</v>
      </c>
      <c r="AF195" s="15">
        <f t="shared" ref="AF195:AF199" si="65">AD195-AE195</f>
        <v>0</v>
      </c>
      <c r="AG195" s="17">
        <v>0</v>
      </c>
      <c r="AH195" s="17">
        <v>0</v>
      </c>
      <c r="AI195" s="15">
        <f t="shared" ref="AI195:AI199" si="66">AG195-AH195</f>
        <v>0</v>
      </c>
      <c r="AJ195" s="17"/>
    </row>
    <row r="196" spans="1:36" x14ac:dyDescent="0.3">
      <c r="A196" s="15" t="s">
        <v>242</v>
      </c>
      <c r="B196" s="15">
        <v>100</v>
      </c>
      <c r="C196" s="15" t="s">
        <v>54</v>
      </c>
      <c r="D196" s="15" t="s">
        <v>68</v>
      </c>
      <c r="E196" s="15">
        <f>'17-july2026'!T196</f>
        <v>6</v>
      </c>
      <c r="F196" s="15">
        <f>'17-july2026'!U196</f>
        <v>0</v>
      </c>
      <c r="G196" s="15">
        <f>'17-july2026'!V196</f>
        <v>0</v>
      </c>
      <c r="H196" s="15">
        <f t="shared" si="60"/>
        <v>6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5">
        <f t="shared" si="61"/>
        <v>6</v>
      </c>
      <c r="T196" s="15">
        <f t="shared" si="52"/>
        <v>6</v>
      </c>
      <c r="U196" s="15">
        <f t="shared" si="53"/>
        <v>0</v>
      </c>
      <c r="V196" s="15">
        <f t="shared" si="54"/>
        <v>0</v>
      </c>
      <c r="W196" s="18" t="str">
        <f t="shared" si="62"/>
        <v/>
      </c>
      <c r="X196" s="17">
        <v>0</v>
      </c>
      <c r="Y196" s="17">
        <v>0</v>
      </c>
      <c r="Z196" s="15">
        <f t="shared" si="63"/>
        <v>0</v>
      </c>
      <c r="AA196" s="17">
        <v>0</v>
      </c>
      <c r="AB196" s="17">
        <v>0</v>
      </c>
      <c r="AC196" s="15">
        <f t="shared" si="64"/>
        <v>0</v>
      </c>
      <c r="AD196" s="17">
        <v>0</v>
      </c>
      <c r="AE196" s="17">
        <v>0</v>
      </c>
      <c r="AF196" s="15">
        <f t="shared" si="65"/>
        <v>0</v>
      </c>
      <c r="AG196" s="17">
        <v>0</v>
      </c>
      <c r="AH196" s="17">
        <v>0</v>
      </c>
      <c r="AI196" s="15">
        <f t="shared" si="66"/>
        <v>0</v>
      </c>
      <c r="AJ196" s="17"/>
    </row>
    <row r="197" spans="1:36" x14ac:dyDescent="0.3">
      <c r="A197" s="15" t="s">
        <v>243</v>
      </c>
      <c r="B197" s="15">
        <v>100000</v>
      </c>
      <c r="C197" s="15" t="s">
        <v>54</v>
      </c>
      <c r="D197" s="15" t="s">
        <v>57</v>
      </c>
      <c r="E197" s="15">
        <f>'17-july2026'!T197</f>
        <v>6</v>
      </c>
      <c r="F197" s="15">
        <f>'17-july2026'!U197</f>
        <v>0</v>
      </c>
      <c r="G197" s="15">
        <f>'17-july2026'!V197</f>
        <v>0</v>
      </c>
      <c r="H197" s="15">
        <f t="shared" si="60"/>
        <v>6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5">
        <f t="shared" si="61"/>
        <v>6</v>
      </c>
      <c r="T197" s="15">
        <f t="shared" si="52"/>
        <v>6</v>
      </c>
      <c r="U197" s="15">
        <f t="shared" si="53"/>
        <v>0</v>
      </c>
      <c r="V197" s="15">
        <f t="shared" si="54"/>
        <v>0</v>
      </c>
      <c r="W197" s="18" t="str">
        <f t="shared" si="62"/>
        <v/>
      </c>
      <c r="X197" s="17">
        <v>0</v>
      </c>
      <c r="Y197" s="17">
        <v>0</v>
      </c>
      <c r="Z197" s="15">
        <f t="shared" si="63"/>
        <v>0</v>
      </c>
      <c r="AA197" s="17">
        <v>0</v>
      </c>
      <c r="AB197" s="17">
        <v>0</v>
      </c>
      <c r="AC197" s="15">
        <f t="shared" si="64"/>
        <v>0</v>
      </c>
      <c r="AD197" s="17">
        <v>0</v>
      </c>
      <c r="AE197" s="17">
        <v>0</v>
      </c>
      <c r="AF197" s="15">
        <f t="shared" si="65"/>
        <v>0</v>
      </c>
      <c r="AG197" s="17">
        <v>0</v>
      </c>
      <c r="AH197" s="17">
        <v>0</v>
      </c>
      <c r="AI197" s="15">
        <f t="shared" si="66"/>
        <v>0</v>
      </c>
      <c r="AJ197" s="17"/>
    </row>
    <row r="198" spans="1:36" hidden="1" x14ac:dyDescent="0.3">
      <c r="A198" s="15" t="s">
        <v>244</v>
      </c>
      <c r="B198" s="15">
        <v>100000</v>
      </c>
      <c r="C198" s="15"/>
      <c r="D198" s="15" t="s">
        <v>55</v>
      </c>
      <c r="E198" s="15">
        <f>'17-july2026'!T198</f>
        <v>0</v>
      </c>
      <c r="F198" s="15">
        <f>'17-july2026'!U198</f>
        <v>0</v>
      </c>
      <c r="G198" s="15">
        <f>'17-july2026'!V198</f>
        <v>0</v>
      </c>
      <c r="H198" s="15">
        <f t="shared" si="60"/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5">
        <f t="shared" si="61"/>
        <v>0</v>
      </c>
      <c r="T198" s="15">
        <f t="shared" si="52"/>
        <v>0</v>
      </c>
      <c r="U198" s="15">
        <f t="shared" si="53"/>
        <v>0</v>
      </c>
      <c r="V198" s="15">
        <f t="shared" si="54"/>
        <v>0</v>
      </c>
      <c r="W198" s="18" t="str">
        <f t="shared" si="62"/>
        <v/>
      </c>
      <c r="X198" s="17">
        <v>0</v>
      </c>
      <c r="Y198" s="17">
        <v>0</v>
      </c>
      <c r="Z198" s="15">
        <f t="shared" si="63"/>
        <v>0</v>
      </c>
      <c r="AA198" s="17">
        <v>0</v>
      </c>
      <c r="AB198" s="17">
        <v>0</v>
      </c>
      <c r="AC198" s="15">
        <f t="shared" si="64"/>
        <v>0</v>
      </c>
      <c r="AD198" s="17">
        <v>0</v>
      </c>
      <c r="AE198" s="17">
        <v>0</v>
      </c>
      <c r="AF198" s="15">
        <f t="shared" si="65"/>
        <v>0</v>
      </c>
      <c r="AG198" s="17">
        <v>0</v>
      </c>
      <c r="AH198" s="17">
        <v>0</v>
      </c>
      <c r="AI198" s="15">
        <f t="shared" si="66"/>
        <v>0</v>
      </c>
      <c r="AJ198" s="17"/>
    </row>
    <row r="199" spans="1:36" x14ac:dyDescent="0.3">
      <c r="A199" s="15" t="s">
        <v>245</v>
      </c>
      <c r="B199" s="15">
        <v>25000</v>
      </c>
      <c r="C199" s="15" t="s">
        <v>54</v>
      </c>
      <c r="D199" s="15" t="s">
        <v>57</v>
      </c>
      <c r="E199" s="15">
        <f>'17-july2026'!T199</f>
        <v>2</v>
      </c>
      <c r="F199" s="15">
        <f>'17-july2026'!U199</f>
        <v>0</v>
      </c>
      <c r="G199" s="15">
        <f>'17-july2026'!V199</f>
        <v>0</v>
      </c>
      <c r="H199" s="15">
        <f t="shared" si="60"/>
        <v>2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5">
        <f t="shared" si="61"/>
        <v>2</v>
      </c>
      <c r="T199" s="15">
        <f t="shared" si="52"/>
        <v>2</v>
      </c>
      <c r="U199" s="15">
        <f t="shared" si="53"/>
        <v>0</v>
      </c>
      <c r="V199" s="15">
        <f t="shared" si="54"/>
        <v>0</v>
      </c>
      <c r="W199" s="18" t="str">
        <f t="shared" si="62"/>
        <v/>
      </c>
      <c r="X199" s="17">
        <v>0</v>
      </c>
      <c r="Y199" s="17">
        <v>0</v>
      </c>
      <c r="Z199" s="15">
        <f t="shared" si="63"/>
        <v>0</v>
      </c>
      <c r="AA199" s="17">
        <v>0</v>
      </c>
      <c r="AB199" s="17">
        <v>0</v>
      </c>
      <c r="AC199" s="15">
        <f t="shared" si="64"/>
        <v>0</v>
      </c>
      <c r="AD199" s="17">
        <v>0</v>
      </c>
      <c r="AE199" s="17">
        <v>0</v>
      </c>
      <c r="AF199" s="15">
        <f t="shared" si="65"/>
        <v>0</v>
      </c>
      <c r="AG199" s="17">
        <v>0</v>
      </c>
      <c r="AH199" s="17">
        <v>0</v>
      </c>
      <c r="AI199" s="15">
        <f t="shared" si="66"/>
        <v>0</v>
      </c>
      <c r="AJ199" s="17"/>
    </row>
  </sheetData>
  <autoFilter ref="A2:AJ199" xr:uid="{00000000-0001-0000-0700-000000000000}">
    <filterColumn colId="3">
      <filters>
        <filter val="CUSTOM&amp;TRIAL"/>
        <filter val="MASIFIO CUSTOM"/>
      </filters>
    </filterColumn>
    <filterColumn colId="4">
      <filters>
        <filter val="1"/>
        <filter val="10"/>
        <filter val="2"/>
        <filter val="20"/>
        <filter val="3"/>
        <filter val="4"/>
        <filter val="5"/>
        <filter val="6"/>
        <filter val="7"/>
        <filter val="8"/>
        <filter val="9"/>
      </filters>
    </filterColumn>
  </autoFilter>
  <mergeCells count="5">
    <mergeCell ref="A1:D1"/>
    <mergeCell ref="E1:H1"/>
    <mergeCell ref="I1:R1"/>
    <mergeCell ref="S1:V1"/>
    <mergeCell ref="X1:AI1"/>
  </mergeCells>
  <conditionalFormatting sqref="T3:V199">
    <cfRule type="expression" dxfId="19" priority="3">
      <formula>T3&lt;0</formula>
    </cfRule>
  </conditionalFormatting>
  <conditionalFormatting sqref="W3:W199">
    <cfRule type="expression" dxfId="18" priority="2">
      <formula>W3&lt;&gt;""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J199"/>
  <sheetViews>
    <sheetView showGridLines="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24" sqref="E24"/>
    </sheetView>
  </sheetViews>
  <sheetFormatPr defaultColWidth="8.6640625" defaultRowHeight="14.4" x14ac:dyDescent="0.3"/>
  <cols>
    <col min="1" max="1" width="30" customWidth="1"/>
    <col min="2" max="2" width="10" customWidth="1"/>
    <col min="3" max="3" width="12" customWidth="1"/>
    <col min="4" max="4" width="14" customWidth="1"/>
    <col min="5" max="22" width="11" customWidth="1"/>
    <col min="23" max="23" width="16.6640625" customWidth="1"/>
    <col min="24" max="24" width="16.77734375" customWidth="1"/>
    <col min="25" max="35" width="11" customWidth="1"/>
    <col min="36" max="36" width="22" customWidth="1"/>
  </cols>
  <sheetData>
    <row r="1" spans="1:36" ht="19.5" customHeight="1" x14ac:dyDescent="0.3">
      <c r="A1" s="40" t="s">
        <v>246</v>
      </c>
      <c r="B1" s="40"/>
      <c r="C1" s="40"/>
      <c r="D1" s="40"/>
      <c r="E1" s="41" t="s">
        <v>247</v>
      </c>
      <c r="F1" s="41"/>
      <c r="G1" s="41"/>
      <c r="H1" s="41"/>
      <c r="I1" s="42" t="s">
        <v>248</v>
      </c>
      <c r="J1" s="42"/>
      <c r="K1" s="42"/>
      <c r="L1" s="42"/>
      <c r="M1" s="42"/>
      <c r="N1" s="42"/>
      <c r="O1" s="42"/>
      <c r="P1" s="42"/>
      <c r="Q1" s="42"/>
      <c r="R1" s="42"/>
      <c r="S1" s="41" t="s">
        <v>249</v>
      </c>
      <c r="T1" s="41"/>
      <c r="U1" s="41"/>
      <c r="V1" s="41"/>
      <c r="W1" s="3" t="s">
        <v>250</v>
      </c>
      <c r="X1" s="43" t="s">
        <v>251</v>
      </c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" t="s">
        <v>252</v>
      </c>
    </row>
    <row r="2" spans="1:36" ht="33.75" customHeight="1" x14ac:dyDescent="0.3">
      <c r="A2" s="4" t="s">
        <v>45</v>
      </c>
      <c r="B2" s="4" t="s">
        <v>46</v>
      </c>
      <c r="C2" s="4" t="s">
        <v>47</v>
      </c>
      <c r="D2" s="4" t="s">
        <v>48</v>
      </c>
      <c r="E2" s="3" t="s">
        <v>253</v>
      </c>
      <c r="F2" s="3" t="s">
        <v>254</v>
      </c>
      <c r="G2" s="3" t="s">
        <v>255</v>
      </c>
      <c r="H2" s="3" t="s">
        <v>256</v>
      </c>
      <c r="I2" s="2" t="s">
        <v>257</v>
      </c>
      <c r="J2" s="2" t="s">
        <v>258</v>
      </c>
      <c r="K2" s="2" t="s">
        <v>259</v>
      </c>
      <c r="L2" s="2" t="s">
        <v>260</v>
      </c>
      <c r="M2" s="2" t="s">
        <v>261</v>
      </c>
      <c r="N2" s="2" t="s">
        <v>262</v>
      </c>
      <c r="O2" s="2" t="s">
        <v>263</v>
      </c>
      <c r="P2" s="2" t="s">
        <v>264</v>
      </c>
      <c r="Q2" s="2" t="s">
        <v>265</v>
      </c>
      <c r="R2" s="2" t="s">
        <v>266</v>
      </c>
      <c r="S2" s="3" t="s">
        <v>267</v>
      </c>
      <c r="T2" s="3" t="s">
        <v>268</v>
      </c>
      <c r="U2" s="3" t="s">
        <v>269</v>
      </c>
      <c r="V2" s="3" t="s">
        <v>270</v>
      </c>
      <c r="W2" s="3" t="s">
        <v>271</v>
      </c>
      <c r="X2" s="1" t="s">
        <v>272</v>
      </c>
      <c r="Y2" s="1" t="s">
        <v>273</v>
      </c>
      <c r="Z2" s="1" t="s">
        <v>274</v>
      </c>
      <c r="AA2" s="1" t="s">
        <v>275</v>
      </c>
      <c r="AB2" s="1" t="s">
        <v>276</v>
      </c>
      <c r="AC2" s="1" t="s">
        <v>277</v>
      </c>
      <c r="AD2" s="1" t="s">
        <v>278</v>
      </c>
      <c r="AE2" s="1" t="s">
        <v>279</v>
      </c>
      <c r="AF2" s="1" t="s">
        <v>280</v>
      </c>
      <c r="AG2" s="1" t="s">
        <v>281</v>
      </c>
      <c r="AH2" s="1" t="s">
        <v>282</v>
      </c>
      <c r="AI2" s="1" t="s">
        <v>283</v>
      </c>
      <c r="AJ2" s="4" t="s">
        <v>284</v>
      </c>
    </row>
    <row r="3" spans="1:36" hidden="1" x14ac:dyDescent="0.3">
      <c r="A3" s="15" t="s">
        <v>53</v>
      </c>
      <c r="B3" s="15">
        <v>1000</v>
      </c>
      <c r="C3" s="15" t="s">
        <v>54</v>
      </c>
      <c r="D3" s="15" t="s">
        <v>55</v>
      </c>
      <c r="E3" s="15">
        <v>0</v>
      </c>
      <c r="F3" s="15">
        <v>0</v>
      </c>
      <c r="G3" s="15">
        <v>0</v>
      </c>
      <c r="H3" s="15">
        <f t="shared" ref="H3:H34" si="0">E3+F3+G3</f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5">
        <f t="shared" ref="S3:S34" si="1">H3+O3+P3+Q3+R3-(I3+J3+K3+L3+M3+N3)</f>
        <v>0</v>
      </c>
      <c r="T3" s="15">
        <f t="shared" ref="T3:T34" si="2">E3+O3-I3-L3</f>
        <v>0</v>
      </c>
      <c r="U3" s="15">
        <f t="shared" ref="U3:U34" si="3">F3+P3-J3-M3</f>
        <v>0</v>
      </c>
      <c r="V3" s="15">
        <f t="shared" ref="V3:V34" si="4">G3+Q3-K3-N3</f>
        <v>0</v>
      </c>
      <c r="W3" s="18" t="str">
        <f t="shared" ref="W3:W34" si="5">IF(MIN(T3,U3,V3)&lt;0,"NEGATIVE STOCK - CHECK ENTRIES","")</f>
        <v/>
      </c>
      <c r="X3" s="17">
        <v>0</v>
      </c>
      <c r="Y3" s="17">
        <v>0</v>
      </c>
      <c r="Z3" s="15">
        <f t="shared" ref="Z3:Z34" si="6">X3-Y3</f>
        <v>0</v>
      </c>
      <c r="AA3" s="17">
        <v>0</v>
      </c>
      <c r="AB3" s="17">
        <v>0</v>
      </c>
      <c r="AC3" s="15">
        <f t="shared" ref="AC3:AC34" si="7">AA3-AB3</f>
        <v>0</v>
      </c>
      <c r="AD3" s="17">
        <v>0</v>
      </c>
      <c r="AE3" s="17">
        <v>0</v>
      </c>
      <c r="AF3" s="15">
        <f t="shared" ref="AF3:AF34" si="8">AD3-AE3</f>
        <v>0</v>
      </c>
      <c r="AG3" s="17">
        <v>0</v>
      </c>
      <c r="AH3" s="17">
        <v>0</v>
      </c>
      <c r="AI3" s="15">
        <f t="shared" ref="AI3:AI34" si="9">AG3-AH3</f>
        <v>0</v>
      </c>
      <c r="AJ3" s="17"/>
    </row>
    <row r="4" spans="1:36" x14ac:dyDescent="0.3">
      <c r="A4" s="15" t="s">
        <v>56</v>
      </c>
      <c r="B4" s="15">
        <v>500</v>
      </c>
      <c r="C4" s="15" t="s">
        <v>54</v>
      </c>
      <c r="D4" s="15" t="s">
        <v>57</v>
      </c>
      <c r="E4" s="15">
        <f>'24-july-2026'!T4</f>
        <v>0</v>
      </c>
      <c r="F4" s="15">
        <f>'24-july-2026'!U4</f>
        <v>0</v>
      </c>
      <c r="G4" s="15">
        <f>'24-july-2026'!V4</f>
        <v>0</v>
      </c>
      <c r="H4" s="15">
        <f t="shared" si="0"/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5">
        <f t="shared" si="1"/>
        <v>0</v>
      </c>
      <c r="T4" s="15">
        <f t="shared" si="2"/>
        <v>0</v>
      </c>
      <c r="U4" s="15">
        <f t="shared" si="3"/>
        <v>0</v>
      </c>
      <c r="V4" s="15">
        <f t="shared" si="4"/>
        <v>0</v>
      </c>
      <c r="W4" s="18" t="str">
        <f t="shared" si="5"/>
        <v/>
      </c>
      <c r="X4" s="17">
        <v>0</v>
      </c>
      <c r="Y4" s="17">
        <v>0</v>
      </c>
      <c r="Z4" s="15">
        <f t="shared" si="6"/>
        <v>0</v>
      </c>
      <c r="AA4" s="17">
        <v>0</v>
      </c>
      <c r="AB4" s="17">
        <v>0</v>
      </c>
      <c r="AC4" s="15">
        <f t="shared" si="7"/>
        <v>0</v>
      </c>
      <c r="AD4" s="17">
        <v>0</v>
      </c>
      <c r="AE4" s="17">
        <v>0</v>
      </c>
      <c r="AF4" s="15">
        <f t="shared" si="8"/>
        <v>0</v>
      </c>
      <c r="AG4" s="17">
        <v>0</v>
      </c>
      <c r="AH4" s="17">
        <v>0</v>
      </c>
      <c r="AI4" s="15">
        <f t="shared" si="9"/>
        <v>0</v>
      </c>
      <c r="AJ4" s="17"/>
    </row>
    <row r="5" spans="1:36" hidden="1" x14ac:dyDescent="0.3">
      <c r="A5" s="15" t="s">
        <v>58</v>
      </c>
      <c r="B5" s="15">
        <v>100</v>
      </c>
      <c r="C5" s="15" t="s">
        <v>54</v>
      </c>
      <c r="D5" s="15" t="s">
        <v>55</v>
      </c>
      <c r="E5" s="15">
        <f>'24-july-2026'!T5</f>
        <v>222</v>
      </c>
      <c r="F5" s="15">
        <f>'24-july-2026'!U5</f>
        <v>233</v>
      </c>
      <c r="G5" s="15">
        <f>'24-july-2026'!V5</f>
        <v>0</v>
      </c>
      <c r="H5" s="15">
        <f t="shared" si="0"/>
        <v>455</v>
      </c>
      <c r="I5" s="17">
        <v>0</v>
      </c>
      <c r="J5" s="17">
        <v>0</v>
      </c>
      <c r="K5" s="17">
        <v>0</v>
      </c>
      <c r="L5" s="17">
        <v>160</v>
      </c>
      <c r="M5" s="17">
        <v>0</v>
      </c>
      <c r="N5" s="17">
        <v>0</v>
      </c>
      <c r="O5" s="17">
        <v>0</v>
      </c>
      <c r="P5" s="17">
        <v>60</v>
      </c>
      <c r="Q5" s="17">
        <v>0</v>
      </c>
      <c r="R5" s="17">
        <v>100</v>
      </c>
      <c r="S5" s="15">
        <f t="shared" si="1"/>
        <v>455</v>
      </c>
      <c r="T5" s="15">
        <f t="shared" si="2"/>
        <v>62</v>
      </c>
      <c r="U5" s="15">
        <f t="shared" si="3"/>
        <v>293</v>
      </c>
      <c r="V5" s="15">
        <f t="shared" si="4"/>
        <v>0</v>
      </c>
      <c r="W5" s="18" t="str">
        <f t="shared" si="5"/>
        <v/>
      </c>
      <c r="X5" s="17">
        <v>0</v>
      </c>
      <c r="Y5" s="17">
        <v>0</v>
      </c>
      <c r="Z5" s="15">
        <f t="shared" si="6"/>
        <v>0</v>
      </c>
      <c r="AA5" s="17">
        <v>0</v>
      </c>
      <c r="AB5" s="17">
        <v>0</v>
      </c>
      <c r="AC5" s="15">
        <f t="shared" si="7"/>
        <v>0</v>
      </c>
      <c r="AD5" s="17">
        <v>0</v>
      </c>
      <c r="AE5" s="17">
        <v>0</v>
      </c>
      <c r="AF5" s="15">
        <f t="shared" si="8"/>
        <v>0</v>
      </c>
      <c r="AG5" s="17">
        <v>0</v>
      </c>
      <c r="AH5" s="17">
        <v>0</v>
      </c>
      <c r="AI5" s="15">
        <f t="shared" si="9"/>
        <v>0</v>
      </c>
      <c r="AJ5" s="17"/>
    </row>
    <row r="6" spans="1:36" hidden="1" x14ac:dyDescent="0.3">
      <c r="A6" s="15" t="s">
        <v>59</v>
      </c>
      <c r="B6" s="15">
        <v>100</v>
      </c>
      <c r="C6" s="15" t="s">
        <v>54</v>
      </c>
      <c r="D6" s="15" t="s">
        <v>55</v>
      </c>
      <c r="E6" s="15">
        <f>'24-july-2026'!T6</f>
        <v>242</v>
      </c>
      <c r="F6" s="15">
        <f>'24-july-2026'!U6</f>
        <v>38</v>
      </c>
      <c r="G6" s="15">
        <f>'24-july-2026'!V6</f>
        <v>40</v>
      </c>
      <c r="H6" s="15">
        <f t="shared" si="0"/>
        <v>320</v>
      </c>
      <c r="I6" s="17">
        <v>2</v>
      </c>
      <c r="J6" s="17">
        <v>0</v>
      </c>
      <c r="K6" s="17">
        <v>0</v>
      </c>
      <c r="L6" s="17">
        <v>240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5">
        <f t="shared" si="1"/>
        <v>78</v>
      </c>
      <c r="T6" s="15">
        <f t="shared" si="2"/>
        <v>0</v>
      </c>
      <c r="U6" s="15">
        <f t="shared" si="3"/>
        <v>38</v>
      </c>
      <c r="V6" s="15">
        <f t="shared" si="4"/>
        <v>40</v>
      </c>
      <c r="W6" s="18" t="str">
        <f t="shared" si="5"/>
        <v/>
      </c>
      <c r="X6" s="17">
        <v>0</v>
      </c>
      <c r="Y6" s="17">
        <v>0</v>
      </c>
      <c r="Z6" s="15">
        <f t="shared" si="6"/>
        <v>0</v>
      </c>
      <c r="AA6" s="17">
        <v>0</v>
      </c>
      <c r="AB6" s="17">
        <v>0</v>
      </c>
      <c r="AC6" s="15">
        <f t="shared" si="7"/>
        <v>0</v>
      </c>
      <c r="AD6" s="17">
        <v>0</v>
      </c>
      <c r="AE6" s="17">
        <v>0</v>
      </c>
      <c r="AF6" s="15">
        <f t="shared" si="8"/>
        <v>0</v>
      </c>
      <c r="AG6" s="17">
        <v>0</v>
      </c>
      <c r="AH6" s="17">
        <v>0</v>
      </c>
      <c r="AI6" s="15">
        <f t="shared" si="9"/>
        <v>0</v>
      </c>
      <c r="AJ6" s="17"/>
    </row>
    <row r="7" spans="1:36" hidden="1" x14ac:dyDescent="0.3">
      <c r="A7" s="15" t="s">
        <v>60</v>
      </c>
      <c r="B7" s="15">
        <v>100</v>
      </c>
      <c r="C7" s="15" t="s">
        <v>54</v>
      </c>
      <c r="D7" s="15" t="s">
        <v>55</v>
      </c>
      <c r="E7" s="15">
        <f>'24-july-2026'!T7</f>
        <v>0</v>
      </c>
      <c r="F7" s="15">
        <f>'24-july-2026'!U7</f>
        <v>20</v>
      </c>
      <c r="G7" s="15">
        <f>'24-july-2026'!V7</f>
        <v>0</v>
      </c>
      <c r="H7" s="15">
        <f t="shared" si="0"/>
        <v>20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5">
        <f t="shared" si="1"/>
        <v>20</v>
      </c>
      <c r="T7" s="15">
        <f t="shared" si="2"/>
        <v>0</v>
      </c>
      <c r="U7" s="15">
        <f t="shared" si="3"/>
        <v>20</v>
      </c>
      <c r="V7" s="15">
        <f t="shared" si="4"/>
        <v>0</v>
      </c>
      <c r="W7" s="18" t="str">
        <f t="shared" si="5"/>
        <v/>
      </c>
      <c r="X7" s="17">
        <v>0</v>
      </c>
      <c r="Y7" s="17">
        <v>0</v>
      </c>
      <c r="Z7" s="15">
        <f t="shared" si="6"/>
        <v>0</v>
      </c>
      <c r="AA7" s="17">
        <v>0</v>
      </c>
      <c r="AB7" s="17">
        <v>0</v>
      </c>
      <c r="AC7" s="15">
        <f t="shared" si="7"/>
        <v>0</v>
      </c>
      <c r="AD7" s="17">
        <v>0</v>
      </c>
      <c r="AE7" s="17">
        <v>0</v>
      </c>
      <c r="AF7" s="15">
        <f t="shared" si="8"/>
        <v>0</v>
      </c>
      <c r="AG7" s="17">
        <v>0</v>
      </c>
      <c r="AH7" s="17">
        <v>0</v>
      </c>
      <c r="AI7" s="15">
        <f t="shared" si="9"/>
        <v>0</v>
      </c>
      <c r="AJ7" s="17"/>
    </row>
    <row r="8" spans="1:36" hidden="1" x14ac:dyDescent="0.3">
      <c r="A8" s="15" t="s">
        <v>61</v>
      </c>
      <c r="B8" s="15">
        <v>100</v>
      </c>
      <c r="C8" s="15" t="s">
        <v>54</v>
      </c>
      <c r="D8" s="15" t="s">
        <v>55</v>
      </c>
      <c r="E8" s="15">
        <f>'24-july-2026'!T8</f>
        <v>5</v>
      </c>
      <c r="F8" s="15">
        <f>'24-july-2026'!U8</f>
        <v>17</v>
      </c>
      <c r="G8" s="15">
        <f>'24-july-2026'!V8</f>
        <v>0</v>
      </c>
      <c r="H8" s="15">
        <f t="shared" si="0"/>
        <v>22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5">
        <f t="shared" si="1"/>
        <v>22</v>
      </c>
      <c r="T8" s="15">
        <f t="shared" si="2"/>
        <v>5</v>
      </c>
      <c r="U8" s="15">
        <f t="shared" si="3"/>
        <v>17</v>
      </c>
      <c r="V8" s="15">
        <f t="shared" si="4"/>
        <v>0</v>
      </c>
      <c r="W8" s="18" t="str">
        <f t="shared" si="5"/>
        <v/>
      </c>
      <c r="X8" s="17">
        <v>0</v>
      </c>
      <c r="Y8" s="17">
        <v>0</v>
      </c>
      <c r="Z8" s="15">
        <f t="shared" si="6"/>
        <v>0</v>
      </c>
      <c r="AA8" s="17">
        <v>0</v>
      </c>
      <c r="AB8" s="17">
        <v>0</v>
      </c>
      <c r="AC8" s="15">
        <f t="shared" si="7"/>
        <v>0</v>
      </c>
      <c r="AD8" s="17">
        <v>0</v>
      </c>
      <c r="AE8" s="17">
        <v>0</v>
      </c>
      <c r="AF8" s="15">
        <f t="shared" si="8"/>
        <v>0</v>
      </c>
      <c r="AG8" s="17">
        <v>0</v>
      </c>
      <c r="AH8" s="17">
        <v>0</v>
      </c>
      <c r="AI8" s="15">
        <f t="shared" si="9"/>
        <v>0</v>
      </c>
      <c r="AJ8" s="17"/>
    </row>
    <row r="9" spans="1:36" hidden="1" x14ac:dyDescent="0.3">
      <c r="A9" s="15" t="s">
        <v>62</v>
      </c>
      <c r="B9" s="15">
        <v>100</v>
      </c>
      <c r="C9" s="15" t="s">
        <v>54</v>
      </c>
      <c r="D9" s="15" t="s">
        <v>55</v>
      </c>
      <c r="E9" s="15">
        <f>'24-july-2026'!T9</f>
        <v>0</v>
      </c>
      <c r="F9" s="15">
        <f>'24-july-2026'!U9</f>
        <v>0</v>
      </c>
      <c r="G9" s="15">
        <f>'24-july-2026'!V9</f>
        <v>1</v>
      </c>
      <c r="H9" s="15">
        <f t="shared" si="0"/>
        <v>1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5">
        <f t="shared" si="1"/>
        <v>1</v>
      </c>
      <c r="T9" s="15">
        <f t="shared" si="2"/>
        <v>0</v>
      </c>
      <c r="U9" s="15">
        <f t="shared" si="3"/>
        <v>0</v>
      </c>
      <c r="V9" s="15">
        <f t="shared" si="4"/>
        <v>1</v>
      </c>
      <c r="W9" s="18" t="str">
        <f t="shared" si="5"/>
        <v/>
      </c>
      <c r="X9" s="17">
        <v>0</v>
      </c>
      <c r="Y9" s="17">
        <v>0</v>
      </c>
      <c r="Z9" s="15">
        <f t="shared" si="6"/>
        <v>0</v>
      </c>
      <c r="AA9" s="17">
        <v>0</v>
      </c>
      <c r="AB9" s="17">
        <v>0</v>
      </c>
      <c r="AC9" s="15">
        <f t="shared" si="7"/>
        <v>0</v>
      </c>
      <c r="AD9" s="17">
        <v>0</v>
      </c>
      <c r="AE9" s="17">
        <v>0</v>
      </c>
      <c r="AF9" s="15">
        <f t="shared" si="8"/>
        <v>0</v>
      </c>
      <c r="AG9" s="17">
        <v>0</v>
      </c>
      <c r="AH9" s="17">
        <v>0</v>
      </c>
      <c r="AI9" s="15">
        <f t="shared" si="9"/>
        <v>0</v>
      </c>
      <c r="AJ9" s="17"/>
    </row>
    <row r="10" spans="1:36" hidden="1" x14ac:dyDescent="0.3">
      <c r="A10" s="15" t="s">
        <v>62</v>
      </c>
      <c r="B10" s="15">
        <v>500</v>
      </c>
      <c r="C10" s="15" t="s">
        <v>54</v>
      </c>
      <c r="D10" s="15" t="s">
        <v>55</v>
      </c>
      <c r="E10" s="15">
        <f>'24-july-2026'!T10</f>
        <v>-2</v>
      </c>
      <c r="F10" s="15">
        <f>'24-july-2026'!U10</f>
        <v>0</v>
      </c>
      <c r="G10" s="15">
        <f>'24-july-2026'!V10</f>
        <v>0</v>
      </c>
      <c r="H10" s="15">
        <f t="shared" si="0"/>
        <v>-2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5">
        <f t="shared" si="1"/>
        <v>-2</v>
      </c>
      <c r="T10" s="15">
        <f t="shared" si="2"/>
        <v>-2</v>
      </c>
      <c r="U10" s="15">
        <f t="shared" si="3"/>
        <v>0</v>
      </c>
      <c r="V10" s="15">
        <f t="shared" si="4"/>
        <v>0</v>
      </c>
      <c r="W10" s="18" t="str">
        <f t="shared" si="5"/>
        <v>NEGATIVE STOCK - CHECK ENTRIES</v>
      </c>
      <c r="X10" s="17">
        <v>0</v>
      </c>
      <c r="Y10" s="17">
        <v>0</v>
      </c>
      <c r="Z10" s="15">
        <f t="shared" si="6"/>
        <v>0</v>
      </c>
      <c r="AA10" s="17">
        <v>0</v>
      </c>
      <c r="AB10" s="17">
        <v>0</v>
      </c>
      <c r="AC10" s="15">
        <f t="shared" si="7"/>
        <v>0</v>
      </c>
      <c r="AD10" s="17">
        <v>0</v>
      </c>
      <c r="AE10" s="17">
        <v>0</v>
      </c>
      <c r="AF10" s="15">
        <f t="shared" si="8"/>
        <v>0</v>
      </c>
      <c r="AG10" s="17">
        <v>0</v>
      </c>
      <c r="AH10" s="17">
        <v>0</v>
      </c>
      <c r="AI10" s="15">
        <f t="shared" si="9"/>
        <v>0</v>
      </c>
      <c r="AJ10" s="17"/>
    </row>
    <row r="11" spans="1:36" hidden="1" x14ac:dyDescent="0.3">
      <c r="A11" s="15" t="s">
        <v>63</v>
      </c>
      <c r="B11" s="15">
        <v>100</v>
      </c>
      <c r="C11" s="15" t="s">
        <v>54</v>
      </c>
      <c r="D11" s="15" t="s">
        <v>55</v>
      </c>
      <c r="E11" s="15">
        <f>'24-july-2026'!T11</f>
        <v>330</v>
      </c>
      <c r="F11" s="15">
        <f>'24-july-2026'!U11</f>
        <v>195</v>
      </c>
      <c r="G11" s="15">
        <f>'24-july-2026'!V11</f>
        <v>16</v>
      </c>
      <c r="H11" s="15">
        <f t="shared" si="0"/>
        <v>541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5">
        <f t="shared" si="1"/>
        <v>541</v>
      </c>
      <c r="T11" s="15">
        <f t="shared" si="2"/>
        <v>330</v>
      </c>
      <c r="U11" s="15">
        <f t="shared" si="3"/>
        <v>195</v>
      </c>
      <c r="V11" s="15">
        <f t="shared" si="4"/>
        <v>16</v>
      </c>
      <c r="W11" s="18" t="str">
        <f t="shared" si="5"/>
        <v/>
      </c>
      <c r="X11" s="17">
        <v>0</v>
      </c>
      <c r="Y11" s="17">
        <v>0</v>
      </c>
      <c r="Z11" s="15">
        <f t="shared" si="6"/>
        <v>0</v>
      </c>
      <c r="AA11" s="17">
        <v>0</v>
      </c>
      <c r="AB11" s="17">
        <v>0</v>
      </c>
      <c r="AC11" s="15">
        <f t="shared" si="7"/>
        <v>0</v>
      </c>
      <c r="AD11" s="17">
        <v>0</v>
      </c>
      <c r="AE11" s="17">
        <v>0</v>
      </c>
      <c r="AF11" s="15">
        <f t="shared" si="8"/>
        <v>0</v>
      </c>
      <c r="AG11" s="17">
        <v>0</v>
      </c>
      <c r="AH11" s="17">
        <v>0</v>
      </c>
      <c r="AI11" s="15">
        <f t="shared" si="9"/>
        <v>0</v>
      </c>
      <c r="AJ11" s="17"/>
    </row>
    <row r="12" spans="1:36" hidden="1" x14ac:dyDescent="0.3">
      <c r="A12" s="15" t="s">
        <v>64</v>
      </c>
      <c r="B12" s="15">
        <v>500</v>
      </c>
      <c r="C12" s="15" t="s">
        <v>54</v>
      </c>
      <c r="D12" s="15" t="s">
        <v>55</v>
      </c>
      <c r="E12" s="15">
        <f>'24-july-2026'!T12</f>
        <v>8</v>
      </c>
      <c r="F12" s="15">
        <f>'24-july-2026'!U12</f>
        <v>0</v>
      </c>
      <c r="G12" s="15">
        <f>'24-july-2026'!V12</f>
        <v>0</v>
      </c>
      <c r="H12" s="15">
        <f t="shared" si="0"/>
        <v>8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5">
        <f t="shared" si="1"/>
        <v>8</v>
      </c>
      <c r="T12" s="15">
        <f t="shared" si="2"/>
        <v>8</v>
      </c>
      <c r="U12" s="15">
        <f t="shared" si="3"/>
        <v>0</v>
      </c>
      <c r="V12" s="15">
        <f t="shared" si="4"/>
        <v>0</v>
      </c>
      <c r="W12" s="18" t="str">
        <f t="shared" si="5"/>
        <v/>
      </c>
      <c r="X12" s="17">
        <v>0</v>
      </c>
      <c r="Y12" s="17">
        <v>0</v>
      </c>
      <c r="Z12" s="15">
        <f t="shared" si="6"/>
        <v>0</v>
      </c>
      <c r="AA12" s="17">
        <v>0</v>
      </c>
      <c r="AB12" s="17">
        <v>0</v>
      </c>
      <c r="AC12" s="15">
        <f t="shared" si="7"/>
        <v>0</v>
      </c>
      <c r="AD12" s="17">
        <v>0</v>
      </c>
      <c r="AE12" s="17">
        <v>0</v>
      </c>
      <c r="AF12" s="15">
        <f t="shared" si="8"/>
        <v>0</v>
      </c>
      <c r="AG12" s="17">
        <v>0</v>
      </c>
      <c r="AH12" s="17">
        <v>0</v>
      </c>
      <c r="AI12" s="15">
        <f t="shared" si="9"/>
        <v>0</v>
      </c>
      <c r="AJ12" s="17"/>
    </row>
    <row r="13" spans="1:36" hidden="1" x14ac:dyDescent="0.3">
      <c r="A13" s="15" t="s">
        <v>65</v>
      </c>
      <c r="B13" s="15">
        <v>100</v>
      </c>
      <c r="C13" s="15" t="s">
        <v>54</v>
      </c>
      <c r="D13" s="15" t="s">
        <v>55</v>
      </c>
      <c r="E13" s="15">
        <f>'24-july-2026'!T13</f>
        <v>6083</v>
      </c>
      <c r="F13" s="15">
        <f>'24-july-2026'!U13</f>
        <v>481</v>
      </c>
      <c r="G13" s="15">
        <f>'24-july-2026'!V13</f>
        <v>127</v>
      </c>
      <c r="H13" s="15">
        <f t="shared" si="0"/>
        <v>6691</v>
      </c>
      <c r="I13" s="17">
        <v>0</v>
      </c>
      <c r="J13" s="17">
        <v>93</v>
      </c>
      <c r="K13" s="17">
        <v>0</v>
      </c>
      <c r="L13" s="17">
        <v>1250</v>
      </c>
      <c r="M13" s="17">
        <v>157</v>
      </c>
      <c r="N13" s="17">
        <v>0</v>
      </c>
      <c r="O13" s="17">
        <v>0</v>
      </c>
      <c r="P13" s="17">
        <v>500</v>
      </c>
      <c r="Q13" s="17">
        <v>237</v>
      </c>
      <c r="R13" s="17">
        <v>400</v>
      </c>
      <c r="S13" s="15">
        <f t="shared" si="1"/>
        <v>6328</v>
      </c>
      <c r="T13" s="15">
        <f t="shared" si="2"/>
        <v>4833</v>
      </c>
      <c r="U13" s="15">
        <f t="shared" si="3"/>
        <v>731</v>
      </c>
      <c r="V13" s="15">
        <f t="shared" si="4"/>
        <v>364</v>
      </c>
      <c r="W13" s="18" t="str">
        <f t="shared" si="5"/>
        <v/>
      </c>
      <c r="X13" s="17">
        <v>0</v>
      </c>
      <c r="Y13" s="17">
        <v>0</v>
      </c>
      <c r="Z13" s="15">
        <f t="shared" si="6"/>
        <v>0</v>
      </c>
      <c r="AA13" s="17">
        <v>0</v>
      </c>
      <c r="AB13" s="17">
        <v>0</v>
      </c>
      <c r="AC13" s="15">
        <f t="shared" si="7"/>
        <v>0</v>
      </c>
      <c r="AD13" s="17">
        <v>0</v>
      </c>
      <c r="AE13" s="17">
        <v>0</v>
      </c>
      <c r="AF13" s="15">
        <f t="shared" si="8"/>
        <v>0</v>
      </c>
      <c r="AG13" s="17">
        <v>0</v>
      </c>
      <c r="AH13" s="17">
        <v>0</v>
      </c>
      <c r="AI13" s="15">
        <f t="shared" si="9"/>
        <v>0</v>
      </c>
      <c r="AJ13" s="17"/>
    </row>
    <row r="14" spans="1:36" hidden="1" x14ac:dyDescent="0.3">
      <c r="A14" s="15" t="s">
        <v>65</v>
      </c>
      <c r="B14" s="15">
        <v>500</v>
      </c>
      <c r="C14" s="15" t="s">
        <v>54</v>
      </c>
      <c r="D14" s="15" t="s">
        <v>55</v>
      </c>
      <c r="E14" s="15">
        <f>'24-july-2026'!T14</f>
        <v>1</v>
      </c>
      <c r="F14" s="15">
        <f>'24-july-2026'!U14</f>
        <v>0</v>
      </c>
      <c r="G14" s="15">
        <f>'24-july-2026'!V14</f>
        <v>21</v>
      </c>
      <c r="H14" s="15">
        <f t="shared" si="0"/>
        <v>22</v>
      </c>
      <c r="I14" s="17">
        <v>0</v>
      </c>
      <c r="J14" s="17">
        <v>0</v>
      </c>
      <c r="K14" s="17">
        <v>0</v>
      </c>
      <c r="L14" s="17">
        <v>1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5">
        <f t="shared" si="1"/>
        <v>21</v>
      </c>
      <c r="T14" s="15">
        <f t="shared" si="2"/>
        <v>0</v>
      </c>
      <c r="U14" s="15">
        <f t="shared" si="3"/>
        <v>0</v>
      </c>
      <c r="V14" s="15">
        <f t="shared" si="4"/>
        <v>21</v>
      </c>
      <c r="W14" s="18" t="str">
        <f t="shared" si="5"/>
        <v/>
      </c>
      <c r="X14" s="17">
        <v>0</v>
      </c>
      <c r="Y14" s="17">
        <v>0</v>
      </c>
      <c r="Z14" s="15">
        <f t="shared" si="6"/>
        <v>0</v>
      </c>
      <c r="AA14" s="17">
        <v>0</v>
      </c>
      <c r="AB14" s="17">
        <v>0</v>
      </c>
      <c r="AC14" s="15">
        <f t="shared" si="7"/>
        <v>0</v>
      </c>
      <c r="AD14" s="17">
        <v>0</v>
      </c>
      <c r="AE14" s="17">
        <v>0</v>
      </c>
      <c r="AF14" s="15">
        <f t="shared" si="8"/>
        <v>0</v>
      </c>
      <c r="AG14" s="17">
        <v>0</v>
      </c>
      <c r="AH14" s="17">
        <v>0</v>
      </c>
      <c r="AI14" s="15">
        <f t="shared" si="9"/>
        <v>0</v>
      </c>
      <c r="AJ14" s="17"/>
    </row>
    <row r="15" spans="1:36" hidden="1" x14ac:dyDescent="0.3">
      <c r="A15" s="15" t="s">
        <v>66</v>
      </c>
      <c r="B15" s="15">
        <v>100</v>
      </c>
      <c r="C15" s="15" t="s">
        <v>54</v>
      </c>
      <c r="D15" s="15" t="s">
        <v>55</v>
      </c>
      <c r="E15" s="15">
        <f>'24-july-2026'!T15</f>
        <v>58</v>
      </c>
      <c r="F15" s="15">
        <f>'24-july-2026'!U15</f>
        <v>41</v>
      </c>
      <c r="G15" s="15">
        <f>'24-july-2026'!V15</f>
        <v>14</v>
      </c>
      <c r="H15" s="15">
        <f t="shared" si="0"/>
        <v>113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5">
        <f t="shared" si="1"/>
        <v>113</v>
      </c>
      <c r="T15" s="15">
        <f t="shared" si="2"/>
        <v>58</v>
      </c>
      <c r="U15" s="15">
        <f t="shared" si="3"/>
        <v>41</v>
      </c>
      <c r="V15" s="15">
        <f t="shared" si="4"/>
        <v>14</v>
      </c>
      <c r="W15" s="18" t="str">
        <f t="shared" si="5"/>
        <v/>
      </c>
      <c r="X15" s="17">
        <v>0</v>
      </c>
      <c r="Y15" s="17">
        <v>0</v>
      </c>
      <c r="Z15" s="15">
        <f t="shared" si="6"/>
        <v>0</v>
      </c>
      <c r="AA15" s="17">
        <v>0</v>
      </c>
      <c r="AB15" s="17">
        <v>0</v>
      </c>
      <c r="AC15" s="15">
        <f t="shared" si="7"/>
        <v>0</v>
      </c>
      <c r="AD15" s="17">
        <v>0</v>
      </c>
      <c r="AE15" s="17">
        <v>0</v>
      </c>
      <c r="AF15" s="15">
        <f t="shared" si="8"/>
        <v>0</v>
      </c>
      <c r="AG15" s="17">
        <v>0</v>
      </c>
      <c r="AH15" s="17">
        <v>0</v>
      </c>
      <c r="AI15" s="15">
        <f t="shared" si="9"/>
        <v>0</v>
      </c>
      <c r="AJ15" s="17"/>
    </row>
    <row r="16" spans="1:36" hidden="1" x14ac:dyDescent="0.3">
      <c r="A16" s="15" t="s">
        <v>66</v>
      </c>
      <c r="B16" s="15">
        <v>1000</v>
      </c>
      <c r="C16" s="15" t="s">
        <v>54</v>
      </c>
      <c r="D16" s="15" t="s">
        <v>55</v>
      </c>
      <c r="E16" s="15">
        <f>'24-july-2026'!T16</f>
        <v>1</v>
      </c>
      <c r="F16" s="15">
        <f>'24-july-2026'!U16</f>
        <v>0</v>
      </c>
      <c r="G16" s="15">
        <f>'24-july-2026'!V16</f>
        <v>0</v>
      </c>
      <c r="H16" s="15">
        <f t="shared" si="0"/>
        <v>1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5">
        <f t="shared" si="1"/>
        <v>1</v>
      </c>
      <c r="T16" s="15">
        <f t="shared" si="2"/>
        <v>1</v>
      </c>
      <c r="U16" s="15">
        <f t="shared" si="3"/>
        <v>0</v>
      </c>
      <c r="V16" s="15">
        <f t="shared" si="4"/>
        <v>0</v>
      </c>
      <c r="W16" s="18" t="str">
        <f t="shared" si="5"/>
        <v/>
      </c>
      <c r="X16" s="17">
        <v>0</v>
      </c>
      <c r="Y16" s="17">
        <v>0</v>
      </c>
      <c r="Z16" s="15">
        <f t="shared" si="6"/>
        <v>0</v>
      </c>
      <c r="AA16" s="17">
        <v>0</v>
      </c>
      <c r="AB16" s="17">
        <v>0</v>
      </c>
      <c r="AC16" s="15">
        <f t="shared" si="7"/>
        <v>0</v>
      </c>
      <c r="AD16" s="17">
        <v>0</v>
      </c>
      <c r="AE16" s="17">
        <v>0</v>
      </c>
      <c r="AF16" s="15">
        <f t="shared" si="8"/>
        <v>0</v>
      </c>
      <c r="AG16" s="17">
        <v>0</v>
      </c>
      <c r="AH16" s="17">
        <v>0</v>
      </c>
      <c r="AI16" s="15">
        <f t="shared" si="9"/>
        <v>0</v>
      </c>
      <c r="AJ16" s="17"/>
    </row>
    <row r="17" spans="1:36" x14ac:dyDescent="0.3">
      <c r="A17" s="15" t="s">
        <v>67</v>
      </c>
      <c r="B17" s="15">
        <v>1000</v>
      </c>
      <c r="C17" s="15" t="s">
        <v>54</v>
      </c>
      <c r="D17" s="15" t="s">
        <v>68</v>
      </c>
      <c r="E17" s="15">
        <f>'24-july-2026'!T17</f>
        <v>3</v>
      </c>
      <c r="F17" s="15">
        <f>'24-july-2026'!U17</f>
        <v>0</v>
      </c>
      <c r="G17" s="15">
        <f>'24-july-2026'!V17</f>
        <v>0</v>
      </c>
      <c r="H17" s="15">
        <f t="shared" si="0"/>
        <v>3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5">
        <f t="shared" si="1"/>
        <v>3</v>
      </c>
      <c r="T17" s="15">
        <f t="shared" si="2"/>
        <v>3</v>
      </c>
      <c r="U17" s="15">
        <f t="shared" si="3"/>
        <v>0</v>
      </c>
      <c r="V17" s="15">
        <f t="shared" si="4"/>
        <v>0</v>
      </c>
      <c r="W17" s="18" t="str">
        <f t="shared" si="5"/>
        <v/>
      </c>
      <c r="X17" s="17">
        <v>0</v>
      </c>
      <c r="Y17" s="17">
        <v>0</v>
      </c>
      <c r="Z17" s="15">
        <f t="shared" si="6"/>
        <v>0</v>
      </c>
      <c r="AA17" s="17">
        <v>0</v>
      </c>
      <c r="AB17" s="17">
        <v>0</v>
      </c>
      <c r="AC17" s="15">
        <f t="shared" si="7"/>
        <v>0</v>
      </c>
      <c r="AD17" s="17">
        <v>0</v>
      </c>
      <c r="AE17" s="17">
        <v>0</v>
      </c>
      <c r="AF17" s="15">
        <f t="shared" si="8"/>
        <v>0</v>
      </c>
      <c r="AG17" s="17">
        <v>0</v>
      </c>
      <c r="AH17" s="17">
        <v>0</v>
      </c>
      <c r="AI17" s="15">
        <f t="shared" si="9"/>
        <v>0</v>
      </c>
      <c r="AJ17" s="17"/>
    </row>
    <row r="18" spans="1:36" x14ac:dyDescent="0.3">
      <c r="A18" s="15" t="s">
        <v>69</v>
      </c>
      <c r="B18" s="15">
        <v>100000</v>
      </c>
      <c r="C18" s="15" t="s">
        <v>54</v>
      </c>
      <c r="D18" s="15" t="s">
        <v>68</v>
      </c>
      <c r="E18" s="15">
        <f>'24-july-2026'!T18</f>
        <v>2</v>
      </c>
      <c r="F18" s="15">
        <f>'24-july-2026'!U18</f>
        <v>0</v>
      </c>
      <c r="G18" s="15">
        <f>'24-july-2026'!V18</f>
        <v>0</v>
      </c>
      <c r="H18" s="15">
        <f t="shared" si="0"/>
        <v>2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5">
        <f t="shared" si="1"/>
        <v>2</v>
      </c>
      <c r="T18" s="15">
        <f t="shared" si="2"/>
        <v>2</v>
      </c>
      <c r="U18" s="15">
        <f t="shared" si="3"/>
        <v>0</v>
      </c>
      <c r="V18" s="15">
        <f t="shared" si="4"/>
        <v>0</v>
      </c>
      <c r="W18" s="18" t="str">
        <f t="shared" si="5"/>
        <v/>
      </c>
      <c r="X18" s="17">
        <v>0</v>
      </c>
      <c r="Y18" s="17">
        <v>0</v>
      </c>
      <c r="Z18" s="15">
        <f t="shared" si="6"/>
        <v>0</v>
      </c>
      <c r="AA18" s="17">
        <v>0</v>
      </c>
      <c r="AB18" s="17">
        <v>0</v>
      </c>
      <c r="AC18" s="15">
        <f t="shared" si="7"/>
        <v>0</v>
      </c>
      <c r="AD18" s="17">
        <v>0</v>
      </c>
      <c r="AE18" s="17">
        <v>0</v>
      </c>
      <c r="AF18" s="15">
        <f t="shared" si="8"/>
        <v>0</v>
      </c>
      <c r="AG18" s="17">
        <v>0</v>
      </c>
      <c r="AH18" s="17">
        <v>0</v>
      </c>
      <c r="AI18" s="15">
        <f t="shared" si="9"/>
        <v>0</v>
      </c>
      <c r="AJ18" s="17"/>
    </row>
    <row r="19" spans="1:36" hidden="1" x14ac:dyDescent="0.3">
      <c r="A19" s="15" t="s">
        <v>70</v>
      </c>
      <c r="B19" s="15">
        <v>1000</v>
      </c>
      <c r="C19" s="15" t="s">
        <v>54</v>
      </c>
      <c r="D19" s="15" t="s">
        <v>55</v>
      </c>
      <c r="E19" s="15">
        <f>'24-july-2026'!T19</f>
        <v>8</v>
      </c>
      <c r="F19" s="15">
        <f>'24-july-2026'!U19</f>
        <v>0</v>
      </c>
      <c r="G19" s="15">
        <f>'24-july-2026'!V19</f>
        <v>0</v>
      </c>
      <c r="H19" s="15">
        <f t="shared" si="0"/>
        <v>8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5">
        <f t="shared" si="1"/>
        <v>8</v>
      </c>
      <c r="T19" s="15">
        <f t="shared" si="2"/>
        <v>8</v>
      </c>
      <c r="U19" s="15">
        <f t="shared" si="3"/>
        <v>0</v>
      </c>
      <c r="V19" s="15">
        <f t="shared" si="4"/>
        <v>0</v>
      </c>
      <c r="W19" s="18" t="str">
        <f t="shared" si="5"/>
        <v/>
      </c>
      <c r="X19" s="17">
        <v>0</v>
      </c>
      <c r="Y19" s="17">
        <v>0</v>
      </c>
      <c r="Z19" s="15">
        <f t="shared" si="6"/>
        <v>0</v>
      </c>
      <c r="AA19" s="17">
        <v>0</v>
      </c>
      <c r="AB19" s="17">
        <v>0</v>
      </c>
      <c r="AC19" s="15">
        <f t="shared" si="7"/>
        <v>0</v>
      </c>
      <c r="AD19" s="17">
        <v>0</v>
      </c>
      <c r="AE19" s="17">
        <v>0</v>
      </c>
      <c r="AF19" s="15">
        <f t="shared" si="8"/>
        <v>0</v>
      </c>
      <c r="AG19" s="17">
        <v>0</v>
      </c>
      <c r="AH19" s="17">
        <v>0</v>
      </c>
      <c r="AI19" s="15">
        <f t="shared" si="9"/>
        <v>0</v>
      </c>
      <c r="AJ19" s="17"/>
    </row>
    <row r="20" spans="1:36" x14ac:dyDescent="0.3">
      <c r="A20" s="15" t="s">
        <v>70</v>
      </c>
      <c r="B20" s="15">
        <v>1000</v>
      </c>
      <c r="C20" s="15" t="s">
        <v>54</v>
      </c>
      <c r="D20" s="15" t="s">
        <v>57</v>
      </c>
      <c r="E20" s="15">
        <f>'24-july-2026'!T20</f>
        <v>1</v>
      </c>
      <c r="F20" s="15">
        <f>'24-july-2026'!U20</f>
        <v>0</v>
      </c>
      <c r="G20" s="15">
        <f>'24-july-2026'!V20</f>
        <v>0</v>
      </c>
      <c r="H20" s="15">
        <f t="shared" si="0"/>
        <v>1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5">
        <f t="shared" si="1"/>
        <v>1</v>
      </c>
      <c r="T20" s="15">
        <f t="shared" si="2"/>
        <v>1</v>
      </c>
      <c r="U20" s="15">
        <f t="shared" si="3"/>
        <v>0</v>
      </c>
      <c r="V20" s="15">
        <f t="shared" si="4"/>
        <v>0</v>
      </c>
      <c r="W20" s="18" t="str">
        <f t="shared" si="5"/>
        <v/>
      </c>
      <c r="X20" s="17">
        <v>0</v>
      </c>
      <c r="Y20" s="17">
        <v>0</v>
      </c>
      <c r="Z20" s="15">
        <f t="shared" si="6"/>
        <v>0</v>
      </c>
      <c r="AA20" s="17">
        <v>0</v>
      </c>
      <c r="AB20" s="17">
        <v>0</v>
      </c>
      <c r="AC20" s="15">
        <f t="shared" si="7"/>
        <v>0</v>
      </c>
      <c r="AD20" s="17">
        <v>0</v>
      </c>
      <c r="AE20" s="17">
        <v>0</v>
      </c>
      <c r="AF20" s="15">
        <f t="shared" si="8"/>
        <v>0</v>
      </c>
      <c r="AG20" s="17">
        <v>0</v>
      </c>
      <c r="AH20" s="17">
        <v>0</v>
      </c>
      <c r="AI20" s="15">
        <f t="shared" si="9"/>
        <v>0</v>
      </c>
      <c r="AJ20" s="17"/>
    </row>
    <row r="21" spans="1:36" hidden="1" x14ac:dyDescent="0.3">
      <c r="A21" s="15" t="s">
        <v>71</v>
      </c>
      <c r="B21" s="15">
        <v>100</v>
      </c>
      <c r="C21" s="15" t="s">
        <v>54</v>
      </c>
      <c r="D21" s="15" t="s">
        <v>55</v>
      </c>
      <c r="E21" s="15">
        <f>'24-july-2026'!T21</f>
        <v>4</v>
      </c>
      <c r="F21" s="15">
        <f>'24-july-2026'!U21</f>
        <v>0</v>
      </c>
      <c r="G21" s="15">
        <f>'24-july-2026'!V21</f>
        <v>0</v>
      </c>
      <c r="H21" s="15">
        <f t="shared" si="0"/>
        <v>4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5">
        <f t="shared" si="1"/>
        <v>4</v>
      </c>
      <c r="T21" s="15">
        <f t="shared" si="2"/>
        <v>4</v>
      </c>
      <c r="U21" s="15">
        <f t="shared" si="3"/>
        <v>0</v>
      </c>
      <c r="V21" s="15">
        <f t="shared" si="4"/>
        <v>0</v>
      </c>
      <c r="W21" s="18" t="str">
        <f t="shared" si="5"/>
        <v/>
      </c>
      <c r="X21" s="17">
        <v>0</v>
      </c>
      <c r="Y21" s="17">
        <v>0</v>
      </c>
      <c r="Z21" s="15">
        <f t="shared" si="6"/>
        <v>0</v>
      </c>
      <c r="AA21" s="17">
        <v>0</v>
      </c>
      <c r="AB21" s="17">
        <v>0</v>
      </c>
      <c r="AC21" s="15">
        <f t="shared" si="7"/>
        <v>0</v>
      </c>
      <c r="AD21" s="17">
        <v>0</v>
      </c>
      <c r="AE21" s="17">
        <v>0</v>
      </c>
      <c r="AF21" s="15">
        <f t="shared" si="8"/>
        <v>0</v>
      </c>
      <c r="AG21" s="17">
        <v>0</v>
      </c>
      <c r="AH21" s="17">
        <v>0</v>
      </c>
      <c r="AI21" s="15">
        <f t="shared" si="9"/>
        <v>0</v>
      </c>
      <c r="AJ21" s="17"/>
    </row>
    <row r="22" spans="1:36" hidden="1" x14ac:dyDescent="0.3">
      <c r="A22" s="15" t="s">
        <v>71</v>
      </c>
      <c r="B22" s="15">
        <v>1000</v>
      </c>
      <c r="C22" s="15" t="s">
        <v>54</v>
      </c>
      <c r="D22" s="15" t="s">
        <v>55</v>
      </c>
      <c r="E22" s="15">
        <f>'24-july-2026'!T22</f>
        <v>8</v>
      </c>
      <c r="F22" s="15">
        <f>'24-july-2026'!U22</f>
        <v>0</v>
      </c>
      <c r="G22" s="15">
        <f>'24-july-2026'!V22</f>
        <v>0</v>
      </c>
      <c r="H22" s="15">
        <f t="shared" si="0"/>
        <v>8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5">
        <f t="shared" si="1"/>
        <v>8</v>
      </c>
      <c r="T22" s="15">
        <f t="shared" si="2"/>
        <v>8</v>
      </c>
      <c r="U22" s="15">
        <f t="shared" si="3"/>
        <v>0</v>
      </c>
      <c r="V22" s="15">
        <f t="shared" si="4"/>
        <v>0</v>
      </c>
      <c r="W22" s="18" t="str">
        <f t="shared" si="5"/>
        <v/>
      </c>
      <c r="X22" s="17">
        <v>0</v>
      </c>
      <c r="Y22" s="17">
        <v>0</v>
      </c>
      <c r="Z22" s="15">
        <f t="shared" si="6"/>
        <v>0</v>
      </c>
      <c r="AA22" s="17">
        <v>0</v>
      </c>
      <c r="AB22" s="17">
        <v>0</v>
      </c>
      <c r="AC22" s="15">
        <f t="shared" si="7"/>
        <v>0</v>
      </c>
      <c r="AD22" s="17">
        <v>0</v>
      </c>
      <c r="AE22" s="17">
        <v>0</v>
      </c>
      <c r="AF22" s="15">
        <f t="shared" si="8"/>
        <v>0</v>
      </c>
      <c r="AG22" s="17">
        <v>0</v>
      </c>
      <c r="AH22" s="17">
        <v>0</v>
      </c>
      <c r="AI22" s="15">
        <f t="shared" si="9"/>
        <v>0</v>
      </c>
      <c r="AJ22" s="17"/>
    </row>
    <row r="23" spans="1:36" x14ac:dyDescent="0.3">
      <c r="A23" s="15" t="s">
        <v>72</v>
      </c>
      <c r="B23" s="15">
        <v>100</v>
      </c>
      <c r="C23" s="15" t="s">
        <v>54</v>
      </c>
      <c r="D23" s="15" t="s">
        <v>57</v>
      </c>
      <c r="E23" s="15">
        <f>'24-july-2026'!T23</f>
        <v>20</v>
      </c>
      <c r="F23" s="15">
        <f>'24-july-2026'!U23</f>
        <v>0</v>
      </c>
      <c r="G23" s="15">
        <f>'24-july-2026'!V23</f>
        <v>0</v>
      </c>
      <c r="H23" s="15">
        <f t="shared" si="0"/>
        <v>20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5">
        <f t="shared" si="1"/>
        <v>20</v>
      </c>
      <c r="T23" s="15">
        <f t="shared" si="2"/>
        <v>20</v>
      </c>
      <c r="U23" s="15">
        <f t="shared" si="3"/>
        <v>0</v>
      </c>
      <c r="V23" s="15">
        <f t="shared" si="4"/>
        <v>0</v>
      </c>
      <c r="W23" s="18" t="str">
        <f t="shared" si="5"/>
        <v/>
      </c>
      <c r="X23" s="17">
        <v>0</v>
      </c>
      <c r="Y23" s="17">
        <v>0</v>
      </c>
      <c r="Z23" s="15">
        <f t="shared" si="6"/>
        <v>0</v>
      </c>
      <c r="AA23" s="17">
        <v>0</v>
      </c>
      <c r="AB23" s="17">
        <v>0</v>
      </c>
      <c r="AC23" s="15">
        <f t="shared" si="7"/>
        <v>0</v>
      </c>
      <c r="AD23" s="17">
        <v>0</v>
      </c>
      <c r="AE23" s="17">
        <v>0</v>
      </c>
      <c r="AF23" s="15">
        <f t="shared" si="8"/>
        <v>0</v>
      </c>
      <c r="AG23" s="17">
        <v>0</v>
      </c>
      <c r="AH23" s="17">
        <v>0</v>
      </c>
      <c r="AI23" s="15">
        <f t="shared" si="9"/>
        <v>0</v>
      </c>
      <c r="AJ23" s="17"/>
    </row>
    <row r="24" spans="1:36" x14ac:dyDescent="0.3">
      <c r="A24" s="15" t="s">
        <v>72</v>
      </c>
      <c r="B24" s="15">
        <v>500</v>
      </c>
      <c r="C24" s="15" t="s">
        <v>54</v>
      </c>
      <c r="D24" s="15" t="s">
        <v>57</v>
      </c>
      <c r="E24" s="15">
        <f>'24-july-2026'!T24</f>
        <v>2</v>
      </c>
      <c r="F24" s="15">
        <f>'24-july-2026'!U24</f>
        <v>0</v>
      </c>
      <c r="G24" s="15">
        <f>'24-july-2026'!V24</f>
        <v>0</v>
      </c>
      <c r="H24" s="15">
        <f t="shared" si="0"/>
        <v>2</v>
      </c>
      <c r="I24" s="17">
        <v>0</v>
      </c>
      <c r="J24" s="17">
        <v>0</v>
      </c>
      <c r="K24" s="17">
        <v>0</v>
      </c>
      <c r="L24" s="17">
        <v>2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5">
        <f t="shared" si="1"/>
        <v>0</v>
      </c>
      <c r="T24" s="15">
        <f t="shared" si="2"/>
        <v>0</v>
      </c>
      <c r="U24" s="15">
        <f t="shared" si="3"/>
        <v>0</v>
      </c>
      <c r="V24" s="15">
        <f t="shared" si="4"/>
        <v>0</v>
      </c>
      <c r="W24" s="18" t="str">
        <f t="shared" si="5"/>
        <v/>
      </c>
      <c r="X24" s="17">
        <v>0</v>
      </c>
      <c r="Y24" s="17">
        <v>0</v>
      </c>
      <c r="Z24" s="15">
        <f t="shared" si="6"/>
        <v>0</v>
      </c>
      <c r="AA24" s="17">
        <v>0</v>
      </c>
      <c r="AB24" s="17">
        <v>0</v>
      </c>
      <c r="AC24" s="15">
        <f t="shared" si="7"/>
        <v>0</v>
      </c>
      <c r="AD24" s="17">
        <v>0</v>
      </c>
      <c r="AE24" s="17">
        <v>0</v>
      </c>
      <c r="AF24" s="15">
        <f t="shared" si="8"/>
        <v>0</v>
      </c>
      <c r="AG24" s="17">
        <v>0</v>
      </c>
      <c r="AH24" s="17">
        <v>0</v>
      </c>
      <c r="AI24" s="15">
        <f t="shared" si="9"/>
        <v>0</v>
      </c>
      <c r="AJ24" s="17"/>
    </row>
    <row r="25" spans="1:36" hidden="1" x14ac:dyDescent="0.3">
      <c r="A25" s="15" t="s">
        <v>73</v>
      </c>
      <c r="B25" s="15">
        <v>100</v>
      </c>
      <c r="C25" s="15" t="s">
        <v>54</v>
      </c>
      <c r="D25" s="15" t="s">
        <v>55</v>
      </c>
      <c r="E25" s="15">
        <f>'24-july-2026'!T25</f>
        <v>1</v>
      </c>
      <c r="F25" s="15">
        <f>'24-july-2026'!U25</f>
        <v>141</v>
      </c>
      <c r="G25" s="15">
        <f>'24-july-2026'!V25</f>
        <v>0</v>
      </c>
      <c r="H25" s="15">
        <f t="shared" si="0"/>
        <v>142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5">
        <f t="shared" si="1"/>
        <v>142</v>
      </c>
      <c r="T25" s="15">
        <f t="shared" si="2"/>
        <v>1</v>
      </c>
      <c r="U25" s="15">
        <f t="shared" si="3"/>
        <v>141</v>
      </c>
      <c r="V25" s="15">
        <f t="shared" si="4"/>
        <v>0</v>
      </c>
      <c r="W25" s="18" t="str">
        <f t="shared" si="5"/>
        <v/>
      </c>
      <c r="X25" s="17">
        <v>0</v>
      </c>
      <c r="Y25" s="17">
        <v>0</v>
      </c>
      <c r="Z25" s="15">
        <f t="shared" si="6"/>
        <v>0</v>
      </c>
      <c r="AA25" s="17">
        <v>0</v>
      </c>
      <c r="AB25" s="17">
        <v>0</v>
      </c>
      <c r="AC25" s="15">
        <f t="shared" si="7"/>
        <v>0</v>
      </c>
      <c r="AD25" s="17">
        <v>0</v>
      </c>
      <c r="AE25" s="17">
        <v>0</v>
      </c>
      <c r="AF25" s="15">
        <f t="shared" si="8"/>
        <v>0</v>
      </c>
      <c r="AG25" s="17">
        <v>0</v>
      </c>
      <c r="AH25" s="17">
        <v>0</v>
      </c>
      <c r="AI25" s="15">
        <f t="shared" si="9"/>
        <v>0</v>
      </c>
      <c r="AJ25" s="17"/>
    </row>
    <row r="26" spans="1:36" hidden="1" x14ac:dyDescent="0.3">
      <c r="A26" s="15" t="s">
        <v>74</v>
      </c>
      <c r="B26" s="15">
        <v>100</v>
      </c>
      <c r="C26" s="15" t="s">
        <v>54</v>
      </c>
      <c r="D26" s="15" t="s">
        <v>55</v>
      </c>
      <c r="E26" s="15">
        <f>'24-july-2026'!T26</f>
        <v>90</v>
      </c>
      <c r="F26" s="15">
        <f>'24-july-2026'!U26</f>
        <v>18</v>
      </c>
      <c r="G26" s="15">
        <f>'24-july-2026'!V26</f>
        <v>3</v>
      </c>
      <c r="H26" s="15">
        <f t="shared" si="0"/>
        <v>111</v>
      </c>
      <c r="I26" s="17">
        <v>1</v>
      </c>
      <c r="J26" s="17">
        <v>0</v>
      </c>
      <c r="K26" s="17">
        <v>0</v>
      </c>
      <c r="L26" s="17">
        <v>10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5">
        <f t="shared" si="1"/>
        <v>100</v>
      </c>
      <c r="T26" s="15">
        <f t="shared" si="2"/>
        <v>79</v>
      </c>
      <c r="U26" s="15">
        <f t="shared" si="3"/>
        <v>18</v>
      </c>
      <c r="V26" s="15">
        <f t="shared" si="4"/>
        <v>3</v>
      </c>
      <c r="W26" s="18" t="str">
        <f t="shared" si="5"/>
        <v/>
      </c>
      <c r="X26" s="17">
        <v>0</v>
      </c>
      <c r="Y26" s="17">
        <v>0</v>
      </c>
      <c r="Z26" s="15">
        <f t="shared" si="6"/>
        <v>0</v>
      </c>
      <c r="AA26" s="17">
        <v>0</v>
      </c>
      <c r="AB26" s="17">
        <v>0</v>
      </c>
      <c r="AC26" s="15">
        <f t="shared" si="7"/>
        <v>0</v>
      </c>
      <c r="AD26" s="17">
        <v>0</v>
      </c>
      <c r="AE26" s="17">
        <v>0</v>
      </c>
      <c r="AF26" s="15">
        <f t="shared" si="8"/>
        <v>0</v>
      </c>
      <c r="AG26" s="17">
        <v>0</v>
      </c>
      <c r="AH26" s="17">
        <v>0</v>
      </c>
      <c r="AI26" s="15">
        <f t="shared" si="9"/>
        <v>0</v>
      </c>
      <c r="AJ26" s="17"/>
    </row>
    <row r="27" spans="1:36" x14ac:dyDescent="0.3">
      <c r="A27" s="15" t="s">
        <v>75</v>
      </c>
      <c r="B27" s="15">
        <v>1000</v>
      </c>
      <c r="C27" s="15" t="s">
        <v>54</v>
      </c>
      <c r="D27" s="15" t="s">
        <v>68</v>
      </c>
      <c r="E27" s="15">
        <f>'24-july-2026'!T27</f>
        <v>2</v>
      </c>
      <c r="F27" s="15">
        <f>'24-july-2026'!U27</f>
        <v>0</v>
      </c>
      <c r="G27" s="15">
        <f>'24-july-2026'!V27</f>
        <v>0</v>
      </c>
      <c r="H27" s="15">
        <f t="shared" si="0"/>
        <v>2</v>
      </c>
      <c r="I27" s="17">
        <v>1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5">
        <f t="shared" si="1"/>
        <v>1</v>
      </c>
      <c r="T27" s="15">
        <f t="shared" si="2"/>
        <v>1</v>
      </c>
      <c r="U27" s="15">
        <f t="shared" si="3"/>
        <v>0</v>
      </c>
      <c r="V27" s="15">
        <f t="shared" si="4"/>
        <v>0</v>
      </c>
      <c r="W27" s="18" t="str">
        <f t="shared" si="5"/>
        <v/>
      </c>
      <c r="X27" s="17">
        <v>0</v>
      </c>
      <c r="Y27" s="17">
        <v>0</v>
      </c>
      <c r="Z27" s="15">
        <f t="shared" si="6"/>
        <v>0</v>
      </c>
      <c r="AA27" s="17">
        <v>0</v>
      </c>
      <c r="AB27" s="17">
        <v>0</v>
      </c>
      <c r="AC27" s="15">
        <f t="shared" si="7"/>
        <v>0</v>
      </c>
      <c r="AD27" s="17">
        <v>0</v>
      </c>
      <c r="AE27" s="17">
        <v>0</v>
      </c>
      <c r="AF27" s="15">
        <f t="shared" si="8"/>
        <v>0</v>
      </c>
      <c r="AG27" s="17">
        <v>0</v>
      </c>
      <c r="AH27" s="17">
        <v>0</v>
      </c>
      <c r="AI27" s="15">
        <f t="shared" si="9"/>
        <v>0</v>
      </c>
      <c r="AJ27" s="17"/>
    </row>
    <row r="28" spans="1:36" x14ac:dyDescent="0.3">
      <c r="A28" s="15" t="s">
        <v>76</v>
      </c>
      <c r="B28" s="15">
        <v>100</v>
      </c>
      <c r="C28" s="15" t="s">
        <v>54</v>
      </c>
      <c r="D28" s="15" t="s">
        <v>68</v>
      </c>
      <c r="E28" s="15">
        <f>'24-july-2026'!T28</f>
        <v>6</v>
      </c>
      <c r="F28" s="15">
        <f>'24-july-2026'!U28</f>
        <v>0</v>
      </c>
      <c r="G28" s="15">
        <f>'24-july-2026'!V28</f>
        <v>0</v>
      </c>
      <c r="H28" s="15">
        <f t="shared" si="0"/>
        <v>6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5">
        <f t="shared" si="1"/>
        <v>6</v>
      </c>
      <c r="T28" s="15">
        <f t="shared" si="2"/>
        <v>6</v>
      </c>
      <c r="U28" s="15">
        <f t="shared" si="3"/>
        <v>0</v>
      </c>
      <c r="V28" s="15">
        <f t="shared" si="4"/>
        <v>0</v>
      </c>
      <c r="W28" s="18" t="str">
        <f t="shared" si="5"/>
        <v/>
      </c>
      <c r="X28" s="17">
        <v>0</v>
      </c>
      <c r="Y28" s="17">
        <v>0</v>
      </c>
      <c r="Z28" s="15">
        <f t="shared" si="6"/>
        <v>0</v>
      </c>
      <c r="AA28" s="17">
        <v>0</v>
      </c>
      <c r="AB28" s="17">
        <v>0</v>
      </c>
      <c r="AC28" s="15">
        <f t="shared" si="7"/>
        <v>0</v>
      </c>
      <c r="AD28" s="17">
        <v>0</v>
      </c>
      <c r="AE28" s="17">
        <v>0</v>
      </c>
      <c r="AF28" s="15">
        <f t="shared" si="8"/>
        <v>0</v>
      </c>
      <c r="AG28" s="17">
        <v>0</v>
      </c>
      <c r="AH28" s="17">
        <v>0</v>
      </c>
      <c r="AI28" s="15">
        <f t="shared" si="9"/>
        <v>0</v>
      </c>
      <c r="AJ28" s="17"/>
    </row>
    <row r="29" spans="1:36" hidden="1" x14ac:dyDescent="0.3">
      <c r="A29" s="15" t="s">
        <v>77</v>
      </c>
      <c r="B29" s="15">
        <v>100</v>
      </c>
      <c r="C29" s="15" t="s">
        <v>54</v>
      </c>
      <c r="D29" s="15" t="s">
        <v>55</v>
      </c>
      <c r="E29" s="15">
        <f>'24-july-2026'!T29</f>
        <v>0</v>
      </c>
      <c r="F29" s="15">
        <f>'24-july-2026'!U29</f>
        <v>0</v>
      </c>
      <c r="G29" s="15">
        <f>'24-july-2026'!V29</f>
        <v>0</v>
      </c>
      <c r="H29" s="15">
        <f t="shared" si="0"/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5">
        <f t="shared" si="1"/>
        <v>0</v>
      </c>
      <c r="T29" s="15">
        <f t="shared" si="2"/>
        <v>0</v>
      </c>
      <c r="U29" s="15">
        <f t="shared" si="3"/>
        <v>0</v>
      </c>
      <c r="V29" s="15">
        <f t="shared" si="4"/>
        <v>0</v>
      </c>
      <c r="W29" s="18" t="str">
        <f t="shared" si="5"/>
        <v/>
      </c>
      <c r="X29" s="17">
        <v>0</v>
      </c>
      <c r="Y29" s="17">
        <v>0</v>
      </c>
      <c r="Z29" s="15">
        <f t="shared" si="6"/>
        <v>0</v>
      </c>
      <c r="AA29" s="17">
        <v>0</v>
      </c>
      <c r="AB29" s="17">
        <v>0</v>
      </c>
      <c r="AC29" s="15">
        <f t="shared" si="7"/>
        <v>0</v>
      </c>
      <c r="AD29" s="17">
        <v>0</v>
      </c>
      <c r="AE29" s="17">
        <v>0</v>
      </c>
      <c r="AF29" s="15">
        <f t="shared" si="8"/>
        <v>0</v>
      </c>
      <c r="AG29" s="17">
        <v>0</v>
      </c>
      <c r="AH29" s="17">
        <v>0</v>
      </c>
      <c r="AI29" s="15">
        <f t="shared" si="9"/>
        <v>0</v>
      </c>
      <c r="AJ29" s="17"/>
    </row>
    <row r="30" spans="1:36" hidden="1" x14ac:dyDescent="0.3">
      <c r="A30" s="15" t="s">
        <v>78</v>
      </c>
      <c r="B30" s="15">
        <v>1000</v>
      </c>
      <c r="C30" s="15" t="s">
        <v>54</v>
      </c>
      <c r="D30" s="15" t="s">
        <v>55</v>
      </c>
      <c r="E30" s="15">
        <f>'24-july-2026'!T30</f>
        <v>16</v>
      </c>
      <c r="F30" s="15">
        <f>'24-july-2026'!U30</f>
        <v>7</v>
      </c>
      <c r="G30" s="15">
        <f>'24-july-2026'!V30</f>
        <v>9</v>
      </c>
      <c r="H30" s="15">
        <f t="shared" si="0"/>
        <v>32</v>
      </c>
      <c r="I30" s="17">
        <v>0</v>
      </c>
      <c r="J30" s="17">
        <v>0</v>
      </c>
      <c r="K30" s="17">
        <v>0</v>
      </c>
      <c r="L30" s="17">
        <v>10</v>
      </c>
      <c r="M30" s="17">
        <v>0</v>
      </c>
      <c r="N30" s="17">
        <v>0</v>
      </c>
      <c r="O30" s="17">
        <v>0</v>
      </c>
      <c r="P30" s="17">
        <v>5</v>
      </c>
      <c r="Q30" s="17">
        <v>5</v>
      </c>
      <c r="R30" s="17">
        <v>0</v>
      </c>
      <c r="S30" s="15">
        <f t="shared" si="1"/>
        <v>32</v>
      </c>
      <c r="T30" s="15">
        <f t="shared" si="2"/>
        <v>6</v>
      </c>
      <c r="U30" s="15">
        <f t="shared" si="3"/>
        <v>12</v>
      </c>
      <c r="V30" s="15">
        <f t="shared" si="4"/>
        <v>14</v>
      </c>
      <c r="W30" s="18" t="str">
        <f t="shared" si="5"/>
        <v/>
      </c>
      <c r="X30" s="17">
        <v>0</v>
      </c>
      <c r="Y30" s="17">
        <v>0</v>
      </c>
      <c r="Z30" s="15">
        <f t="shared" si="6"/>
        <v>0</v>
      </c>
      <c r="AA30" s="17">
        <v>0</v>
      </c>
      <c r="AB30" s="17">
        <v>0</v>
      </c>
      <c r="AC30" s="15">
        <f t="shared" si="7"/>
        <v>0</v>
      </c>
      <c r="AD30" s="17">
        <v>0</v>
      </c>
      <c r="AE30" s="17">
        <v>0</v>
      </c>
      <c r="AF30" s="15">
        <f t="shared" si="8"/>
        <v>0</v>
      </c>
      <c r="AG30" s="17">
        <v>0</v>
      </c>
      <c r="AH30" s="17">
        <v>0</v>
      </c>
      <c r="AI30" s="15">
        <f t="shared" si="9"/>
        <v>0</v>
      </c>
      <c r="AJ30" s="17"/>
    </row>
    <row r="31" spans="1:36" hidden="1" x14ac:dyDescent="0.3">
      <c r="A31" s="15" t="s">
        <v>79</v>
      </c>
      <c r="B31" s="15">
        <v>1000</v>
      </c>
      <c r="C31" s="15" t="s">
        <v>54</v>
      </c>
      <c r="D31" s="15" t="s">
        <v>55</v>
      </c>
      <c r="E31" s="15">
        <f>'24-july-2026'!T31</f>
        <v>36</v>
      </c>
      <c r="F31" s="15">
        <f>'24-july-2026'!U31</f>
        <v>5</v>
      </c>
      <c r="G31" s="15">
        <f>'24-july-2026'!V31</f>
        <v>0</v>
      </c>
      <c r="H31" s="15">
        <f t="shared" si="0"/>
        <v>41</v>
      </c>
      <c r="I31" s="17">
        <v>2</v>
      </c>
      <c r="J31" s="17">
        <v>0</v>
      </c>
      <c r="K31" s="17">
        <v>0</v>
      </c>
      <c r="L31" s="17">
        <v>10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5">
        <f t="shared" si="1"/>
        <v>29</v>
      </c>
      <c r="T31" s="15">
        <f t="shared" si="2"/>
        <v>24</v>
      </c>
      <c r="U31" s="15">
        <f t="shared" si="3"/>
        <v>5</v>
      </c>
      <c r="V31" s="15">
        <f t="shared" si="4"/>
        <v>0</v>
      </c>
      <c r="W31" s="18" t="str">
        <f t="shared" si="5"/>
        <v/>
      </c>
      <c r="X31" s="17">
        <v>0</v>
      </c>
      <c r="Y31" s="17">
        <v>0</v>
      </c>
      <c r="Z31" s="15">
        <f t="shared" si="6"/>
        <v>0</v>
      </c>
      <c r="AA31" s="17">
        <v>0</v>
      </c>
      <c r="AB31" s="17">
        <v>0</v>
      </c>
      <c r="AC31" s="15">
        <f t="shared" si="7"/>
        <v>0</v>
      </c>
      <c r="AD31" s="17">
        <v>0</v>
      </c>
      <c r="AE31" s="17">
        <v>0</v>
      </c>
      <c r="AF31" s="15">
        <f t="shared" si="8"/>
        <v>0</v>
      </c>
      <c r="AG31" s="17">
        <v>0</v>
      </c>
      <c r="AH31" s="17">
        <v>0</v>
      </c>
      <c r="AI31" s="15">
        <f t="shared" si="9"/>
        <v>0</v>
      </c>
      <c r="AJ31" s="17"/>
    </row>
    <row r="32" spans="1:36" hidden="1" x14ac:dyDescent="0.3">
      <c r="A32" s="15" t="s">
        <v>80</v>
      </c>
      <c r="B32" s="15">
        <v>25000</v>
      </c>
      <c r="C32" s="15" t="s">
        <v>54</v>
      </c>
      <c r="D32" s="15" t="s">
        <v>55</v>
      </c>
      <c r="E32" s="15">
        <f>'24-july-2026'!T32</f>
        <v>4</v>
      </c>
      <c r="F32" s="15">
        <f>'24-july-2026'!U32</f>
        <v>0</v>
      </c>
      <c r="G32" s="15">
        <f>'24-july-2026'!V32</f>
        <v>0</v>
      </c>
      <c r="H32" s="15">
        <f t="shared" si="0"/>
        <v>4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5">
        <f t="shared" si="1"/>
        <v>4</v>
      </c>
      <c r="T32" s="15">
        <f t="shared" si="2"/>
        <v>4</v>
      </c>
      <c r="U32" s="15">
        <f t="shared" si="3"/>
        <v>0</v>
      </c>
      <c r="V32" s="15">
        <f t="shared" si="4"/>
        <v>0</v>
      </c>
      <c r="W32" s="18" t="str">
        <f t="shared" si="5"/>
        <v/>
      </c>
      <c r="X32" s="17">
        <v>0</v>
      </c>
      <c r="Y32" s="17">
        <v>0</v>
      </c>
      <c r="Z32" s="15">
        <f t="shared" si="6"/>
        <v>0</v>
      </c>
      <c r="AA32" s="17">
        <v>0</v>
      </c>
      <c r="AB32" s="17">
        <v>0</v>
      </c>
      <c r="AC32" s="15">
        <f t="shared" si="7"/>
        <v>0</v>
      </c>
      <c r="AD32" s="17">
        <v>0</v>
      </c>
      <c r="AE32" s="17">
        <v>0</v>
      </c>
      <c r="AF32" s="15">
        <f t="shared" si="8"/>
        <v>0</v>
      </c>
      <c r="AG32" s="17">
        <v>0</v>
      </c>
      <c r="AH32" s="17">
        <v>0</v>
      </c>
      <c r="AI32" s="15">
        <f t="shared" si="9"/>
        <v>0</v>
      </c>
      <c r="AJ32" s="17"/>
    </row>
    <row r="33" spans="1:36" hidden="1" x14ac:dyDescent="0.3">
      <c r="A33" s="15" t="s">
        <v>81</v>
      </c>
      <c r="B33" s="15">
        <v>25000</v>
      </c>
      <c r="C33" s="15" t="s">
        <v>54</v>
      </c>
      <c r="D33" s="15" t="s">
        <v>55</v>
      </c>
      <c r="E33" s="15">
        <f>'24-july-2026'!T33</f>
        <v>10</v>
      </c>
      <c r="F33" s="15">
        <f>'24-july-2026'!U33</f>
        <v>0</v>
      </c>
      <c r="G33" s="15">
        <f>'24-july-2026'!V33</f>
        <v>0</v>
      </c>
      <c r="H33" s="15">
        <f t="shared" si="0"/>
        <v>10</v>
      </c>
      <c r="I33" s="17">
        <v>2</v>
      </c>
      <c r="J33" s="17">
        <v>0</v>
      </c>
      <c r="K33" s="17">
        <v>0</v>
      </c>
      <c r="L33" s="17">
        <v>5</v>
      </c>
      <c r="M33" s="17">
        <v>0</v>
      </c>
      <c r="N33" s="17">
        <v>0</v>
      </c>
      <c r="O33" s="17">
        <v>0</v>
      </c>
      <c r="P33" s="17">
        <v>3</v>
      </c>
      <c r="Q33" s="17">
        <v>0</v>
      </c>
      <c r="R33" s="17">
        <v>2</v>
      </c>
      <c r="S33" s="15">
        <f t="shared" si="1"/>
        <v>8</v>
      </c>
      <c r="T33" s="15">
        <f t="shared" si="2"/>
        <v>3</v>
      </c>
      <c r="U33" s="15">
        <f t="shared" si="3"/>
        <v>3</v>
      </c>
      <c r="V33" s="15">
        <f t="shared" si="4"/>
        <v>0</v>
      </c>
      <c r="W33" s="18" t="str">
        <f t="shared" si="5"/>
        <v/>
      </c>
      <c r="X33" s="17">
        <v>0</v>
      </c>
      <c r="Y33" s="17">
        <v>0</v>
      </c>
      <c r="Z33" s="15">
        <f t="shared" si="6"/>
        <v>0</v>
      </c>
      <c r="AA33" s="17">
        <v>0</v>
      </c>
      <c r="AB33" s="17">
        <v>0</v>
      </c>
      <c r="AC33" s="15">
        <f t="shared" si="7"/>
        <v>0</v>
      </c>
      <c r="AD33" s="17">
        <v>0</v>
      </c>
      <c r="AE33" s="17">
        <v>0</v>
      </c>
      <c r="AF33" s="15">
        <f t="shared" si="8"/>
        <v>0</v>
      </c>
      <c r="AG33" s="17">
        <v>0</v>
      </c>
      <c r="AH33" s="17">
        <v>0</v>
      </c>
      <c r="AI33" s="15">
        <f t="shared" si="9"/>
        <v>0</v>
      </c>
      <c r="AJ33" s="17"/>
    </row>
    <row r="34" spans="1:36" x14ac:dyDescent="0.3">
      <c r="A34" s="15" t="s">
        <v>82</v>
      </c>
      <c r="B34" s="15">
        <v>1000</v>
      </c>
      <c r="C34" s="15" t="s">
        <v>54</v>
      </c>
      <c r="D34" s="15" t="s">
        <v>68</v>
      </c>
      <c r="E34" s="15">
        <f>'24-july-2026'!T34</f>
        <v>2</v>
      </c>
      <c r="F34" s="15">
        <f>'24-july-2026'!U34</f>
        <v>0</v>
      </c>
      <c r="G34" s="15">
        <f>'24-july-2026'!V34</f>
        <v>0</v>
      </c>
      <c r="H34" s="15">
        <f t="shared" si="0"/>
        <v>2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5">
        <f t="shared" si="1"/>
        <v>2</v>
      </c>
      <c r="T34" s="15">
        <f t="shared" si="2"/>
        <v>2</v>
      </c>
      <c r="U34" s="15">
        <f t="shared" si="3"/>
        <v>0</v>
      </c>
      <c r="V34" s="15">
        <f t="shared" si="4"/>
        <v>0</v>
      </c>
      <c r="W34" s="18" t="str">
        <f t="shared" si="5"/>
        <v/>
      </c>
      <c r="X34" s="17">
        <v>0</v>
      </c>
      <c r="Y34" s="17">
        <v>0</v>
      </c>
      <c r="Z34" s="15">
        <f t="shared" si="6"/>
        <v>0</v>
      </c>
      <c r="AA34" s="17">
        <v>0</v>
      </c>
      <c r="AB34" s="17">
        <v>0</v>
      </c>
      <c r="AC34" s="15">
        <f t="shared" si="7"/>
        <v>0</v>
      </c>
      <c r="AD34" s="17">
        <v>0</v>
      </c>
      <c r="AE34" s="17">
        <v>0</v>
      </c>
      <c r="AF34" s="15">
        <f t="shared" si="8"/>
        <v>0</v>
      </c>
      <c r="AG34" s="17">
        <v>0</v>
      </c>
      <c r="AH34" s="17">
        <v>0</v>
      </c>
      <c r="AI34" s="15">
        <f t="shared" si="9"/>
        <v>0</v>
      </c>
      <c r="AJ34" s="17"/>
    </row>
    <row r="35" spans="1:36" x14ac:dyDescent="0.3">
      <c r="A35" s="15" t="s">
        <v>83</v>
      </c>
      <c r="B35" s="15">
        <v>100</v>
      </c>
      <c r="C35" s="15" t="s">
        <v>54</v>
      </c>
      <c r="D35" s="15" t="s">
        <v>57</v>
      </c>
      <c r="E35" s="15">
        <f>'24-july-2026'!T35</f>
        <v>2</v>
      </c>
      <c r="F35" s="15">
        <f>'24-july-2026'!U35</f>
        <v>0</v>
      </c>
      <c r="G35" s="15">
        <f>'24-july-2026'!V35</f>
        <v>0</v>
      </c>
      <c r="H35" s="15">
        <f t="shared" ref="H35:H66" si="10">E35+F35+G35</f>
        <v>2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5">
        <f t="shared" ref="S35:S66" si="11">H35+O35+P35+Q35+R35-(I35+J35+K35+L35+M35+N35)</f>
        <v>2</v>
      </c>
      <c r="T35" s="15">
        <f t="shared" ref="T35:T66" si="12">E35+O35-I35-L35</f>
        <v>2</v>
      </c>
      <c r="U35" s="15">
        <f t="shared" ref="U35:U66" si="13">F35+P35-J35-M35</f>
        <v>0</v>
      </c>
      <c r="V35" s="15">
        <f t="shared" ref="V35:V66" si="14">G35+Q35-K35-N35</f>
        <v>0</v>
      </c>
      <c r="W35" s="18" t="str">
        <f t="shared" ref="W35:W66" si="15">IF(MIN(T35,U35,V35)&lt;0,"NEGATIVE STOCK - CHECK ENTRIES","")</f>
        <v/>
      </c>
      <c r="X35" s="17">
        <v>0</v>
      </c>
      <c r="Y35" s="17">
        <v>0</v>
      </c>
      <c r="Z35" s="15">
        <f t="shared" ref="Z35:Z66" si="16">X35-Y35</f>
        <v>0</v>
      </c>
      <c r="AA35" s="17">
        <v>0</v>
      </c>
      <c r="AB35" s="17">
        <v>0</v>
      </c>
      <c r="AC35" s="15">
        <f t="shared" ref="AC35:AC66" si="17">AA35-AB35</f>
        <v>0</v>
      </c>
      <c r="AD35" s="17">
        <v>0</v>
      </c>
      <c r="AE35" s="17">
        <v>0</v>
      </c>
      <c r="AF35" s="15">
        <f t="shared" ref="AF35:AF66" si="18">AD35-AE35</f>
        <v>0</v>
      </c>
      <c r="AG35" s="17">
        <v>0</v>
      </c>
      <c r="AH35" s="17">
        <v>0</v>
      </c>
      <c r="AI35" s="15">
        <f t="shared" ref="AI35:AI66" si="19">AG35-AH35</f>
        <v>0</v>
      </c>
      <c r="AJ35" s="17"/>
    </row>
    <row r="36" spans="1:36" hidden="1" x14ac:dyDescent="0.3">
      <c r="A36" s="15" t="s">
        <v>84</v>
      </c>
      <c r="B36" s="15">
        <v>1000</v>
      </c>
      <c r="C36" s="15" t="s">
        <v>54</v>
      </c>
      <c r="D36" s="15" t="s">
        <v>55</v>
      </c>
      <c r="E36" s="15">
        <f>'24-july-2026'!T36</f>
        <v>13</v>
      </c>
      <c r="F36" s="15">
        <f>'24-july-2026'!U36</f>
        <v>0</v>
      </c>
      <c r="G36" s="15">
        <f>'24-july-2026'!V36</f>
        <v>0</v>
      </c>
      <c r="H36" s="15">
        <f t="shared" si="10"/>
        <v>13</v>
      </c>
      <c r="I36" s="17">
        <v>0</v>
      </c>
      <c r="J36" s="17">
        <v>0</v>
      </c>
      <c r="K36" s="17">
        <v>0</v>
      </c>
      <c r="L36" s="17">
        <v>1</v>
      </c>
      <c r="M36" s="17">
        <v>0</v>
      </c>
      <c r="N36" s="17">
        <v>0</v>
      </c>
      <c r="O36" s="17">
        <v>0</v>
      </c>
      <c r="P36" s="17">
        <v>0</v>
      </c>
      <c r="Q36" s="17">
        <v>1</v>
      </c>
      <c r="R36" s="17">
        <v>0</v>
      </c>
      <c r="S36" s="15">
        <f t="shared" si="11"/>
        <v>13</v>
      </c>
      <c r="T36" s="15">
        <f t="shared" si="12"/>
        <v>12</v>
      </c>
      <c r="U36" s="15">
        <f t="shared" si="13"/>
        <v>0</v>
      </c>
      <c r="V36" s="15">
        <f t="shared" si="14"/>
        <v>1</v>
      </c>
      <c r="W36" s="18" t="str">
        <f t="shared" si="15"/>
        <v/>
      </c>
      <c r="X36" s="17">
        <v>0</v>
      </c>
      <c r="Y36" s="17">
        <v>0</v>
      </c>
      <c r="Z36" s="15">
        <f t="shared" si="16"/>
        <v>0</v>
      </c>
      <c r="AA36" s="17">
        <v>0</v>
      </c>
      <c r="AB36" s="17">
        <v>0</v>
      </c>
      <c r="AC36" s="15">
        <f t="shared" si="17"/>
        <v>0</v>
      </c>
      <c r="AD36" s="17">
        <v>0</v>
      </c>
      <c r="AE36" s="17">
        <v>0</v>
      </c>
      <c r="AF36" s="15">
        <f t="shared" si="18"/>
        <v>0</v>
      </c>
      <c r="AG36" s="17">
        <v>0</v>
      </c>
      <c r="AH36" s="17">
        <v>0</v>
      </c>
      <c r="AI36" s="15">
        <f t="shared" si="19"/>
        <v>0</v>
      </c>
      <c r="AJ36" s="17"/>
    </row>
    <row r="37" spans="1:36" x14ac:dyDescent="0.3">
      <c r="A37" s="15" t="s">
        <v>85</v>
      </c>
      <c r="B37" s="15">
        <v>1000</v>
      </c>
      <c r="C37" s="15" t="s">
        <v>54</v>
      </c>
      <c r="D37" s="15" t="s">
        <v>68</v>
      </c>
      <c r="E37" s="15">
        <f>'24-july-2026'!T37</f>
        <v>5</v>
      </c>
      <c r="F37" s="15">
        <f>'24-july-2026'!U37</f>
        <v>0</v>
      </c>
      <c r="G37" s="15">
        <f>'24-july-2026'!V37</f>
        <v>0</v>
      </c>
      <c r="H37" s="15">
        <f t="shared" si="10"/>
        <v>5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5">
        <f t="shared" si="11"/>
        <v>5</v>
      </c>
      <c r="T37" s="15">
        <f t="shared" si="12"/>
        <v>5</v>
      </c>
      <c r="U37" s="15">
        <f t="shared" si="13"/>
        <v>0</v>
      </c>
      <c r="V37" s="15">
        <f t="shared" si="14"/>
        <v>0</v>
      </c>
      <c r="W37" s="18" t="str">
        <f t="shared" si="15"/>
        <v/>
      </c>
      <c r="X37" s="17">
        <v>0</v>
      </c>
      <c r="Y37" s="17">
        <v>0</v>
      </c>
      <c r="Z37" s="15">
        <f t="shared" si="16"/>
        <v>0</v>
      </c>
      <c r="AA37" s="17">
        <v>0</v>
      </c>
      <c r="AB37" s="17">
        <v>0</v>
      </c>
      <c r="AC37" s="15">
        <f t="shared" si="17"/>
        <v>0</v>
      </c>
      <c r="AD37" s="17">
        <v>0</v>
      </c>
      <c r="AE37" s="17">
        <v>0</v>
      </c>
      <c r="AF37" s="15">
        <f t="shared" si="18"/>
        <v>0</v>
      </c>
      <c r="AG37" s="17">
        <v>0</v>
      </c>
      <c r="AH37" s="17">
        <v>0</v>
      </c>
      <c r="AI37" s="15">
        <f t="shared" si="19"/>
        <v>0</v>
      </c>
      <c r="AJ37" s="17"/>
    </row>
    <row r="38" spans="1:36" x14ac:dyDescent="0.3">
      <c r="A38" s="15" t="s">
        <v>86</v>
      </c>
      <c r="B38" s="15">
        <v>100</v>
      </c>
      <c r="C38" s="15" t="s">
        <v>54</v>
      </c>
      <c r="D38" s="15" t="s">
        <v>57</v>
      </c>
      <c r="E38" s="15">
        <f>'24-july-2026'!T38</f>
        <v>1</v>
      </c>
      <c r="F38" s="15">
        <f>'24-july-2026'!U38</f>
        <v>0</v>
      </c>
      <c r="G38" s="15">
        <f>'24-july-2026'!V38</f>
        <v>0</v>
      </c>
      <c r="H38" s="15">
        <f t="shared" si="10"/>
        <v>1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5">
        <f t="shared" si="11"/>
        <v>1</v>
      </c>
      <c r="T38" s="15">
        <f t="shared" si="12"/>
        <v>1</v>
      </c>
      <c r="U38" s="15">
        <f t="shared" si="13"/>
        <v>0</v>
      </c>
      <c r="V38" s="15">
        <f t="shared" si="14"/>
        <v>0</v>
      </c>
      <c r="W38" s="18" t="str">
        <f t="shared" si="15"/>
        <v/>
      </c>
      <c r="X38" s="17">
        <v>0</v>
      </c>
      <c r="Y38" s="17">
        <v>0</v>
      </c>
      <c r="Z38" s="15">
        <f t="shared" si="16"/>
        <v>0</v>
      </c>
      <c r="AA38" s="17">
        <v>0</v>
      </c>
      <c r="AB38" s="17">
        <v>0</v>
      </c>
      <c r="AC38" s="15">
        <f t="shared" si="17"/>
        <v>0</v>
      </c>
      <c r="AD38" s="17">
        <v>0</v>
      </c>
      <c r="AE38" s="17">
        <v>0</v>
      </c>
      <c r="AF38" s="15">
        <f t="shared" si="18"/>
        <v>0</v>
      </c>
      <c r="AG38" s="17">
        <v>0</v>
      </c>
      <c r="AH38" s="17">
        <v>0</v>
      </c>
      <c r="AI38" s="15">
        <f t="shared" si="19"/>
        <v>0</v>
      </c>
      <c r="AJ38" s="17"/>
    </row>
    <row r="39" spans="1:36" x14ac:dyDescent="0.3">
      <c r="A39" s="15" t="s">
        <v>87</v>
      </c>
      <c r="B39" s="15">
        <v>100000</v>
      </c>
      <c r="C39" s="15" t="s">
        <v>54</v>
      </c>
      <c r="D39" s="15" t="s">
        <v>68</v>
      </c>
      <c r="E39" s="15">
        <f>'24-july-2026'!T39</f>
        <v>2</v>
      </c>
      <c r="F39" s="15">
        <f>'24-july-2026'!U39</f>
        <v>0</v>
      </c>
      <c r="G39" s="15">
        <f>'24-july-2026'!V39</f>
        <v>0</v>
      </c>
      <c r="H39" s="15">
        <f t="shared" si="10"/>
        <v>2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5">
        <f t="shared" si="11"/>
        <v>2</v>
      </c>
      <c r="T39" s="15">
        <f t="shared" si="12"/>
        <v>2</v>
      </c>
      <c r="U39" s="15">
        <f t="shared" si="13"/>
        <v>0</v>
      </c>
      <c r="V39" s="15">
        <f t="shared" si="14"/>
        <v>0</v>
      </c>
      <c r="W39" s="18" t="str">
        <f t="shared" si="15"/>
        <v/>
      </c>
      <c r="X39" s="17">
        <v>0</v>
      </c>
      <c r="Y39" s="17">
        <v>0</v>
      </c>
      <c r="Z39" s="15">
        <f t="shared" si="16"/>
        <v>0</v>
      </c>
      <c r="AA39" s="17">
        <v>0</v>
      </c>
      <c r="AB39" s="17">
        <v>0</v>
      </c>
      <c r="AC39" s="15">
        <f t="shared" si="17"/>
        <v>0</v>
      </c>
      <c r="AD39" s="17">
        <v>0</v>
      </c>
      <c r="AE39" s="17">
        <v>0</v>
      </c>
      <c r="AF39" s="15">
        <f t="shared" si="18"/>
        <v>0</v>
      </c>
      <c r="AG39" s="17">
        <v>0</v>
      </c>
      <c r="AH39" s="17">
        <v>0</v>
      </c>
      <c r="AI39" s="15">
        <f t="shared" si="19"/>
        <v>0</v>
      </c>
      <c r="AJ39" s="17"/>
    </row>
    <row r="40" spans="1:36" x14ac:dyDescent="0.3">
      <c r="A40" s="15" t="s">
        <v>88</v>
      </c>
      <c r="B40" s="15">
        <v>100000</v>
      </c>
      <c r="C40" s="15" t="s">
        <v>54</v>
      </c>
      <c r="D40" s="15" t="s">
        <v>68</v>
      </c>
      <c r="E40" s="15">
        <f>'24-july-2026'!T40</f>
        <v>1</v>
      </c>
      <c r="F40" s="15">
        <f>'24-july-2026'!U40</f>
        <v>0</v>
      </c>
      <c r="G40" s="15">
        <f>'24-july-2026'!V40</f>
        <v>0</v>
      </c>
      <c r="H40" s="15">
        <f t="shared" si="10"/>
        <v>1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5">
        <f t="shared" si="11"/>
        <v>1</v>
      </c>
      <c r="T40" s="15">
        <f t="shared" si="12"/>
        <v>1</v>
      </c>
      <c r="U40" s="15">
        <f t="shared" si="13"/>
        <v>0</v>
      </c>
      <c r="V40" s="15">
        <f t="shared" si="14"/>
        <v>0</v>
      </c>
      <c r="W40" s="18" t="str">
        <f t="shared" si="15"/>
        <v/>
      </c>
      <c r="X40" s="17">
        <v>0</v>
      </c>
      <c r="Y40" s="17">
        <v>0</v>
      </c>
      <c r="Z40" s="15">
        <f t="shared" si="16"/>
        <v>0</v>
      </c>
      <c r="AA40" s="17">
        <v>0</v>
      </c>
      <c r="AB40" s="17">
        <v>0</v>
      </c>
      <c r="AC40" s="15">
        <f t="shared" si="17"/>
        <v>0</v>
      </c>
      <c r="AD40" s="17">
        <v>0</v>
      </c>
      <c r="AE40" s="17">
        <v>0</v>
      </c>
      <c r="AF40" s="15">
        <f t="shared" si="18"/>
        <v>0</v>
      </c>
      <c r="AG40" s="17">
        <v>0</v>
      </c>
      <c r="AH40" s="17">
        <v>0</v>
      </c>
      <c r="AI40" s="15">
        <f t="shared" si="19"/>
        <v>0</v>
      </c>
      <c r="AJ40" s="17"/>
    </row>
    <row r="41" spans="1:36" hidden="1" x14ac:dyDescent="0.3">
      <c r="A41" s="15" t="s">
        <v>89</v>
      </c>
      <c r="B41" s="15">
        <v>100</v>
      </c>
      <c r="C41" s="15" t="s">
        <v>54</v>
      </c>
      <c r="D41" s="15" t="s">
        <v>55</v>
      </c>
      <c r="E41" s="15">
        <f>'24-july-2026'!T41</f>
        <v>9</v>
      </c>
      <c r="F41" s="15">
        <f>'24-july-2026'!U41</f>
        <v>0</v>
      </c>
      <c r="G41" s="15">
        <f>'24-july-2026'!V41</f>
        <v>0</v>
      </c>
      <c r="H41" s="15">
        <f t="shared" si="10"/>
        <v>9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5">
        <f t="shared" si="11"/>
        <v>9</v>
      </c>
      <c r="T41" s="15">
        <f t="shared" si="12"/>
        <v>9</v>
      </c>
      <c r="U41" s="15">
        <f t="shared" si="13"/>
        <v>0</v>
      </c>
      <c r="V41" s="15">
        <f t="shared" si="14"/>
        <v>0</v>
      </c>
      <c r="W41" s="18" t="str">
        <f t="shared" si="15"/>
        <v/>
      </c>
      <c r="X41" s="17">
        <v>0</v>
      </c>
      <c r="Y41" s="17">
        <v>0</v>
      </c>
      <c r="Z41" s="15">
        <f t="shared" si="16"/>
        <v>0</v>
      </c>
      <c r="AA41" s="17">
        <v>0</v>
      </c>
      <c r="AB41" s="17">
        <v>0</v>
      </c>
      <c r="AC41" s="15">
        <f t="shared" si="17"/>
        <v>0</v>
      </c>
      <c r="AD41" s="17">
        <v>0</v>
      </c>
      <c r="AE41" s="17">
        <v>0</v>
      </c>
      <c r="AF41" s="15">
        <f t="shared" si="18"/>
        <v>0</v>
      </c>
      <c r="AG41" s="17">
        <v>0</v>
      </c>
      <c r="AH41" s="17">
        <v>0</v>
      </c>
      <c r="AI41" s="15">
        <f t="shared" si="19"/>
        <v>0</v>
      </c>
      <c r="AJ41" s="17"/>
    </row>
    <row r="42" spans="1:36" x14ac:dyDescent="0.3">
      <c r="A42" s="15" t="s">
        <v>90</v>
      </c>
      <c r="B42" s="15">
        <v>100</v>
      </c>
      <c r="C42" s="15" t="s">
        <v>54</v>
      </c>
      <c r="D42" s="15" t="s">
        <v>57</v>
      </c>
      <c r="E42" s="15">
        <f>'24-july-2026'!T42</f>
        <v>10</v>
      </c>
      <c r="F42" s="15">
        <f>'24-july-2026'!U42</f>
        <v>0</v>
      </c>
      <c r="G42" s="15">
        <f>'24-july-2026'!V42</f>
        <v>0</v>
      </c>
      <c r="H42" s="15">
        <f t="shared" si="10"/>
        <v>10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5">
        <f t="shared" si="11"/>
        <v>10</v>
      </c>
      <c r="T42" s="15">
        <f t="shared" si="12"/>
        <v>10</v>
      </c>
      <c r="U42" s="15">
        <f t="shared" si="13"/>
        <v>0</v>
      </c>
      <c r="V42" s="15">
        <f t="shared" si="14"/>
        <v>0</v>
      </c>
      <c r="W42" s="18" t="str">
        <f t="shared" si="15"/>
        <v/>
      </c>
      <c r="X42" s="17">
        <v>0</v>
      </c>
      <c r="Y42" s="17">
        <v>0</v>
      </c>
      <c r="Z42" s="15">
        <f t="shared" si="16"/>
        <v>0</v>
      </c>
      <c r="AA42" s="17">
        <v>0</v>
      </c>
      <c r="AB42" s="17">
        <v>0</v>
      </c>
      <c r="AC42" s="15">
        <f t="shared" si="17"/>
        <v>0</v>
      </c>
      <c r="AD42" s="17">
        <v>0</v>
      </c>
      <c r="AE42" s="17">
        <v>0</v>
      </c>
      <c r="AF42" s="15">
        <f t="shared" si="18"/>
        <v>0</v>
      </c>
      <c r="AG42" s="17">
        <v>0</v>
      </c>
      <c r="AH42" s="17">
        <v>0</v>
      </c>
      <c r="AI42" s="15">
        <f t="shared" si="19"/>
        <v>0</v>
      </c>
      <c r="AJ42" s="17"/>
    </row>
    <row r="43" spans="1:36" hidden="1" x14ac:dyDescent="0.3">
      <c r="A43" s="15" t="s">
        <v>91</v>
      </c>
      <c r="B43" s="15">
        <v>1000</v>
      </c>
      <c r="C43" s="15" t="s">
        <v>54</v>
      </c>
      <c r="D43" s="15" t="s">
        <v>55</v>
      </c>
      <c r="E43" s="15">
        <f>'24-july-2026'!T43</f>
        <v>67</v>
      </c>
      <c r="F43" s="15">
        <f>'24-july-2026'!U43</f>
        <v>136</v>
      </c>
      <c r="G43" s="15">
        <f>'24-july-2026'!V43</f>
        <v>0</v>
      </c>
      <c r="H43" s="15">
        <f t="shared" si="10"/>
        <v>203</v>
      </c>
      <c r="I43" s="17">
        <v>3</v>
      </c>
      <c r="J43" s="17">
        <v>7</v>
      </c>
      <c r="K43" s="17">
        <v>0</v>
      </c>
      <c r="L43" s="17">
        <v>10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10</v>
      </c>
      <c r="S43" s="15">
        <f t="shared" si="11"/>
        <v>193</v>
      </c>
      <c r="T43" s="15">
        <f t="shared" si="12"/>
        <v>54</v>
      </c>
      <c r="U43" s="15">
        <f t="shared" si="13"/>
        <v>129</v>
      </c>
      <c r="V43" s="15">
        <f t="shared" si="14"/>
        <v>0</v>
      </c>
      <c r="W43" s="18" t="str">
        <f t="shared" si="15"/>
        <v/>
      </c>
      <c r="X43" s="17">
        <v>0</v>
      </c>
      <c r="Y43" s="17">
        <v>0</v>
      </c>
      <c r="Z43" s="15">
        <f t="shared" si="16"/>
        <v>0</v>
      </c>
      <c r="AA43" s="17">
        <v>0</v>
      </c>
      <c r="AB43" s="17">
        <v>0</v>
      </c>
      <c r="AC43" s="15">
        <f t="shared" si="17"/>
        <v>0</v>
      </c>
      <c r="AD43" s="17">
        <v>0</v>
      </c>
      <c r="AE43" s="17">
        <v>0</v>
      </c>
      <c r="AF43" s="15">
        <f t="shared" si="18"/>
        <v>0</v>
      </c>
      <c r="AG43" s="17">
        <v>0</v>
      </c>
      <c r="AH43" s="17">
        <v>0</v>
      </c>
      <c r="AI43" s="15">
        <f t="shared" si="19"/>
        <v>0</v>
      </c>
      <c r="AJ43" s="17"/>
    </row>
    <row r="44" spans="1:36" x14ac:dyDescent="0.3">
      <c r="A44" s="15" t="s">
        <v>92</v>
      </c>
      <c r="B44" s="15">
        <v>100</v>
      </c>
      <c r="C44" s="15" t="s">
        <v>54</v>
      </c>
      <c r="D44" s="15" t="s">
        <v>68</v>
      </c>
      <c r="E44" s="15">
        <f>'24-july-2026'!T44</f>
        <v>6</v>
      </c>
      <c r="F44" s="15">
        <f>'24-july-2026'!U44</f>
        <v>0</v>
      </c>
      <c r="G44" s="15">
        <f>'24-july-2026'!V44</f>
        <v>0</v>
      </c>
      <c r="H44" s="15">
        <f t="shared" si="10"/>
        <v>6</v>
      </c>
      <c r="I44" s="17">
        <v>1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5">
        <f t="shared" si="11"/>
        <v>5</v>
      </c>
      <c r="T44" s="15">
        <f t="shared" si="12"/>
        <v>5</v>
      </c>
      <c r="U44" s="15">
        <f t="shared" si="13"/>
        <v>0</v>
      </c>
      <c r="V44" s="15">
        <f t="shared" si="14"/>
        <v>0</v>
      </c>
      <c r="W44" s="18" t="str">
        <f t="shared" si="15"/>
        <v/>
      </c>
      <c r="X44" s="17">
        <v>0</v>
      </c>
      <c r="Y44" s="17">
        <v>0</v>
      </c>
      <c r="Z44" s="15">
        <f t="shared" si="16"/>
        <v>0</v>
      </c>
      <c r="AA44" s="17">
        <v>0</v>
      </c>
      <c r="AB44" s="17">
        <v>0</v>
      </c>
      <c r="AC44" s="15">
        <f t="shared" si="17"/>
        <v>0</v>
      </c>
      <c r="AD44" s="17">
        <v>0</v>
      </c>
      <c r="AE44" s="17">
        <v>0</v>
      </c>
      <c r="AF44" s="15">
        <f t="shared" si="18"/>
        <v>0</v>
      </c>
      <c r="AG44" s="17">
        <v>0</v>
      </c>
      <c r="AH44" s="17">
        <v>0</v>
      </c>
      <c r="AI44" s="15">
        <f t="shared" si="19"/>
        <v>0</v>
      </c>
      <c r="AJ44" s="17"/>
    </row>
    <row r="45" spans="1:36" x14ac:dyDescent="0.3">
      <c r="A45" s="15" t="s">
        <v>93</v>
      </c>
      <c r="B45" s="15">
        <v>100000</v>
      </c>
      <c r="C45" s="15" t="s">
        <v>54</v>
      </c>
      <c r="D45" s="15" t="s">
        <v>68</v>
      </c>
      <c r="E45" s="15">
        <f>'24-july-2026'!T45</f>
        <v>2</v>
      </c>
      <c r="F45" s="15">
        <f>'24-july-2026'!U45</f>
        <v>0</v>
      </c>
      <c r="G45" s="15">
        <f>'24-july-2026'!V45</f>
        <v>0</v>
      </c>
      <c r="H45" s="15">
        <f t="shared" si="10"/>
        <v>2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5">
        <f t="shared" si="11"/>
        <v>2</v>
      </c>
      <c r="T45" s="15">
        <f t="shared" si="12"/>
        <v>2</v>
      </c>
      <c r="U45" s="15">
        <f t="shared" si="13"/>
        <v>0</v>
      </c>
      <c r="V45" s="15">
        <f t="shared" si="14"/>
        <v>0</v>
      </c>
      <c r="W45" s="18" t="str">
        <f t="shared" si="15"/>
        <v/>
      </c>
      <c r="X45" s="17">
        <v>0</v>
      </c>
      <c r="Y45" s="17">
        <v>0</v>
      </c>
      <c r="Z45" s="15">
        <f t="shared" si="16"/>
        <v>0</v>
      </c>
      <c r="AA45" s="17">
        <v>0</v>
      </c>
      <c r="AB45" s="17">
        <v>0</v>
      </c>
      <c r="AC45" s="15">
        <f t="shared" si="17"/>
        <v>0</v>
      </c>
      <c r="AD45" s="17">
        <v>0</v>
      </c>
      <c r="AE45" s="17">
        <v>0</v>
      </c>
      <c r="AF45" s="15">
        <f t="shared" si="18"/>
        <v>0</v>
      </c>
      <c r="AG45" s="17">
        <v>0</v>
      </c>
      <c r="AH45" s="17">
        <v>0</v>
      </c>
      <c r="AI45" s="15">
        <f t="shared" si="19"/>
        <v>0</v>
      </c>
      <c r="AJ45" s="17"/>
    </row>
    <row r="46" spans="1:36" hidden="1" x14ac:dyDescent="0.3">
      <c r="A46" s="15" t="s">
        <v>94</v>
      </c>
      <c r="B46" s="15">
        <v>100</v>
      </c>
      <c r="C46" s="15" t="s">
        <v>54</v>
      </c>
      <c r="D46" s="15" t="s">
        <v>55</v>
      </c>
      <c r="E46" s="15">
        <f>'24-july-2026'!T46</f>
        <v>5</v>
      </c>
      <c r="F46" s="15">
        <f>'24-july-2026'!U46</f>
        <v>0</v>
      </c>
      <c r="G46" s="15">
        <f>'24-july-2026'!V46</f>
        <v>0</v>
      </c>
      <c r="H46" s="15">
        <f t="shared" si="10"/>
        <v>5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5">
        <f t="shared" si="11"/>
        <v>5</v>
      </c>
      <c r="T46" s="15">
        <f t="shared" si="12"/>
        <v>5</v>
      </c>
      <c r="U46" s="15">
        <f t="shared" si="13"/>
        <v>0</v>
      </c>
      <c r="V46" s="15">
        <f t="shared" si="14"/>
        <v>0</v>
      </c>
      <c r="W46" s="18" t="str">
        <f t="shared" si="15"/>
        <v/>
      </c>
      <c r="X46" s="17">
        <v>0</v>
      </c>
      <c r="Y46" s="17">
        <v>0</v>
      </c>
      <c r="Z46" s="15">
        <f t="shared" si="16"/>
        <v>0</v>
      </c>
      <c r="AA46" s="17">
        <v>0</v>
      </c>
      <c r="AB46" s="17">
        <v>0</v>
      </c>
      <c r="AC46" s="15">
        <f t="shared" si="17"/>
        <v>0</v>
      </c>
      <c r="AD46" s="17">
        <v>0</v>
      </c>
      <c r="AE46" s="17">
        <v>0</v>
      </c>
      <c r="AF46" s="15">
        <f t="shared" si="18"/>
        <v>0</v>
      </c>
      <c r="AG46" s="17">
        <v>0</v>
      </c>
      <c r="AH46" s="17">
        <v>0</v>
      </c>
      <c r="AI46" s="15">
        <f t="shared" si="19"/>
        <v>0</v>
      </c>
      <c r="AJ46" s="17"/>
    </row>
    <row r="47" spans="1:36" x14ac:dyDescent="0.3">
      <c r="A47" s="15" t="s">
        <v>94</v>
      </c>
      <c r="B47" s="15">
        <v>100</v>
      </c>
      <c r="C47" s="15" t="s">
        <v>54</v>
      </c>
      <c r="D47" s="15" t="s">
        <v>57</v>
      </c>
      <c r="E47" s="15">
        <f>'24-july-2026'!T47</f>
        <v>1</v>
      </c>
      <c r="F47" s="15">
        <f>'24-july-2026'!U47</f>
        <v>0</v>
      </c>
      <c r="G47" s="15">
        <f>'24-july-2026'!V47</f>
        <v>0</v>
      </c>
      <c r="H47" s="15">
        <f t="shared" si="10"/>
        <v>1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5">
        <f t="shared" si="11"/>
        <v>1</v>
      </c>
      <c r="T47" s="15">
        <f t="shared" si="12"/>
        <v>1</v>
      </c>
      <c r="U47" s="15">
        <f t="shared" si="13"/>
        <v>0</v>
      </c>
      <c r="V47" s="15">
        <f t="shared" si="14"/>
        <v>0</v>
      </c>
      <c r="W47" s="18" t="str">
        <f t="shared" si="15"/>
        <v/>
      </c>
      <c r="X47" s="17">
        <v>0</v>
      </c>
      <c r="Y47" s="17">
        <v>0</v>
      </c>
      <c r="Z47" s="15">
        <f t="shared" si="16"/>
        <v>0</v>
      </c>
      <c r="AA47" s="17">
        <v>0</v>
      </c>
      <c r="AB47" s="17">
        <v>0</v>
      </c>
      <c r="AC47" s="15">
        <f t="shared" si="17"/>
        <v>0</v>
      </c>
      <c r="AD47" s="17">
        <v>0</v>
      </c>
      <c r="AE47" s="17">
        <v>0</v>
      </c>
      <c r="AF47" s="15">
        <f t="shared" si="18"/>
        <v>0</v>
      </c>
      <c r="AG47" s="17">
        <v>0</v>
      </c>
      <c r="AH47" s="17">
        <v>0</v>
      </c>
      <c r="AI47" s="15">
        <f t="shared" si="19"/>
        <v>0</v>
      </c>
      <c r="AJ47" s="17"/>
    </row>
    <row r="48" spans="1:36" x14ac:dyDescent="0.3">
      <c r="A48" s="15" t="s">
        <v>95</v>
      </c>
      <c r="B48" s="15">
        <v>100</v>
      </c>
      <c r="C48" s="15" t="s">
        <v>54</v>
      </c>
      <c r="D48" s="15" t="s">
        <v>57</v>
      </c>
      <c r="E48" s="15">
        <f>'24-july-2026'!T48</f>
        <v>1</v>
      </c>
      <c r="F48" s="15">
        <f>'24-july-2026'!U48</f>
        <v>0</v>
      </c>
      <c r="G48" s="15">
        <f>'24-july-2026'!V48</f>
        <v>0</v>
      </c>
      <c r="H48" s="15">
        <f t="shared" si="10"/>
        <v>1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5">
        <f t="shared" si="11"/>
        <v>1</v>
      </c>
      <c r="T48" s="15">
        <f t="shared" si="12"/>
        <v>1</v>
      </c>
      <c r="U48" s="15">
        <f t="shared" si="13"/>
        <v>0</v>
      </c>
      <c r="V48" s="15">
        <f t="shared" si="14"/>
        <v>0</v>
      </c>
      <c r="W48" s="18" t="str">
        <f t="shared" si="15"/>
        <v/>
      </c>
      <c r="X48" s="17">
        <v>0</v>
      </c>
      <c r="Y48" s="17">
        <v>0</v>
      </c>
      <c r="Z48" s="15">
        <f t="shared" si="16"/>
        <v>0</v>
      </c>
      <c r="AA48" s="17">
        <v>0</v>
      </c>
      <c r="AB48" s="17">
        <v>0</v>
      </c>
      <c r="AC48" s="15">
        <f t="shared" si="17"/>
        <v>0</v>
      </c>
      <c r="AD48" s="17">
        <v>0</v>
      </c>
      <c r="AE48" s="17">
        <v>0</v>
      </c>
      <c r="AF48" s="15">
        <f t="shared" si="18"/>
        <v>0</v>
      </c>
      <c r="AG48" s="17">
        <v>0</v>
      </c>
      <c r="AH48" s="17">
        <v>0</v>
      </c>
      <c r="AI48" s="15">
        <f t="shared" si="19"/>
        <v>0</v>
      </c>
      <c r="AJ48" s="17"/>
    </row>
    <row r="49" spans="1:36" hidden="1" x14ac:dyDescent="0.3">
      <c r="A49" s="15" t="s">
        <v>96</v>
      </c>
      <c r="B49" s="15">
        <v>1000</v>
      </c>
      <c r="C49" s="15"/>
      <c r="D49" s="15" t="s">
        <v>55</v>
      </c>
      <c r="E49" s="15">
        <f>'24-july-2026'!T49</f>
        <v>0</v>
      </c>
      <c r="F49" s="15">
        <f>'24-july-2026'!U49</f>
        <v>0</v>
      </c>
      <c r="G49" s="15">
        <f>'24-july-2026'!V49</f>
        <v>0</v>
      </c>
      <c r="H49" s="15">
        <f t="shared" si="10"/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5">
        <f t="shared" si="11"/>
        <v>0</v>
      </c>
      <c r="T49" s="15">
        <f t="shared" si="12"/>
        <v>0</v>
      </c>
      <c r="U49" s="15">
        <f t="shared" si="13"/>
        <v>0</v>
      </c>
      <c r="V49" s="15">
        <f t="shared" si="14"/>
        <v>0</v>
      </c>
      <c r="W49" s="18" t="str">
        <f t="shared" si="15"/>
        <v/>
      </c>
      <c r="X49" s="17">
        <v>0</v>
      </c>
      <c r="Y49" s="17">
        <v>0</v>
      </c>
      <c r="Z49" s="15">
        <f t="shared" si="16"/>
        <v>0</v>
      </c>
      <c r="AA49" s="17">
        <v>0</v>
      </c>
      <c r="AB49" s="17">
        <v>0</v>
      </c>
      <c r="AC49" s="15">
        <f t="shared" si="17"/>
        <v>0</v>
      </c>
      <c r="AD49" s="17">
        <v>0</v>
      </c>
      <c r="AE49" s="17">
        <v>0</v>
      </c>
      <c r="AF49" s="15">
        <f t="shared" si="18"/>
        <v>0</v>
      </c>
      <c r="AG49" s="17">
        <v>0</v>
      </c>
      <c r="AH49" s="17">
        <v>0</v>
      </c>
      <c r="AI49" s="15">
        <f t="shared" si="19"/>
        <v>0</v>
      </c>
      <c r="AJ49" s="17"/>
    </row>
    <row r="50" spans="1:36" hidden="1" x14ac:dyDescent="0.3">
      <c r="A50" s="15" t="s">
        <v>97</v>
      </c>
      <c r="B50" s="15">
        <v>1000</v>
      </c>
      <c r="C50" s="15" t="s">
        <v>54</v>
      </c>
      <c r="D50" s="15" t="s">
        <v>55</v>
      </c>
      <c r="E50" s="15">
        <f>'24-july-2026'!T50</f>
        <v>65</v>
      </c>
      <c r="F50" s="15">
        <f>'24-july-2026'!U50</f>
        <v>17</v>
      </c>
      <c r="G50" s="15">
        <f>'24-july-2026'!V50</f>
        <v>0</v>
      </c>
      <c r="H50" s="15">
        <f t="shared" si="10"/>
        <v>82</v>
      </c>
      <c r="I50" s="17">
        <v>1</v>
      </c>
      <c r="J50" s="17">
        <v>0</v>
      </c>
      <c r="K50" s="17">
        <v>0</v>
      </c>
      <c r="L50" s="17">
        <v>30</v>
      </c>
      <c r="M50" s="17">
        <v>0</v>
      </c>
      <c r="N50" s="17">
        <v>0</v>
      </c>
      <c r="O50" s="17">
        <v>0</v>
      </c>
      <c r="P50" s="17">
        <v>20</v>
      </c>
      <c r="Q50" s="17">
        <v>0</v>
      </c>
      <c r="R50" s="17">
        <v>10</v>
      </c>
      <c r="S50" s="15">
        <f t="shared" si="11"/>
        <v>81</v>
      </c>
      <c r="T50" s="15">
        <f t="shared" si="12"/>
        <v>34</v>
      </c>
      <c r="U50" s="15">
        <f t="shared" si="13"/>
        <v>37</v>
      </c>
      <c r="V50" s="15">
        <f t="shared" si="14"/>
        <v>0</v>
      </c>
      <c r="W50" s="18" t="str">
        <f t="shared" si="15"/>
        <v/>
      </c>
      <c r="X50" s="17">
        <v>0</v>
      </c>
      <c r="Y50" s="17">
        <v>0</v>
      </c>
      <c r="Z50" s="15">
        <f t="shared" si="16"/>
        <v>0</v>
      </c>
      <c r="AA50" s="17">
        <v>0</v>
      </c>
      <c r="AB50" s="17">
        <v>0</v>
      </c>
      <c r="AC50" s="15">
        <f t="shared" si="17"/>
        <v>0</v>
      </c>
      <c r="AD50" s="17">
        <v>0</v>
      </c>
      <c r="AE50" s="17">
        <v>0</v>
      </c>
      <c r="AF50" s="15">
        <f t="shared" si="18"/>
        <v>0</v>
      </c>
      <c r="AG50" s="17">
        <v>0</v>
      </c>
      <c r="AH50" s="17">
        <v>0</v>
      </c>
      <c r="AI50" s="15">
        <f t="shared" si="19"/>
        <v>0</v>
      </c>
      <c r="AJ50" s="17"/>
    </row>
    <row r="51" spans="1:36" hidden="1" x14ac:dyDescent="0.3">
      <c r="A51" s="15" t="s">
        <v>98</v>
      </c>
      <c r="B51" s="15">
        <v>1000</v>
      </c>
      <c r="C51" s="15" t="s">
        <v>54</v>
      </c>
      <c r="D51" s="15" t="s">
        <v>55</v>
      </c>
      <c r="E51" s="15">
        <f>'24-july-2026'!T51</f>
        <v>3</v>
      </c>
      <c r="F51" s="15">
        <f>'24-july-2026'!U51</f>
        <v>17</v>
      </c>
      <c r="G51" s="15">
        <f>'24-july-2026'!V51</f>
        <v>0</v>
      </c>
      <c r="H51" s="15">
        <f t="shared" si="10"/>
        <v>20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5">
        <f t="shared" si="11"/>
        <v>20</v>
      </c>
      <c r="T51" s="15">
        <f t="shared" si="12"/>
        <v>3</v>
      </c>
      <c r="U51" s="15">
        <f t="shared" si="13"/>
        <v>17</v>
      </c>
      <c r="V51" s="15">
        <f t="shared" si="14"/>
        <v>0</v>
      </c>
      <c r="W51" s="18" t="str">
        <f t="shared" si="15"/>
        <v/>
      </c>
      <c r="X51" s="17">
        <v>0</v>
      </c>
      <c r="Y51" s="17">
        <v>0</v>
      </c>
      <c r="Z51" s="15">
        <f t="shared" si="16"/>
        <v>0</v>
      </c>
      <c r="AA51" s="17">
        <v>0</v>
      </c>
      <c r="AB51" s="17">
        <v>0</v>
      </c>
      <c r="AC51" s="15">
        <f t="shared" si="17"/>
        <v>0</v>
      </c>
      <c r="AD51" s="17">
        <v>0</v>
      </c>
      <c r="AE51" s="17">
        <v>0</v>
      </c>
      <c r="AF51" s="15">
        <f t="shared" si="18"/>
        <v>0</v>
      </c>
      <c r="AG51" s="17">
        <v>0</v>
      </c>
      <c r="AH51" s="17">
        <v>0</v>
      </c>
      <c r="AI51" s="15">
        <f t="shared" si="19"/>
        <v>0</v>
      </c>
      <c r="AJ51" s="17"/>
    </row>
    <row r="52" spans="1:36" hidden="1" x14ac:dyDescent="0.3">
      <c r="A52" s="15" t="s">
        <v>99</v>
      </c>
      <c r="B52" s="15">
        <v>1000</v>
      </c>
      <c r="C52" s="15" t="s">
        <v>54</v>
      </c>
      <c r="D52" s="15" t="s">
        <v>55</v>
      </c>
      <c r="E52" s="15">
        <f>'24-july-2026'!T52</f>
        <v>7</v>
      </c>
      <c r="F52" s="15">
        <f>'24-july-2026'!U52</f>
        <v>1</v>
      </c>
      <c r="G52" s="15">
        <f>'24-july-2026'!V52</f>
        <v>0</v>
      </c>
      <c r="H52" s="15">
        <f t="shared" si="10"/>
        <v>8</v>
      </c>
      <c r="I52" s="17">
        <v>3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5">
        <f t="shared" si="11"/>
        <v>5</v>
      </c>
      <c r="T52" s="15">
        <f t="shared" si="12"/>
        <v>4</v>
      </c>
      <c r="U52" s="15">
        <f t="shared" si="13"/>
        <v>1</v>
      </c>
      <c r="V52" s="15">
        <f t="shared" si="14"/>
        <v>0</v>
      </c>
      <c r="W52" s="18" t="str">
        <f t="shared" si="15"/>
        <v/>
      </c>
      <c r="X52" s="17">
        <v>0</v>
      </c>
      <c r="Y52" s="17">
        <v>0</v>
      </c>
      <c r="Z52" s="15">
        <f t="shared" si="16"/>
        <v>0</v>
      </c>
      <c r="AA52" s="17">
        <v>0</v>
      </c>
      <c r="AB52" s="17">
        <v>0</v>
      </c>
      <c r="AC52" s="15">
        <f t="shared" si="17"/>
        <v>0</v>
      </c>
      <c r="AD52" s="17">
        <v>0</v>
      </c>
      <c r="AE52" s="17">
        <v>0</v>
      </c>
      <c r="AF52" s="15">
        <f t="shared" si="18"/>
        <v>0</v>
      </c>
      <c r="AG52" s="17">
        <v>0</v>
      </c>
      <c r="AH52" s="17">
        <v>0</v>
      </c>
      <c r="AI52" s="15">
        <f t="shared" si="19"/>
        <v>0</v>
      </c>
      <c r="AJ52" s="17"/>
    </row>
    <row r="53" spans="1:36" x14ac:dyDescent="0.3">
      <c r="A53" s="15" t="s">
        <v>100</v>
      </c>
      <c r="B53" s="15">
        <v>100</v>
      </c>
      <c r="C53" s="15" t="s">
        <v>54</v>
      </c>
      <c r="D53" s="15" t="s">
        <v>68</v>
      </c>
      <c r="E53" s="15">
        <f>'24-july-2026'!T53</f>
        <v>3</v>
      </c>
      <c r="F53" s="15">
        <f>'24-july-2026'!U53</f>
        <v>0</v>
      </c>
      <c r="G53" s="15">
        <f>'24-july-2026'!V53</f>
        <v>0</v>
      </c>
      <c r="H53" s="15">
        <f t="shared" si="10"/>
        <v>3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5">
        <f t="shared" si="11"/>
        <v>3</v>
      </c>
      <c r="T53" s="15">
        <f t="shared" si="12"/>
        <v>3</v>
      </c>
      <c r="U53" s="15">
        <f t="shared" si="13"/>
        <v>0</v>
      </c>
      <c r="V53" s="15">
        <f t="shared" si="14"/>
        <v>0</v>
      </c>
      <c r="W53" s="18" t="str">
        <f t="shared" si="15"/>
        <v/>
      </c>
      <c r="X53" s="17">
        <v>0</v>
      </c>
      <c r="Y53" s="17">
        <v>0</v>
      </c>
      <c r="Z53" s="15">
        <f t="shared" si="16"/>
        <v>0</v>
      </c>
      <c r="AA53" s="17">
        <v>0</v>
      </c>
      <c r="AB53" s="17">
        <v>0</v>
      </c>
      <c r="AC53" s="15">
        <f t="shared" si="17"/>
        <v>0</v>
      </c>
      <c r="AD53" s="17">
        <v>0</v>
      </c>
      <c r="AE53" s="17">
        <v>0</v>
      </c>
      <c r="AF53" s="15">
        <f t="shared" si="18"/>
        <v>0</v>
      </c>
      <c r="AG53" s="17">
        <v>0</v>
      </c>
      <c r="AH53" s="17">
        <v>0</v>
      </c>
      <c r="AI53" s="15">
        <f t="shared" si="19"/>
        <v>0</v>
      </c>
      <c r="AJ53" s="17"/>
    </row>
    <row r="54" spans="1:36" x14ac:dyDescent="0.3">
      <c r="A54" s="15" t="s">
        <v>101</v>
      </c>
      <c r="B54" s="15">
        <v>1000</v>
      </c>
      <c r="C54" s="15" t="s">
        <v>54</v>
      </c>
      <c r="D54" s="15" t="s">
        <v>68</v>
      </c>
      <c r="E54" s="15">
        <f>'24-july-2026'!T54</f>
        <v>7</v>
      </c>
      <c r="F54" s="15">
        <f>'24-july-2026'!U54</f>
        <v>0</v>
      </c>
      <c r="G54" s="15">
        <f>'24-july-2026'!V54</f>
        <v>0</v>
      </c>
      <c r="H54" s="15">
        <f t="shared" si="10"/>
        <v>7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5">
        <f t="shared" si="11"/>
        <v>7</v>
      </c>
      <c r="T54" s="15">
        <f t="shared" si="12"/>
        <v>7</v>
      </c>
      <c r="U54" s="15">
        <f t="shared" si="13"/>
        <v>0</v>
      </c>
      <c r="V54" s="15">
        <f t="shared" si="14"/>
        <v>0</v>
      </c>
      <c r="W54" s="18" t="str">
        <f t="shared" si="15"/>
        <v/>
      </c>
      <c r="X54" s="17">
        <v>0</v>
      </c>
      <c r="Y54" s="17">
        <v>0</v>
      </c>
      <c r="Z54" s="15">
        <f t="shared" si="16"/>
        <v>0</v>
      </c>
      <c r="AA54" s="17">
        <v>0</v>
      </c>
      <c r="AB54" s="17">
        <v>0</v>
      </c>
      <c r="AC54" s="15">
        <f t="shared" si="17"/>
        <v>0</v>
      </c>
      <c r="AD54" s="17">
        <v>0</v>
      </c>
      <c r="AE54" s="17">
        <v>0</v>
      </c>
      <c r="AF54" s="15">
        <f t="shared" si="18"/>
        <v>0</v>
      </c>
      <c r="AG54" s="17">
        <v>0</v>
      </c>
      <c r="AH54" s="17">
        <v>0</v>
      </c>
      <c r="AI54" s="15">
        <f t="shared" si="19"/>
        <v>0</v>
      </c>
      <c r="AJ54" s="17"/>
    </row>
    <row r="55" spans="1:36" x14ac:dyDescent="0.3">
      <c r="A55" s="15" t="s">
        <v>102</v>
      </c>
      <c r="B55" s="15">
        <v>5000</v>
      </c>
      <c r="C55" s="15" t="s">
        <v>54</v>
      </c>
      <c r="D55" s="15" t="s">
        <v>57</v>
      </c>
      <c r="E55" s="15">
        <f>'24-july-2026'!T55</f>
        <v>1</v>
      </c>
      <c r="F55" s="15">
        <f>'24-july-2026'!U55</f>
        <v>0</v>
      </c>
      <c r="G55" s="15">
        <f>'24-july-2026'!V55</f>
        <v>0</v>
      </c>
      <c r="H55" s="15">
        <f t="shared" si="10"/>
        <v>1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5">
        <f t="shared" si="11"/>
        <v>1</v>
      </c>
      <c r="T55" s="15">
        <f t="shared" si="12"/>
        <v>1</v>
      </c>
      <c r="U55" s="15">
        <f t="shared" si="13"/>
        <v>0</v>
      </c>
      <c r="V55" s="15">
        <f t="shared" si="14"/>
        <v>0</v>
      </c>
      <c r="W55" s="18" t="str">
        <f t="shared" si="15"/>
        <v/>
      </c>
      <c r="X55" s="17">
        <v>0</v>
      </c>
      <c r="Y55" s="17">
        <v>0</v>
      </c>
      <c r="Z55" s="15">
        <f t="shared" si="16"/>
        <v>0</v>
      </c>
      <c r="AA55" s="17">
        <v>0</v>
      </c>
      <c r="AB55" s="17">
        <v>0</v>
      </c>
      <c r="AC55" s="15">
        <f t="shared" si="17"/>
        <v>0</v>
      </c>
      <c r="AD55" s="17">
        <v>0</v>
      </c>
      <c r="AE55" s="17">
        <v>0</v>
      </c>
      <c r="AF55" s="15">
        <f t="shared" si="18"/>
        <v>0</v>
      </c>
      <c r="AG55" s="17">
        <v>0</v>
      </c>
      <c r="AH55" s="17">
        <v>0</v>
      </c>
      <c r="AI55" s="15">
        <f t="shared" si="19"/>
        <v>0</v>
      </c>
      <c r="AJ55" s="17"/>
    </row>
    <row r="56" spans="1:36" x14ac:dyDescent="0.3">
      <c r="A56" s="15" t="s">
        <v>103</v>
      </c>
      <c r="B56" s="15">
        <v>1000</v>
      </c>
      <c r="C56" s="15" t="s">
        <v>54</v>
      </c>
      <c r="D56" s="15" t="s">
        <v>68</v>
      </c>
      <c r="E56" s="15">
        <f>'24-july-2026'!T56</f>
        <v>1</v>
      </c>
      <c r="F56" s="15">
        <f>'24-july-2026'!U56</f>
        <v>0</v>
      </c>
      <c r="G56" s="15">
        <f>'24-july-2026'!V56</f>
        <v>0</v>
      </c>
      <c r="H56" s="15">
        <f t="shared" si="10"/>
        <v>1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5">
        <f t="shared" si="11"/>
        <v>1</v>
      </c>
      <c r="T56" s="15">
        <f t="shared" si="12"/>
        <v>1</v>
      </c>
      <c r="U56" s="15">
        <f t="shared" si="13"/>
        <v>0</v>
      </c>
      <c r="V56" s="15">
        <f t="shared" si="14"/>
        <v>0</v>
      </c>
      <c r="W56" s="18" t="str">
        <f t="shared" si="15"/>
        <v/>
      </c>
      <c r="X56" s="17">
        <v>0</v>
      </c>
      <c r="Y56" s="17">
        <v>0</v>
      </c>
      <c r="Z56" s="15">
        <f t="shared" si="16"/>
        <v>0</v>
      </c>
      <c r="AA56" s="17">
        <v>0</v>
      </c>
      <c r="AB56" s="17">
        <v>0</v>
      </c>
      <c r="AC56" s="15">
        <f t="shared" si="17"/>
        <v>0</v>
      </c>
      <c r="AD56" s="17">
        <v>0</v>
      </c>
      <c r="AE56" s="17">
        <v>0</v>
      </c>
      <c r="AF56" s="15">
        <f t="shared" si="18"/>
        <v>0</v>
      </c>
      <c r="AG56" s="17">
        <v>0</v>
      </c>
      <c r="AH56" s="17">
        <v>0</v>
      </c>
      <c r="AI56" s="15">
        <f t="shared" si="19"/>
        <v>0</v>
      </c>
      <c r="AJ56" s="17"/>
    </row>
    <row r="57" spans="1:36" hidden="1" x14ac:dyDescent="0.3">
      <c r="A57" s="15" t="s">
        <v>104</v>
      </c>
      <c r="B57" s="15">
        <v>1000</v>
      </c>
      <c r="C57" s="15" t="s">
        <v>54</v>
      </c>
      <c r="D57" s="15" t="s">
        <v>55</v>
      </c>
      <c r="E57" s="15">
        <f>'24-july-2026'!T57</f>
        <v>0</v>
      </c>
      <c r="F57" s="15">
        <f>'24-july-2026'!U57</f>
        <v>2</v>
      </c>
      <c r="G57" s="15">
        <f>'24-july-2026'!V57</f>
        <v>0</v>
      </c>
      <c r="H57" s="15">
        <f t="shared" si="10"/>
        <v>2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5">
        <f t="shared" si="11"/>
        <v>2</v>
      </c>
      <c r="T57" s="15">
        <f t="shared" si="12"/>
        <v>0</v>
      </c>
      <c r="U57" s="15">
        <f t="shared" si="13"/>
        <v>2</v>
      </c>
      <c r="V57" s="15">
        <f t="shared" si="14"/>
        <v>0</v>
      </c>
      <c r="W57" s="18" t="str">
        <f t="shared" si="15"/>
        <v/>
      </c>
      <c r="X57" s="17">
        <v>0</v>
      </c>
      <c r="Y57" s="17">
        <v>0</v>
      </c>
      <c r="Z57" s="15">
        <f t="shared" si="16"/>
        <v>0</v>
      </c>
      <c r="AA57" s="17">
        <v>0</v>
      </c>
      <c r="AB57" s="17">
        <v>0</v>
      </c>
      <c r="AC57" s="15">
        <f t="shared" si="17"/>
        <v>0</v>
      </c>
      <c r="AD57" s="17">
        <v>0</v>
      </c>
      <c r="AE57" s="17">
        <v>0</v>
      </c>
      <c r="AF57" s="15">
        <f t="shared" si="18"/>
        <v>0</v>
      </c>
      <c r="AG57" s="17">
        <v>0</v>
      </c>
      <c r="AH57" s="17">
        <v>0</v>
      </c>
      <c r="AI57" s="15">
        <f t="shared" si="19"/>
        <v>0</v>
      </c>
      <c r="AJ57" s="17"/>
    </row>
    <row r="58" spans="1:36" x14ac:dyDescent="0.3">
      <c r="A58" s="15" t="s">
        <v>105</v>
      </c>
      <c r="B58" s="15">
        <v>100000</v>
      </c>
      <c r="C58" s="15" t="s">
        <v>54</v>
      </c>
      <c r="D58" s="15" t="s">
        <v>68</v>
      </c>
      <c r="E58" s="15">
        <f>'24-july-2026'!T58</f>
        <v>2</v>
      </c>
      <c r="F58" s="15">
        <f>'24-july-2026'!U58</f>
        <v>0</v>
      </c>
      <c r="G58" s="15">
        <f>'24-july-2026'!V58</f>
        <v>0</v>
      </c>
      <c r="H58" s="15">
        <f t="shared" si="10"/>
        <v>2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5">
        <f t="shared" si="11"/>
        <v>2</v>
      </c>
      <c r="T58" s="15">
        <f t="shared" si="12"/>
        <v>2</v>
      </c>
      <c r="U58" s="15">
        <f t="shared" si="13"/>
        <v>0</v>
      </c>
      <c r="V58" s="15">
        <f t="shared" si="14"/>
        <v>0</v>
      </c>
      <c r="W58" s="18" t="str">
        <f t="shared" si="15"/>
        <v/>
      </c>
      <c r="X58" s="17">
        <v>0</v>
      </c>
      <c r="Y58" s="17">
        <v>0</v>
      </c>
      <c r="Z58" s="15">
        <f t="shared" si="16"/>
        <v>0</v>
      </c>
      <c r="AA58" s="17">
        <v>0</v>
      </c>
      <c r="AB58" s="17">
        <v>0</v>
      </c>
      <c r="AC58" s="15">
        <f t="shared" si="17"/>
        <v>0</v>
      </c>
      <c r="AD58" s="17">
        <v>0</v>
      </c>
      <c r="AE58" s="17">
        <v>0</v>
      </c>
      <c r="AF58" s="15">
        <f t="shared" si="18"/>
        <v>0</v>
      </c>
      <c r="AG58" s="17">
        <v>0</v>
      </c>
      <c r="AH58" s="17">
        <v>0</v>
      </c>
      <c r="AI58" s="15">
        <f t="shared" si="19"/>
        <v>0</v>
      </c>
      <c r="AJ58" s="17"/>
    </row>
    <row r="59" spans="1:36" hidden="1" x14ac:dyDescent="0.3">
      <c r="A59" s="15" t="s">
        <v>106</v>
      </c>
      <c r="B59" s="15">
        <v>100</v>
      </c>
      <c r="C59" s="15" t="s">
        <v>54</v>
      </c>
      <c r="D59" s="15" t="s">
        <v>55</v>
      </c>
      <c r="E59" s="15">
        <f>'24-july-2026'!T59</f>
        <v>6</v>
      </c>
      <c r="F59" s="15">
        <f>'24-july-2026'!U59</f>
        <v>0</v>
      </c>
      <c r="G59" s="15">
        <f>'24-july-2026'!V59</f>
        <v>0</v>
      </c>
      <c r="H59" s="15">
        <f t="shared" si="10"/>
        <v>6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5">
        <f t="shared" si="11"/>
        <v>6</v>
      </c>
      <c r="T59" s="15">
        <f t="shared" si="12"/>
        <v>6</v>
      </c>
      <c r="U59" s="15">
        <f t="shared" si="13"/>
        <v>0</v>
      </c>
      <c r="V59" s="15">
        <f t="shared" si="14"/>
        <v>0</v>
      </c>
      <c r="W59" s="18" t="str">
        <f t="shared" si="15"/>
        <v/>
      </c>
      <c r="X59" s="17">
        <v>0</v>
      </c>
      <c r="Y59" s="17">
        <v>0</v>
      </c>
      <c r="Z59" s="15">
        <f t="shared" si="16"/>
        <v>0</v>
      </c>
      <c r="AA59" s="17">
        <v>0</v>
      </c>
      <c r="AB59" s="17">
        <v>0</v>
      </c>
      <c r="AC59" s="15">
        <f t="shared" si="17"/>
        <v>0</v>
      </c>
      <c r="AD59" s="17">
        <v>0</v>
      </c>
      <c r="AE59" s="17">
        <v>0</v>
      </c>
      <c r="AF59" s="15">
        <f t="shared" si="18"/>
        <v>0</v>
      </c>
      <c r="AG59" s="17">
        <v>0</v>
      </c>
      <c r="AH59" s="17">
        <v>0</v>
      </c>
      <c r="AI59" s="15">
        <f t="shared" si="19"/>
        <v>0</v>
      </c>
      <c r="AJ59" s="17"/>
    </row>
    <row r="60" spans="1:36" x14ac:dyDescent="0.3">
      <c r="A60" s="15" t="s">
        <v>107</v>
      </c>
      <c r="B60" s="15">
        <v>100000</v>
      </c>
      <c r="C60" s="15" t="s">
        <v>54</v>
      </c>
      <c r="D60" s="15" t="s">
        <v>68</v>
      </c>
      <c r="E60" s="15">
        <f>'24-july-2026'!T60</f>
        <v>5</v>
      </c>
      <c r="F60" s="15">
        <f>'24-july-2026'!U60</f>
        <v>0</v>
      </c>
      <c r="G60" s="15">
        <f>'24-july-2026'!V60</f>
        <v>0</v>
      </c>
      <c r="H60" s="15">
        <f t="shared" si="10"/>
        <v>5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5">
        <f t="shared" si="11"/>
        <v>5</v>
      </c>
      <c r="T60" s="15">
        <f t="shared" si="12"/>
        <v>5</v>
      </c>
      <c r="U60" s="15">
        <f t="shared" si="13"/>
        <v>0</v>
      </c>
      <c r="V60" s="15">
        <f t="shared" si="14"/>
        <v>0</v>
      </c>
      <c r="W60" s="18" t="str">
        <f t="shared" si="15"/>
        <v/>
      </c>
      <c r="X60" s="17">
        <v>0</v>
      </c>
      <c r="Y60" s="17">
        <v>0</v>
      </c>
      <c r="Z60" s="15">
        <f t="shared" si="16"/>
        <v>0</v>
      </c>
      <c r="AA60" s="17">
        <v>0</v>
      </c>
      <c r="AB60" s="17">
        <v>0</v>
      </c>
      <c r="AC60" s="15">
        <f t="shared" si="17"/>
        <v>0</v>
      </c>
      <c r="AD60" s="17">
        <v>0</v>
      </c>
      <c r="AE60" s="17">
        <v>0</v>
      </c>
      <c r="AF60" s="15">
        <f t="shared" si="18"/>
        <v>0</v>
      </c>
      <c r="AG60" s="17">
        <v>0</v>
      </c>
      <c r="AH60" s="17">
        <v>0</v>
      </c>
      <c r="AI60" s="15">
        <f t="shared" si="19"/>
        <v>0</v>
      </c>
      <c r="AJ60" s="17"/>
    </row>
    <row r="61" spans="1:36" x14ac:dyDescent="0.3">
      <c r="A61" s="15" t="s">
        <v>108</v>
      </c>
      <c r="B61" s="15">
        <v>100</v>
      </c>
      <c r="C61" s="15" t="s">
        <v>54</v>
      </c>
      <c r="D61" s="15" t="s">
        <v>68</v>
      </c>
      <c r="E61" s="15">
        <f>'24-july-2026'!T61</f>
        <v>3</v>
      </c>
      <c r="F61" s="15">
        <f>'24-july-2026'!U61</f>
        <v>0</v>
      </c>
      <c r="G61" s="15">
        <f>'24-july-2026'!V61</f>
        <v>0</v>
      </c>
      <c r="H61" s="15">
        <f t="shared" si="10"/>
        <v>3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5">
        <f t="shared" si="11"/>
        <v>3</v>
      </c>
      <c r="T61" s="15">
        <f t="shared" si="12"/>
        <v>3</v>
      </c>
      <c r="U61" s="15">
        <f t="shared" si="13"/>
        <v>0</v>
      </c>
      <c r="V61" s="15">
        <f t="shared" si="14"/>
        <v>0</v>
      </c>
      <c r="W61" s="18" t="str">
        <f t="shared" si="15"/>
        <v/>
      </c>
      <c r="X61" s="17">
        <v>0</v>
      </c>
      <c r="Y61" s="17">
        <v>0</v>
      </c>
      <c r="Z61" s="15">
        <f t="shared" si="16"/>
        <v>0</v>
      </c>
      <c r="AA61" s="17">
        <v>0</v>
      </c>
      <c r="AB61" s="17">
        <v>0</v>
      </c>
      <c r="AC61" s="15">
        <f t="shared" si="17"/>
        <v>0</v>
      </c>
      <c r="AD61" s="17">
        <v>0</v>
      </c>
      <c r="AE61" s="17">
        <v>0</v>
      </c>
      <c r="AF61" s="15">
        <f t="shared" si="18"/>
        <v>0</v>
      </c>
      <c r="AG61" s="17">
        <v>0</v>
      </c>
      <c r="AH61" s="17">
        <v>0</v>
      </c>
      <c r="AI61" s="15">
        <f t="shared" si="19"/>
        <v>0</v>
      </c>
      <c r="AJ61" s="17"/>
    </row>
    <row r="62" spans="1:36" hidden="1" x14ac:dyDescent="0.3">
      <c r="A62" s="15" t="s">
        <v>109</v>
      </c>
      <c r="B62" s="15">
        <v>0</v>
      </c>
      <c r="C62" s="15" t="s">
        <v>110</v>
      </c>
      <c r="D62" s="15" t="s">
        <v>55</v>
      </c>
      <c r="E62" s="15">
        <v>0</v>
      </c>
      <c r="F62" s="15">
        <v>0</v>
      </c>
      <c r="G62" s="15">
        <v>0</v>
      </c>
      <c r="H62" s="15">
        <f t="shared" si="10"/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5">
        <f t="shared" si="11"/>
        <v>0</v>
      </c>
      <c r="T62" s="15">
        <f t="shared" si="12"/>
        <v>0</v>
      </c>
      <c r="U62" s="15">
        <f t="shared" si="13"/>
        <v>0</v>
      </c>
      <c r="V62" s="15">
        <f t="shared" si="14"/>
        <v>0</v>
      </c>
      <c r="W62" s="18" t="str">
        <f t="shared" si="15"/>
        <v/>
      </c>
      <c r="X62" s="17">
        <v>0</v>
      </c>
      <c r="Y62" s="17">
        <v>0</v>
      </c>
      <c r="Z62" s="15">
        <f t="shared" si="16"/>
        <v>0</v>
      </c>
      <c r="AA62" s="17">
        <v>0</v>
      </c>
      <c r="AB62" s="17">
        <v>0</v>
      </c>
      <c r="AC62" s="15">
        <f t="shared" si="17"/>
        <v>0</v>
      </c>
      <c r="AD62" s="17">
        <v>0</v>
      </c>
      <c r="AE62" s="17">
        <v>0</v>
      </c>
      <c r="AF62" s="15">
        <f t="shared" si="18"/>
        <v>0</v>
      </c>
      <c r="AG62" s="17">
        <v>0</v>
      </c>
      <c r="AH62" s="17">
        <v>0</v>
      </c>
      <c r="AI62" s="15">
        <f t="shared" si="19"/>
        <v>0</v>
      </c>
      <c r="AJ62" s="17"/>
    </row>
    <row r="63" spans="1:36" x14ac:dyDescent="0.3">
      <c r="A63" s="15" t="s">
        <v>111</v>
      </c>
      <c r="B63" s="15">
        <v>1000</v>
      </c>
      <c r="C63" s="15" t="s">
        <v>54</v>
      </c>
      <c r="D63" s="15" t="s">
        <v>68</v>
      </c>
      <c r="E63" s="15">
        <f>'24-july-2026'!T63</f>
        <v>3</v>
      </c>
      <c r="F63" s="15">
        <f>'24-july-2026'!U63</f>
        <v>0</v>
      </c>
      <c r="G63" s="15">
        <f>'24-july-2026'!V63</f>
        <v>0</v>
      </c>
      <c r="H63" s="15">
        <f t="shared" si="10"/>
        <v>3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5">
        <f t="shared" si="11"/>
        <v>3</v>
      </c>
      <c r="T63" s="15">
        <f t="shared" si="12"/>
        <v>3</v>
      </c>
      <c r="U63" s="15">
        <f t="shared" si="13"/>
        <v>0</v>
      </c>
      <c r="V63" s="15">
        <f t="shared" si="14"/>
        <v>0</v>
      </c>
      <c r="W63" s="18" t="str">
        <f t="shared" si="15"/>
        <v/>
      </c>
      <c r="X63" s="17">
        <v>0</v>
      </c>
      <c r="Y63" s="17">
        <v>0</v>
      </c>
      <c r="Z63" s="15">
        <f t="shared" si="16"/>
        <v>0</v>
      </c>
      <c r="AA63" s="17">
        <v>0</v>
      </c>
      <c r="AB63" s="17">
        <v>0</v>
      </c>
      <c r="AC63" s="15">
        <f t="shared" si="17"/>
        <v>0</v>
      </c>
      <c r="AD63" s="17">
        <v>0</v>
      </c>
      <c r="AE63" s="17">
        <v>0</v>
      </c>
      <c r="AF63" s="15">
        <f t="shared" si="18"/>
        <v>0</v>
      </c>
      <c r="AG63" s="17">
        <v>0</v>
      </c>
      <c r="AH63" s="17">
        <v>0</v>
      </c>
      <c r="AI63" s="15">
        <f t="shared" si="19"/>
        <v>0</v>
      </c>
      <c r="AJ63" s="17"/>
    </row>
    <row r="64" spans="1:36" x14ac:dyDescent="0.3">
      <c r="A64" s="15" t="s">
        <v>112</v>
      </c>
      <c r="B64" s="15">
        <v>1000</v>
      </c>
      <c r="C64" s="15" t="s">
        <v>54</v>
      </c>
      <c r="D64" s="15" t="s">
        <v>68</v>
      </c>
      <c r="E64" s="15">
        <f>'24-july-2026'!T64</f>
        <v>2</v>
      </c>
      <c r="F64" s="15">
        <f>'24-july-2026'!U64</f>
        <v>0</v>
      </c>
      <c r="G64" s="15">
        <f>'24-july-2026'!V64</f>
        <v>0</v>
      </c>
      <c r="H64" s="15">
        <f t="shared" si="10"/>
        <v>2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5">
        <f t="shared" si="11"/>
        <v>2</v>
      </c>
      <c r="T64" s="15">
        <f t="shared" si="12"/>
        <v>2</v>
      </c>
      <c r="U64" s="15">
        <f t="shared" si="13"/>
        <v>0</v>
      </c>
      <c r="V64" s="15">
        <f t="shared" si="14"/>
        <v>0</v>
      </c>
      <c r="W64" s="18" t="str">
        <f t="shared" si="15"/>
        <v/>
      </c>
      <c r="X64" s="17">
        <v>0</v>
      </c>
      <c r="Y64" s="17">
        <v>0</v>
      </c>
      <c r="Z64" s="15">
        <f t="shared" si="16"/>
        <v>0</v>
      </c>
      <c r="AA64" s="17">
        <v>0</v>
      </c>
      <c r="AB64" s="17">
        <v>0</v>
      </c>
      <c r="AC64" s="15">
        <f t="shared" si="17"/>
        <v>0</v>
      </c>
      <c r="AD64" s="17">
        <v>0</v>
      </c>
      <c r="AE64" s="17">
        <v>0</v>
      </c>
      <c r="AF64" s="15">
        <f t="shared" si="18"/>
        <v>0</v>
      </c>
      <c r="AG64" s="17">
        <v>0</v>
      </c>
      <c r="AH64" s="17">
        <v>0</v>
      </c>
      <c r="AI64" s="15">
        <f t="shared" si="19"/>
        <v>0</v>
      </c>
      <c r="AJ64" s="17"/>
    </row>
    <row r="65" spans="1:36" x14ac:dyDescent="0.3">
      <c r="A65" s="15" t="s">
        <v>113</v>
      </c>
      <c r="B65" s="15">
        <v>1000</v>
      </c>
      <c r="C65" s="15" t="s">
        <v>54</v>
      </c>
      <c r="D65" s="15" t="s">
        <v>68</v>
      </c>
      <c r="E65" s="15">
        <f>'24-july-2026'!T65</f>
        <v>4</v>
      </c>
      <c r="F65" s="15">
        <f>'24-july-2026'!U65</f>
        <v>0</v>
      </c>
      <c r="G65" s="15">
        <f>'24-july-2026'!V65</f>
        <v>0</v>
      </c>
      <c r="H65" s="15">
        <f t="shared" si="10"/>
        <v>4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5">
        <f t="shared" si="11"/>
        <v>4</v>
      </c>
      <c r="T65" s="15">
        <f t="shared" si="12"/>
        <v>4</v>
      </c>
      <c r="U65" s="15">
        <f t="shared" si="13"/>
        <v>0</v>
      </c>
      <c r="V65" s="15">
        <f t="shared" si="14"/>
        <v>0</v>
      </c>
      <c r="W65" s="18" t="str">
        <f t="shared" si="15"/>
        <v/>
      </c>
      <c r="X65" s="17">
        <v>0</v>
      </c>
      <c r="Y65" s="17">
        <v>0</v>
      </c>
      <c r="Z65" s="15">
        <f t="shared" si="16"/>
        <v>0</v>
      </c>
      <c r="AA65" s="17">
        <v>0</v>
      </c>
      <c r="AB65" s="17">
        <v>0</v>
      </c>
      <c r="AC65" s="15">
        <f t="shared" si="17"/>
        <v>0</v>
      </c>
      <c r="AD65" s="17">
        <v>0</v>
      </c>
      <c r="AE65" s="17">
        <v>0</v>
      </c>
      <c r="AF65" s="15">
        <f t="shared" si="18"/>
        <v>0</v>
      </c>
      <c r="AG65" s="17">
        <v>0</v>
      </c>
      <c r="AH65" s="17">
        <v>0</v>
      </c>
      <c r="AI65" s="15">
        <f t="shared" si="19"/>
        <v>0</v>
      </c>
      <c r="AJ65" s="17"/>
    </row>
    <row r="66" spans="1:36" x14ac:dyDescent="0.3">
      <c r="A66" s="15" t="s">
        <v>114</v>
      </c>
      <c r="B66" s="15">
        <v>100</v>
      </c>
      <c r="C66" s="15" t="s">
        <v>54</v>
      </c>
      <c r="D66" s="15" t="s">
        <v>57</v>
      </c>
      <c r="E66" s="15">
        <f>'24-july-2026'!T66</f>
        <v>4</v>
      </c>
      <c r="F66" s="15">
        <f>'24-july-2026'!U66</f>
        <v>0</v>
      </c>
      <c r="G66" s="15">
        <f>'24-july-2026'!V66</f>
        <v>0</v>
      </c>
      <c r="H66" s="15">
        <f t="shared" si="10"/>
        <v>4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5">
        <f t="shared" si="11"/>
        <v>4</v>
      </c>
      <c r="T66" s="15">
        <f t="shared" si="12"/>
        <v>4</v>
      </c>
      <c r="U66" s="15">
        <f t="shared" si="13"/>
        <v>0</v>
      </c>
      <c r="V66" s="15">
        <f t="shared" si="14"/>
        <v>0</v>
      </c>
      <c r="W66" s="18" t="str">
        <f t="shared" si="15"/>
        <v/>
      </c>
      <c r="X66" s="17">
        <v>0</v>
      </c>
      <c r="Y66" s="17">
        <v>0</v>
      </c>
      <c r="Z66" s="15">
        <f t="shared" si="16"/>
        <v>0</v>
      </c>
      <c r="AA66" s="17">
        <v>0</v>
      </c>
      <c r="AB66" s="17">
        <v>0</v>
      </c>
      <c r="AC66" s="15">
        <f t="shared" si="17"/>
        <v>0</v>
      </c>
      <c r="AD66" s="17">
        <v>0</v>
      </c>
      <c r="AE66" s="17">
        <v>0</v>
      </c>
      <c r="AF66" s="15">
        <f t="shared" si="18"/>
        <v>0</v>
      </c>
      <c r="AG66" s="17">
        <v>0</v>
      </c>
      <c r="AH66" s="17">
        <v>0</v>
      </c>
      <c r="AI66" s="15">
        <f t="shared" si="19"/>
        <v>0</v>
      </c>
      <c r="AJ66" s="17"/>
    </row>
    <row r="67" spans="1:36" hidden="1" x14ac:dyDescent="0.3">
      <c r="A67" s="15" t="s">
        <v>115</v>
      </c>
      <c r="B67" s="15">
        <v>1000</v>
      </c>
      <c r="C67" s="15" t="s">
        <v>54</v>
      </c>
      <c r="D67" s="15" t="s">
        <v>55</v>
      </c>
      <c r="E67" s="15">
        <f>'24-july-2026'!T67</f>
        <v>2</v>
      </c>
      <c r="F67" s="15">
        <f>'24-july-2026'!U67</f>
        <v>0</v>
      </c>
      <c r="G67" s="15">
        <f>'24-july-2026'!V67</f>
        <v>0</v>
      </c>
      <c r="H67" s="15">
        <f t="shared" ref="H67:H98" si="20">E67+F67+G67</f>
        <v>2</v>
      </c>
      <c r="I67" s="17">
        <v>1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5">
        <f t="shared" ref="S67:S98" si="21">H67+O67+P67+Q67+R67-(I67+J67+K67+L67+M67+N67)</f>
        <v>1</v>
      </c>
      <c r="T67" s="15">
        <f t="shared" ref="T67:T98" si="22">E67+O67-I67-L67</f>
        <v>1</v>
      </c>
      <c r="U67" s="15">
        <f t="shared" ref="U67:U98" si="23">F67+P67-J67-M67</f>
        <v>0</v>
      </c>
      <c r="V67" s="15">
        <f t="shared" ref="V67:V98" si="24">G67+Q67-K67-N67</f>
        <v>0</v>
      </c>
      <c r="W67" s="18" t="str">
        <f t="shared" ref="W67:W98" si="25">IF(MIN(T67,U67,V67)&lt;0,"NEGATIVE STOCK - CHECK ENTRIES","")</f>
        <v/>
      </c>
      <c r="X67" s="17">
        <v>0</v>
      </c>
      <c r="Y67" s="17">
        <v>0</v>
      </c>
      <c r="Z67" s="15">
        <f t="shared" ref="Z67:Z98" si="26">X67-Y67</f>
        <v>0</v>
      </c>
      <c r="AA67" s="17">
        <v>0</v>
      </c>
      <c r="AB67" s="17">
        <v>0</v>
      </c>
      <c r="AC67" s="15">
        <f t="shared" ref="AC67:AC98" si="27">AA67-AB67</f>
        <v>0</v>
      </c>
      <c r="AD67" s="17">
        <v>0</v>
      </c>
      <c r="AE67" s="17">
        <v>0</v>
      </c>
      <c r="AF67" s="15">
        <f t="shared" ref="AF67:AF98" si="28">AD67-AE67</f>
        <v>0</v>
      </c>
      <c r="AG67" s="17">
        <v>0</v>
      </c>
      <c r="AH67" s="17">
        <v>0</v>
      </c>
      <c r="AI67" s="15">
        <f t="shared" ref="AI67:AI98" si="29">AG67-AH67</f>
        <v>0</v>
      </c>
      <c r="AJ67" s="17"/>
    </row>
    <row r="68" spans="1:36" x14ac:dyDescent="0.3">
      <c r="A68" s="15" t="s">
        <v>116</v>
      </c>
      <c r="B68" s="15">
        <v>5000</v>
      </c>
      <c r="C68" s="15" t="s">
        <v>54</v>
      </c>
      <c r="D68" s="15" t="s">
        <v>68</v>
      </c>
      <c r="E68" s="15">
        <f>'24-july-2026'!T68</f>
        <v>1</v>
      </c>
      <c r="F68" s="15">
        <f>'24-july-2026'!U68</f>
        <v>0</v>
      </c>
      <c r="G68" s="15">
        <f>'24-july-2026'!V68</f>
        <v>0</v>
      </c>
      <c r="H68" s="15">
        <f t="shared" si="20"/>
        <v>1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5">
        <f t="shared" si="21"/>
        <v>1</v>
      </c>
      <c r="T68" s="15">
        <f t="shared" si="22"/>
        <v>1</v>
      </c>
      <c r="U68" s="15">
        <f t="shared" si="23"/>
        <v>0</v>
      </c>
      <c r="V68" s="15">
        <f t="shared" si="24"/>
        <v>0</v>
      </c>
      <c r="W68" s="18" t="str">
        <f t="shared" si="25"/>
        <v/>
      </c>
      <c r="X68" s="17">
        <v>0</v>
      </c>
      <c r="Y68" s="17">
        <v>0</v>
      </c>
      <c r="Z68" s="15">
        <f t="shared" si="26"/>
        <v>0</v>
      </c>
      <c r="AA68" s="17">
        <v>0</v>
      </c>
      <c r="AB68" s="17">
        <v>0</v>
      </c>
      <c r="AC68" s="15">
        <f t="shared" si="27"/>
        <v>0</v>
      </c>
      <c r="AD68" s="17">
        <v>0</v>
      </c>
      <c r="AE68" s="17">
        <v>0</v>
      </c>
      <c r="AF68" s="15">
        <f t="shared" si="28"/>
        <v>0</v>
      </c>
      <c r="AG68" s="17">
        <v>0</v>
      </c>
      <c r="AH68" s="17">
        <v>0</v>
      </c>
      <c r="AI68" s="15">
        <f t="shared" si="29"/>
        <v>0</v>
      </c>
      <c r="AJ68" s="17"/>
    </row>
    <row r="69" spans="1:36" x14ac:dyDescent="0.3">
      <c r="A69" s="15" t="s">
        <v>117</v>
      </c>
      <c r="B69" s="15">
        <v>100</v>
      </c>
      <c r="C69" s="15" t="s">
        <v>54</v>
      </c>
      <c r="D69" s="15" t="s">
        <v>57</v>
      </c>
      <c r="E69" s="15">
        <f>'24-july-2026'!T69</f>
        <v>10</v>
      </c>
      <c r="F69" s="15">
        <f>'24-july-2026'!U69</f>
        <v>0</v>
      </c>
      <c r="G69" s="15">
        <f>'24-july-2026'!V69</f>
        <v>0</v>
      </c>
      <c r="H69" s="15">
        <f t="shared" si="20"/>
        <v>10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5">
        <f t="shared" si="21"/>
        <v>10</v>
      </c>
      <c r="T69" s="15">
        <f t="shared" si="22"/>
        <v>10</v>
      </c>
      <c r="U69" s="15">
        <f t="shared" si="23"/>
        <v>0</v>
      </c>
      <c r="V69" s="15">
        <f t="shared" si="24"/>
        <v>0</v>
      </c>
      <c r="W69" s="18" t="str">
        <f t="shared" si="25"/>
        <v/>
      </c>
      <c r="X69" s="17">
        <v>0</v>
      </c>
      <c r="Y69" s="17">
        <v>0</v>
      </c>
      <c r="Z69" s="15">
        <f t="shared" si="26"/>
        <v>0</v>
      </c>
      <c r="AA69" s="17">
        <v>0</v>
      </c>
      <c r="AB69" s="17">
        <v>0</v>
      </c>
      <c r="AC69" s="15">
        <f t="shared" si="27"/>
        <v>0</v>
      </c>
      <c r="AD69" s="17">
        <v>0</v>
      </c>
      <c r="AE69" s="17">
        <v>0</v>
      </c>
      <c r="AF69" s="15">
        <f t="shared" si="28"/>
        <v>0</v>
      </c>
      <c r="AG69" s="17">
        <v>0</v>
      </c>
      <c r="AH69" s="17">
        <v>0</v>
      </c>
      <c r="AI69" s="15">
        <f t="shared" si="29"/>
        <v>0</v>
      </c>
      <c r="AJ69" s="17"/>
    </row>
    <row r="70" spans="1:36" x14ac:dyDescent="0.3">
      <c r="A70" s="15" t="s">
        <v>118</v>
      </c>
      <c r="B70" s="15">
        <v>5000</v>
      </c>
      <c r="C70" s="15" t="s">
        <v>54</v>
      </c>
      <c r="D70" s="15" t="s">
        <v>68</v>
      </c>
      <c r="E70" s="15">
        <f>'24-july-2026'!T70</f>
        <v>3</v>
      </c>
      <c r="F70" s="15">
        <f>'24-july-2026'!U70</f>
        <v>0</v>
      </c>
      <c r="G70" s="15">
        <f>'24-july-2026'!V70</f>
        <v>0</v>
      </c>
      <c r="H70" s="15">
        <f t="shared" si="20"/>
        <v>3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5">
        <f t="shared" si="21"/>
        <v>3</v>
      </c>
      <c r="T70" s="15">
        <f t="shared" si="22"/>
        <v>3</v>
      </c>
      <c r="U70" s="15">
        <f t="shared" si="23"/>
        <v>0</v>
      </c>
      <c r="V70" s="15">
        <f t="shared" si="24"/>
        <v>0</v>
      </c>
      <c r="W70" s="18" t="str">
        <f t="shared" si="25"/>
        <v/>
      </c>
      <c r="X70" s="17">
        <v>0</v>
      </c>
      <c r="Y70" s="17">
        <v>0</v>
      </c>
      <c r="Z70" s="15">
        <f t="shared" si="26"/>
        <v>0</v>
      </c>
      <c r="AA70" s="17">
        <v>0</v>
      </c>
      <c r="AB70" s="17">
        <v>0</v>
      </c>
      <c r="AC70" s="15">
        <f t="shared" si="27"/>
        <v>0</v>
      </c>
      <c r="AD70" s="17">
        <v>0</v>
      </c>
      <c r="AE70" s="17">
        <v>0</v>
      </c>
      <c r="AF70" s="15">
        <f t="shared" si="28"/>
        <v>0</v>
      </c>
      <c r="AG70" s="17">
        <v>0</v>
      </c>
      <c r="AH70" s="17">
        <v>0</v>
      </c>
      <c r="AI70" s="15">
        <f t="shared" si="29"/>
        <v>0</v>
      </c>
      <c r="AJ70" s="17"/>
    </row>
    <row r="71" spans="1:36" x14ac:dyDescent="0.3">
      <c r="A71" s="15" t="s">
        <v>119</v>
      </c>
      <c r="B71" s="15">
        <v>100</v>
      </c>
      <c r="C71" s="15" t="s">
        <v>54</v>
      </c>
      <c r="D71" s="15" t="s">
        <v>68</v>
      </c>
      <c r="E71" s="15">
        <f>'24-july-2026'!T71</f>
        <v>2</v>
      </c>
      <c r="F71" s="15">
        <f>'24-july-2026'!U71</f>
        <v>0</v>
      </c>
      <c r="G71" s="15">
        <f>'24-july-2026'!V71</f>
        <v>0</v>
      </c>
      <c r="H71" s="15">
        <f t="shared" si="20"/>
        <v>2</v>
      </c>
      <c r="I71" s="17">
        <v>2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5">
        <f t="shared" si="21"/>
        <v>0</v>
      </c>
      <c r="T71" s="15">
        <f t="shared" si="22"/>
        <v>0</v>
      </c>
      <c r="U71" s="15">
        <f t="shared" si="23"/>
        <v>0</v>
      </c>
      <c r="V71" s="15">
        <f t="shared" si="24"/>
        <v>0</v>
      </c>
      <c r="W71" s="18" t="str">
        <f t="shared" si="25"/>
        <v/>
      </c>
      <c r="X71" s="17">
        <v>0</v>
      </c>
      <c r="Y71" s="17">
        <v>0</v>
      </c>
      <c r="Z71" s="15">
        <f t="shared" si="26"/>
        <v>0</v>
      </c>
      <c r="AA71" s="17">
        <v>0</v>
      </c>
      <c r="AB71" s="17">
        <v>0</v>
      </c>
      <c r="AC71" s="15">
        <f t="shared" si="27"/>
        <v>0</v>
      </c>
      <c r="AD71" s="17">
        <v>0</v>
      </c>
      <c r="AE71" s="17">
        <v>0</v>
      </c>
      <c r="AF71" s="15">
        <f t="shared" si="28"/>
        <v>0</v>
      </c>
      <c r="AG71" s="17">
        <v>0</v>
      </c>
      <c r="AH71" s="17">
        <v>0</v>
      </c>
      <c r="AI71" s="15">
        <f t="shared" si="29"/>
        <v>0</v>
      </c>
      <c r="AJ71" s="17"/>
    </row>
    <row r="72" spans="1:36" x14ac:dyDescent="0.3">
      <c r="A72" s="15" t="s">
        <v>120</v>
      </c>
      <c r="B72" s="15">
        <v>100</v>
      </c>
      <c r="C72" s="15" t="s">
        <v>54</v>
      </c>
      <c r="D72" s="15" t="s">
        <v>57</v>
      </c>
      <c r="E72" s="15">
        <f>'24-july-2026'!T72</f>
        <v>2</v>
      </c>
      <c r="F72" s="15">
        <f>'24-july-2026'!U72</f>
        <v>0</v>
      </c>
      <c r="G72" s="15">
        <f>'24-july-2026'!V72</f>
        <v>0</v>
      </c>
      <c r="H72" s="15">
        <f t="shared" si="20"/>
        <v>2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5">
        <f t="shared" si="21"/>
        <v>2</v>
      </c>
      <c r="T72" s="15">
        <f t="shared" si="22"/>
        <v>2</v>
      </c>
      <c r="U72" s="15">
        <f t="shared" si="23"/>
        <v>0</v>
      </c>
      <c r="V72" s="15">
        <f t="shared" si="24"/>
        <v>0</v>
      </c>
      <c r="W72" s="18" t="str">
        <f t="shared" si="25"/>
        <v/>
      </c>
      <c r="X72" s="17">
        <v>0</v>
      </c>
      <c r="Y72" s="17">
        <v>0</v>
      </c>
      <c r="Z72" s="15">
        <f t="shared" si="26"/>
        <v>0</v>
      </c>
      <c r="AA72" s="17">
        <v>0</v>
      </c>
      <c r="AB72" s="17">
        <v>0</v>
      </c>
      <c r="AC72" s="15">
        <f t="shared" si="27"/>
        <v>0</v>
      </c>
      <c r="AD72" s="17">
        <v>0</v>
      </c>
      <c r="AE72" s="17">
        <v>0</v>
      </c>
      <c r="AF72" s="15">
        <f t="shared" si="28"/>
        <v>0</v>
      </c>
      <c r="AG72" s="17">
        <v>0</v>
      </c>
      <c r="AH72" s="17">
        <v>0</v>
      </c>
      <c r="AI72" s="15">
        <f t="shared" si="29"/>
        <v>0</v>
      </c>
      <c r="AJ72" s="17"/>
    </row>
    <row r="73" spans="1:36" x14ac:dyDescent="0.3">
      <c r="A73" s="15" t="s">
        <v>121</v>
      </c>
      <c r="B73" s="15">
        <v>100</v>
      </c>
      <c r="C73" s="15" t="s">
        <v>54</v>
      </c>
      <c r="D73" s="15" t="s">
        <v>68</v>
      </c>
      <c r="E73" s="15">
        <f>'24-july-2026'!T73</f>
        <v>5</v>
      </c>
      <c r="F73" s="15">
        <f>'24-july-2026'!U73</f>
        <v>0</v>
      </c>
      <c r="G73" s="15">
        <f>'24-july-2026'!V73</f>
        <v>0</v>
      </c>
      <c r="H73" s="15">
        <f t="shared" si="20"/>
        <v>5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5">
        <f t="shared" si="21"/>
        <v>5</v>
      </c>
      <c r="T73" s="15">
        <f t="shared" si="22"/>
        <v>5</v>
      </c>
      <c r="U73" s="15">
        <f t="shared" si="23"/>
        <v>0</v>
      </c>
      <c r="V73" s="15">
        <f t="shared" si="24"/>
        <v>0</v>
      </c>
      <c r="W73" s="18" t="str">
        <f t="shared" si="25"/>
        <v/>
      </c>
      <c r="X73" s="17">
        <v>0</v>
      </c>
      <c r="Y73" s="17">
        <v>0</v>
      </c>
      <c r="Z73" s="15">
        <f t="shared" si="26"/>
        <v>0</v>
      </c>
      <c r="AA73" s="17">
        <v>0</v>
      </c>
      <c r="AB73" s="17">
        <v>0</v>
      </c>
      <c r="AC73" s="15">
        <f t="shared" si="27"/>
        <v>0</v>
      </c>
      <c r="AD73" s="17">
        <v>0</v>
      </c>
      <c r="AE73" s="17">
        <v>0</v>
      </c>
      <c r="AF73" s="15">
        <f t="shared" si="28"/>
        <v>0</v>
      </c>
      <c r="AG73" s="17">
        <v>0</v>
      </c>
      <c r="AH73" s="17">
        <v>0</v>
      </c>
      <c r="AI73" s="15">
        <f t="shared" si="29"/>
        <v>0</v>
      </c>
      <c r="AJ73" s="17"/>
    </row>
    <row r="74" spans="1:36" x14ac:dyDescent="0.3">
      <c r="A74" s="15" t="s">
        <v>122</v>
      </c>
      <c r="B74" s="15">
        <v>1000</v>
      </c>
      <c r="C74" s="15" t="s">
        <v>54</v>
      </c>
      <c r="D74" s="15" t="s">
        <v>68</v>
      </c>
      <c r="E74" s="15">
        <f>'24-july-2026'!T74</f>
        <v>2</v>
      </c>
      <c r="F74" s="15">
        <f>'24-july-2026'!U74</f>
        <v>0</v>
      </c>
      <c r="G74" s="15">
        <f>'24-july-2026'!V74</f>
        <v>0</v>
      </c>
      <c r="H74" s="15">
        <f t="shared" si="20"/>
        <v>2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5">
        <f t="shared" si="21"/>
        <v>2</v>
      </c>
      <c r="T74" s="15">
        <f t="shared" si="22"/>
        <v>2</v>
      </c>
      <c r="U74" s="15">
        <f t="shared" si="23"/>
        <v>0</v>
      </c>
      <c r="V74" s="15">
        <f t="shared" si="24"/>
        <v>0</v>
      </c>
      <c r="W74" s="18" t="str">
        <f t="shared" si="25"/>
        <v/>
      </c>
      <c r="X74" s="17">
        <v>0</v>
      </c>
      <c r="Y74" s="17">
        <v>0</v>
      </c>
      <c r="Z74" s="15">
        <f t="shared" si="26"/>
        <v>0</v>
      </c>
      <c r="AA74" s="17">
        <v>0</v>
      </c>
      <c r="AB74" s="17">
        <v>0</v>
      </c>
      <c r="AC74" s="15">
        <f t="shared" si="27"/>
        <v>0</v>
      </c>
      <c r="AD74" s="17">
        <v>0</v>
      </c>
      <c r="AE74" s="17">
        <v>0</v>
      </c>
      <c r="AF74" s="15">
        <f t="shared" si="28"/>
        <v>0</v>
      </c>
      <c r="AG74" s="17">
        <v>0</v>
      </c>
      <c r="AH74" s="17">
        <v>0</v>
      </c>
      <c r="AI74" s="15">
        <f t="shared" si="29"/>
        <v>0</v>
      </c>
      <c r="AJ74" s="17"/>
    </row>
    <row r="75" spans="1:36" hidden="1" x14ac:dyDescent="0.3">
      <c r="A75" s="15" t="s">
        <v>123</v>
      </c>
      <c r="B75" s="15" t="s">
        <v>124</v>
      </c>
      <c r="C75" s="15" t="s">
        <v>123</v>
      </c>
      <c r="D75" s="15" t="s">
        <v>55</v>
      </c>
      <c r="E75" s="15">
        <f>'24-july-2026'!T75</f>
        <v>1</v>
      </c>
      <c r="F75" s="15">
        <f>'24-july-2026'!U75</f>
        <v>0</v>
      </c>
      <c r="G75" s="15">
        <f>'24-july-2026'!V75</f>
        <v>0</v>
      </c>
      <c r="H75" s="15">
        <f t="shared" si="20"/>
        <v>1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5">
        <f t="shared" si="21"/>
        <v>1</v>
      </c>
      <c r="T75" s="15">
        <f t="shared" si="22"/>
        <v>1</v>
      </c>
      <c r="U75" s="15">
        <f t="shared" si="23"/>
        <v>0</v>
      </c>
      <c r="V75" s="15">
        <f t="shared" si="24"/>
        <v>0</v>
      </c>
      <c r="W75" s="18" t="str">
        <f t="shared" si="25"/>
        <v/>
      </c>
      <c r="X75" s="17">
        <v>0</v>
      </c>
      <c r="Y75" s="17">
        <v>0</v>
      </c>
      <c r="Z75" s="15">
        <f t="shared" si="26"/>
        <v>0</v>
      </c>
      <c r="AA75" s="17">
        <v>0</v>
      </c>
      <c r="AB75" s="17">
        <v>0</v>
      </c>
      <c r="AC75" s="15">
        <f t="shared" si="27"/>
        <v>0</v>
      </c>
      <c r="AD75" s="17">
        <v>0</v>
      </c>
      <c r="AE75" s="17">
        <v>0</v>
      </c>
      <c r="AF75" s="15">
        <f t="shared" si="28"/>
        <v>0</v>
      </c>
      <c r="AG75" s="17">
        <v>0</v>
      </c>
      <c r="AH75" s="17">
        <v>0</v>
      </c>
      <c r="AI75" s="15">
        <f t="shared" si="29"/>
        <v>0</v>
      </c>
      <c r="AJ75" s="17"/>
    </row>
    <row r="76" spans="1:36" x14ac:dyDescent="0.3">
      <c r="A76" s="15" t="s">
        <v>125</v>
      </c>
      <c r="B76" s="15">
        <v>1000</v>
      </c>
      <c r="C76" s="15" t="s">
        <v>54</v>
      </c>
      <c r="D76" s="15" t="s">
        <v>68</v>
      </c>
      <c r="E76" s="15">
        <f>'24-july-2026'!T76</f>
        <v>4</v>
      </c>
      <c r="F76" s="15">
        <f>'24-july-2026'!U76</f>
        <v>0</v>
      </c>
      <c r="G76" s="15">
        <f>'24-july-2026'!V76</f>
        <v>0</v>
      </c>
      <c r="H76" s="15">
        <f t="shared" si="20"/>
        <v>4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5">
        <f t="shared" si="21"/>
        <v>4</v>
      </c>
      <c r="T76" s="15">
        <f t="shared" si="22"/>
        <v>4</v>
      </c>
      <c r="U76" s="15">
        <f t="shared" si="23"/>
        <v>0</v>
      </c>
      <c r="V76" s="15">
        <f t="shared" si="24"/>
        <v>0</v>
      </c>
      <c r="W76" s="18" t="str">
        <f t="shared" si="25"/>
        <v/>
      </c>
      <c r="X76" s="17">
        <v>0</v>
      </c>
      <c r="Y76" s="17">
        <v>0</v>
      </c>
      <c r="Z76" s="15">
        <f t="shared" si="26"/>
        <v>0</v>
      </c>
      <c r="AA76" s="17">
        <v>0</v>
      </c>
      <c r="AB76" s="17">
        <v>0</v>
      </c>
      <c r="AC76" s="15">
        <f t="shared" si="27"/>
        <v>0</v>
      </c>
      <c r="AD76" s="17">
        <v>0</v>
      </c>
      <c r="AE76" s="17">
        <v>0</v>
      </c>
      <c r="AF76" s="15">
        <f t="shared" si="28"/>
        <v>0</v>
      </c>
      <c r="AG76" s="17">
        <v>0</v>
      </c>
      <c r="AH76" s="17">
        <v>0</v>
      </c>
      <c r="AI76" s="15">
        <f t="shared" si="29"/>
        <v>0</v>
      </c>
      <c r="AJ76" s="17"/>
    </row>
    <row r="77" spans="1:36" x14ac:dyDescent="0.3">
      <c r="A77" s="15" t="s">
        <v>126</v>
      </c>
      <c r="B77" s="15">
        <v>1000</v>
      </c>
      <c r="C77" s="15" t="s">
        <v>54</v>
      </c>
      <c r="D77" s="15" t="s">
        <v>68</v>
      </c>
      <c r="E77" s="15">
        <f>'24-july-2026'!T77</f>
        <v>4</v>
      </c>
      <c r="F77" s="15">
        <f>'24-july-2026'!U77</f>
        <v>0</v>
      </c>
      <c r="G77" s="15">
        <f>'24-july-2026'!V77</f>
        <v>0</v>
      </c>
      <c r="H77" s="15">
        <f t="shared" si="20"/>
        <v>4</v>
      </c>
      <c r="I77" s="17">
        <v>1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5">
        <f t="shared" si="21"/>
        <v>3</v>
      </c>
      <c r="T77" s="15">
        <f t="shared" si="22"/>
        <v>3</v>
      </c>
      <c r="U77" s="15">
        <f t="shared" si="23"/>
        <v>0</v>
      </c>
      <c r="V77" s="15">
        <f t="shared" si="24"/>
        <v>0</v>
      </c>
      <c r="W77" s="18" t="str">
        <f t="shared" si="25"/>
        <v/>
      </c>
      <c r="X77" s="17">
        <v>0</v>
      </c>
      <c r="Y77" s="17">
        <v>0</v>
      </c>
      <c r="Z77" s="15">
        <f t="shared" si="26"/>
        <v>0</v>
      </c>
      <c r="AA77" s="17">
        <v>0</v>
      </c>
      <c r="AB77" s="17">
        <v>0</v>
      </c>
      <c r="AC77" s="15">
        <f t="shared" si="27"/>
        <v>0</v>
      </c>
      <c r="AD77" s="17">
        <v>0</v>
      </c>
      <c r="AE77" s="17">
        <v>0</v>
      </c>
      <c r="AF77" s="15">
        <f t="shared" si="28"/>
        <v>0</v>
      </c>
      <c r="AG77" s="17">
        <v>0</v>
      </c>
      <c r="AH77" s="17">
        <v>0</v>
      </c>
      <c r="AI77" s="15">
        <f t="shared" si="29"/>
        <v>0</v>
      </c>
      <c r="AJ77" s="17"/>
    </row>
    <row r="78" spans="1:36" hidden="1" x14ac:dyDescent="0.3">
      <c r="A78" s="15" t="s">
        <v>127</v>
      </c>
      <c r="B78" s="15">
        <v>0</v>
      </c>
      <c r="C78" s="15" t="s">
        <v>128</v>
      </c>
      <c r="D78" s="15" t="s">
        <v>55</v>
      </c>
      <c r="E78" s="15">
        <f>'24-july-2026'!T78</f>
        <v>107</v>
      </c>
      <c r="F78" s="15">
        <f>'24-july-2026'!U78</f>
        <v>6</v>
      </c>
      <c r="G78" s="15">
        <f>'24-july-2026'!V78</f>
        <v>0</v>
      </c>
      <c r="H78" s="15">
        <f t="shared" si="20"/>
        <v>113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5">
        <f t="shared" si="21"/>
        <v>113</v>
      </c>
      <c r="T78" s="15">
        <f t="shared" si="22"/>
        <v>107</v>
      </c>
      <c r="U78" s="15">
        <f t="shared" si="23"/>
        <v>6</v>
      </c>
      <c r="V78" s="15">
        <f t="shared" si="24"/>
        <v>0</v>
      </c>
      <c r="W78" s="18" t="str">
        <f t="shared" si="25"/>
        <v/>
      </c>
      <c r="X78" s="17">
        <v>0</v>
      </c>
      <c r="Y78" s="17">
        <v>0</v>
      </c>
      <c r="Z78" s="15">
        <f t="shared" si="26"/>
        <v>0</v>
      </c>
      <c r="AA78" s="17">
        <v>0</v>
      </c>
      <c r="AB78" s="17">
        <v>0</v>
      </c>
      <c r="AC78" s="15">
        <f t="shared" si="27"/>
        <v>0</v>
      </c>
      <c r="AD78" s="17">
        <v>0</v>
      </c>
      <c r="AE78" s="17">
        <v>0</v>
      </c>
      <c r="AF78" s="15">
        <f t="shared" si="28"/>
        <v>0</v>
      </c>
      <c r="AG78" s="17">
        <v>0</v>
      </c>
      <c r="AH78" s="17">
        <v>0</v>
      </c>
      <c r="AI78" s="15">
        <f t="shared" si="29"/>
        <v>0</v>
      </c>
      <c r="AJ78" s="17"/>
    </row>
    <row r="79" spans="1:36" hidden="1" x14ac:dyDescent="0.3">
      <c r="A79" s="15" t="s">
        <v>129</v>
      </c>
      <c r="B79" s="15">
        <v>0</v>
      </c>
      <c r="C79" s="15" t="s">
        <v>128</v>
      </c>
      <c r="D79" s="15" t="s">
        <v>55</v>
      </c>
      <c r="E79" s="15">
        <f>'24-july-2026'!T79</f>
        <v>46</v>
      </c>
      <c r="F79" s="15">
        <f>'24-july-2026'!U79</f>
        <v>4</v>
      </c>
      <c r="G79" s="15">
        <f>'24-july-2026'!V79</f>
        <v>55</v>
      </c>
      <c r="H79" s="15">
        <f t="shared" si="20"/>
        <v>105</v>
      </c>
      <c r="I79" s="17">
        <v>1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5">
        <f t="shared" si="21"/>
        <v>104</v>
      </c>
      <c r="T79" s="15">
        <f t="shared" si="22"/>
        <v>45</v>
      </c>
      <c r="U79" s="15">
        <f t="shared" si="23"/>
        <v>4</v>
      </c>
      <c r="V79" s="15">
        <f t="shared" si="24"/>
        <v>55</v>
      </c>
      <c r="W79" s="18" t="str">
        <f t="shared" si="25"/>
        <v/>
      </c>
      <c r="X79" s="17">
        <v>0</v>
      </c>
      <c r="Y79" s="17">
        <v>0</v>
      </c>
      <c r="Z79" s="15">
        <f t="shared" si="26"/>
        <v>0</v>
      </c>
      <c r="AA79" s="17">
        <v>0</v>
      </c>
      <c r="AB79" s="17">
        <v>0</v>
      </c>
      <c r="AC79" s="15">
        <f t="shared" si="27"/>
        <v>0</v>
      </c>
      <c r="AD79" s="17">
        <v>0</v>
      </c>
      <c r="AE79" s="17">
        <v>0</v>
      </c>
      <c r="AF79" s="15">
        <f t="shared" si="28"/>
        <v>0</v>
      </c>
      <c r="AG79" s="17">
        <v>0</v>
      </c>
      <c r="AH79" s="17">
        <v>0</v>
      </c>
      <c r="AI79" s="15">
        <f t="shared" si="29"/>
        <v>0</v>
      </c>
      <c r="AJ79" s="17"/>
    </row>
    <row r="80" spans="1:36" hidden="1" x14ac:dyDescent="0.3">
      <c r="A80" s="15" t="s">
        <v>130</v>
      </c>
      <c r="B80" s="15">
        <v>100</v>
      </c>
      <c r="C80" s="15" t="s">
        <v>54</v>
      </c>
      <c r="D80" s="15" t="s">
        <v>55</v>
      </c>
      <c r="E80" s="15">
        <f>'24-july-2026'!T80</f>
        <v>50</v>
      </c>
      <c r="F80" s="15">
        <f>'24-july-2026'!U80</f>
        <v>113</v>
      </c>
      <c r="G80" s="15">
        <f>'24-july-2026'!V80</f>
        <v>104</v>
      </c>
      <c r="H80" s="15">
        <f t="shared" si="20"/>
        <v>267</v>
      </c>
      <c r="I80" s="17">
        <v>2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5">
        <f t="shared" si="21"/>
        <v>265</v>
      </c>
      <c r="T80" s="15">
        <f t="shared" si="22"/>
        <v>48</v>
      </c>
      <c r="U80" s="15">
        <f t="shared" si="23"/>
        <v>113</v>
      </c>
      <c r="V80" s="15">
        <f t="shared" si="24"/>
        <v>104</v>
      </c>
      <c r="W80" s="18" t="str">
        <f t="shared" si="25"/>
        <v/>
      </c>
      <c r="X80" s="17">
        <v>0</v>
      </c>
      <c r="Y80" s="17">
        <v>0</v>
      </c>
      <c r="Z80" s="15">
        <f t="shared" si="26"/>
        <v>0</v>
      </c>
      <c r="AA80" s="17">
        <v>0</v>
      </c>
      <c r="AB80" s="17">
        <v>0</v>
      </c>
      <c r="AC80" s="15">
        <f t="shared" si="27"/>
        <v>0</v>
      </c>
      <c r="AD80" s="17">
        <v>0</v>
      </c>
      <c r="AE80" s="17">
        <v>0</v>
      </c>
      <c r="AF80" s="15">
        <f t="shared" si="28"/>
        <v>0</v>
      </c>
      <c r="AG80" s="17">
        <v>0</v>
      </c>
      <c r="AH80" s="17">
        <v>0</v>
      </c>
      <c r="AI80" s="15">
        <f t="shared" si="29"/>
        <v>0</v>
      </c>
      <c r="AJ80" s="17"/>
    </row>
    <row r="81" spans="1:36" hidden="1" x14ac:dyDescent="0.3">
      <c r="A81" s="15" t="s">
        <v>131</v>
      </c>
      <c r="B81" s="15">
        <v>500</v>
      </c>
      <c r="C81" s="15" t="s">
        <v>54</v>
      </c>
      <c r="D81" s="15" t="s">
        <v>55</v>
      </c>
      <c r="E81" s="15">
        <f>'24-july-2026'!T81</f>
        <v>6</v>
      </c>
      <c r="F81" s="15">
        <f>'24-july-2026'!U81</f>
        <v>0</v>
      </c>
      <c r="G81" s="15">
        <f>'24-july-2026'!V81</f>
        <v>0</v>
      </c>
      <c r="H81" s="15">
        <f t="shared" si="20"/>
        <v>6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5">
        <f t="shared" si="21"/>
        <v>6</v>
      </c>
      <c r="T81" s="15">
        <f t="shared" si="22"/>
        <v>6</v>
      </c>
      <c r="U81" s="15">
        <f t="shared" si="23"/>
        <v>0</v>
      </c>
      <c r="V81" s="15">
        <f t="shared" si="24"/>
        <v>0</v>
      </c>
      <c r="W81" s="18" t="str">
        <f t="shared" si="25"/>
        <v/>
      </c>
      <c r="X81" s="17">
        <v>0</v>
      </c>
      <c r="Y81" s="17">
        <v>0</v>
      </c>
      <c r="Z81" s="15">
        <f t="shared" si="26"/>
        <v>0</v>
      </c>
      <c r="AA81" s="17">
        <v>0</v>
      </c>
      <c r="AB81" s="17">
        <v>0</v>
      </c>
      <c r="AC81" s="15">
        <f t="shared" si="27"/>
        <v>0</v>
      </c>
      <c r="AD81" s="17">
        <v>0</v>
      </c>
      <c r="AE81" s="17">
        <v>0</v>
      </c>
      <c r="AF81" s="15">
        <f t="shared" si="28"/>
        <v>0</v>
      </c>
      <c r="AG81" s="17">
        <v>0</v>
      </c>
      <c r="AH81" s="17">
        <v>0</v>
      </c>
      <c r="AI81" s="15">
        <f t="shared" si="29"/>
        <v>0</v>
      </c>
      <c r="AJ81" s="17"/>
    </row>
    <row r="82" spans="1:36" hidden="1" x14ac:dyDescent="0.3">
      <c r="A82" s="15" t="s">
        <v>132</v>
      </c>
      <c r="B82" s="15">
        <v>100</v>
      </c>
      <c r="C82" s="15" t="s">
        <v>54</v>
      </c>
      <c r="D82" s="15" t="s">
        <v>55</v>
      </c>
      <c r="E82" s="15">
        <f>'24-july-2026'!T82</f>
        <v>101</v>
      </c>
      <c r="F82" s="15">
        <f>'24-july-2026'!U82</f>
        <v>277</v>
      </c>
      <c r="G82" s="15">
        <f>'24-july-2026'!V82</f>
        <v>11</v>
      </c>
      <c r="H82" s="15">
        <f t="shared" si="20"/>
        <v>389</v>
      </c>
      <c r="I82" s="17">
        <v>1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5">
        <f t="shared" si="21"/>
        <v>388</v>
      </c>
      <c r="T82" s="15">
        <f t="shared" si="22"/>
        <v>100</v>
      </c>
      <c r="U82" s="15">
        <f t="shared" si="23"/>
        <v>277</v>
      </c>
      <c r="V82" s="15">
        <f t="shared" si="24"/>
        <v>11</v>
      </c>
      <c r="W82" s="18" t="str">
        <f t="shared" si="25"/>
        <v/>
      </c>
      <c r="X82" s="17">
        <v>0</v>
      </c>
      <c r="Y82" s="17">
        <v>0</v>
      </c>
      <c r="Z82" s="15">
        <f t="shared" si="26"/>
        <v>0</v>
      </c>
      <c r="AA82" s="17">
        <v>0</v>
      </c>
      <c r="AB82" s="17">
        <v>0</v>
      </c>
      <c r="AC82" s="15">
        <f t="shared" si="27"/>
        <v>0</v>
      </c>
      <c r="AD82" s="17">
        <v>0</v>
      </c>
      <c r="AE82" s="17">
        <v>0</v>
      </c>
      <c r="AF82" s="15">
        <f t="shared" si="28"/>
        <v>0</v>
      </c>
      <c r="AG82" s="17">
        <v>0</v>
      </c>
      <c r="AH82" s="17">
        <v>0</v>
      </c>
      <c r="AI82" s="15">
        <f t="shared" si="29"/>
        <v>0</v>
      </c>
      <c r="AJ82" s="17"/>
    </row>
    <row r="83" spans="1:36" hidden="1" x14ac:dyDescent="0.3">
      <c r="A83" s="15" t="s">
        <v>133</v>
      </c>
      <c r="B83" s="15">
        <v>1000</v>
      </c>
      <c r="C83" s="15" t="s">
        <v>54</v>
      </c>
      <c r="D83" s="15" t="s">
        <v>55</v>
      </c>
      <c r="E83" s="15">
        <f>'24-july-2026'!T83</f>
        <v>19</v>
      </c>
      <c r="F83" s="15">
        <f>'24-july-2026'!U83</f>
        <v>0</v>
      </c>
      <c r="G83" s="15">
        <f>'24-july-2026'!V83</f>
        <v>0</v>
      </c>
      <c r="H83" s="15">
        <f t="shared" si="20"/>
        <v>19</v>
      </c>
      <c r="I83" s="17">
        <v>4</v>
      </c>
      <c r="J83" s="17">
        <v>0</v>
      </c>
      <c r="K83" s="17">
        <v>0</v>
      </c>
      <c r="L83" s="17">
        <v>14</v>
      </c>
      <c r="M83" s="17">
        <v>0</v>
      </c>
      <c r="N83" s="17">
        <v>0</v>
      </c>
      <c r="O83" s="17">
        <v>0</v>
      </c>
      <c r="P83" s="17">
        <v>9</v>
      </c>
      <c r="Q83" s="17">
        <v>0</v>
      </c>
      <c r="R83" s="17">
        <v>0</v>
      </c>
      <c r="S83" s="15">
        <f t="shared" si="21"/>
        <v>10</v>
      </c>
      <c r="T83" s="15">
        <f t="shared" si="22"/>
        <v>1</v>
      </c>
      <c r="U83" s="15">
        <f t="shared" si="23"/>
        <v>9</v>
      </c>
      <c r="V83" s="15">
        <f t="shared" si="24"/>
        <v>0</v>
      </c>
      <c r="W83" s="18" t="str">
        <f t="shared" si="25"/>
        <v/>
      </c>
      <c r="X83" s="17">
        <v>0</v>
      </c>
      <c r="Y83" s="17">
        <v>0</v>
      </c>
      <c r="Z83" s="15">
        <f t="shared" si="26"/>
        <v>0</v>
      </c>
      <c r="AA83" s="17">
        <v>0</v>
      </c>
      <c r="AB83" s="17">
        <v>0</v>
      </c>
      <c r="AC83" s="15">
        <f t="shared" si="27"/>
        <v>0</v>
      </c>
      <c r="AD83" s="17">
        <v>0</v>
      </c>
      <c r="AE83" s="17">
        <v>0</v>
      </c>
      <c r="AF83" s="15">
        <f t="shared" si="28"/>
        <v>0</v>
      </c>
      <c r="AG83" s="17">
        <v>0</v>
      </c>
      <c r="AH83" s="17">
        <v>0</v>
      </c>
      <c r="AI83" s="15">
        <f t="shared" si="29"/>
        <v>0</v>
      </c>
      <c r="AJ83" s="17"/>
    </row>
    <row r="84" spans="1:36" x14ac:dyDescent="0.3">
      <c r="A84" s="15" t="s">
        <v>134</v>
      </c>
      <c r="B84" s="15">
        <v>100</v>
      </c>
      <c r="C84" s="15" t="s">
        <v>54</v>
      </c>
      <c r="D84" s="15" t="s">
        <v>57</v>
      </c>
      <c r="E84" s="15">
        <f>'24-july-2026'!T84</f>
        <v>3</v>
      </c>
      <c r="F84" s="15">
        <f>'24-july-2026'!U84</f>
        <v>0</v>
      </c>
      <c r="G84" s="15">
        <f>'24-july-2026'!V84</f>
        <v>0</v>
      </c>
      <c r="H84" s="15">
        <f t="shared" si="20"/>
        <v>3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5">
        <f t="shared" si="21"/>
        <v>3</v>
      </c>
      <c r="T84" s="15">
        <f t="shared" si="22"/>
        <v>3</v>
      </c>
      <c r="U84" s="15">
        <f t="shared" si="23"/>
        <v>0</v>
      </c>
      <c r="V84" s="15">
        <f t="shared" si="24"/>
        <v>0</v>
      </c>
      <c r="W84" s="18" t="str">
        <f t="shared" si="25"/>
        <v/>
      </c>
      <c r="X84" s="17">
        <v>0</v>
      </c>
      <c r="Y84" s="17">
        <v>0</v>
      </c>
      <c r="Z84" s="15">
        <f t="shared" si="26"/>
        <v>0</v>
      </c>
      <c r="AA84" s="17">
        <v>0</v>
      </c>
      <c r="AB84" s="17">
        <v>0</v>
      </c>
      <c r="AC84" s="15">
        <f t="shared" si="27"/>
        <v>0</v>
      </c>
      <c r="AD84" s="17">
        <v>0</v>
      </c>
      <c r="AE84" s="17">
        <v>0</v>
      </c>
      <c r="AF84" s="15">
        <f t="shared" si="28"/>
        <v>0</v>
      </c>
      <c r="AG84" s="17">
        <v>0</v>
      </c>
      <c r="AH84" s="17">
        <v>0</v>
      </c>
      <c r="AI84" s="15">
        <f t="shared" si="29"/>
        <v>0</v>
      </c>
      <c r="AJ84" s="17"/>
    </row>
    <row r="85" spans="1:36" x14ac:dyDescent="0.3">
      <c r="A85" s="15" t="s">
        <v>135</v>
      </c>
      <c r="B85" s="15">
        <v>100</v>
      </c>
      <c r="C85" s="15" t="s">
        <v>54</v>
      </c>
      <c r="D85" s="15" t="s">
        <v>57</v>
      </c>
      <c r="E85" s="15">
        <f>'24-july-2026'!T85</f>
        <v>4</v>
      </c>
      <c r="F85" s="15">
        <f>'24-july-2026'!U85</f>
        <v>0</v>
      </c>
      <c r="G85" s="15">
        <f>'24-july-2026'!V85</f>
        <v>0</v>
      </c>
      <c r="H85" s="15">
        <f t="shared" si="20"/>
        <v>4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5">
        <f t="shared" si="21"/>
        <v>4</v>
      </c>
      <c r="T85" s="15">
        <f t="shared" si="22"/>
        <v>4</v>
      </c>
      <c r="U85" s="15">
        <f t="shared" si="23"/>
        <v>0</v>
      </c>
      <c r="V85" s="15">
        <f t="shared" si="24"/>
        <v>0</v>
      </c>
      <c r="W85" s="18" t="str">
        <f t="shared" si="25"/>
        <v/>
      </c>
      <c r="X85" s="17">
        <v>0</v>
      </c>
      <c r="Y85" s="17">
        <v>0</v>
      </c>
      <c r="Z85" s="15">
        <f t="shared" si="26"/>
        <v>0</v>
      </c>
      <c r="AA85" s="17">
        <v>0</v>
      </c>
      <c r="AB85" s="17">
        <v>0</v>
      </c>
      <c r="AC85" s="15">
        <f t="shared" si="27"/>
        <v>0</v>
      </c>
      <c r="AD85" s="17">
        <v>0</v>
      </c>
      <c r="AE85" s="17">
        <v>0</v>
      </c>
      <c r="AF85" s="15">
        <f t="shared" si="28"/>
        <v>0</v>
      </c>
      <c r="AG85" s="17">
        <v>0</v>
      </c>
      <c r="AH85" s="17">
        <v>0</v>
      </c>
      <c r="AI85" s="15">
        <f t="shared" si="29"/>
        <v>0</v>
      </c>
      <c r="AJ85" s="17"/>
    </row>
    <row r="86" spans="1:36" x14ac:dyDescent="0.3">
      <c r="A86" s="15" t="s">
        <v>135</v>
      </c>
      <c r="B86" s="15">
        <v>1000</v>
      </c>
      <c r="C86" s="15" t="s">
        <v>54</v>
      </c>
      <c r="D86" s="15" t="s">
        <v>57</v>
      </c>
      <c r="E86" s="15">
        <f>'24-july-2026'!T86</f>
        <v>1</v>
      </c>
      <c r="F86" s="15">
        <f>'24-july-2026'!U86</f>
        <v>0</v>
      </c>
      <c r="G86" s="15">
        <f>'24-july-2026'!V86</f>
        <v>0</v>
      </c>
      <c r="H86" s="15">
        <f t="shared" si="20"/>
        <v>1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5">
        <f t="shared" si="21"/>
        <v>1</v>
      </c>
      <c r="T86" s="15">
        <f t="shared" si="22"/>
        <v>1</v>
      </c>
      <c r="U86" s="15">
        <f t="shared" si="23"/>
        <v>0</v>
      </c>
      <c r="V86" s="15">
        <f t="shared" si="24"/>
        <v>0</v>
      </c>
      <c r="W86" s="18" t="str">
        <f t="shared" si="25"/>
        <v/>
      </c>
      <c r="X86" s="17">
        <v>0</v>
      </c>
      <c r="Y86" s="17">
        <v>0</v>
      </c>
      <c r="Z86" s="15">
        <f t="shared" si="26"/>
        <v>0</v>
      </c>
      <c r="AA86" s="17">
        <v>0</v>
      </c>
      <c r="AB86" s="17">
        <v>0</v>
      </c>
      <c r="AC86" s="15">
        <f t="shared" si="27"/>
        <v>0</v>
      </c>
      <c r="AD86" s="17">
        <v>0</v>
      </c>
      <c r="AE86" s="17">
        <v>0</v>
      </c>
      <c r="AF86" s="15">
        <f t="shared" si="28"/>
        <v>0</v>
      </c>
      <c r="AG86" s="17">
        <v>0</v>
      </c>
      <c r="AH86" s="17">
        <v>0</v>
      </c>
      <c r="AI86" s="15">
        <f t="shared" si="29"/>
        <v>0</v>
      </c>
      <c r="AJ86" s="17"/>
    </row>
    <row r="87" spans="1:36" x14ac:dyDescent="0.3">
      <c r="A87" s="15" t="s">
        <v>136</v>
      </c>
      <c r="B87" s="15">
        <v>100000</v>
      </c>
      <c r="C87" s="15" t="s">
        <v>54</v>
      </c>
      <c r="D87" s="15" t="s">
        <v>68</v>
      </c>
      <c r="E87" s="15">
        <f>'24-july-2026'!T87</f>
        <v>1</v>
      </c>
      <c r="F87" s="15">
        <f>'24-july-2026'!U87</f>
        <v>0</v>
      </c>
      <c r="G87" s="15">
        <f>'24-july-2026'!V87</f>
        <v>0</v>
      </c>
      <c r="H87" s="15">
        <f t="shared" si="20"/>
        <v>1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5">
        <f t="shared" si="21"/>
        <v>1</v>
      </c>
      <c r="T87" s="15">
        <f t="shared" si="22"/>
        <v>1</v>
      </c>
      <c r="U87" s="15">
        <f t="shared" si="23"/>
        <v>0</v>
      </c>
      <c r="V87" s="15">
        <f t="shared" si="24"/>
        <v>0</v>
      </c>
      <c r="W87" s="18" t="str">
        <f t="shared" si="25"/>
        <v/>
      </c>
      <c r="X87" s="17">
        <v>0</v>
      </c>
      <c r="Y87" s="17">
        <v>0</v>
      </c>
      <c r="Z87" s="15">
        <f t="shared" si="26"/>
        <v>0</v>
      </c>
      <c r="AA87" s="17">
        <v>0</v>
      </c>
      <c r="AB87" s="17">
        <v>0</v>
      </c>
      <c r="AC87" s="15">
        <f t="shared" si="27"/>
        <v>0</v>
      </c>
      <c r="AD87" s="17">
        <v>0</v>
      </c>
      <c r="AE87" s="17">
        <v>0</v>
      </c>
      <c r="AF87" s="15">
        <f t="shared" si="28"/>
        <v>0</v>
      </c>
      <c r="AG87" s="17">
        <v>0</v>
      </c>
      <c r="AH87" s="17">
        <v>0</v>
      </c>
      <c r="AI87" s="15">
        <f t="shared" si="29"/>
        <v>0</v>
      </c>
      <c r="AJ87" s="17"/>
    </row>
    <row r="88" spans="1:36" x14ac:dyDescent="0.3">
      <c r="A88" s="15" t="s">
        <v>137</v>
      </c>
      <c r="B88" s="15">
        <v>1000</v>
      </c>
      <c r="C88" s="15" t="s">
        <v>54</v>
      </c>
      <c r="D88" s="15" t="s">
        <v>68</v>
      </c>
      <c r="E88" s="15">
        <f>'24-july-2026'!T88</f>
        <v>5</v>
      </c>
      <c r="F88" s="15">
        <f>'24-july-2026'!U88</f>
        <v>0</v>
      </c>
      <c r="G88" s="15">
        <f>'24-july-2026'!V88</f>
        <v>0</v>
      </c>
      <c r="H88" s="15">
        <f t="shared" si="20"/>
        <v>5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5">
        <f t="shared" si="21"/>
        <v>5</v>
      </c>
      <c r="T88" s="15">
        <f t="shared" si="22"/>
        <v>5</v>
      </c>
      <c r="U88" s="15">
        <f t="shared" si="23"/>
        <v>0</v>
      </c>
      <c r="V88" s="15">
        <f t="shared" si="24"/>
        <v>0</v>
      </c>
      <c r="W88" s="18" t="str">
        <f t="shared" si="25"/>
        <v/>
      </c>
      <c r="X88" s="17">
        <v>0</v>
      </c>
      <c r="Y88" s="17">
        <v>0</v>
      </c>
      <c r="Z88" s="15">
        <f t="shared" si="26"/>
        <v>0</v>
      </c>
      <c r="AA88" s="17">
        <v>0</v>
      </c>
      <c r="AB88" s="17">
        <v>0</v>
      </c>
      <c r="AC88" s="15">
        <f t="shared" si="27"/>
        <v>0</v>
      </c>
      <c r="AD88" s="17">
        <v>0</v>
      </c>
      <c r="AE88" s="17">
        <v>0</v>
      </c>
      <c r="AF88" s="15">
        <f t="shared" si="28"/>
        <v>0</v>
      </c>
      <c r="AG88" s="17">
        <v>0</v>
      </c>
      <c r="AH88" s="17">
        <v>0</v>
      </c>
      <c r="AI88" s="15">
        <f t="shared" si="29"/>
        <v>0</v>
      </c>
      <c r="AJ88" s="17"/>
    </row>
    <row r="89" spans="1:36" x14ac:dyDescent="0.3">
      <c r="A89" s="15" t="s">
        <v>138</v>
      </c>
      <c r="B89" s="15">
        <v>100</v>
      </c>
      <c r="C89" s="15" t="s">
        <v>54</v>
      </c>
      <c r="D89" s="15" t="s">
        <v>57</v>
      </c>
      <c r="E89" s="15">
        <f>'24-july-2026'!T89</f>
        <v>4</v>
      </c>
      <c r="F89" s="15">
        <f>'24-july-2026'!U89</f>
        <v>0</v>
      </c>
      <c r="G89" s="15">
        <f>'24-july-2026'!V89</f>
        <v>0</v>
      </c>
      <c r="H89" s="15">
        <f t="shared" si="20"/>
        <v>4</v>
      </c>
      <c r="I89" s="17">
        <v>2</v>
      </c>
      <c r="J89" s="17">
        <v>0</v>
      </c>
      <c r="K89" s="17">
        <v>0</v>
      </c>
      <c r="L89" s="17">
        <v>2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5">
        <f t="shared" si="21"/>
        <v>0</v>
      </c>
      <c r="T89" s="15">
        <f t="shared" si="22"/>
        <v>0</v>
      </c>
      <c r="U89" s="15">
        <f t="shared" si="23"/>
        <v>0</v>
      </c>
      <c r="V89" s="15">
        <f t="shared" si="24"/>
        <v>0</v>
      </c>
      <c r="W89" s="18" t="str">
        <f t="shared" si="25"/>
        <v/>
      </c>
      <c r="X89" s="17">
        <v>0</v>
      </c>
      <c r="Y89" s="17">
        <v>0</v>
      </c>
      <c r="Z89" s="15">
        <f t="shared" si="26"/>
        <v>0</v>
      </c>
      <c r="AA89" s="17">
        <v>0</v>
      </c>
      <c r="AB89" s="17">
        <v>0</v>
      </c>
      <c r="AC89" s="15">
        <f t="shared" si="27"/>
        <v>0</v>
      </c>
      <c r="AD89" s="17">
        <v>0</v>
      </c>
      <c r="AE89" s="17">
        <v>0</v>
      </c>
      <c r="AF89" s="15">
        <f t="shared" si="28"/>
        <v>0</v>
      </c>
      <c r="AG89" s="17">
        <v>0</v>
      </c>
      <c r="AH89" s="17">
        <v>0</v>
      </c>
      <c r="AI89" s="15">
        <f t="shared" si="29"/>
        <v>0</v>
      </c>
      <c r="AJ89" s="17"/>
    </row>
    <row r="90" spans="1:36" x14ac:dyDescent="0.3">
      <c r="A90" s="15" t="s">
        <v>139</v>
      </c>
      <c r="B90" s="15">
        <v>100</v>
      </c>
      <c r="C90" s="15" t="s">
        <v>54</v>
      </c>
      <c r="D90" s="15" t="s">
        <v>68</v>
      </c>
      <c r="E90" s="15">
        <f>'24-july-2026'!T90</f>
        <v>8</v>
      </c>
      <c r="F90" s="15">
        <f>'24-july-2026'!U90</f>
        <v>0</v>
      </c>
      <c r="G90" s="15">
        <f>'24-july-2026'!V90</f>
        <v>0</v>
      </c>
      <c r="H90" s="15">
        <f t="shared" si="20"/>
        <v>8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5">
        <f t="shared" si="21"/>
        <v>8</v>
      </c>
      <c r="T90" s="15">
        <f t="shared" si="22"/>
        <v>8</v>
      </c>
      <c r="U90" s="15">
        <f t="shared" si="23"/>
        <v>0</v>
      </c>
      <c r="V90" s="15">
        <f t="shared" si="24"/>
        <v>0</v>
      </c>
      <c r="W90" s="18" t="str">
        <f t="shared" si="25"/>
        <v/>
      </c>
      <c r="X90" s="17">
        <v>0</v>
      </c>
      <c r="Y90" s="17">
        <v>0</v>
      </c>
      <c r="Z90" s="15">
        <f t="shared" si="26"/>
        <v>0</v>
      </c>
      <c r="AA90" s="17">
        <v>0</v>
      </c>
      <c r="AB90" s="17">
        <v>0</v>
      </c>
      <c r="AC90" s="15">
        <f t="shared" si="27"/>
        <v>0</v>
      </c>
      <c r="AD90" s="17">
        <v>0</v>
      </c>
      <c r="AE90" s="17">
        <v>0</v>
      </c>
      <c r="AF90" s="15">
        <f t="shared" si="28"/>
        <v>0</v>
      </c>
      <c r="AG90" s="17">
        <v>0</v>
      </c>
      <c r="AH90" s="17">
        <v>0</v>
      </c>
      <c r="AI90" s="15">
        <f t="shared" si="29"/>
        <v>0</v>
      </c>
      <c r="AJ90" s="17"/>
    </row>
    <row r="91" spans="1:36" x14ac:dyDescent="0.3">
      <c r="A91" s="15" t="s">
        <v>140</v>
      </c>
      <c r="B91" s="15">
        <v>1000</v>
      </c>
      <c r="C91" s="15" t="s">
        <v>54</v>
      </c>
      <c r="D91" s="15" t="s">
        <v>68</v>
      </c>
      <c r="E91" s="15">
        <f>'24-july-2026'!T91</f>
        <v>7</v>
      </c>
      <c r="F91" s="15">
        <f>'24-july-2026'!U91</f>
        <v>0</v>
      </c>
      <c r="G91" s="15">
        <f>'24-july-2026'!V91</f>
        <v>0</v>
      </c>
      <c r="H91" s="15">
        <f t="shared" si="20"/>
        <v>7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5">
        <f t="shared" si="21"/>
        <v>7</v>
      </c>
      <c r="T91" s="15">
        <f t="shared" si="22"/>
        <v>7</v>
      </c>
      <c r="U91" s="15">
        <f t="shared" si="23"/>
        <v>0</v>
      </c>
      <c r="V91" s="15">
        <f t="shared" si="24"/>
        <v>0</v>
      </c>
      <c r="W91" s="18" t="str">
        <f t="shared" si="25"/>
        <v/>
      </c>
      <c r="X91" s="17">
        <v>0</v>
      </c>
      <c r="Y91" s="17">
        <v>0</v>
      </c>
      <c r="Z91" s="15">
        <f t="shared" si="26"/>
        <v>0</v>
      </c>
      <c r="AA91" s="17">
        <v>0</v>
      </c>
      <c r="AB91" s="17">
        <v>0</v>
      </c>
      <c r="AC91" s="15">
        <f t="shared" si="27"/>
        <v>0</v>
      </c>
      <c r="AD91" s="17">
        <v>0</v>
      </c>
      <c r="AE91" s="17">
        <v>0</v>
      </c>
      <c r="AF91" s="15">
        <f t="shared" si="28"/>
        <v>0</v>
      </c>
      <c r="AG91" s="17">
        <v>0</v>
      </c>
      <c r="AH91" s="17">
        <v>0</v>
      </c>
      <c r="AI91" s="15">
        <f t="shared" si="29"/>
        <v>0</v>
      </c>
      <c r="AJ91" s="17"/>
    </row>
    <row r="92" spans="1:36" hidden="1" x14ac:dyDescent="0.3">
      <c r="A92" s="15" t="s">
        <v>141</v>
      </c>
      <c r="B92" s="15">
        <v>1000</v>
      </c>
      <c r="C92" s="15" t="s">
        <v>54</v>
      </c>
      <c r="D92" s="15" t="s">
        <v>55</v>
      </c>
      <c r="E92" s="15">
        <f>'24-july-2026'!T92</f>
        <v>4</v>
      </c>
      <c r="F92" s="15">
        <f>'24-july-2026'!U92</f>
        <v>0</v>
      </c>
      <c r="G92" s="15">
        <f>'24-july-2026'!V92</f>
        <v>0</v>
      </c>
      <c r="H92" s="15">
        <f t="shared" si="20"/>
        <v>4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5">
        <f t="shared" si="21"/>
        <v>4</v>
      </c>
      <c r="T92" s="15">
        <f t="shared" si="22"/>
        <v>4</v>
      </c>
      <c r="U92" s="15">
        <f t="shared" si="23"/>
        <v>0</v>
      </c>
      <c r="V92" s="15">
        <f t="shared" si="24"/>
        <v>0</v>
      </c>
      <c r="W92" s="18" t="str">
        <f t="shared" si="25"/>
        <v/>
      </c>
      <c r="X92" s="17">
        <v>0</v>
      </c>
      <c r="Y92" s="17">
        <v>0</v>
      </c>
      <c r="Z92" s="15">
        <f t="shared" si="26"/>
        <v>0</v>
      </c>
      <c r="AA92" s="17">
        <v>0</v>
      </c>
      <c r="AB92" s="17">
        <v>0</v>
      </c>
      <c r="AC92" s="15">
        <f t="shared" si="27"/>
        <v>0</v>
      </c>
      <c r="AD92" s="17">
        <v>0</v>
      </c>
      <c r="AE92" s="17">
        <v>0</v>
      </c>
      <c r="AF92" s="15">
        <f t="shared" si="28"/>
        <v>0</v>
      </c>
      <c r="AG92" s="17">
        <v>0</v>
      </c>
      <c r="AH92" s="17">
        <v>0</v>
      </c>
      <c r="AI92" s="15">
        <f t="shared" si="29"/>
        <v>0</v>
      </c>
      <c r="AJ92" s="17"/>
    </row>
    <row r="93" spans="1:36" hidden="1" x14ac:dyDescent="0.3">
      <c r="A93" s="15" t="s">
        <v>142</v>
      </c>
      <c r="B93" s="15">
        <v>100</v>
      </c>
      <c r="C93" s="15" t="s">
        <v>54</v>
      </c>
      <c r="D93" s="15" t="s">
        <v>55</v>
      </c>
      <c r="E93" s="15">
        <f>'24-july-2026'!T93</f>
        <v>1</v>
      </c>
      <c r="F93" s="15">
        <f>'24-july-2026'!U93</f>
        <v>0</v>
      </c>
      <c r="G93" s="15">
        <f>'24-july-2026'!V93</f>
        <v>0</v>
      </c>
      <c r="H93" s="15">
        <f t="shared" si="20"/>
        <v>1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5">
        <f t="shared" si="21"/>
        <v>1</v>
      </c>
      <c r="T93" s="15">
        <f t="shared" si="22"/>
        <v>1</v>
      </c>
      <c r="U93" s="15">
        <f t="shared" si="23"/>
        <v>0</v>
      </c>
      <c r="V93" s="15">
        <f t="shared" si="24"/>
        <v>0</v>
      </c>
      <c r="W93" s="18" t="str">
        <f t="shared" si="25"/>
        <v/>
      </c>
      <c r="X93" s="17">
        <v>0</v>
      </c>
      <c r="Y93" s="17">
        <v>0</v>
      </c>
      <c r="Z93" s="15">
        <f t="shared" si="26"/>
        <v>0</v>
      </c>
      <c r="AA93" s="17">
        <v>0</v>
      </c>
      <c r="AB93" s="17">
        <v>0</v>
      </c>
      <c r="AC93" s="15">
        <f t="shared" si="27"/>
        <v>0</v>
      </c>
      <c r="AD93" s="17">
        <v>0</v>
      </c>
      <c r="AE93" s="17">
        <v>0</v>
      </c>
      <c r="AF93" s="15">
        <f t="shared" si="28"/>
        <v>0</v>
      </c>
      <c r="AG93" s="17">
        <v>0</v>
      </c>
      <c r="AH93" s="17">
        <v>0</v>
      </c>
      <c r="AI93" s="15">
        <f t="shared" si="29"/>
        <v>0</v>
      </c>
      <c r="AJ93" s="17"/>
    </row>
    <row r="94" spans="1:36" x14ac:dyDescent="0.3">
      <c r="A94" s="15" t="s">
        <v>143</v>
      </c>
      <c r="B94" s="15">
        <v>1000</v>
      </c>
      <c r="C94" s="15" t="s">
        <v>54</v>
      </c>
      <c r="D94" s="15" t="s">
        <v>57</v>
      </c>
      <c r="E94" s="15">
        <f>'24-july-2026'!T94</f>
        <v>1</v>
      </c>
      <c r="F94" s="15">
        <f>'24-july-2026'!U94</f>
        <v>0</v>
      </c>
      <c r="G94" s="15">
        <f>'24-july-2026'!V94</f>
        <v>0</v>
      </c>
      <c r="H94" s="15">
        <f t="shared" si="20"/>
        <v>1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5">
        <f t="shared" si="21"/>
        <v>1</v>
      </c>
      <c r="T94" s="15">
        <f t="shared" si="22"/>
        <v>1</v>
      </c>
      <c r="U94" s="15">
        <f t="shared" si="23"/>
        <v>0</v>
      </c>
      <c r="V94" s="15">
        <f t="shared" si="24"/>
        <v>0</v>
      </c>
      <c r="W94" s="18" t="str">
        <f t="shared" si="25"/>
        <v/>
      </c>
      <c r="X94" s="17">
        <v>0</v>
      </c>
      <c r="Y94" s="17">
        <v>0</v>
      </c>
      <c r="Z94" s="15">
        <f t="shared" si="26"/>
        <v>0</v>
      </c>
      <c r="AA94" s="17">
        <v>0</v>
      </c>
      <c r="AB94" s="17">
        <v>0</v>
      </c>
      <c r="AC94" s="15">
        <f t="shared" si="27"/>
        <v>0</v>
      </c>
      <c r="AD94" s="17">
        <v>0</v>
      </c>
      <c r="AE94" s="17">
        <v>0</v>
      </c>
      <c r="AF94" s="15">
        <f t="shared" si="28"/>
        <v>0</v>
      </c>
      <c r="AG94" s="17">
        <v>0</v>
      </c>
      <c r="AH94" s="17">
        <v>0</v>
      </c>
      <c r="AI94" s="15">
        <f t="shared" si="29"/>
        <v>0</v>
      </c>
      <c r="AJ94" s="17"/>
    </row>
    <row r="95" spans="1:36" x14ac:dyDescent="0.3">
      <c r="A95" s="15" t="s">
        <v>144</v>
      </c>
      <c r="B95" s="15">
        <v>1000</v>
      </c>
      <c r="C95" s="15" t="s">
        <v>54</v>
      </c>
      <c r="D95" s="15" t="s">
        <v>68</v>
      </c>
      <c r="E95" s="15">
        <f>'24-july-2026'!T95</f>
        <v>1</v>
      </c>
      <c r="F95" s="15">
        <f>'24-july-2026'!U95</f>
        <v>0</v>
      </c>
      <c r="G95" s="15">
        <f>'24-july-2026'!V95</f>
        <v>0</v>
      </c>
      <c r="H95" s="15">
        <f t="shared" si="20"/>
        <v>1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5">
        <f t="shared" si="21"/>
        <v>1</v>
      </c>
      <c r="T95" s="15">
        <f t="shared" si="22"/>
        <v>1</v>
      </c>
      <c r="U95" s="15">
        <f t="shared" si="23"/>
        <v>0</v>
      </c>
      <c r="V95" s="15">
        <f t="shared" si="24"/>
        <v>0</v>
      </c>
      <c r="W95" s="18" t="str">
        <f t="shared" si="25"/>
        <v/>
      </c>
      <c r="X95" s="17">
        <v>0</v>
      </c>
      <c r="Y95" s="17">
        <v>0</v>
      </c>
      <c r="Z95" s="15">
        <f t="shared" si="26"/>
        <v>0</v>
      </c>
      <c r="AA95" s="17">
        <v>0</v>
      </c>
      <c r="AB95" s="17">
        <v>0</v>
      </c>
      <c r="AC95" s="15">
        <f t="shared" si="27"/>
        <v>0</v>
      </c>
      <c r="AD95" s="17">
        <v>0</v>
      </c>
      <c r="AE95" s="17">
        <v>0</v>
      </c>
      <c r="AF95" s="15">
        <f t="shared" si="28"/>
        <v>0</v>
      </c>
      <c r="AG95" s="17">
        <v>0</v>
      </c>
      <c r="AH95" s="17">
        <v>0</v>
      </c>
      <c r="AI95" s="15">
        <f t="shared" si="29"/>
        <v>0</v>
      </c>
      <c r="AJ95" s="17"/>
    </row>
    <row r="96" spans="1:36" x14ac:dyDescent="0.3">
      <c r="A96" s="15" t="s">
        <v>145</v>
      </c>
      <c r="B96" s="15">
        <v>1000</v>
      </c>
      <c r="C96" s="15" t="s">
        <v>54</v>
      </c>
      <c r="D96" s="15" t="s">
        <v>68</v>
      </c>
      <c r="E96" s="15">
        <f>'24-july-2026'!T96</f>
        <v>5</v>
      </c>
      <c r="F96" s="15">
        <f>'24-july-2026'!U96</f>
        <v>0</v>
      </c>
      <c r="G96" s="15">
        <f>'24-july-2026'!V96</f>
        <v>0</v>
      </c>
      <c r="H96" s="15">
        <f t="shared" si="20"/>
        <v>5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5">
        <f t="shared" si="21"/>
        <v>5</v>
      </c>
      <c r="T96" s="15">
        <f t="shared" si="22"/>
        <v>5</v>
      </c>
      <c r="U96" s="15">
        <f t="shared" si="23"/>
        <v>0</v>
      </c>
      <c r="V96" s="15">
        <f t="shared" si="24"/>
        <v>0</v>
      </c>
      <c r="W96" s="18" t="str">
        <f t="shared" si="25"/>
        <v/>
      </c>
      <c r="X96" s="17">
        <v>0</v>
      </c>
      <c r="Y96" s="17">
        <v>0</v>
      </c>
      <c r="Z96" s="15">
        <f t="shared" si="26"/>
        <v>0</v>
      </c>
      <c r="AA96" s="17">
        <v>0</v>
      </c>
      <c r="AB96" s="17">
        <v>0</v>
      </c>
      <c r="AC96" s="15">
        <f t="shared" si="27"/>
        <v>0</v>
      </c>
      <c r="AD96" s="17">
        <v>0</v>
      </c>
      <c r="AE96" s="17">
        <v>0</v>
      </c>
      <c r="AF96" s="15">
        <f t="shared" si="28"/>
        <v>0</v>
      </c>
      <c r="AG96" s="17">
        <v>0</v>
      </c>
      <c r="AH96" s="17">
        <v>0</v>
      </c>
      <c r="AI96" s="15">
        <f t="shared" si="29"/>
        <v>0</v>
      </c>
      <c r="AJ96" s="17"/>
    </row>
    <row r="97" spans="1:36" x14ac:dyDescent="0.3">
      <c r="A97" s="15" t="s">
        <v>146</v>
      </c>
      <c r="B97" s="15">
        <v>1000</v>
      </c>
      <c r="C97" s="15" t="s">
        <v>54</v>
      </c>
      <c r="D97" s="15" t="s">
        <v>68</v>
      </c>
      <c r="E97" s="15">
        <f>'24-july-2026'!T97</f>
        <v>4</v>
      </c>
      <c r="F97" s="15">
        <f>'24-july-2026'!U97</f>
        <v>0</v>
      </c>
      <c r="G97" s="15">
        <f>'24-july-2026'!V97</f>
        <v>0</v>
      </c>
      <c r="H97" s="15">
        <f t="shared" si="20"/>
        <v>4</v>
      </c>
      <c r="I97" s="17">
        <v>1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5">
        <f t="shared" si="21"/>
        <v>3</v>
      </c>
      <c r="T97" s="15">
        <f t="shared" si="22"/>
        <v>3</v>
      </c>
      <c r="U97" s="15">
        <f t="shared" si="23"/>
        <v>0</v>
      </c>
      <c r="V97" s="15">
        <f t="shared" si="24"/>
        <v>0</v>
      </c>
      <c r="W97" s="18" t="str">
        <f t="shared" si="25"/>
        <v/>
      </c>
      <c r="X97" s="17">
        <v>0</v>
      </c>
      <c r="Y97" s="17">
        <v>0</v>
      </c>
      <c r="Z97" s="15">
        <f t="shared" si="26"/>
        <v>0</v>
      </c>
      <c r="AA97" s="17">
        <v>0</v>
      </c>
      <c r="AB97" s="17">
        <v>0</v>
      </c>
      <c r="AC97" s="15">
        <f t="shared" si="27"/>
        <v>0</v>
      </c>
      <c r="AD97" s="17">
        <v>0</v>
      </c>
      <c r="AE97" s="17">
        <v>0</v>
      </c>
      <c r="AF97" s="15">
        <f t="shared" si="28"/>
        <v>0</v>
      </c>
      <c r="AG97" s="17">
        <v>0</v>
      </c>
      <c r="AH97" s="17">
        <v>0</v>
      </c>
      <c r="AI97" s="15">
        <f t="shared" si="29"/>
        <v>0</v>
      </c>
      <c r="AJ97" s="17"/>
    </row>
    <row r="98" spans="1:36" hidden="1" x14ac:dyDescent="0.3">
      <c r="A98" s="15" t="s">
        <v>147</v>
      </c>
      <c r="B98" s="15">
        <v>1000</v>
      </c>
      <c r="C98" s="15" t="s">
        <v>54</v>
      </c>
      <c r="D98" s="15" t="s">
        <v>55</v>
      </c>
      <c r="E98" s="15">
        <f>'24-july-2026'!T98</f>
        <v>34</v>
      </c>
      <c r="F98" s="15">
        <f>'24-july-2026'!U98</f>
        <v>1</v>
      </c>
      <c r="G98" s="15">
        <f>'24-july-2026'!V98</f>
        <v>5</v>
      </c>
      <c r="H98" s="15">
        <f t="shared" si="20"/>
        <v>40</v>
      </c>
      <c r="I98" s="17">
        <v>0</v>
      </c>
      <c r="J98" s="17">
        <v>0</v>
      </c>
      <c r="K98" s="17">
        <v>0</v>
      </c>
      <c r="L98" s="17">
        <v>5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5">
        <f t="shared" si="21"/>
        <v>35</v>
      </c>
      <c r="T98" s="15">
        <f t="shared" si="22"/>
        <v>29</v>
      </c>
      <c r="U98" s="15">
        <f t="shared" si="23"/>
        <v>1</v>
      </c>
      <c r="V98" s="15">
        <f t="shared" si="24"/>
        <v>5</v>
      </c>
      <c r="W98" s="18" t="str">
        <f t="shared" si="25"/>
        <v/>
      </c>
      <c r="X98" s="17">
        <v>0</v>
      </c>
      <c r="Y98" s="17">
        <v>0</v>
      </c>
      <c r="Z98" s="15">
        <f t="shared" si="26"/>
        <v>0</v>
      </c>
      <c r="AA98" s="17">
        <v>0</v>
      </c>
      <c r="AB98" s="17">
        <v>0</v>
      </c>
      <c r="AC98" s="15">
        <f t="shared" si="27"/>
        <v>0</v>
      </c>
      <c r="AD98" s="17">
        <v>0</v>
      </c>
      <c r="AE98" s="17">
        <v>0</v>
      </c>
      <c r="AF98" s="15">
        <f t="shared" si="28"/>
        <v>0</v>
      </c>
      <c r="AG98" s="17">
        <v>0</v>
      </c>
      <c r="AH98" s="17">
        <v>0</v>
      </c>
      <c r="AI98" s="15">
        <f t="shared" si="29"/>
        <v>0</v>
      </c>
      <c r="AJ98" s="17"/>
    </row>
    <row r="99" spans="1:36" x14ac:dyDescent="0.3">
      <c r="A99" s="15" t="s">
        <v>148</v>
      </c>
      <c r="B99" s="15">
        <v>100</v>
      </c>
      <c r="C99" s="15" t="s">
        <v>54</v>
      </c>
      <c r="D99" s="15" t="s">
        <v>57</v>
      </c>
      <c r="E99" s="15">
        <f>'24-july-2026'!T99</f>
        <v>2</v>
      </c>
      <c r="F99" s="15">
        <f>'24-july-2026'!U99</f>
        <v>0</v>
      </c>
      <c r="G99" s="15">
        <f>'24-july-2026'!V99</f>
        <v>0</v>
      </c>
      <c r="H99" s="15">
        <f t="shared" ref="H99:H130" si="30">E99+F99+G99</f>
        <v>2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5">
        <f t="shared" ref="S99:S130" si="31">H99+O99+P99+Q99+R99-(I99+J99+K99+L99+M99+N99)</f>
        <v>2</v>
      </c>
      <c r="T99" s="15">
        <f t="shared" ref="T99:T130" si="32">E99+O99-I99-L99</f>
        <v>2</v>
      </c>
      <c r="U99" s="15">
        <f t="shared" ref="U99:U130" si="33">F99+P99-J99-M99</f>
        <v>0</v>
      </c>
      <c r="V99" s="15">
        <f t="shared" ref="V99:V130" si="34">G99+Q99-K99-N99</f>
        <v>0</v>
      </c>
      <c r="W99" s="18" t="str">
        <f t="shared" ref="W99:W130" si="35">IF(MIN(T99,U99,V99)&lt;0,"NEGATIVE STOCK - CHECK ENTRIES","")</f>
        <v/>
      </c>
      <c r="X99" s="17">
        <v>0</v>
      </c>
      <c r="Y99" s="17">
        <v>0</v>
      </c>
      <c r="Z99" s="15">
        <f t="shared" ref="Z99:Z130" si="36">X99-Y99</f>
        <v>0</v>
      </c>
      <c r="AA99" s="17">
        <v>0</v>
      </c>
      <c r="AB99" s="17">
        <v>0</v>
      </c>
      <c r="AC99" s="15">
        <f t="shared" ref="AC99:AC130" si="37">AA99-AB99</f>
        <v>0</v>
      </c>
      <c r="AD99" s="17">
        <v>0</v>
      </c>
      <c r="AE99" s="17">
        <v>0</v>
      </c>
      <c r="AF99" s="15">
        <f t="shared" ref="AF99:AF130" si="38">AD99-AE99</f>
        <v>0</v>
      </c>
      <c r="AG99" s="17">
        <v>0</v>
      </c>
      <c r="AH99" s="17">
        <v>0</v>
      </c>
      <c r="AI99" s="15">
        <f t="shared" ref="AI99:AI130" si="39">AG99-AH99</f>
        <v>0</v>
      </c>
      <c r="AJ99" s="17"/>
    </row>
    <row r="100" spans="1:36" hidden="1" x14ac:dyDescent="0.3">
      <c r="A100" s="15" t="s">
        <v>149</v>
      </c>
      <c r="B100" s="15">
        <v>250</v>
      </c>
      <c r="C100" s="15" t="s">
        <v>54</v>
      </c>
      <c r="D100" s="15" t="s">
        <v>55</v>
      </c>
      <c r="E100" s="15">
        <v>0</v>
      </c>
      <c r="F100" s="15">
        <v>0</v>
      </c>
      <c r="G100" s="15">
        <v>0</v>
      </c>
      <c r="H100" s="15">
        <f t="shared" si="30"/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5">
        <f t="shared" si="31"/>
        <v>0</v>
      </c>
      <c r="T100" s="15">
        <f t="shared" si="32"/>
        <v>0</v>
      </c>
      <c r="U100" s="15">
        <f t="shared" si="33"/>
        <v>0</v>
      </c>
      <c r="V100" s="15">
        <f t="shared" si="34"/>
        <v>0</v>
      </c>
      <c r="W100" s="18" t="str">
        <f t="shared" si="35"/>
        <v/>
      </c>
      <c r="X100" s="17">
        <v>0</v>
      </c>
      <c r="Y100" s="17">
        <v>0</v>
      </c>
      <c r="Z100" s="15">
        <f t="shared" si="36"/>
        <v>0</v>
      </c>
      <c r="AA100" s="17">
        <v>0</v>
      </c>
      <c r="AB100" s="17">
        <v>0</v>
      </c>
      <c r="AC100" s="15">
        <f t="shared" si="37"/>
        <v>0</v>
      </c>
      <c r="AD100" s="17">
        <v>0</v>
      </c>
      <c r="AE100" s="17">
        <v>0</v>
      </c>
      <c r="AF100" s="15">
        <f t="shared" si="38"/>
        <v>0</v>
      </c>
      <c r="AG100" s="17">
        <v>0</v>
      </c>
      <c r="AH100" s="17">
        <v>0</v>
      </c>
      <c r="AI100" s="15">
        <f t="shared" si="39"/>
        <v>0</v>
      </c>
      <c r="AJ100" s="17"/>
    </row>
    <row r="101" spans="1:36" x14ac:dyDescent="0.3">
      <c r="A101" s="15" t="s">
        <v>150</v>
      </c>
      <c r="B101" s="15">
        <v>10000</v>
      </c>
      <c r="C101" s="15" t="s">
        <v>54</v>
      </c>
      <c r="D101" s="15" t="s">
        <v>68</v>
      </c>
      <c r="E101" s="15">
        <f>'24-july-2026'!T101</f>
        <v>1</v>
      </c>
      <c r="F101" s="15">
        <f>'24-july-2026'!U101</f>
        <v>0</v>
      </c>
      <c r="G101" s="15">
        <f>'24-july-2026'!V101</f>
        <v>0</v>
      </c>
      <c r="H101" s="15">
        <f t="shared" si="30"/>
        <v>1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5">
        <f t="shared" si="31"/>
        <v>1</v>
      </c>
      <c r="T101" s="15">
        <f t="shared" si="32"/>
        <v>1</v>
      </c>
      <c r="U101" s="15">
        <f t="shared" si="33"/>
        <v>0</v>
      </c>
      <c r="V101" s="15">
        <f t="shared" si="34"/>
        <v>0</v>
      </c>
      <c r="W101" s="18" t="str">
        <f t="shared" si="35"/>
        <v/>
      </c>
      <c r="X101" s="17">
        <v>0</v>
      </c>
      <c r="Y101" s="17">
        <v>0</v>
      </c>
      <c r="Z101" s="15">
        <f t="shared" si="36"/>
        <v>0</v>
      </c>
      <c r="AA101" s="17">
        <v>0</v>
      </c>
      <c r="AB101" s="17">
        <v>0</v>
      </c>
      <c r="AC101" s="15">
        <f t="shared" si="37"/>
        <v>0</v>
      </c>
      <c r="AD101" s="17">
        <v>0</v>
      </c>
      <c r="AE101" s="17">
        <v>0</v>
      </c>
      <c r="AF101" s="15">
        <f t="shared" si="38"/>
        <v>0</v>
      </c>
      <c r="AG101" s="17">
        <v>0</v>
      </c>
      <c r="AH101" s="17">
        <v>0</v>
      </c>
      <c r="AI101" s="15">
        <f t="shared" si="39"/>
        <v>0</v>
      </c>
      <c r="AJ101" s="17"/>
    </row>
    <row r="102" spans="1:36" x14ac:dyDescent="0.3">
      <c r="A102" s="15" t="s">
        <v>151</v>
      </c>
      <c r="B102" s="15">
        <v>100000</v>
      </c>
      <c r="C102" s="15" t="s">
        <v>54</v>
      </c>
      <c r="D102" s="15" t="s">
        <v>68</v>
      </c>
      <c r="E102" s="15">
        <f>'24-july-2026'!T102</f>
        <v>2</v>
      </c>
      <c r="F102" s="15">
        <f>'24-july-2026'!U102</f>
        <v>0</v>
      </c>
      <c r="G102" s="15">
        <f>'24-july-2026'!V102</f>
        <v>0</v>
      </c>
      <c r="H102" s="15">
        <f t="shared" si="30"/>
        <v>2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5">
        <f t="shared" si="31"/>
        <v>2</v>
      </c>
      <c r="T102" s="15">
        <f t="shared" si="32"/>
        <v>2</v>
      </c>
      <c r="U102" s="15">
        <f t="shared" si="33"/>
        <v>0</v>
      </c>
      <c r="V102" s="15">
        <f t="shared" si="34"/>
        <v>0</v>
      </c>
      <c r="W102" s="18" t="str">
        <f t="shared" si="35"/>
        <v/>
      </c>
      <c r="X102" s="17">
        <v>0</v>
      </c>
      <c r="Y102" s="17">
        <v>0</v>
      </c>
      <c r="Z102" s="15">
        <f t="shared" si="36"/>
        <v>0</v>
      </c>
      <c r="AA102" s="17">
        <v>0</v>
      </c>
      <c r="AB102" s="17">
        <v>0</v>
      </c>
      <c r="AC102" s="15">
        <f t="shared" si="37"/>
        <v>0</v>
      </c>
      <c r="AD102" s="17">
        <v>0</v>
      </c>
      <c r="AE102" s="17">
        <v>0</v>
      </c>
      <c r="AF102" s="15">
        <f t="shared" si="38"/>
        <v>0</v>
      </c>
      <c r="AG102" s="17">
        <v>0</v>
      </c>
      <c r="AH102" s="17">
        <v>0</v>
      </c>
      <c r="AI102" s="15">
        <f t="shared" si="39"/>
        <v>0</v>
      </c>
      <c r="AJ102" s="17"/>
    </row>
    <row r="103" spans="1:36" x14ac:dyDescent="0.3">
      <c r="A103" s="15" t="s">
        <v>152</v>
      </c>
      <c r="B103" s="15">
        <v>500</v>
      </c>
      <c r="C103" s="15" t="s">
        <v>54</v>
      </c>
      <c r="D103" s="15" t="s">
        <v>57</v>
      </c>
      <c r="E103" s="15">
        <f>'24-july-2026'!T103</f>
        <v>1</v>
      </c>
      <c r="F103" s="15">
        <f>'24-july-2026'!U103</f>
        <v>0</v>
      </c>
      <c r="G103" s="15">
        <f>'24-july-2026'!V103</f>
        <v>0</v>
      </c>
      <c r="H103" s="15">
        <f t="shared" si="30"/>
        <v>1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5">
        <f t="shared" si="31"/>
        <v>1</v>
      </c>
      <c r="T103" s="15">
        <f t="shared" si="32"/>
        <v>1</v>
      </c>
      <c r="U103" s="15">
        <f t="shared" si="33"/>
        <v>0</v>
      </c>
      <c r="V103" s="15">
        <f t="shared" si="34"/>
        <v>0</v>
      </c>
      <c r="W103" s="18" t="str">
        <f t="shared" si="35"/>
        <v/>
      </c>
      <c r="X103" s="17">
        <v>0</v>
      </c>
      <c r="Y103" s="17">
        <v>0</v>
      </c>
      <c r="Z103" s="15">
        <f t="shared" si="36"/>
        <v>0</v>
      </c>
      <c r="AA103" s="17">
        <v>0</v>
      </c>
      <c r="AB103" s="17">
        <v>0</v>
      </c>
      <c r="AC103" s="15">
        <f t="shared" si="37"/>
        <v>0</v>
      </c>
      <c r="AD103" s="17">
        <v>0</v>
      </c>
      <c r="AE103" s="17">
        <v>0</v>
      </c>
      <c r="AF103" s="15">
        <f t="shared" si="38"/>
        <v>0</v>
      </c>
      <c r="AG103" s="17">
        <v>0</v>
      </c>
      <c r="AH103" s="17">
        <v>0</v>
      </c>
      <c r="AI103" s="15">
        <f t="shared" si="39"/>
        <v>0</v>
      </c>
      <c r="AJ103" s="17"/>
    </row>
    <row r="104" spans="1:36" x14ac:dyDescent="0.3">
      <c r="A104" s="15" t="s">
        <v>153</v>
      </c>
      <c r="B104" s="15">
        <v>100</v>
      </c>
      <c r="C104" s="15" t="s">
        <v>54</v>
      </c>
      <c r="D104" s="15" t="s">
        <v>68</v>
      </c>
      <c r="E104" s="15">
        <f>'24-july-2026'!T104</f>
        <v>0</v>
      </c>
      <c r="F104" s="15">
        <f>'24-july-2026'!U104</f>
        <v>0</v>
      </c>
      <c r="G104" s="15">
        <f>'24-july-2026'!V104</f>
        <v>0</v>
      </c>
      <c r="H104" s="15">
        <f t="shared" si="30"/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5">
        <f t="shared" si="31"/>
        <v>0</v>
      </c>
      <c r="T104" s="15">
        <f t="shared" si="32"/>
        <v>0</v>
      </c>
      <c r="U104" s="15">
        <f t="shared" si="33"/>
        <v>0</v>
      </c>
      <c r="V104" s="15">
        <f t="shared" si="34"/>
        <v>0</v>
      </c>
      <c r="W104" s="18" t="str">
        <f t="shared" si="35"/>
        <v/>
      </c>
      <c r="X104" s="17">
        <v>0</v>
      </c>
      <c r="Y104" s="17">
        <v>0</v>
      </c>
      <c r="Z104" s="15">
        <f t="shared" si="36"/>
        <v>0</v>
      </c>
      <c r="AA104" s="17">
        <v>0</v>
      </c>
      <c r="AB104" s="17">
        <v>0</v>
      </c>
      <c r="AC104" s="15">
        <f t="shared" si="37"/>
        <v>0</v>
      </c>
      <c r="AD104" s="17">
        <v>0</v>
      </c>
      <c r="AE104" s="17">
        <v>0</v>
      </c>
      <c r="AF104" s="15">
        <f t="shared" si="38"/>
        <v>0</v>
      </c>
      <c r="AG104" s="17">
        <v>0</v>
      </c>
      <c r="AH104" s="17">
        <v>0</v>
      </c>
      <c r="AI104" s="15">
        <f t="shared" si="39"/>
        <v>0</v>
      </c>
      <c r="AJ104" s="17"/>
    </row>
    <row r="105" spans="1:36" hidden="1" x14ac:dyDescent="0.3">
      <c r="A105" s="15" t="s">
        <v>154</v>
      </c>
      <c r="B105" s="15">
        <v>100</v>
      </c>
      <c r="C105" s="15" t="s">
        <v>54</v>
      </c>
      <c r="D105" s="15" t="s">
        <v>55</v>
      </c>
      <c r="E105" s="15">
        <f>'24-july-2026'!T105</f>
        <v>69</v>
      </c>
      <c r="F105" s="15">
        <f>'24-july-2026'!U105</f>
        <v>0</v>
      </c>
      <c r="G105" s="15">
        <f>'24-july-2026'!V105</f>
        <v>0</v>
      </c>
      <c r="H105" s="15">
        <f t="shared" si="30"/>
        <v>69</v>
      </c>
      <c r="I105" s="17">
        <v>2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5">
        <f t="shared" si="31"/>
        <v>67</v>
      </c>
      <c r="T105" s="15">
        <f t="shared" si="32"/>
        <v>67</v>
      </c>
      <c r="U105" s="15">
        <f t="shared" si="33"/>
        <v>0</v>
      </c>
      <c r="V105" s="15">
        <f t="shared" si="34"/>
        <v>0</v>
      </c>
      <c r="W105" s="18" t="str">
        <f t="shared" si="35"/>
        <v/>
      </c>
      <c r="X105" s="17">
        <v>0</v>
      </c>
      <c r="Y105" s="17">
        <v>0</v>
      </c>
      <c r="Z105" s="15">
        <f t="shared" si="36"/>
        <v>0</v>
      </c>
      <c r="AA105" s="17">
        <v>0</v>
      </c>
      <c r="AB105" s="17">
        <v>0</v>
      </c>
      <c r="AC105" s="15">
        <f t="shared" si="37"/>
        <v>0</v>
      </c>
      <c r="AD105" s="17">
        <v>0</v>
      </c>
      <c r="AE105" s="17">
        <v>0</v>
      </c>
      <c r="AF105" s="15">
        <f t="shared" si="38"/>
        <v>0</v>
      </c>
      <c r="AG105" s="17">
        <v>0</v>
      </c>
      <c r="AH105" s="17">
        <v>0</v>
      </c>
      <c r="AI105" s="15">
        <f t="shared" si="39"/>
        <v>0</v>
      </c>
      <c r="AJ105" s="17"/>
    </row>
    <row r="106" spans="1:36" x14ac:dyDescent="0.3">
      <c r="A106" s="15" t="s">
        <v>155</v>
      </c>
      <c r="B106" s="15">
        <v>100</v>
      </c>
      <c r="C106" s="15" t="s">
        <v>54</v>
      </c>
      <c r="D106" s="15" t="s">
        <v>68</v>
      </c>
      <c r="E106" s="15">
        <f>'24-july-2026'!T106</f>
        <v>1</v>
      </c>
      <c r="F106" s="15">
        <f>'24-july-2026'!U106</f>
        <v>0</v>
      </c>
      <c r="G106" s="15">
        <f>'24-july-2026'!V106</f>
        <v>0</v>
      </c>
      <c r="H106" s="15">
        <f t="shared" si="30"/>
        <v>1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5">
        <f t="shared" si="31"/>
        <v>1</v>
      </c>
      <c r="T106" s="15">
        <f t="shared" si="32"/>
        <v>1</v>
      </c>
      <c r="U106" s="15">
        <f t="shared" si="33"/>
        <v>0</v>
      </c>
      <c r="V106" s="15">
        <f t="shared" si="34"/>
        <v>0</v>
      </c>
      <c r="W106" s="18" t="str">
        <f t="shared" si="35"/>
        <v/>
      </c>
      <c r="X106" s="17">
        <v>0</v>
      </c>
      <c r="Y106" s="17">
        <v>0</v>
      </c>
      <c r="Z106" s="15">
        <f t="shared" si="36"/>
        <v>0</v>
      </c>
      <c r="AA106" s="17">
        <v>0</v>
      </c>
      <c r="AB106" s="17">
        <v>0</v>
      </c>
      <c r="AC106" s="15">
        <f t="shared" si="37"/>
        <v>0</v>
      </c>
      <c r="AD106" s="17">
        <v>0</v>
      </c>
      <c r="AE106" s="17">
        <v>0</v>
      </c>
      <c r="AF106" s="15">
        <f t="shared" si="38"/>
        <v>0</v>
      </c>
      <c r="AG106" s="17">
        <v>0</v>
      </c>
      <c r="AH106" s="17">
        <v>0</v>
      </c>
      <c r="AI106" s="15">
        <f t="shared" si="39"/>
        <v>0</v>
      </c>
      <c r="AJ106" s="17"/>
    </row>
    <row r="107" spans="1:36" x14ac:dyDescent="0.3">
      <c r="A107" s="15" t="s">
        <v>156</v>
      </c>
      <c r="B107" s="15">
        <v>2500</v>
      </c>
      <c r="C107" s="15" t="s">
        <v>54</v>
      </c>
      <c r="D107" s="15" t="s">
        <v>68</v>
      </c>
      <c r="E107" s="15">
        <f>'24-july-2026'!T107</f>
        <v>1</v>
      </c>
      <c r="F107" s="15">
        <f>'24-july-2026'!U107</f>
        <v>0</v>
      </c>
      <c r="G107" s="15">
        <f>'24-july-2026'!V107</f>
        <v>0</v>
      </c>
      <c r="H107" s="15">
        <f t="shared" si="30"/>
        <v>1</v>
      </c>
      <c r="I107" s="17">
        <v>1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5">
        <f t="shared" si="31"/>
        <v>0</v>
      </c>
      <c r="T107" s="15">
        <f t="shared" si="32"/>
        <v>0</v>
      </c>
      <c r="U107" s="15">
        <f t="shared" si="33"/>
        <v>0</v>
      </c>
      <c r="V107" s="15">
        <f t="shared" si="34"/>
        <v>0</v>
      </c>
      <c r="W107" s="18" t="str">
        <f t="shared" si="35"/>
        <v/>
      </c>
      <c r="X107" s="17">
        <v>0</v>
      </c>
      <c r="Y107" s="17">
        <v>0</v>
      </c>
      <c r="Z107" s="15">
        <f t="shared" si="36"/>
        <v>0</v>
      </c>
      <c r="AA107" s="17">
        <v>0</v>
      </c>
      <c r="AB107" s="17">
        <v>0</v>
      </c>
      <c r="AC107" s="15">
        <f t="shared" si="37"/>
        <v>0</v>
      </c>
      <c r="AD107" s="17">
        <v>0</v>
      </c>
      <c r="AE107" s="17">
        <v>0</v>
      </c>
      <c r="AF107" s="15">
        <f t="shared" si="38"/>
        <v>0</v>
      </c>
      <c r="AG107" s="17">
        <v>0</v>
      </c>
      <c r="AH107" s="17">
        <v>0</v>
      </c>
      <c r="AI107" s="15">
        <f t="shared" si="39"/>
        <v>0</v>
      </c>
      <c r="AJ107" s="17"/>
    </row>
    <row r="108" spans="1:36" x14ac:dyDescent="0.3">
      <c r="A108" s="15" t="s">
        <v>157</v>
      </c>
      <c r="B108" s="15">
        <v>100</v>
      </c>
      <c r="C108" s="15" t="s">
        <v>54</v>
      </c>
      <c r="D108" s="15" t="s">
        <v>57</v>
      </c>
      <c r="E108" s="15">
        <f>'24-july-2026'!T108</f>
        <v>2</v>
      </c>
      <c r="F108" s="15">
        <f>'24-july-2026'!U108</f>
        <v>0</v>
      </c>
      <c r="G108" s="15">
        <f>'24-july-2026'!V108</f>
        <v>0</v>
      </c>
      <c r="H108" s="15">
        <f t="shared" si="30"/>
        <v>2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5">
        <f t="shared" si="31"/>
        <v>2</v>
      </c>
      <c r="T108" s="15">
        <f t="shared" si="32"/>
        <v>2</v>
      </c>
      <c r="U108" s="15">
        <f t="shared" si="33"/>
        <v>0</v>
      </c>
      <c r="V108" s="15">
        <f t="shared" si="34"/>
        <v>0</v>
      </c>
      <c r="W108" s="18" t="str">
        <f t="shared" si="35"/>
        <v/>
      </c>
      <c r="X108" s="17">
        <v>0</v>
      </c>
      <c r="Y108" s="17">
        <v>0</v>
      </c>
      <c r="Z108" s="15">
        <f t="shared" si="36"/>
        <v>0</v>
      </c>
      <c r="AA108" s="17">
        <v>0</v>
      </c>
      <c r="AB108" s="17">
        <v>0</v>
      </c>
      <c r="AC108" s="15">
        <f t="shared" si="37"/>
        <v>0</v>
      </c>
      <c r="AD108" s="17">
        <v>0</v>
      </c>
      <c r="AE108" s="17">
        <v>0</v>
      </c>
      <c r="AF108" s="15">
        <f t="shared" si="38"/>
        <v>0</v>
      </c>
      <c r="AG108" s="17">
        <v>0</v>
      </c>
      <c r="AH108" s="17">
        <v>0</v>
      </c>
      <c r="AI108" s="15">
        <f t="shared" si="39"/>
        <v>0</v>
      </c>
      <c r="AJ108" s="17"/>
    </row>
    <row r="109" spans="1:36" hidden="1" x14ac:dyDescent="0.3">
      <c r="A109" s="15" t="s">
        <v>158</v>
      </c>
      <c r="B109" s="15">
        <v>100</v>
      </c>
      <c r="C109" s="15" t="s">
        <v>54</v>
      </c>
      <c r="D109" s="15" t="s">
        <v>55</v>
      </c>
      <c r="E109" s="15">
        <f>'24-july-2026'!T109</f>
        <v>27</v>
      </c>
      <c r="F109" s="15">
        <f>'24-july-2026'!U109</f>
        <v>0</v>
      </c>
      <c r="G109" s="15">
        <f>'24-july-2026'!V109</f>
        <v>0</v>
      </c>
      <c r="H109" s="15">
        <f t="shared" si="30"/>
        <v>27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5">
        <f t="shared" si="31"/>
        <v>27</v>
      </c>
      <c r="T109" s="15">
        <f t="shared" si="32"/>
        <v>27</v>
      </c>
      <c r="U109" s="15">
        <f t="shared" si="33"/>
        <v>0</v>
      </c>
      <c r="V109" s="15">
        <f t="shared" si="34"/>
        <v>0</v>
      </c>
      <c r="W109" s="18" t="str">
        <f t="shared" si="35"/>
        <v/>
      </c>
      <c r="X109" s="17">
        <v>0</v>
      </c>
      <c r="Y109" s="17">
        <v>0</v>
      </c>
      <c r="Z109" s="15">
        <f t="shared" si="36"/>
        <v>0</v>
      </c>
      <c r="AA109" s="17">
        <v>0</v>
      </c>
      <c r="AB109" s="17">
        <v>0</v>
      </c>
      <c r="AC109" s="15">
        <f t="shared" si="37"/>
        <v>0</v>
      </c>
      <c r="AD109" s="17">
        <v>0</v>
      </c>
      <c r="AE109" s="17">
        <v>0</v>
      </c>
      <c r="AF109" s="15">
        <f t="shared" si="38"/>
        <v>0</v>
      </c>
      <c r="AG109" s="17">
        <v>0</v>
      </c>
      <c r="AH109" s="17">
        <v>0</v>
      </c>
      <c r="AI109" s="15">
        <f t="shared" si="39"/>
        <v>0</v>
      </c>
      <c r="AJ109" s="17"/>
    </row>
    <row r="110" spans="1:36" hidden="1" x14ac:dyDescent="0.3">
      <c r="A110" s="15" t="s">
        <v>159</v>
      </c>
      <c r="B110" s="15">
        <v>100</v>
      </c>
      <c r="C110" s="15" t="s">
        <v>54</v>
      </c>
      <c r="D110" s="15" t="s">
        <v>55</v>
      </c>
      <c r="E110" s="15">
        <f>'24-july-2026'!T110</f>
        <v>99</v>
      </c>
      <c r="F110" s="15">
        <f>'24-july-2026'!U110</f>
        <v>0</v>
      </c>
      <c r="G110" s="15">
        <f>'24-july-2026'!V110</f>
        <v>0</v>
      </c>
      <c r="H110" s="15">
        <f t="shared" si="30"/>
        <v>99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5">
        <f t="shared" si="31"/>
        <v>99</v>
      </c>
      <c r="T110" s="15">
        <f t="shared" si="32"/>
        <v>99</v>
      </c>
      <c r="U110" s="15">
        <f t="shared" si="33"/>
        <v>0</v>
      </c>
      <c r="V110" s="15">
        <f t="shared" si="34"/>
        <v>0</v>
      </c>
      <c r="W110" s="18" t="str">
        <f t="shared" si="35"/>
        <v/>
      </c>
      <c r="X110" s="17">
        <v>0</v>
      </c>
      <c r="Y110" s="17">
        <v>0</v>
      </c>
      <c r="Z110" s="15">
        <f t="shared" si="36"/>
        <v>0</v>
      </c>
      <c r="AA110" s="17">
        <v>0</v>
      </c>
      <c r="AB110" s="17">
        <v>0</v>
      </c>
      <c r="AC110" s="15">
        <f t="shared" si="37"/>
        <v>0</v>
      </c>
      <c r="AD110" s="17">
        <v>0</v>
      </c>
      <c r="AE110" s="17">
        <v>0</v>
      </c>
      <c r="AF110" s="15">
        <f t="shared" si="38"/>
        <v>0</v>
      </c>
      <c r="AG110" s="17">
        <v>0</v>
      </c>
      <c r="AH110" s="17">
        <v>0</v>
      </c>
      <c r="AI110" s="15">
        <f t="shared" si="39"/>
        <v>0</v>
      </c>
      <c r="AJ110" s="17"/>
    </row>
    <row r="111" spans="1:36" hidden="1" x14ac:dyDescent="0.3">
      <c r="A111" s="15" t="s">
        <v>160</v>
      </c>
      <c r="B111" s="15">
        <v>100</v>
      </c>
      <c r="C111" s="15" t="s">
        <v>54</v>
      </c>
      <c r="D111" s="15" t="s">
        <v>55</v>
      </c>
      <c r="E111" s="15">
        <f>'24-july-2026'!T111</f>
        <v>122</v>
      </c>
      <c r="F111" s="15">
        <f>'24-july-2026'!U111</f>
        <v>4</v>
      </c>
      <c r="G111" s="15">
        <f>'24-july-2026'!V111</f>
        <v>5</v>
      </c>
      <c r="H111" s="15">
        <f t="shared" si="30"/>
        <v>131</v>
      </c>
      <c r="I111" s="17">
        <v>1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5">
        <f t="shared" si="31"/>
        <v>130</v>
      </c>
      <c r="T111" s="15">
        <f t="shared" si="32"/>
        <v>121</v>
      </c>
      <c r="U111" s="15">
        <f t="shared" si="33"/>
        <v>4</v>
      </c>
      <c r="V111" s="15">
        <f t="shared" si="34"/>
        <v>5</v>
      </c>
      <c r="W111" s="18" t="str">
        <f t="shared" si="35"/>
        <v/>
      </c>
      <c r="X111" s="17">
        <v>0</v>
      </c>
      <c r="Y111" s="17">
        <v>0</v>
      </c>
      <c r="Z111" s="15">
        <f t="shared" si="36"/>
        <v>0</v>
      </c>
      <c r="AA111" s="17">
        <v>0</v>
      </c>
      <c r="AB111" s="17">
        <v>0</v>
      </c>
      <c r="AC111" s="15">
        <f t="shared" si="37"/>
        <v>0</v>
      </c>
      <c r="AD111" s="17">
        <v>0</v>
      </c>
      <c r="AE111" s="17">
        <v>0</v>
      </c>
      <c r="AF111" s="15">
        <f t="shared" si="38"/>
        <v>0</v>
      </c>
      <c r="AG111" s="17">
        <v>0</v>
      </c>
      <c r="AH111" s="17">
        <v>0</v>
      </c>
      <c r="AI111" s="15">
        <f t="shared" si="39"/>
        <v>0</v>
      </c>
      <c r="AJ111" s="17"/>
    </row>
    <row r="112" spans="1:36" hidden="1" x14ac:dyDescent="0.3">
      <c r="A112" s="15" t="s">
        <v>161</v>
      </c>
      <c r="B112" s="15">
        <v>100</v>
      </c>
      <c r="C112" s="15" t="s">
        <v>54</v>
      </c>
      <c r="D112" s="15" t="s">
        <v>55</v>
      </c>
      <c r="E112" s="15">
        <f>'24-july-2026'!T112</f>
        <v>292</v>
      </c>
      <c r="F112" s="15">
        <f>'24-july-2026'!U112</f>
        <v>60</v>
      </c>
      <c r="G112" s="15">
        <f>'24-july-2026'!V112</f>
        <v>8</v>
      </c>
      <c r="H112" s="15">
        <f t="shared" si="30"/>
        <v>360</v>
      </c>
      <c r="I112" s="17">
        <v>2</v>
      </c>
      <c r="J112" s="17">
        <v>0</v>
      </c>
      <c r="K112" s="17">
        <v>0</v>
      </c>
      <c r="L112" s="17">
        <v>120</v>
      </c>
      <c r="M112" s="17">
        <v>0</v>
      </c>
      <c r="N112" s="17">
        <v>0</v>
      </c>
      <c r="O112" s="17">
        <v>0</v>
      </c>
      <c r="P112" s="17">
        <v>0</v>
      </c>
      <c r="Q112" s="17">
        <v>20</v>
      </c>
      <c r="R112" s="17">
        <v>100</v>
      </c>
      <c r="S112" s="15">
        <f t="shared" si="31"/>
        <v>358</v>
      </c>
      <c r="T112" s="15">
        <f t="shared" si="32"/>
        <v>170</v>
      </c>
      <c r="U112" s="15">
        <f t="shared" si="33"/>
        <v>60</v>
      </c>
      <c r="V112" s="15">
        <f t="shared" si="34"/>
        <v>28</v>
      </c>
      <c r="W112" s="18" t="str">
        <f t="shared" si="35"/>
        <v/>
      </c>
      <c r="X112" s="17">
        <v>0</v>
      </c>
      <c r="Y112" s="17">
        <v>0</v>
      </c>
      <c r="Z112" s="15">
        <f t="shared" si="36"/>
        <v>0</v>
      </c>
      <c r="AA112" s="17">
        <v>0</v>
      </c>
      <c r="AB112" s="17">
        <v>0</v>
      </c>
      <c r="AC112" s="15">
        <f t="shared" si="37"/>
        <v>0</v>
      </c>
      <c r="AD112" s="17">
        <v>0</v>
      </c>
      <c r="AE112" s="17">
        <v>0</v>
      </c>
      <c r="AF112" s="15">
        <f t="shared" si="38"/>
        <v>0</v>
      </c>
      <c r="AG112" s="17">
        <v>0</v>
      </c>
      <c r="AH112" s="17">
        <v>0</v>
      </c>
      <c r="AI112" s="15">
        <f t="shared" si="39"/>
        <v>0</v>
      </c>
      <c r="AJ112" s="17"/>
    </row>
    <row r="113" spans="1:36" hidden="1" x14ac:dyDescent="0.3">
      <c r="A113" s="15" t="s">
        <v>162</v>
      </c>
      <c r="B113" s="15">
        <v>1000</v>
      </c>
      <c r="C113" s="15" t="s">
        <v>54</v>
      </c>
      <c r="D113" s="15" t="s">
        <v>55</v>
      </c>
      <c r="E113" s="15">
        <f>'24-july-2026'!T113</f>
        <v>5</v>
      </c>
      <c r="F113" s="15">
        <f>'24-july-2026'!U113</f>
        <v>7</v>
      </c>
      <c r="G113" s="15">
        <f>'24-july-2026'!V113</f>
        <v>0</v>
      </c>
      <c r="H113" s="15">
        <f t="shared" si="30"/>
        <v>12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5">
        <f t="shared" si="31"/>
        <v>12</v>
      </c>
      <c r="T113" s="15">
        <f t="shared" si="32"/>
        <v>5</v>
      </c>
      <c r="U113" s="15">
        <f t="shared" si="33"/>
        <v>7</v>
      </c>
      <c r="V113" s="15">
        <f t="shared" si="34"/>
        <v>0</v>
      </c>
      <c r="W113" s="18" t="str">
        <f t="shared" si="35"/>
        <v/>
      </c>
      <c r="X113" s="17">
        <v>0</v>
      </c>
      <c r="Y113" s="17">
        <v>0</v>
      </c>
      <c r="Z113" s="15">
        <f t="shared" si="36"/>
        <v>0</v>
      </c>
      <c r="AA113" s="17">
        <v>0</v>
      </c>
      <c r="AB113" s="17">
        <v>0</v>
      </c>
      <c r="AC113" s="15">
        <f t="shared" si="37"/>
        <v>0</v>
      </c>
      <c r="AD113" s="17">
        <v>0</v>
      </c>
      <c r="AE113" s="17">
        <v>0</v>
      </c>
      <c r="AF113" s="15">
        <f t="shared" si="38"/>
        <v>0</v>
      </c>
      <c r="AG113" s="17">
        <v>0</v>
      </c>
      <c r="AH113" s="17">
        <v>0</v>
      </c>
      <c r="AI113" s="15">
        <f t="shared" si="39"/>
        <v>0</v>
      </c>
      <c r="AJ113" s="17"/>
    </row>
    <row r="114" spans="1:36" hidden="1" x14ac:dyDescent="0.3">
      <c r="A114" s="15" t="s">
        <v>163</v>
      </c>
      <c r="B114" s="15">
        <v>500</v>
      </c>
      <c r="C114" s="15" t="s">
        <v>54</v>
      </c>
      <c r="D114" s="15" t="s">
        <v>55</v>
      </c>
      <c r="E114" s="15">
        <f>'24-july-2026'!T114</f>
        <v>1</v>
      </c>
      <c r="F114" s="15">
        <f>'24-july-2026'!U114</f>
        <v>2</v>
      </c>
      <c r="G114" s="15">
        <f>'24-july-2026'!V114</f>
        <v>0</v>
      </c>
      <c r="H114" s="15">
        <f t="shared" si="30"/>
        <v>3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5">
        <f t="shared" si="31"/>
        <v>3</v>
      </c>
      <c r="T114" s="15">
        <f t="shared" si="32"/>
        <v>1</v>
      </c>
      <c r="U114" s="15">
        <f t="shared" si="33"/>
        <v>2</v>
      </c>
      <c r="V114" s="15">
        <f t="shared" si="34"/>
        <v>0</v>
      </c>
      <c r="W114" s="18" t="str">
        <f t="shared" si="35"/>
        <v/>
      </c>
      <c r="X114" s="17">
        <v>0</v>
      </c>
      <c r="Y114" s="17">
        <v>0</v>
      </c>
      <c r="Z114" s="15">
        <f t="shared" si="36"/>
        <v>0</v>
      </c>
      <c r="AA114" s="17">
        <v>0</v>
      </c>
      <c r="AB114" s="17">
        <v>0</v>
      </c>
      <c r="AC114" s="15">
        <f t="shared" si="37"/>
        <v>0</v>
      </c>
      <c r="AD114" s="17">
        <v>0</v>
      </c>
      <c r="AE114" s="17">
        <v>0</v>
      </c>
      <c r="AF114" s="15">
        <f t="shared" si="38"/>
        <v>0</v>
      </c>
      <c r="AG114" s="17">
        <v>0</v>
      </c>
      <c r="AH114" s="17">
        <v>0</v>
      </c>
      <c r="AI114" s="15">
        <f t="shared" si="39"/>
        <v>0</v>
      </c>
      <c r="AJ114" s="17"/>
    </row>
    <row r="115" spans="1:36" x14ac:dyDescent="0.3">
      <c r="A115" s="15" t="s">
        <v>164</v>
      </c>
      <c r="B115" s="15">
        <v>100</v>
      </c>
      <c r="C115" s="15" t="s">
        <v>54</v>
      </c>
      <c r="D115" s="15" t="s">
        <v>68</v>
      </c>
      <c r="E115" s="15">
        <f>'24-july-2026'!T115</f>
        <v>2</v>
      </c>
      <c r="F115" s="15">
        <f>'24-july-2026'!U115</f>
        <v>0</v>
      </c>
      <c r="G115" s="15">
        <f>'24-july-2026'!V115</f>
        <v>0</v>
      </c>
      <c r="H115" s="15">
        <f t="shared" si="30"/>
        <v>2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5">
        <f t="shared" si="31"/>
        <v>2</v>
      </c>
      <c r="T115" s="15">
        <f t="shared" si="32"/>
        <v>2</v>
      </c>
      <c r="U115" s="15">
        <f t="shared" si="33"/>
        <v>0</v>
      </c>
      <c r="V115" s="15">
        <f t="shared" si="34"/>
        <v>0</v>
      </c>
      <c r="W115" s="18" t="str">
        <f t="shared" si="35"/>
        <v/>
      </c>
      <c r="X115" s="17">
        <v>0</v>
      </c>
      <c r="Y115" s="17">
        <v>0</v>
      </c>
      <c r="Z115" s="15">
        <f t="shared" si="36"/>
        <v>0</v>
      </c>
      <c r="AA115" s="17">
        <v>0</v>
      </c>
      <c r="AB115" s="17">
        <v>0</v>
      </c>
      <c r="AC115" s="15">
        <f t="shared" si="37"/>
        <v>0</v>
      </c>
      <c r="AD115" s="17">
        <v>0</v>
      </c>
      <c r="AE115" s="17">
        <v>0</v>
      </c>
      <c r="AF115" s="15">
        <f t="shared" si="38"/>
        <v>0</v>
      </c>
      <c r="AG115" s="17">
        <v>0</v>
      </c>
      <c r="AH115" s="17">
        <v>0</v>
      </c>
      <c r="AI115" s="15">
        <f t="shared" si="39"/>
        <v>0</v>
      </c>
      <c r="AJ115" s="17"/>
    </row>
    <row r="116" spans="1:36" x14ac:dyDescent="0.3">
      <c r="A116" s="15" t="s">
        <v>165</v>
      </c>
      <c r="B116" s="15">
        <v>100000</v>
      </c>
      <c r="C116" s="15" t="s">
        <v>54</v>
      </c>
      <c r="D116" s="15" t="s">
        <v>68</v>
      </c>
      <c r="E116" s="15">
        <f>'24-july-2026'!T116</f>
        <v>2</v>
      </c>
      <c r="F116" s="15">
        <f>'24-july-2026'!U116</f>
        <v>0</v>
      </c>
      <c r="G116" s="15">
        <f>'24-july-2026'!V116</f>
        <v>0</v>
      </c>
      <c r="H116" s="15">
        <f t="shared" si="30"/>
        <v>2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5">
        <f t="shared" si="31"/>
        <v>2</v>
      </c>
      <c r="T116" s="15">
        <f t="shared" si="32"/>
        <v>2</v>
      </c>
      <c r="U116" s="15">
        <f t="shared" si="33"/>
        <v>0</v>
      </c>
      <c r="V116" s="15">
        <f t="shared" si="34"/>
        <v>0</v>
      </c>
      <c r="W116" s="18" t="str">
        <f t="shared" si="35"/>
        <v/>
      </c>
      <c r="X116" s="17">
        <v>0</v>
      </c>
      <c r="Y116" s="17">
        <v>0</v>
      </c>
      <c r="Z116" s="15">
        <f t="shared" si="36"/>
        <v>0</v>
      </c>
      <c r="AA116" s="17">
        <v>0</v>
      </c>
      <c r="AB116" s="17">
        <v>0</v>
      </c>
      <c r="AC116" s="15">
        <f t="shared" si="37"/>
        <v>0</v>
      </c>
      <c r="AD116" s="17">
        <v>0</v>
      </c>
      <c r="AE116" s="17">
        <v>0</v>
      </c>
      <c r="AF116" s="15">
        <f t="shared" si="38"/>
        <v>0</v>
      </c>
      <c r="AG116" s="17">
        <v>0</v>
      </c>
      <c r="AH116" s="17">
        <v>0</v>
      </c>
      <c r="AI116" s="15">
        <f t="shared" si="39"/>
        <v>0</v>
      </c>
      <c r="AJ116" s="17"/>
    </row>
    <row r="117" spans="1:36" x14ac:dyDescent="0.3">
      <c r="A117" s="15" t="s">
        <v>165</v>
      </c>
      <c r="B117" s="15">
        <v>25000</v>
      </c>
      <c r="C117" s="15" t="s">
        <v>54</v>
      </c>
      <c r="D117" s="15" t="s">
        <v>68</v>
      </c>
      <c r="E117" s="15">
        <f>'24-july-2026'!T117</f>
        <v>1</v>
      </c>
      <c r="F117" s="15">
        <f>'24-july-2026'!U117</f>
        <v>0</v>
      </c>
      <c r="G117" s="15">
        <f>'24-july-2026'!V117</f>
        <v>0</v>
      </c>
      <c r="H117" s="15">
        <f t="shared" si="30"/>
        <v>1</v>
      </c>
      <c r="I117" s="17">
        <v>1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5">
        <f t="shared" si="31"/>
        <v>0</v>
      </c>
      <c r="T117" s="15">
        <f t="shared" si="32"/>
        <v>0</v>
      </c>
      <c r="U117" s="15">
        <f t="shared" si="33"/>
        <v>0</v>
      </c>
      <c r="V117" s="15">
        <f t="shared" si="34"/>
        <v>0</v>
      </c>
      <c r="W117" s="18" t="str">
        <f t="shared" si="35"/>
        <v/>
      </c>
      <c r="X117" s="17">
        <v>0</v>
      </c>
      <c r="Y117" s="17">
        <v>0</v>
      </c>
      <c r="Z117" s="15">
        <f t="shared" si="36"/>
        <v>0</v>
      </c>
      <c r="AA117" s="17">
        <v>0</v>
      </c>
      <c r="AB117" s="17">
        <v>0</v>
      </c>
      <c r="AC117" s="15">
        <f t="shared" si="37"/>
        <v>0</v>
      </c>
      <c r="AD117" s="17">
        <v>0</v>
      </c>
      <c r="AE117" s="17">
        <v>0</v>
      </c>
      <c r="AF117" s="15">
        <f t="shared" si="38"/>
        <v>0</v>
      </c>
      <c r="AG117" s="17">
        <v>0</v>
      </c>
      <c r="AH117" s="17">
        <v>0</v>
      </c>
      <c r="AI117" s="15">
        <f t="shared" si="39"/>
        <v>0</v>
      </c>
      <c r="AJ117" s="17"/>
    </row>
    <row r="118" spans="1:36" x14ac:dyDescent="0.3">
      <c r="A118" s="15" t="s">
        <v>166</v>
      </c>
      <c r="B118" s="15">
        <v>100000</v>
      </c>
      <c r="C118" s="15" t="s">
        <v>54</v>
      </c>
      <c r="D118" s="15" t="s">
        <v>68</v>
      </c>
      <c r="E118" s="15">
        <f>'24-july-2026'!T118</f>
        <v>2</v>
      </c>
      <c r="F118" s="15">
        <f>'24-july-2026'!U118</f>
        <v>0</v>
      </c>
      <c r="G118" s="15">
        <f>'24-july-2026'!V118</f>
        <v>0</v>
      </c>
      <c r="H118" s="15">
        <f t="shared" si="30"/>
        <v>2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5">
        <f t="shared" si="31"/>
        <v>2</v>
      </c>
      <c r="T118" s="15">
        <f t="shared" si="32"/>
        <v>2</v>
      </c>
      <c r="U118" s="15">
        <f t="shared" si="33"/>
        <v>0</v>
      </c>
      <c r="V118" s="15">
        <f t="shared" si="34"/>
        <v>0</v>
      </c>
      <c r="W118" s="18" t="str">
        <f t="shared" si="35"/>
        <v/>
      </c>
      <c r="X118" s="17">
        <v>0</v>
      </c>
      <c r="Y118" s="17">
        <v>0</v>
      </c>
      <c r="Z118" s="15">
        <f t="shared" si="36"/>
        <v>0</v>
      </c>
      <c r="AA118" s="17">
        <v>0</v>
      </c>
      <c r="AB118" s="17">
        <v>0</v>
      </c>
      <c r="AC118" s="15">
        <f t="shared" si="37"/>
        <v>0</v>
      </c>
      <c r="AD118" s="17">
        <v>0</v>
      </c>
      <c r="AE118" s="17">
        <v>0</v>
      </c>
      <c r="AF118" s="15">
        <f t="shared" si="38"/>
        <v>0</v>
      </c>
      <c r="AG118" s="17">
        <v>0</v>
      </c>
      <c r="AH118" s="17">
        <v>0</v>
      </c>
      <c r="AI118" s="15">
        <f t="shared" si="39"/>
        <v>0</v>
      </c>
      <c r="AJ118" s="17"/>
    </row>
    <row r="119" spans="1:36" hidden="1" x14ac:dyDescent="0.3">
      <c r="A119" s="15" t="s">
        <v>167</v>
      </c>
      <c r="B119" s="15">
        <v>100</v>
      </c>
      <c r="C119" s="15" t="s">
        <v>54</v>
      </c>
      <c r="D119" s="15" t="s">
        <v>55</v>
      </c>
      <c r="E119" s="15">
        <f>'24-july-2026'!T119</f>
        <v>94</v>
      </c>
      <c r="F119" s="15">
        <f>'24-july-2026'!U119</f>
        <v>0</v>
      </c>
      <c r="G119" s="15">
        <f>'24-july-2026'!V119</f>
        <v>5</v>
      </c>
      <c r="H119" s="15">
        <f t="shared" si="30"/>
        <v>99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5">
        <f t="shared" si="31"/>
        <v>99</v>
      </c>
      <c r="T119" s="15">
        <f t="shared" si="32"/>
        <v>94</v>
      </c>
      <c r="U119" s="15">
        <f t="shared" si="33"/>
        <v>0</v>
      </c>
      <c r="V119" s="15">
        <f t="shared" si="34"/>
        <v>5</v>
      </c>
      <c r="W119" s="18" t="str">
        <f t="shared" si="35"/>
        <v/>
      </c>
      <c r="X119" s="17">
        <v>0</v>
      </c>
      <c r="Y119" s="17">
        <v>0</v>
      </c>
      <c r="Z119" s="15">
        <f t="shared" si="36"/>
        <v>0</v>
      </c>
      <c r="AA119" s="17">
        <v>0</v>
      </c>
      <c r="AB119" s="17">
        <v>0</v>
      </c>
      <c r="AC119" s="15">
        <f t="shared" si="37"/>
        <v>0</v>
      </c>
      <c r="AD119" s="17">
        <v>0</v>
      </c>
      <c r="AE119" s="17">
        <v>0</v>
      </c>
      <c r="AF119" s="15">
        <f t="shared" si="38"/>
        <v>0</v>
      </c>
      <c r="AG119" s="17">
        <v>0</v>
      </c>
      <c r="AH119" s="17">
        <v>0</v>
      </c>
      <c r="AI119" s="15">
        <f t="shared" si="39"/>
        <v>0</v>
      </c>
      <c r="AJ119" s="17"/>
    </row>
    <row r="120" spans="1:36" x14ac:dyDescent="0.3">
      <c r="A120" s="15" t="s">
        <v>168</v>
      </c>
      <c r="B120" s="15">
        <v>100</v>
      </c>
      <c r="C120" s="15" t="s">
        <v>54</v>
      </c>
      <c r="D120" s="15" t="s">
        <v>68</v>
      </c>
      <c r="E120" s="15">
        <f>'24-july-2026'!T120</f>
        <v>1</v>
      </c>
      <c r="F120" s="15">
        <f>'24-july-2026'!U120</f>
        <v>0</v>
      </c>
      <c r="G120" s="15">
        <f>'24-july-2026'!V120</f>
        <v>0</v>
      </c>
      <c r="H120" s="15">
        <f t="shared" si="30"/>
        <v>1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5">
        <f t="shared" si="31"/>
        <v>1</v>
      </c>
      <c r="T120" s="15">
        <f t="shared" si="32"/>
        <v>1</v>
      </c>
      <c r="U120" s="15">
        <f t="shared" si="33"/>
        <v>0</v>
      </c>
      <c r="V120" s="15">
        <f t="shared" si="34"/>
        <v>0</v>
      </c>
      <c r="W120" s="18" t="str">
        <f t="shared" si="35"/>
        <v/>
      </c>
      <c r="X120" s="17">
        <v>0</v>
      </c>
      <c r="Y120" s="17">
        <v>0</v>
      </c>
      <c r="Z120" s="15">
        <f t="shared" si="36"/>
        <v>0</v>
      </c>
      <c r="AA120" s="17">
        <v>0</v>
      </c>
      <c r="AB120" s="17">
        <v>0</v>
      </c>
      <c r="AC120" s="15">
        <f t="shared" si="37"/>
        <v>0</v>
      </c>
      <c r="AD120" s="17">
        <v>0</v>
      </c>
      <c r="AE120" s="17">
        <v>0</v>
      </c>
      <c r="AF120" s="15">
        <f t="shared" si="38"/>
        <v>0</v>
      </c>
      <c r="AG120" s="17">
        <v>0</v>
      </c>
      <c r="AH120" s="17">
        <v>0</v>
      </c>
      <c r="AI120" s="15">
        <f t="shared" si="39"/>
        <v>0</v>
      </c>
      <c r="AJ120" s="17"/>
    </row>
    <row r="121" spans="1:36" x14ac:dyDescent="0.3">
      <c r="A121" s="15" t="s">
        <v>169</v>
      </c>
      <c r="B121" s="15">
        <v>1000</v>
      </c>
      <c r="C121" s="15" t="s">
        <v>54</v>
      </c>
      <c r="D121" s="15" t="s">
        <v>68</v>
      </c>
      <c r="E121" s="15">
        <f>'24-july-2026'!T121</f>
        <v>2</v>
      </c>
      <c r="F121" s="15">
        <f>'24-july-2026'!U121</f>
        <v>0</v>
      </c>
      <c r="G121" s="15">
        <f>'24-july-2026'!V121</f>
        <v>0</v>
      </c>
      <c r="H121" s="15">
        <f t="shared" si="30"/>
        <v>2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5">
        <f t="shared" si="31"/>
        <v>2</v>
      </c>
      <c r="T121" s="15">
        <f t="shared" si="32"/>
        <v>2</v>
      </c>
      <c r="U121" s="15">
        <f t="shared" si="33"/>
        <v>0</v>
      </c>
      <c r="V121" s="15">
        <f t="shared" si="34"/>
        <v>0</v>
      </c>
      <c r="W121" s="18" t="str">
        <f t="shared" si="35"/>
        <v/>
      </c>
      <c r="X121" s="17">
        <v>0</v>
      </c>
      <c r="Y121" s="17">
        <v>0</v>
      </c>
      <c r="Z121" s="15">
        <f t="shared" si="36"/>
        <v>0</v>
      </c>
      <c r="AA121" s="17">
        <v>0</v>
      </c>
      <c r="AB121" s="17">
        <v>0</v>
      </c>
      <c r="AC121" s="15">
        <f t="shared" si="37"/>
        <v>0</v>
      </c>
      <c r="AD121" s="17">
        <v>0</v>
      </c>
      <c r="AE121" s="17">
        <v>0</v>
      </c>
      <c r="AF121" s="15">
        <f t="shared" si="38"/>
        <v>0</v>
      </c>
      <c r="AG121" s="17">
        <v>0</v>
      </c>
      <c r="AH121" s="17">
        <v>0</v>
      </c>
      <c r="AI121" s="15">
        <f t="shared" si="39"/>
        <v>0</v>
      </c>
      <c r="AJ121" s="17"/>
    </row>
    <row r="122" spans="1:36" hidden="1" x14ac:dyDescent="0.3">
      <c r="A122" s="15" t="s">
        <v>170</v>
      </c>
      <c r="B122" s="15">
        <v>1000</v>
      </c>
      <c r="C122" s="15" t="s">
        <v>54</v>
      </c>
      <c r="D122" s="15" t="s">
        <v>55</v>
      </c>
      <c r="E122" s="15">
        <f>'24-july-2026'!T122</f>
        <v>42</v>
      </c>
      <c r="F122" s="15">
        <f>'24-july-2026'!U122</f>
        <v>0</v>
      </c>
      <c r="G122" s="15">
        <f>'24-july-2026'!V122</f>
        <v>7</v>
      </c>
      <c r="H122" s="15">
        <f t="shared" si="30"/>
        <v>49</v>
      </c>
      <c r="I122" s="17">
        <v>2</v>
      </c>
      <c r="J122" s="17">
        <v>0</v>
      </c>
      <c r="K122" s="17">
        <v>0</v>
      </c>
      <c r="L122" s="17">
        <v>5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5">
        <f t="shared" si="31"/>
        <v>42</v>
      </c>
      <c r="T122" s="15">
        <f t="shared" si="32"/>
        <v>35</v>
      </c>
      <c r="U122" s="15">
        <f t="shared" si="33"/>
        <v>0</v>
      </c>
      <c r="V122" s="15">
        <f t="shared" si="34"/>
        <v>7</v>
      </c>
      <c r="W122" s="18" t="str">
        <f t="shared" si="35"/>
        <v/>
      </c>
      <c r="X122" s="17">
        <v>0</v>
      </c>
      <c r="Y122" s="17">
        <v>0</v>
      </c>
      <c r="Z122" s="15">
        <f t="shared" si="36"/>
        <v>0</v>
      </c>
      <c r="AA122" s="17">
        <v>0</v>
      </c>
      <c r="AB122" s="17">
        <v>0</v>
      </c>
      <c r="AC122" s="15">
        <f t="shared" si="37"/>
        <v>0</v>
      </c>
      <c r="AD122" s="17">
        <v>0</v>
      </c>
      <c r="AE122" s="17">
        <v>0</v>
      </c>
      <c r="AF122" s="15">
        <f t="shared" si="38"/>
        <v>0</v>
      </c>
      <c r="AG122" s="17">
        <v>0</v>
      </c>
      <c r="AH122" s="17">
        <v>0</v>
      </c>
      <c r="AI122" s="15">
        <f t="shared" si="39"/>
        <v>0</v>
      </c>
      <c r="AJ122" s="17"/>
    </row>
    <row r="123" spans="1:36" hidden="1" x14ac:dyDescent="0.3">
      <c r="A123" s="15" t="s">
        <v>171</v>
      </c>
      <c r="B123" s="15">
        <v>1000</v>
      </c>
      <c r="C123" s="15" t="s">
        <v>54</v>
      </c>
      <c r="D123" s="15" t="s">
        <v>55</v>
      </c>
      <c r="E123" s="15">
        <f>'24-july-2026'!T123</f>
        <v>11</v>
      </c>
      <c r="F123" s="15">
        <f>'24-july-2026'!U123</f>
        <v>9</v>
      </c>
      <c r="G123" s="15">
        <f>'24-july-2026'!V123</f>
        <v>4</v>
      </c>
      <c r="H123" s="15">
        <f t="shared" si="30"/>
        <v>24</v>
      </c>
      <c r="I123" s="17">
        <v>2</v>
      </c>
      <c r="J123" s="17">
        <v>0</v>
      </c>
      <c r="K123" s="17">
        <v>0</v>
      </c>
      <c r="L123" s="17">
        <v>5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5">
        <f t="shared" si="31"/>
        <v>17</v>
      </c>
      <c r="T123" s="15">
        <f t="shared" si="32"/>
        <v>4</v>
      </c>
      <c r="U123" s="15">
        <f t="shared" si="33"/>
        <v>9</v>
      </c>
      <c r="V123" s="15">
        <f t="shared" si="34"/>
        <v>4</v>
      </c>
      <c r="W123" s="18" t="str">
        <f t="shared" si="35"/>
        <v/>
      </c>
      <c r="X123" s="17">
        <v>0</v>
      </c>
      <c r="Y123" s="17">
        <v>0</v>
      </c>
      <c r="Z123" s="15">
        <f t="shared" si="36"/>
        <v>0</v>
      </c>
      <c r="AA123" s="17">
        <v>0</v>
      </c>
      <c r="AB123" s="17">
        <v>0</v>
      </c>
      <c r="AC123" s="15">
        <f t="shared" si="37"/>
        <v>0</v>
      </c>
      <c r="AD123" s="17">
        <v>0</v>
      </c>
      <c r="AE123" s="17">
        <v>0</v>
      </c>
      <c r="AF123" s="15">
        <f t="shared" si="38"/>
        <v>0</v>
      </c>
      <c r="AG123" s="17">
        <v>0</v>
      </c>
      <c r="AH123" s="17">
        <v>0</v>
      </c>
      <c r="AI123" s="15">
        <f t="shared" si="39"/>
        <v>0</v>
      </c>
      <c r="AJ123" s="17"/>
    </row>
    <row r="124" spans="1:36" x14ac:dyDescent="0.3">
      <c r="A124" s="15" t="s">
        <v>172</v>
      </c>
      <c r="B124" s="15">
        <v>100</v>
      </c>
      <c r="C124" s="15" t="s">
        <v>54</v>
      </c>
      <c r="D124" s="15" t="s">
        <v>68</v>
      </c>
      <c r="E124" s="15">
        <f>'24-july-2026'!T124</f>
        <v>10</v>
      </c>
      <c r="F124" s="15">
        <f>'24-july-2026'!U124</f>
        <v>0</v>
      </c>
      <c r="G124" s="15">
        <f>'24-july-2026'!V124</f>
        <v>0</v>
      </c>
      <c r="H124" s="15">
        <f t="shared" si="30"/>
        <v>10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5">
        <f t="shared" si="31"/>
        <v>10</v>
      </c>
      <c r="T124" s="15">
        <f t="shared" si="32"/>
        <v>10</v>
      </c>
      <c r="U124" s="15">
        <f t="shared" si="33"/>
        <v>0</v>
      </c>
      <c r="V124" s="15">
        <f t="shared" si="34"/>
        <v>0</v>
      </c>
      <c r="W124" s="18" t="str">
        <f t="shared" si="35"/>
        <v/>
      </c>
      <c r="X124" s="17">
        <v>0</v>
      </c>
      <c r="Y124" s="17">
        <v>0</v>
      </c>
      <c r="Z124" s="15">
        <f t="shared" si="36"/>
        <v>0</v>
      </c>
      <c r="AA124" s="17">
        <v>0</v>
      </c>
      <c r="AB124" s="17">
        <v>0</v>
      </c>
      <c r="AC124" s="15">
        <f t="shared" si="37"/>
        <v>0</v>
      </c>
      <c r="AD124" s="17">
        <v>0</v>
      </c>
      <c r="AE124" s="17">
        <v>0</v>
      </c>
      <c r="AF124" s="15">
        <f t="shared" si="38"/>
        <v>0</v>
      </c>
      <c r="AG124" s="17">
        <v>0</v>
      </c>
      <c r="AH124" s="17">
        <v>0</v>
      </c>
      <c r="AI124" s="15">
        <f t="shared" si="39"/>
        <v>0</v>
      </c>
      <c r="AJ124" s="17"/>
    </row>
    <row r="125" spans="1:36" x14ac:dyDescent="0.3">
      <c r="A125" s="15" t="s">
        <v>173</v>
      </c>
      <c r="B125" s="15">
        <v>100</v>
      </c>
      <c r="C125" s="15" t="s">
        <v>54</v>
      </c>
      <c r="D125" s="15" t="s">
        <v>68</v>
      </c>
      <c r="E125" s="15">
        <f>'24-july-2026'!T125</f>
        <v>8</v>
      </c>
      <c r="F125" s="15">
        <f>'24-july-2026'!U125</f>
        <v>0</v>
      </c>
      <c r="G125" s="15">
        <f>'24-july-2026'!V125</f>
        <v>0</v>
      </c>
      <c r="H125" s="15">
        <f t="shared" si="30"/>
        <v>8</v>
      </c>
      <c r="I125" s="17">
        <v>1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5">
        <f t="shared" si="31"/>
        <v>7</v>
      </c>
      <c r="T125" s="15">
        <f t="shared" si="32"/>
        <v>7</v>
      </c>
      <c r="U125" s="15">
        <f t="shared" si="33"/>
        <v>0</v>
      </c>
      <c r="V125" s="15">
        <f t="shared" si="34"/>
        <v>0</v>
      </c>
      <c r="W125" s="18" t="str">
        <f t="shared" si="35"/>
        <v/>
      </c>
      <c r="X125" s="17">
        <v>0</v>
      </c>
      <c r="Y125" s="17">
        <v>0</v>
      </c>
      <c r="Z125" s="15">
        <f t="shared" si="36"/>
        <v>0</v>
      </c>
      <c r="AA125" s="17">
        <v>0</v>
      </c>
      <c r="AB125" s="17">
        <v>0</v>
      </c>
      <c r="AC125" s="15">
        <f t="shared" si="37"/>
        <v>0</v>
      </c>
      <c r="AD125" s="17">
        <v>0</v>
      </c>
      <c r="AE125" s="17">
        <v>0</v>
      </c>
      <c r="AF125" s="15">
        <f t="shared" si="38"/>
        <v>0</v>
      </c>
      <c r="AG125" s="17">
        <v>0</v>
      </c>
      <c r="AH125" s="17">
        <v>0</v>
      </c>
      <c r="AI125" s="15">
        <f t="shared" si="39"/>
        <v>0</v>
      </c>
      <c r="AJ125" s="17"/>
    </row>
    <row r="126" spans="1:36" x14ac:dyDescent="0.3">
      <c r="A126" s="15" t="s">
        <v>174</v>
      </c>
      <c r="B126" s="15">
        <v>100</v>
      </c>
      <c r="C126" s="15" t="s">
        <v>54</v>
      </c>
      <c r="D126" s="15" t="s">
        <v>68</v>
      </c>
      <c r="E126" s="15">
        <f>'24-july-2026'!T126</f>
        <v>4</v>
      </c>
      <c r="F126" s="15">
        <f>'24-july-2026'!U126</f>
        <v>0</v>
      </c>
      <c r="G126" s="15">
        <f>'24-july-2026'!V126</f>
        <v>0</v>
      </c>
      <c r="H126" s="15">
        <f t="shared" si="30"/>
        <v>4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5">
        <f t="shared" si="31"/>
        <v>4</v>
      </c>
      <c r="T126" s="15">
        <f t="shared" si="32"/>
        <v>4</v>
      </c>
      <c r="U126" s="15">
        <f t="shared" si="33"/>
        <v>0</v>
      </c>
      <c r="V126" s="15">
        <f t="shared" si="34"/>
        <v>0</v>
      </c>
      <c r="W126" s="18" t="str">
        <f t="shared" si="35"/>
        <v/>
      </c>
      <c r="X126" s="17">
        <v>0</v>
      </c>
      <c r="Y126" s="17">
        <v>0</v>
      </c>
      <c r="Z126" s="15">
        <f t="shared" si="36"/>
        <v>0</v>
      </c>
      <c r="AA126" s="17">
        <v>0</v>
      </c>
      <c r="AB126" s="17">
        <v>0</v>
      </c>
      <c r="AC126" s="15">
        <f t="shared" si="37"/>
        <v>0</v>
      </c>
      <c r="AD126" s="17">
        <v>0</v>
      </c>
      <c r="AE126" s="17">
        <v>0</v>
      </c>
      <c r="AF126" s="15">
        <f t="shared" si="38"/>
        <v>0</v>
      </c>
      <c r="AG126" s="17">
        <v>0</v>
      </c>
      <c r="AH126" s="17">
        <v>0</v>
      </c>
      <c r="AI126" s="15">
        <f t="shared" si="39"/>
        <v>0</v>
      </c>
      <c r="AJ126" s="17"/>
    </row>
    <row r="127" spans="1:36" x14ac:dyDescent="0.3">
      <c r="A127" s="15" t="s">
        <v>175</v>
      </c>
      <c r="B127" s="15">
        <v>100</v>
      </c>
      <c r="C127" s="15" t="s">
        <v>54</v>
      </c>
      <c r="D127" s="15" t="s">
        <v>57</v>
      </c>
      <c r="E127" s="15">
        <f>'24-july-2026'!T127</f>
        <v>4</v>
      </c>
      <c r="F127" s="15">
        <f>'24-july-2026'!U127</f>
        <v>0</v>
      </c>
      <c r="G127" s="15">
        <f>'24-july-2026'!V127</f>
        <v>0</v>
      </c>
      <c r="H127" s="15">
        <f t="shared" si="30"/>
        <v>4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5">
        <f t="shared" si="31"/>
        <v>4</v>
      </c>
      <c r="T127" s="15">
        <f t="shared" si="32"/>
        <v>4</v>
      </c>
      <c r="U127" s="15">
        <f t="shared" si="33"/>
        <v>0</v>
      </c>
      <c r="V127" s="15">
        <f t="shared" si="34"/>
        <v>0</v>
      </c>
      <c r="W127" s="18" t="str">
        <f t="shared" si="35"/>
        <v/>
      </c>
      <c r="X127" s="17">
        <v>0</v>
      </c>
      <c r="Y127" s="17">
        <v>0</v>
      </c>
      <c r="Z127" s="15">
        <f t="shared" si="36"/>
        <v>0</v>
      </c>
      <c r="AA127" s="17">
        <v>0</v>
      </c>
      <c r="AB127" s="17">
        <v>0</v>
      </c>
      <c r="AC127" s="15">
        <f t="shared" si="37"/>
        <v>0</v>
      </c>
      <c r="AD127" s="17">
        <v>0</v>
      </c>
      <c r="AE127" s="17">
        <v>0</v>
      </c>
      <c r="AF127" s="15">
        <f t="shared" si="38"/>
        <v>0</v>
      </c>
      <c r="AG127" s="17">
        <v>0</v>
      </c>
      <c r="AH127" s="17">
        <v>0</v>
      </c>
      <c r="AI127" s="15">
        <f t="shared" si="39"/>
        <v>0</v>
      </c>
      <c r="AJ127" s="17"/>
    </row>
    <row r="128" spans="1:36" hidden="1" x14ac:dyDescent="0.3">
      <c r="A128" s="15" t="s">
        <v>176</v>
      </c>
      <c r="B128" s="15" t="s">
        <v>177</v>
      </c>
      <c r="C128" s="15" t="s">
        <v>178</v>
      </c>
      <c r="D128" s="15" t="s">
        <v>55</v>
      </c>
      <c r="E128" s="15">
        <v>0</v>
      </c>
      <c r="F128" s="15">
        <v>0</v>
      </c>
      <c r="G128" s="15">
        <v>0</v>
      </c>
      <c r="H128" s="15">
        <f t="shared" si="30"/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5">
        <f t="shared" si="31"/>
        <v>0</v>
      </c>
      <c r="T128" s="15">
        <f t="shared" si="32"/>
        <v>0</v>
      </c>
      <c r="U128" s="15">
        <f t="shared" si="33"/>
        <v>0</v>
      </c>
      <c r="V128" s="15">
        <f t="shared" si="34"/>
        <v>0</v>
      </c>
      <c r="W128" s="18" t="str">
        <f t="shared" si="35"/>
        <v/>
      </c>
      <c r="X128" s="17">
        <v>0</v>
      </c>
      <c r="Y128" s="17">
        <v>0</v>
      </c>
      <c r="Z128" s="15">
        <f t="shared" si="36"/>
        <v>0</v>
      </c>
      <c r="AA128" s="17">
        <v>0</v>
      </c>
      <c r="AB128" s="17">
        <v>0</v>
      </c>
      <c r="AC128" s="15">
        <f t="shared" si="37"/>
        <v>0</v>
      </c>
      <c r="AD128" s="17">
        <v>0</v>
      </c>
      <c r="AE128" s="17">
        <v>0</v>
      </c>
      <c r="AF128" s="15">
        <f t="shared" si="38"/>
        <v>0</v>
      </c>
      <c r="AG128" s="17">
        <v>0</v>
      </c>
      <c r="AH128" s="17">
        <v>0</v>
      </c>
      <c r="AI128" s="15">
        <f t="shared" si="39"/>
        <v>0</v>
      </c>
      <c r="AJ128" s="17"/>
    </row>
    <row r="129" spans="1:36" x14ac:dyDescent="0.3">
      <c r="A129" s="15" t="s">
        <v>179</v>
      </c>
      <c r="B129" s="15">
        <v>2500</v>
      </c>
      <c r="C129" s="15" t="s">
        <v>54</v>
      </c>
      <c r="D129" s="15" t="s">
        <v>68</v>
      </c>
      <c r="E129" s="15">
        <f>'24-july-2026'!T129</f>
        <v>3</v>
      </c>
      <c r="F129" s="15">
        <f>'24-july-2026'!U129</f>
        <v>0</v>
      </c>
      <c r="G129" s="15">
        <f>'24-july-2026'!V129</f>
        <v>0</v>
      </c>
      <c r="H129" s="15">
        <f t="shared" si="30"/>
        <v>3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5">
        <f t="shared" si="31"/>
        <v>3</v>
      </c>
      <c r="T129" s="15">
        <f t="shared" si="32"/>
        <v>3</v>
      </c>
      <c r="U129" s="15">
        <f t="shared" si="33"/>
        <v>0</v>
      </c>
      <c r="V129" s="15">
        <f t="shared" si="34"/>
        <v>0</v>
      </c>
      <c r="W129" s="18" t="str">
        <f t="shared" si="35"/>
        <v/>
      </c>
      <c r="X129" s="17">
        <v>0</v>
      </c>
      <c r="Y129" s="17">
        <v>0</v>
      </c>
      <c r="Z129" s="15">
        <f t="shared" si="36"/>
        <v>0</v>
      </c>
      <c r="AA129" s="17">
        <v>0</v>
      </c>
      <c r="AB129" s="17">
        <v>0</v>
      </c>
      <c r="AC129" s="15">
        <f t="shared" si="37"/>
        <v>0</v>
      </c>
      <c r="AD129" s="17">
        <v>0</v>
      </c>
      <c r="AE129" s="17">
        <v>0</v>
      </c>
      <c r="AF129" s="15">
        <f t="shared" si="38"/>
        <v>0</v>
      </c>
      <c r="AG129" s="17">
        <v>0</v>
      </c>
      <c r="AH129" s="17">
        <v>0</v>
      </c>
      <c r="AI129" s="15">
        <f t="shared" si="39"/>
        <v>0</v>
      </c>
      <c r="AJ129" s="17"/>
    </row>
    <row r="130" spans="1:36" x14ac:dyDescent="0.3">
      <c r="A130" s="15" t="s">
        <v>180</v>
      </c>
      <c r="B130" s="15">
        <v>1000</v>
      </c>
      <c r="C130" s="15" t="s">
        <v>54</v>
      </c>
      <c r="D130" s="15" t="s">
        <v>68</v>
      </c>
      <c r="E130" s="15">
        <f>'24-july-2026'!T130</f>
        <v>2</v>
      </c>
      <c r="F130" s="15">
        <f>'24-july-2026'!U130</f>
        <v>0</v>
      </c>
      <c r="G130" s="15">
        <f>'24-july-2026'!V130</f>
        <v>0</v>
      </c>
      <c r="H130" s="15">
        <f t="shared" si="30"/>
        <v>2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5">
        <f t="shared" si="31"/>
        <v>2</v>
      </c>
      <c r="T130" s="15">
        <f t="shared" si="32"/>
        <v>2</v>
      </c>
      <c r="U130" s="15">
        <f t="shared" si="33"/>
        <v>0</v>
      </c>
      <c r="V130" s="15">
        <f t="shared" si="34"/>
        <v>0</v>
      </c>
      <c r="W130" s="18" t="str">
        <f t="shared" si="35"/>
        <v/>
      </c>
      <c r="X130" s="17">
        <v>0</v>
      </c>
      <c r="Y130" s="17">
        <v>0</v>
      </c>
      <c r="Z130" s="15">
        <f t="shared" si="36"/>
        <v>0</v>
      </c>
      <c r="AA130" s="17">
        <v>0</v>
      </c>
      <c r="AB130" s="17">
        <v>0</v>
      </c>
      <c r="AC130" s="15">
        <f t="shared" si="37"/>
        <v>0</v>
      </c>
      <c r="AD130" s="17">
        <v>0</v>
      </c>
      <c r="AE130" s="17">
        <v>0</v>
      </c>
      <c r="AF130" s="15">
        <f t="shared" si="38"/>
        <v>0</v>
      </c>
      <c r="AG130" s="17">
        <v>0</v>
      </c>
      <c r="AH130" s="17">
        <v>0</v>
      </c>
      <c r="AI130" s="15">
        <f t="shared" si="39"/>
        <v>0</v>
      </c>
      <c r="AJ130" s="17"/>
    </row>
    <row r="131" spans="1:36" x14ac:dyDescent="0.3">
      <c r="A131" s="15" t="s">
        <v>181</v>
      </c>
      <c r="B131" s="15">
        <v>100</v>
      </c>
      <c r="C131" s="15" t="s">
        <v>54</v>
      </c>
      <c r="D131" s="15" t="s">
        <v>57</v>
      </c>
      <c r="E131" s="15">
        <f>'24-july-2026'!T131</f>
        <v>7</v>
      </c>
      <c r="F131" s="15">
        <f>'24-july-2026'!U131</f>
        <v>0</v>
      </c>
      <c r="G131" s="15">
        <f>'24-july-2026'!V131</f>
        <v>0</v>
      </c>
      <c r="H131" s="15">
        <f t="shared" ref="H131:H162" si="40">E131+F131+G131</f>
        <v>7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5">
        <f t="shared" ref="S131:S162" si="41">H131+O131+P131+Q131+R131-(I131+J131+K131+L131+M131+N131)</f>
        <v>7</v>
      </c>
      <c r="T131" s="15">
        <f t="shared" ref="T131:T162" si="42">E131+O131-I131-L131</f>
        <v>7</v>
      </c>
      <c r="U131" s="15">
        <f t="shared" ref="U131:U162" si="43">F131+P131-J131-M131</f>
        <v>0</v>
      </c>
      <c r="V131" s="15">
        <f t="shared" ref="V131:V162" si="44">G131+Q131-K131-N131</f>
        <v>0</v>
      </c>
      <c r="W131" s="18" t="str">
        <f t="shared" ref="W131:W162" si="45">IF(MIN(T131,U131,V131)&lt;0,"NEGATIVE STOCK - CHECK ENTRIES","")</f>
        <v/>
      </c>
      <c r="X131" s="17">
        <v>0</v>
      </c>
      <c r="Y131" s="17">
        <v>0</v>
      </c>
      <c r="Z131" s="15">
        <f t="shared" ref="Z131:Z162" si="46">X131-Y131</f>
        <v>0</v>
      </c>
      <c r="AA131" s="17">
        <v>0</v>
      </c>
      <c r="AB131" s="17">
        <v>0</v>
      </c>
      <c r="AC131" s="15">
        <f t="shared" ref="AC131:AC162" si="47">AA131-AB131</f>
        <v>0</v>
      </c>
      <c r="AD131" s="17">
        <v>0</v>
      </c>
      <c r="AE131" s="17">
        <v>0</v>
      </c>
      <c r="AF131" s="15">
        <f t="shared" ref="AF131:AF162" si="48">AD131-AE131</f>
        <v>0</v>
      </c>
      <c r="AG131" s="17">
        <v>0</v>
      </c>
      <c r="AH131" s="17">
        <v>0</v>
      </c>
      <c r="AI131" s="15">
        <f t="shared" ref="AI131:AI162" si="49">AG131-AH131</f>
        <v>0</v>
      </c>
      <c r="AJ131" s="17"/>
    </row>
    <row r="132" spans="1:36" x14ac:dyDescent="0.3">
      <c r="A132" s="15" t="s">
        <v>182</v>
      </c>
      <c r="B132" s="15">
        <v>1000</v>
      </c>
      <c r="C132" s="15" t="s">
        <v>54</v>
      </c>
      <c r="D132" s="15" t="s">
        <v>68</v>
      </c>
      <c r="E132" s="15">
        <f>'24-july-2026'!T132</f>
        <v>4</v>
      </c>
      <c r="F132" s="15">
        <f>'24-july-2026'!U132</f>
        <v>0</v>
      </c>
      <c r="G132" s="15">
        <f>'24-july-2026'!V132</f>
        <v>0</v>
      </c>
      <c r="H132" s="15">
        <f t="shared" si="40"/>
        <v>4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5">
        <f t="shared" si="41"/>
        <v>4</v>
      </c>
      <c r="T132" s="15">
        <f t="shared" si="42"/>
        <v>4</v>
      </c>
      <c r="U132" s="15">
        <f t="shared" si="43"/>
        <v>0</v>
      </c>
      <c r="V132" s="15">
        <f t="shared" si="44"/>
        <v>0</v>
      </c>
      <c r="W132" s="18" t="str">
        <f t="shared" si="45"/>
        <v/>
      </c>
      <c r="X132" s="17">
        <v>0</v>
      </c>
      <c r="Y132" s="17">
        <v>0</v>
      </c>
      <c r="Z132" s="15">
        <f t="shared" si="46"/>
        <v>0</v>
      </c>
      <c r="AA132" s="17">
        <v>0</v>
      </c>
      <c r="AB132" s="17">
        <v>0</v>
      </c>
      <c r="AC132" s="15">
        <f t="shared" si="47"/>
        <v>0</v>
      </c>
      <c r="AD132" s="17">
        <v>0</v>
      </c>
      <c r="AE132" s="17">
        <v>0</v>
      </c>
      <c r="AF132" s="15">
        <f t="shared" si="48"/>
        <v>0</v>
      </c>
      <c r="AG132" s="17">
        <v>0</v>
      </c>
      <c r="AH132" s="17">
        <v>0</v>
      </c>
      <c r="AI132" s="15">
        <f t="shared" si="49"/>
        <v>0</v>
      </c>
      <c r="AJ132" s="17"/>
    </row>
    <row r="133" spans="1:36" x14ac:dyDescent="0.3">
      <c r="A133" s="15" t="s">
        <v>183</v>
      </c>
      <c r="B133" s="15">
        <v>100</v>
      </c>
      <c r="C133" s="15" t="s">
        <v>54</v>
      </c>
      <c r="D133" s="15" t="s">
        <v>68</v>
      </c>
      <c r="E133" s="15">
        <f>'24-july-2026'!T133</f>
        <v>2</v>
      </c>
      <c r="F133" s="15">
        <f>'24-july-2026'!U133</f>
        <v>0</v>
      </c>
      <c r="G133" s="15">
        <f>'24-july-2026'!V133</f>
        <v>0</v>
      </c>
      <c r="H133" s="15">
        <f t="shared" si="40"/>
        <v>2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5">
        <f t="shared" si="41"/>
        <v>2</v>
      </c>
      <c r="T133" s="15">
        <f t="shared" si="42"/>
        <v>2</v>
      </c>
      <c r="U133" s="15">
        <f t="shared" si="43"/>
        <v>0</v>
      </c>
      <c r="V133" s="15">
        <f t="shared" si="44"/>
        <v>0</v>
      </c>
      <c r="W133" s="18" t="str">
        <f t="shared" si="45"/>
        <v/>
      </c>
      <c r="X133" s="17">
        <v>0</v>
      </c>
      <c r="Y133" s="17">
        <v>0</v>
      </c>
      <c r="Z133" s="15">
        <f t="shared" si="46"/>
        <v>0</v>
      </c>
      <c r="AA133" s="17">
        <v>0</v>
      </c>
      <c r="AB133" s="17">
        <v>0</v>
      </c>
      <c r="AC133" s="15">
        <f t="shared" si="47"/>
        <v>0</v>
      </c>
      <c r="AD133" s="17">
        <v>0</v>
      </c>
      <c r="AE133" s="17">
        <v>0</v>
      </c>
      <c r="AF133" s="15">
        <f t="shared" si="48"/>
        <v>0</v>
      </c>
      <c r="AG133" s="17">
        <v>0</v>
      </c>
      <c r="AH133" s="17">
        <v>0</v>
      </c>
      <c r="AI133" s="15">
        <f t="shared" si="49"/>
        <v>0</v>
      </c>
      <c r="AJ133" s="17"/>
    </row>
    <row r="134" spans="1:36" hidden="1" x14ac:dyDescent="0.3">
      <c r="A134" s="15" t="s">
        <v>184</v>
      </c>
      <c r="B134" s="15">
        <v>1000</v>
      </c>
      <c r="C134" s="15" t="s">
        <v>54</v>
      </c>
      <c r="D134" s="15" t="s">
        <v>55</v>
      </c>
      <c r="E134" s="15">
        <f>'24-july-2026'!T134</f>
        <v>30</v>
      </c>
      <c r="F134" s="15">
        <f>'24-july-2026'!U134</f>
        <v>0</v>
      </c>
      <c r="G134" s="15">
        <f>'24-july-2026'!V134</f>
        <v>0</v>
      </c>
      <c r="H134" s="15">
        <f t="shared" si="40"/>
        <v>30</v>
      </c>
      <c r="I134" s="17">
        <v>0</v>
      </c>
      <c r="J134" s="17">
        <v>0</v>
      </c>
      <c r="K134" s="17">
        <v>0</v>
      </c>
      <c r="L134" s="17">
        <v>15</v>
      </c>
      <c r="M134" s="17">
        <v>0</v>
      </c>
      <c r="N134" s="17">
        <v>0</v>
      </c>
      <c r="O134" s="17">
        <v>0</v>
      </c>
      <c r="P134" s="17">
        <v>10</v>
      </c>
      <c r="Q134" s="17">
        <v>0</v>
      </c>
      <c r="R134" s="17">
        <v>5</v>
      </c>
      <c r="S134" s="15">
        <f t="shared" si="41"/>
        <v>30</v>
      </c>
      <c r="T134" s="15">
        <f t="shared" si="42"/>
        <v>15</v>
      </c>
      <c r="U134" s="15">
        <f t="shared" si="43"/>
        <v>10</v>
      </c>
      <c r="V134" s="15">
        <f t="shared" si="44"/>
        <v>0</v>
      </c>
      <c r="W134" s="18" t="str">
        <f t="shared" si="45"/>
        <v/>
      </c>
      <c r="X134" s="17">
        <v>0</v>
      </c>
      <c r="Y134" s="17">
        <v>0</v>
      </c>
      <c r="Z134" s="15">
        <f t="shared" si="46"/>
        <v>0</v>
      </c>
      <c r="AA134" s="17">
        <v>0</v>
      </c>
      <c r="AB134" s="17">
        <v>0</v>
      </c>
      <c r="AC134" s="15">
        <f t="shared" si="47"/>
        <v>0</v>
      </c>
      <c r="AD134" s="17">
        <v>0</v>
      </c>
      <c r="AE134" s="17">
        <v>0</v>
      </c>
      <c r="AF134" s="15">
        <f t="shared" si="48"/>
        <v>0</v>
      </c>
      <c r="AG134" s="17">
        <v>0</v>
      </c>
      <c r="AH134" s="17">
        <v>0</v>
      </c>
      <c r="AI134" s="15">
        <f t="shared" si="49"/>
        <v>0</v>
      </c>
      <c r="AJ134" s="17"/>
    </row>
    <row r="135" spans="1:36" x14ac:dyDescent="0.3">
      <c r="A135" s="15" t="s">
        <v>185</v>
      </c>
      <c r="B135" s="15">
        <v>100</v>
      </c>
      <c r="C135" s="15" t="s">
        <v>54</v>
      </c>
      <c r="D135" s="15" t="s">
        <v>68</v>
      </c>
      <c r="E135" s="15">
        <f>'24-july-2026'!T135</f>
        <v>6</v>
      </c>
      <c r="F135" s="15">
        <f>'24-july-2026'!U135</f>
        <v>0</v>
      </c>
      <c r="G135" s="15">
        <f>'24-july-2026'!V135</f>
        <v>0</v>
      </c>
      <c r="H135" s="15">
        <f t="shared" si="40"/>
        <v>6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5">
        <f t="shared" si="41"/>
        <v>6</v>
      </c>
      <c r="T135" s="15">
        <f t="shared" si="42"/>
        <v>6</v>
      </c>
      <c r="U135" s="15">
        <f t="shared" si="43"/>
        <v>0</v>
      </c>
      <c r="V135" s="15">
        <f t="shared" si="44"/>
        <v>0</v>
      </c>
      <c r="W135" s="18" t="str">
        <f t="shared" si="45"/>
        <v/>
      </c>
      <c r="X135" s="17">
        <v>0</v>
      </c>
      <c r="Y135" s="17">
        <v>0</v>
      </c>
      <c r="Z135" s="15">
        <f t="shared" si="46"/>
        <v>0</v>
      </c>
      <c r="AA135" s="17">
        <v>0</v>
      </c>
      <c r="AB135" s="17">
        <v>0</v>
      </c>
      <c r="AC135" s="15">
        <f t="shared" si="47"/>
        <v>0</v>
      </c>
      <c r="AD135" s="17">
        <v>0</v>
      </c>
      <c r="AE135" s="17">
        <v>0</v>
      </c>
      <c r="AF135" s="15">
        <f t="shared" si="48"/>
        <v>0</v>
      </c>
      <c r="AG135" s="17">
        <v>0</v>
      </c>
      <c r="AH135" s="17">
        <v>0</v>
      </c>
      <c r="AI135" s="15">
        <f t="shared" si="49"/>
        <v>0</v>
      </c>
      <c r="AJ135" s="17"/>
    </row>
    <row r="136" spans="1:36" x14ac:dyDescent="0.3">
      <c r="A136" s="15" t="s">
        <v>186</v>
      </c>
      <c r="B136" s="15">
        <v>100</v>
      </c>
      <c r="C136" s="15" t="s">
        <v>54</v>
      </c>
      <c r="D136" s="15" t="s">
        <v>57</v>
      </c>
      <c r="E136" s="15">
        <f>'24-july-2026'!T136</f>
        <v>4</v>
      </c>
      <c r="F136" s="15">
        <f>'24-july-2026'!U136</f>
        <v>0</v>
      </c>
      <c r="G136" s="15">
        <f>'24-july-2026'!V136</f>
        <v>0</v>
      </c>
      <c r="H136" s="15">
        <f t="shared" si="40"/>
        <v>4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5">
        <f t="shared" si="41"/>
        <v>4</v>
      </c>
      <c r="T136" s="15">
        <f t="shared" si="42"/>
        <v>4</v>
      </c>
      <c r="U136" s="15">
        <f t="shared" si="43"/>
        <v>0</v>
      </c>
      <c r="V136" s="15">
        <f t="shared" si="44"/>
        <v>0</v>
      </c>
      <c r="W136" s="18" t="str">
        <f t="shared" si="45"/>
        <v/>
      </c>
      <c r="X136" s="17">
        <v>0</v>
      </c>
      <c r="Y136" s="17">
        <v>0</v>
      </c>
      <c r="Z136" s="15">
        <f t="shared" si="46"/>
        <v>0</v>
      </c>
      <c r="AA136" s="17">
        <v>0</v>
      </c>
      <c r="AB136" s="17">
        <v>0</v>
      </c>
      <c r="AC136" s="15">
        <f t="shared" si="47"/>
        <v>0</v>
      </c>
      <c r="AD136" s="17">
        <v>0</v>
      </c>
      <c r="AE136" s="17">
        <v>0</v>
      </c>
      <c r="AF136" s="15">
        <f t="shared" si="48"/>
        <v>0</v>
      </c>
      <c r="AG136" s="17">
        <v>0</v>
      </c>
      <c r="AH136" s="17">
        <v>0</v>
      </c>
      <c r="AI136" s="15">
        <f t="shared" si="49"/>
        <v>0</v>
      </c>
      <c r="AJ136" s="17"/>
    </row>
    <row r="137" spans="1:36" x14ac:dyDescent="0.3">
      <c r="A137" s="15" t="s">
        <v>187</v>
      </c>
      <c r="B137" s="15">
        <v>1000</v>
      </c>
      <c r="C137" s="15" t="s">
        <v>54</v>
      </c>
      <c r="D137" s="15" t="s">
        <v>68</v>
      </c>
      <c r="E137" s="15">
        <f>'24-july-2026'!T137</f>
        <v>1</v>
      </c>
      <c r="F137" s="15">
        <f>'24-july-2026'!U137</f>
        <v>0</v>
      </c>
      <c r="G137" s="15">
        <f>'24-july-2026'!V137</f>
        <v>0</v>
      </c>
      <c r="H137" s="15">
        <f t="shared" si="40"/>
        <v>1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5">
        <f t="shared" si="41"/>
        <v>1</v>
      </c>
      <c r="T137" s="15">
        <f t="shared" si="42"/>
        <v>1</v>
      </c>
      <c r="U137" s="15">
        <f t="shared" si="43"/>
        <v>0</v>
      </c>
      <c r="V137" s="15">
        <f t="shared" si="44"/>
        <v>0</v>
      </c>
      <c r="W137" s="18" t="str">
        <f t="shared" si="45"/>
        <v/>
      </c>
      <c r="X137" s="17">
        <v>0</v>
      </c>
      <c r="Y137" s="17">
        <v>0</v>
      </c>
      <c r="Z137" s="15">
        <f t="shared" si="46"/>
        <v>0</v>
      </c>
      <c r="AA137" s="17">
        <v>0</v>
      </c>
      <c r="AB137" s="17">
        <v>0</v>
      </c>
      <c r="AC137" s="15">
        <f t="shared" si="47"/>
        <v>0</v>
      </c>
      <c r="AD137" s="17">
        <v>0</v>
      </c>
      <c r="AE137" s="17">
        <v>0</v>
      </c>
      <c r="AF137" s="15">
        <f t="shared" si="48"/>
        <v>0</v>
      </c>
      <c r="AG137" s="17">
        <v>0</v>
      </c>
      <c r="AH137" s="17">
        <v>0</v>
      </c>
      <c r="AI137" s="15">
        <f t="shared" si="49"/>
        <v>0</v>
      </c>
      <c r="AJ137" s="17"/>
    </row>
    <row r="138" spans="1:36" x14ac:dyDescent="0.3">
      <c r="A138" s="15" t="s">
        <v>188</v>
      </c>
      <c r="B138" s="15">
        <v>100</v>
      </c>
      <c r="C138" s="15" t="s">
        <v>54</v>
      </c>
      <c r="D138" s="15" t="s">
        <v>57</v>
      </c>
      <c r="E138" s="15">
        <f>'24-july-2026'!T138</f>
        <v>3</v>
      </c>
      <c r="F138" s="15">
        <f>'24-july-2026'!U138</f>
        <v>0</v>
      </c>
      <c r="G138" s="15">
        <f>'24-july-2026'!V138</f>
        <v>0</v>
      </c>
      <c r="H138" s="15">
        <f t="shared" si="40"/>
        <v>3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5">
        <f t="shared" si="41"/>
        <v>3</v>
      </c>
      <c r="T138" s="15">
        <f t="shared" si="42"/>
        <v>3</v>
      </c>
      <c r="U138" s="15">
        <f t="shared" si="43"/>
        <v>0</v>
      </c>
      <c r="V138" s="15">
        <f t="shared" si="44"/>
        <v>0</v>
      </c>
      <c r="W138" s="18" t="str">
        <f t="shared" si="45"/>
        <v/>
      </c>
      <c r="X138" s="17">
        <v>0</v>
      </c>
      <c r="Y138" s="17">
        <v>0</v>
      </c>
      <c r="Z138" s="15">
        <f t="shared" si="46"/>
        <v>0</v>
      </c>
      <c r="AA138" s="17">
        <v>0</v>
      </c>
      <c r="AB138" s="17">
        <v>0</v>
      </c>
      <c r="AC138" s="15">
        <f t="shared" si="47"/>
        <v>0</v>
      </c>
      <c r="AD138" s="17">
        <v>0</v>
      </c>
      <c r="AE138" s="17">
        <v>0</v>
      </c>
      <c r="AF138" s="15">
        <f t="shared" si="48"/>
        <v>0</v>
      </c>
      <c r="AG138" s="17">
        <v>0</v>
      </c>
      <c r="AH138" s="17">
        <v>0</v>
      </c>
      <c r="AI138" s="15">
        <f t="shared" si="49"/>
        <v>0</v>
      </c>
      <c r="AJ138" s="17"/>
    </row>
    <row r="139" spans="1:36" x14ac:dyDescent="0.3">
      <c r="A139" s="15" t="s">
        <v>189</v>
      </c>
      <c r="B139" s="15">
        <v>100</v>
      </c>
      <c r="C139" s="15" t="s">
        <v>54</v>
      </c>
      <c r="D139" s="15" t="s">
        <v>68</v>
      </c>
      <c r="E139" s="15">
        <f>'24-july-2026'!T139</f>
        <v>4</v>
      </c>
      <c r="F139" s="15">
        <f>'24-july-2026'!U139</f>
        <v>0</v>
      </c>
      <c r="G139" s="15">
        <f>'24-july-2026'!V139</f>
        <v>0</v>
      </c>
      <c r="H139" s="15">
        <f t="shared" si="40"/>
        <v>4</v>
      </c>
      <c r="I139" s="17">
        <v>1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5">
        <f t="shared" si="41"/>
        <v>3</v>
      </c>
      <c r="T139" s="15">
        <f t="shared" si="42"/>
        <v>3</v>
      </c>
      <c r="U139" s="15">
        <f t="shared" si="43"/>
        <v>0</v>
      </c>
      <c r="V139" s="15">
        <f t="shared" si="44"/>
        <v>0</v>
      </c>
      <c r="W139" s="18" t="str">
        <f t="shared" si="45"/>
        <v/>
      </c>
      <c r="X139" s="17">
        <v>0</v>
      </c>
      <c r="Y139" s="17">
        <v>0</v>
      </c>
      <c r="Z139" s="15">
        <f t="shared" si="46"/>
        <v>0</v>
      </c>
      <c r="AA139" s="17">
        <v>0</v>
      </c>
      <c r="AB139" s="17">
        <v>0</v>
      </c>
      <c r="AC139" s="15">
        <f t="shared" si="47"/>
        <v>0</v>
      </c>
      <c r="AD139" s="17">
        <v>0</v>
      </c>
      <c r="AE139" s="17">
        <v>0</v>
      </c>
      <c r="AF139" s="15">
        <f t="shared" si="48"/>
        <v>0</v>
      </c>
      <c r="AG139" s="17">
        <v>0</v>
      </c>
      <c r="AH139" s="17">
        <v>0</v>
      </c>
      <c r="AI139" s="15">
        <f t="shared" si="49"/>
        <v>0</v>
      </c>
      <c r="AJ139" s="17"/>
    </row>
    <row r="140" spans="1:36" x14ac:dyDescent="0.3">
      <c r="A140" s="15" t="s">
        <v>190</v>
      </c>
      <c r="B140" s="15">
        <v>100</v>
      </c>
      <c r="C140" s="15" t="s">
        <v>54</v>
      </c>
      <c r="D140" s="15" t="s">
        <v>57</v>
      </c>
      <c r="E140" s="15">
        <f>'24-july-2026'!T140</f>
        <v>4</v>
      </c>
      <c r="F140" s="15">
        <f>'24-july-2026'!U140</f>
        <v>0</v>
      </c>
      <c r="G140" s="15">
        <f>'24-july-2026'!V140</f>
        <v>-2</v>
      </c>
      <c r="H140" s="15">
        <f t="shared" si="40"/>
        <v>2</v>
      </c>
      <c r="I140" s="17">
        <v>0</v>
      </c>
      <c r="J140" s="17">
        <v>0</v>
      </c>
      <c r="K140" s="17">
        <v>0</v>
      </c>
      <c r="L140" s="17">
        <v>0</v>
      </c>
      <c r="M140" s="17">
        <v>2</v>
      </c>
      <c r="N140" s="17">
        <v>2</v>
      </c>
      <c r="O140" s="17">
        <v>0</v>
      </c>
      <c r="P140" s="17">
        <v>0</v>
      </c>
      <c r="Q140" s="17">
        <v>0</v>
      </c>
      <c r="R140" s="17">
        <v>0</v>
      </c>
      <c r="S140" s="15">
        <f t="shared" si="41"/>
        <v>-2</v>
      </c>
      <c r="T140" s="15">
        <f t="shared" si="42"/>
        <v>4</v>
      </c>
      <c r="U140" s="15">
        <f t="shared" si="43"/>
        <v>-2</v>
      </c>
      <c r="V140" s="15">
        <f t="shared" si="44"/>
        <v>-4</v>
      </c>
      <c r="W140" s="18" t="str">
        <f t="shared" si="45"/>
        <v>NEGATIVE STOCK - CHECK ENTRIES</v>
      </c>
      <c r="X140" s="17">
        <v>0</v>
      </c>
      <c r="Y140" s="17">
        <v>0</v>
      </c>
      <c r="Z140" s="15">
        <f t="shared" si="46"/>
        <v>0</v>
      </c>
      <c r="AA140" s="17">
        <v>0</v>
      </c>
      <c r="AB140" s="17">
        <v>0</v>
      </c>
      <c r="AC140" s="15">
        <f t="shared" si="47"/>
        <v>0</v>
      </c>
      <c r="AD140" s="17">
        <v>0</v>
      </c>
      <c r="AE140" s="17">
        <v>0</v>
      </c>
      <c r="AF140" s="15">
        <f t="shared" si="48"/>
        <v>0</v>
      </c>
      <c r="AG140" s="17">
        <v>0</v>
      </c>
      <c r="AH140" s="17">
        <v>0</v>
      </c>
      <c r="AI140" s="15">
        <f t="shared" si="49"/>
        <v>0</v>
      </c>
      <c r="AJ140" s="17"/>
    </row>
    <row r="141" spans="1:36" x14ac:dyDescent="0.3">
      <c r="A141" s="15" t="s">
        <v>191</v>
      </c>
      <c r="B141" s="15">
        <v>100</v>
      </c>
      <c r="C141" s="15" t="s">
        <v>54</v>
      </c>
      <c r="D141" s="15" t="s">
        <v>68</v>
      </c>
      <c r="E141" s="15">
        <f>'24-july-2026'!T141</f>
        <v>2</v>
      </c>
      <c r="F141" s="15">
        <f>'24-july-2026'!U141</f>
        <v>0</v>
      </c>
      <c r="G141" s="15">
        <f>'24-july-2026'!V141</f>
        <v>0</v>
      </c>
      <c r="H141" s="15">
        <f t="shared" si="40"/>
        <v>2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5">
        <f t="shared" si="41"/>
        <v>2</v>
      </c>
      <c r="T141" s="15">
        <f t="shared" si="42"/>
        <v>2</v>
      </c>
      <c r="U141" s="15">
        <f t="shared" si="43"/>
        <v>0</v>
      </c>
      <c r="V141" s="15">
        <f t="shared" si="44"/>
        <v>0</v>
      </c>
      <c r="W141" s="18" t="str">
        <f t="shared" si="45"/>
        <v/>
      </c>
      <c r="X141" s="17">
        <v>0</v>
      </c>
      <c r="Y141" s="17">
        <v>0</v>
      </c>
      <c r="Z141" s="15">
        <f t="shared" si="46"/>
        <v>0</v>
      </c>
      <c r="AA141" s="17">
        <v>0</v>
      </c>
      <c r="AB141" s="17">
        <v>0</v>
      </c>
      <c r="AC141" s="15">
        <f t="shared" si="47"/>
        <v>0</v>
      </c>
      <c r="AD141" s="17">
        <v>0</v>
      </c>
      <c r="AE141" s="17">
        <v>0</v>
      </c>
      <c r="AF141" s="15">
        <f t="shared" si="48"/>
        <v>0</v>
      </c>
      <c r="AG141" s="17">
        <v>0</v>
      </c>
      <c r="AH141" s="17">
        <v>0</v>
      </c>
      <c r="AI141" s="15">
        <f t="shared" si="49"/>
        <v>0</v>
      </c>
      <c r="AJ141" s="17"/>
    </row>
    <row r="142" spans="1:36" hidden="1" x14ac:dyDescent="0.3">
      <c r="A142" s="15" t="s">
        <v>192</v>
      </c>
      <c r="B142" s="15">
        <v>100</v>
      </c>
      <c r="C142" s="15" t="s">
        <v>54</v>
      </c>
      <c r="D142" s="15" t="s">
        <v>55</v>
      </c>
      <c r="E142" s="15">
        <f>'24-july-2026'!T142</f>
        <v>6282</v>
      </c>
      <c r="F142" s="15">
        <f>'24-july-2026'!U142</f>
        <v>2</v>
      </c>
      <c r="G142" s="15">
        <f>'24-july-2026'!V142</f>
        <v>10</v>
      </c>
      <c r="H142" s="15">
        <f t="shared" si="40"/>
        <v>6294</v>
      </c>
      <c r="I142" s="17">
        <v>62</v>
      </c>
      <c r="J142" s="17">
        <v>100</v>
      </c>
      <c r="K142" s="17">
        <v>0</v>
      </c>
      <c r="L142" s="17">
        <v>1870</v>
      </c>
      <c r="M142" s="17">
        <v>0</v>
      </c>
      <c r="N142" s="17">
        <v>0</v>
      </c>
      <c r="O142" s="17">
        <v>0</v>
      </c>
      <c r="P142" s="17">
        <v>500</v>
      </c>
      <c r="Q142" s="17">
        <v>20</v>
      </c>
      <c r="R142" s="17">
        <v>0</v>
      </c>
      <c r="S142" s="15">
        <f t="shared" si="41"/>
        <v>4782</v>
      </c>
      <c r="T142" s="15">
        <f t="shared" si="42"/>
        <v>4350</v>
      </c>
      <c r="U142" s="15">
        <f t="shared" si="43"/>
        <v>402</v>
      </c>
      <c r="V142" s="15">
        <f t="shared" si="44"/>
        <v>30</v>
      </c>
      <c r="W142" s="18" t="str">
        <f t="shared" si="45"/>
        <v/>
      </c>
      <c r="X142" s="17">
        <v>0</v>
      </c>
      <c r="Y142" s="17">
        <v>0</v>
      </c>
      <c r="Z142" s="15">
        <f t="shared" si="46"/>
        <v>0</v>
      </c>
      <c r="AA142" s="17">
        <v>0</v>
      </c>
      <c r="AB142" s="17">
        <v>0</v>
      </c>
      <c r="AC142" s="15">
        <f t="shared" si="47"/>
        <v>0</v>
      </c>
      <c r="AD142" s="17">
        <v>0</v>
      </c>
      <c r="AE142" s="17">
        <v>0</v>
      </c>
      <c r="AF142" s="15">
        <f t="shared" si="48"/>
        <v>0</v>
      </c>
      <c r="AG142" s="17">
        <v>0</v>
      </c>
      <c r="AH142" s="17">
        <v>0</v>
      </c>
      <c r="AI142" s="15">
        <f t="shared" si="49"/>
        <v>0</v>
      </c>
      <c r="AJ142" s="17"/>
    </row>
    <row r="143" spans="1:36" hidden="1" x14ac:dyDescent="0.3">
      <c r="A143" s="15" t="s">
        <v>192</v>
      </c>
      <c r="B143" s="15">
        <v>500</v>
      </c>
      <c r="C143" s="15" t="s">
        <v>54</v>
      </c>
      <c r="D143" s="15" t="s">
        <v>55</v>
      </c>
      <c r="E143" s="15">
        <f>'24-july-2026'!T143</f>
        <v>6</v>
      </c>
      <c r="F143" s="15">
        <f>'24-july-2026'!U143</f>
        <v>0</v>
      </c>
      <c r="G143" s="15">
        <f>'24-july-2026'!V143</f>
        <v>2</v>
      </c>
      <c r="H143" s="15">
        <f t="shared" si="40"/>
        <v>8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5">
        <f t="shared" si="41"/>
        <v>8</v>
      </c>
      <c r="T143" s="15">
        <f t="shared" si="42"/>
        <v>6</v>
      </c>
      <c r="U143" s="15">
        <f t="shared" si="43"/>
        <v>0</v>
      </c>
      <c r="V143" s="15">
        <f t="shared" si="44"/>
        <v>2</v>
      </c>
      <c r="W143" s="18" t="str">
        <f t="shared" si="45"/>
        <v/>
      </c>
      <c r="X143" s="17">
        <v>0</v>
      </c>
      <c r="Y143" s="17">
        <v>0</v>
      </c>
      <c r="Z143" s="15">
        <f t="shared" si="46"/>
        <v>0</v>
      </c>
      <c r="AA143" s="17">
        <v>0</v>
      </c>
      <c r="AB143" s="17">
        <v>0</v>
      </c>
      <c r="AC143" s="15">
        <f t="shared" si="47"/>
        <v>0</v>
      </c>
      <c r="AD143" s="17">
        <v>0</v>
      </c>
      <c r="AE143" s="17">
        <v>0</v>
      </c>
      <c r="AF143" s="15">
        <f t="shared" si="48"/>
        <v>0</v>
      </c>
      <c r="AG143" s="17">
        <v>0</v>
      </c>
      <c r="AH143" s="17">
        <v>0</v>
      </c>
      <c r="AI143" s="15">
        <f t="shared" si="49"/>
        <v>0</v>
      </c>
      <c r="AJ143" s="17"/>
    </row>
    <row r="144" spans="1:36" x14ac:dyDescent="0.3">
      <c r="A144" s="15" t="s">
        <v>193</v>
      </c>
      <c r="B144" s="15">
        <v>100</v>
      </c>
      <c r="C144" s="15" t="s">
        <v>54</v>
      </c>
      <c r="D144" s="15" t="s">
        <v>57</v>
      </c>
      <c r="E144" s="15">
        <f>'24-july-2026'!T144</f>
        <v>1</v>
      </c>
      <c r="F144" s="15">
        <f>'24-july-2026'!U144</f>
        <v>0</v>
      </c>
      <c r="G144" s="15">
        <f>'24-july-2026'!V144</f>
        <v>0</v>
      </c>
      <c r="H144" s="15">
        <f t="shared" si="40"/>
        <v>1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5">
        <f t="shared" si="41"/>
        <v>1</v>
      </c>
      <c r="T144" s="15">
        <f t="shared" si="42"/>
        <v>1</v>
      </c>
      <c r="U144" s="15">
        <f t="shared" si="43"/>
        <v>0</v>
      </c>
      <c r="V144" s="15">
        <f t="shared" si="44"/>
        <v>0</v>
      </c>
      <c r="W144" s="18" t="str">
        <f t="shared" si="45"/>
        <v/>
      </c>
      <c r="X144" s="17">
        <v>0</v>
      </c>
      <c r="Y144" s="17">
        <v>0</v>
      </c>
      <c r="Z144" s="15">
        <f t="shared" si="46"/>
        <v>0</v>
      </c>
      <c r="AA144" s="17">
        <v>0</v>
      </c>
      <c r="AB144" s="17">
        <v>0</v>
      </c>
      <c r="AC144" s="15">
        <f t="shared" si="47"/>
        <v>0</v>
      </c>
      <c r="AD144" s="17">
        <v>0</v>
      </c>
      <c r="AE144" s="17">
        <v>0</v>
      </c>
      <c r="AF144" s="15">
        <f t="shared" si="48"/>
        <v>0</v>
      </c>
      <c r="AG144" s="17">
        <v>0</v>
      </c>
      <c r="AH144" s="17">
        <v>0</v>
      </c>
      <c r="AI144" s="15">
        <f t="shared" si="49"/>
        <v>0</v>
      </c>
      <c r="AJ144" s="17"/>
    </row>
    <row r="145" spans="1:36" hidden="1" x14ac:dyDescent="0.3">
      <c r="A145" s="15" t="s">
        <v>194</v>
      </c>
      <c r="B145" s="15">
        <v>1000</v>
      </c>
      <c r="C145" s="15"/>
      <c r="D145" s="15" t="s">
        <v>55</v>
      </c>
      <c r="E145" s="15">
        <f>'24-july-2026'!T145</f>
        <v>0</v>
      </c>
      <c r="F145" s="15">
        <f>'24-july-2026'!U145</f>
        <v>0</v>
      </c>
      <c r="G145" s="15">
        <f>'24-july-2026'!V145</f>
        <v>0</v>
      </c>
      <c r="H145" s="15">
        <f t="shared" si="40"/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5">
        <f t="shared" si="41"/>
        <v>0</v>
      </c>
      <c r="T145" s="15">
        <f t="shared" si="42"/>
        <v>0</v>
      </c>
      <c r="U145" s="15">
        <f t="shared" si="43"/>
        <v>0</v>
      </c>
      <c r="V145" s="15">
        <f t="shared" si="44"/>
        <v>0</v>
      </c>
      <c r="W145" s="18" t="str">
        <f t="shared" si="45"/>
        <v/>
      </c>
      <c r="X145" s="17">
        <v>0</v>
      </c>
      <c r="Y145" s="17">
        <v>0</v>
      </c>
      <c r="Z145" s="15">
        <f t="shared" si="46"/>
        <v>0</v>
      </c>
      <c r="AA145" s="17">
        <v>0</v>
      </c>
      <c r="AB145" s="17">
        <v>0</v>
      </c>
      <c r="AC145" s="15">
        <f t="shared" si="47"/>
        <v>0</v>
      </c>
      <c r="AD145" s="17">
        <v>0</v>
      </c>
      <c r="AE145" s="17">
        <v>0</v>
      </c>
      <c r="AF145" s="15">
        <f t="shared" si="48"/>
        <v>0</v>
      </c>
      <c r="AG145" s="17">
        <v>0</v>
      </c>
      <c r="AH145" s="17">
        <v>0</v>
      </c>
      <c r="AI145" s="15">
        <f t="shared" si="49"/>
        <v>0</v>
      </c>
      <c r="AJ145" s="17"/>
    </row>
    <row r="146" spans="1:36" x14ac:dyDescent="0.3">
      <c r="A146" s="15" t="s">
        <v>195</v>
      </c>
      <c r="B146" s="15">
        <v>1000</v>
      </c>
      <c r="C146" s="15" t="s">
        <v>54</v>
      </c>
      <c r="D146" s="15" t="s">
        <v>68</v>
      </c>
      <c r="E146" s="15">
        <f>'24-july-2026'!T146</f>
        <v>2</v>
      </c>
      <c r="F146" s="15">
        <f>'24-july-2026'!U146</f>
        <v>0</v>
      </c>
      <c r="G146" s="15">
        <f>'24-july-2026'!V146</f>
        <v>0</v>
      </c>
      <c r="H146" s="15">
        <f t="shared" si="40"/>
        <v>2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5">
        <f t="shared" si="41"/>
        <v>2</v>
      </c>
      <c r="T146" s="15">
        <f t="shared" si="42"/>
        <v>2</v>
      </c>
      <c r="U146" s="15">
        <f t="shared" si="43"/>
        <v>0</v>
      </c>
      <c r="V146" s="15">
        <f t="shared" si="44"/>
        <v>0</v>
      </c>
      <c r="W146" s="18" t="str">
        <f t="shared" si="45"/>
        <v/>
      </c>
      <c r="X146" s="17">
        <v>0</v>
      </c>
      <c r="Y146" s="17">
        <v>0</v>
      </c>
      <c r="Z146" s="15">
        <f t="shared" si="46"/>
        <v>0</v>
      </c>
      <c r="AA146" s="17">
        <v>0</v>
      </c>
      <c r="AB146" s="17">
        <v>0</v>
      </c>
      <c r="AC146" s="15">
        <f t="shared" si="47"/>
        <v>0</v>
      </c>
      <c r="AD146" s="17">
        <v>0</v>
      </c>
      <c r="AE146" s="17">
        <v>0</v>
      </c>
      <c r="AF146" s="15">
        <f t="shared" si="48"/>
        <v>0</v>
      </c>
      <c r="AG146" s="17">
        <v>0</v>
      </c>
      <c r="AH146" s="17">
        <v>0</v>
      </c>
      <c r="AI146" s="15">
        <f t="shared" si="49"/>
        <v>0</v>
      </c>
      <c r="AJ146" s="17"/>
    </row>
    <row r="147" spans="1:36" hidden="1" x14ac:dyDescent="0.3">
      <c r="A147" s="15" t="s">
        <v>196</v>
      </c>
      <c r="B147" s="15">
        <v>100</v>
      </c>
      <c r="C147" s="15" t="s">
        <v>54</v>
      </c>
      <c r="D147" s="15" t="s">
        <v>55</v>
      </c>
      <c r="E147" s="15">
        <f>'24-july-2026'!T147</f>
        <v>448</v>
      </c>
      <c r="F147" s="15">
        <f>'24-july-2026'!U147</f>
        <v>145</v>
      </c>
      <c r="G147" s="15">
        <f>'24-july-2026'!V147</f>
        <v>10</v>
      </c>
      <c r="H147" s="15">
        <f t="shared" si="40"/>
        <v>603</v>
      </c>
      <c r="I147" s="17">
        <v>39</v>
      </c>
      <c r="J147" s="17">
        <v>0</v>
      </c>
      <c r="K147" s="17">
        <v>0</v>
      </c>
      <c r="L147" s="17">
        <v>24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20</v>
      </c>
      <c r="S147" s="15">
        <f t="shared" si="41"/>
        <v>560</v>
      </c>
      <c r="T147" s="15">
        <f t="shared" si="42"/>
        <v>385</v>
      </c>
      <c r="U147" s="15">
        <f t="shared" si="43"/>
        <v>145</v>
      </c>
      <c r="V147" s="15">
        <f t="shared" si="44"/>
        <v>10</v>
      </c>
      <c r="W147" s="18" t="str">
        <f t="shared" si="45"/>
        <v/>
      </c>
      <c r="X147" s="17">
        <v>0</v>
      </c>
      <c r="Y147" s="17">
        <v>0</v>
      </c>
      <c r="Z147" s="15">
        <f t="shared" si="46"/>
        <v>0</v>
      </c>
      <c r="AA147" s="17">
        <v>0</v>
      </c>
      <c r="AB147" s="17">
        <v>0</v>
      </c>
      <c r="AC147" s="15">
        <f t="shared" si="47"/>
        <v>0</v>
      </c>
      <c r="AD147" s="17">
        <v>0</v>
      </c>
      <c r="AE147" s="17">
        <v>0</v>
      </c>
      <c r="AF147" s="15">
        <f t="shared" si="48"/>
        <v>0</v>
      </c>
      <c r="AG147" s="17">
        <v>0</v>
      </c>
      <c r="AH147" s="17">
        <v>0</v>
      </c>
      <c r="AI147" s="15">
        <f t="shared" si="49"/>
        <v>0</v>
      </c>
      <c r="AJ147" s="17"/>
    </row>
    <row r="148" spans="1:36" hidden="1" x14ac:dyDescent="0.3">
      <c r="A148" s="15" t="s">
        <v>197</v>
      </c>
      <c r="B148" s="15">
        <v>100</v>
      </c>
      <c r="C148" s="15" t="s">
        <v>54</v>
      </c>
      <c r="D148" s="15" t="s">
        <v>55</v>
      </c>
      <c r="E148" s="15">
        <f>'24-july-2026'!T148</f>
        <v>0</v>
      </c>
      <c r="F148" s="15">
        <f>'24-july-2026'!U148</f>
        <v>0</v>
      </c>
      <c r="G148" s="15">
        <f>'24-july-2026'!V148</f>
        <v>0</v>
      </c>
      <c r="H148" s="15">
        <f t="shared" si="40"/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5">
        <f t="shared" si="41"/>
        <v>0</v>
      </c>
      <c r="T148" s="15">
        <f t="shared" si="42"/>
        <v>0</v>
      </c>
      <c r="U148" s="15">
        <f t="shared" si="43"/>
        <v>0</v>
      </c>
      <c r="V148" s="15">
        <f t="shared" si="44"/>
        <v>0</v>
      </c>
      <c r="W148" s="18" t="str">
        <f t="shared" si="45"/>
        <v/>
      </c>
      <c r="X148" s="17">
        <v>0</v>
      </c>
      <c r="Y148" s="17">
        <v>0</v>
      </c>
      <c r="Z148" s="15">
        <f t="shared" si="46"/>
        <v>0</v>
      </c>
      <c r="AA148" s="17">
        <v>0</v>
      </c>
      <c r="AB148" s="17">
        <v>0</v>
      </c>
      <c r="AC148" s="15">
        <f t="shared" si="47"/>
        <v>0</v>
      </c>
      <c r="AD148" s="17">
        <v>0</v>
      </c>
      <c r="AE148" s="17">
        <v>0</v>
      </c>
      <c r="AF148" s="15">
        <f t="shared" si="48"/>
        <v>0</v>
      </c>
      <c r="AG148" s="17">
        <v>0</v>
      </c>
      <c r="AH148" s="17">
        <v>0</v>
      </c>
      <c r="AI148" s="15">
        <f t="shared" si="49"/>
        <v>0</v>
      </c>
      <c r="AJ148" s="17"/>
    </row>
    <row r="149" spans="1:36" hidden="1" x14ac:dyDescent="0.3">
      <c r="A149" s="15" t="s">
        <v>198</v>
      </c>
      <c r="B149" s="15">
        <v>100</v>
      </c>
      <c r="C149" s="15" t="s">
        <v>54</v>
      </c>
      <c r="D149" s="15" t="s">
        <v>55</v>
      </c>
      <c r="E149" s="15">
        <f>'24-july-2026'!T149</f>
        <v>165</v>
      </c>
      <c r="F149" s="15">
        <f>'24-july-2026'!U149</f>
        <v>41</v>
      </c>
      <c r="G149" s="15">
        <f>'24-july-2026'!V149</f>
        <v>43</v>
      </c>
      <c r="H149" s="15">
        <f t="shared" si="40"/>
        <v>249</v>
      </c>
      <c r="I149" s="17">
        <v>48</v>
      </c>
      <c r="J149" s="17">
        <v>0</v>
      </c>
      <c r="K149" s="17">
        <v>0</v>
      </c>
      <c r="L149" s="17">
        <v>87</v>
      </c>
      <c r="M149" s="17">
        <v>0</v>
      </c>
      <c r="N149" s="17">
        <v>0</v>
      </c>
      <c r="O149" s="17">
        <v>0</v>
      </c>
      <c r="P149" s="17">
        <v>20</v>
      </c>
      <c r="Q149" s="17">
        <v>20</v>
      </c>
      <c r="R149" s="17">
        <v>20</v>
      </c>
      <c r="S149" s="15">
        <f t="shared" si="41"/>
        <v>174</v>
      </c>
      <c r="T149" s="15">
        <f t="shared" si="42"/>
        <v>30</v>
      </c>
      <c r="U149" s="15">
        <f t="shared" si="43"/>
        <v>61</v>
      </c>
      <c r="V149" s="15">
        <f t="shared" si="44"/>
        <v>63</v>
      </c>
      <c r="W149" s="18" t="str">
        <f t="shared" si="45"/>
        <v/>
      </c>
      <c r="X149" s="17">
        <v>0</v>
      </c>
      <c r="Y149" s="17">
        <v>0</v>
      </c>
      <c r="Z149" s="15">
        <f t="shared" si="46"/>
        <v>0</v>
      </c>
      <c r="AA149" s="17">
        <v>0</v>
      </c>
      <c r="AB149" s="17">
        <v>0</v>
      </c>
      <c r="AC149" s="15">
        <f t="shared" si="47"/>
        <v>0</v>
      </c>
      <c r="AD149" s="17">
        <v>0</v>
      </c>
      <c r="AE149" s="17">
        <v>0</v>
      </c>
      <c r="AF149" s="15">
        <f t="shared" si="48"/>
        <v>0</v>
      </c>
      <c r="AG149" s="17">
        <v>0</v>
      </c>
      <c r="AH149" s="17">
        <v>0</v>
      </c>
      <c r="AI149" s="15">
        <f t="shared" si="49"/>
        <v>0</v>
      </c>
      <c r="AJ149" s="17"/>
    </row>
    <row r="150" spans="1:36" hidden="1" x14ac:dyDescent="0.3">
      <c r="A150" s="15" t="s">
        <v>199</v>
      </c>
      <c r="B150" s="15">
        <v>500</v>
      </c>
      <c r="C150" s="15" t="s">
        <v>54</v>
      </c>
      <c r="D150" s="15" t="s">
        <v>55</v>
      </c>
      <c r="E150" s="15">
        <f>'24-july-2026'!T150</f>
        <v>10</v>
      </c>
      <c r="F150" s="15">
        <f>'24-july-2026'!U150</f>
        <v>1</v>
      </c>
      <c r="G150" s="15">
        <f>'24-july-2026'!V150</f>
        <v>0</v>
      </c>
      <c r="H150" s="15">
        <f t="shared" si="40"/>
        <v>11</v>
      </c>
      <c r="I150" s="17">
        <v>0</v>
      </c>
      <c r="J150" s="17">
        <v>0</v>
      </c>
      <c r="K150" s="17">
        <v>0</v>
      </c>
      <c r="L150" s="17">
        <v>6</v>
      </c>
      <c r="M150" s="17">
        <v>0</v>
      </c>
      <c r="N150" s="17">
        <v>0</v>
      </c>
      <c r="O150" s="17">
        <v>0</v>
      </c>
      <c r="P150" s="17">
        <v>0</v>
      </c>
      <c r="Q150" s="17">
        <v>4</v>
      </c>
      <c r="R150" s="17">
        <v>2</v>
      </c>
      <c r="S150" s="15">
        <f t="shared" si="41"/>
        <v>11</v>
      </c>
      <c r="T150" s="15">
        <f t="shared" si="42"/>
        <v>4</v>
      </c>
      <c r="U150" s="15">
        <f t="shared" si="43"/>
        <v>1</v>
      </c>
      <c r="V150" s="15">
        <f t="shared" si="44"/>
        <v>4</v>
      </c>
      <c r="W150" s="18" t="str">
        <f t="shared" si="45"/>
        <v/>
      </c>
      <c r="X150" s="17">
        <v>0</v>
      </c>
      <c r="Y150" s="17">
        <v>0</v>
      </c>
      <c r="Z150" s="15">
        <f t="shared" si="46"/>
        <v>0</v>
      </c>
      <c r="AA150" s="17">
        <v>0</v>
      </c>
      <c r="AB150" s="17">
        <v>0</v>
      </c>
      <c r="AC150" s="15">
        <f t="shared" si="47"/>
        <v>0</v>
      </c>
      <c r="AD150" s="17">
        <v>0</v>
      </c>
      <c r="AE150" s="17">
        <v>0</v>
      </c>
      <c r="AF150" s="15">
        <f t="shared" si="48"/>
        <v>0</v>
      </c>
      <c r="AG150" s="17">
        <v>0</v>
      </c>
      <c r="AH150" s="17">
        <v>0</v>
      </c>
      <c r="AI150" s="15">
        <f t="shared" si="49"/>
        <v>0</v>
      </c>
      <c r="AJ150" s="17"/>
    </row>
    <row r="151" spans="1:36" hidden="1" x14ac:dyDescent="0.3">
      <c r="A151" s="15" t="s">
        <v>200</v>
      </c>
      <c r="B151" s="15">
        <v>100</v>
      </c>
      <c r="C151" s="15" t="s">
        <v>54</v>
      </c>
      <c r="D151" s="15" t="s">
        <v>55</v>
      </c>
      <c r="E151" s="15">
        <f>'24-july-2026'!T151</f>
        <v>328</v>
      </c>
      <c r="F151" s="15">
        <f>'24-july-2026'!U151</f>
        <v>91</v>
      </c>
      <c r="G151" s="15">
        <f>'24-july-2026'!V151</f>
        <v>24</v>
      </c>
      <c r="H151" s="15">
        <f t="shared" si="40"/>
        <v>443</v>
      </c>
      <c r="I151" s="17">
        <v>0</v>
      </c>
      <c r="J151" s="17">
        <v>0</v>
      </c>
      <c r="K151" s="17">
        <v>0</v>
      </c>
      <c r="L151" s="17">
        <v>120</v>
      </c>
      <c r="M151" s="17">
        <v>22</v>
      </c>
      <c r="N151" s="17">
        <v>0</v>
      </c>
      <c r="O151" s="17">
        <v>0</v>
      </c>
      <c r="P151" s="17">
        <v>0</v>
      </c>
      <c r="Q151" s="17">
        <v>22</v>
      </c>
      <c r="R151" s="17">
        <v>20</v>
      </c>
      <c r="S151" s="15">
        <f t="shared" si="41"/>
        <v>343</v>
      </c>
      <c r="T151" s="15">
        <f t="shared" si="42"/>
        <v>208</v>
      </c>
      <c r="U151" s="15">
        <f t="shared" si="43"/>
        <v>69</v>
      </c>
      <c r="V151" s="15">
        <f t="shared" si="44"/>
        <v>46</v>
      </c>
      <c r="W151" s="18" t="str">
        <f t="shared" si="45"/>
        <v/>
      </c>
      <c r="X151" s="17">
        <v>0</v>
      </c>
      <c r="Y151" s="17">
        <v>0</v>
      </c>
      <c r="Z151" s="15">
        <f t="shared" si="46"/>
        <v>0</v>
      </c>
      <c r="AA151" s="17">
        <v>0</v>
      </c>
      <c r="AB151" s="17">
        <v>0</v>
      </c>
      <c r="AC151" s="15">
        <f t="shared" si="47"/>
        <v>0</v>
      </c>
      <c r="AD151" s="17">
        <v>0</v>
      </c>
      <c r="AE151" s="17">
        <v>0</v>
      </c>
      <c r="AF151" s="15">
        <f t="shared" si="48"/>
        <v>0</v>
      </c>
      <c r="AG151" s="17">
        <v>0</v>
      </c>
      <c r="AH151" s="17">
        <v>0</v>
      </c>
      <c r="AI151" s="15">
        <f t="shared" si="49"/>
        <v>0</v>
      </c>
      <c r="AJ151" s="17"/>
    </row>
    <row r="152" spans="1:36" hidden="1" x14ac:dyDescent="0.3">
      <c r="A152" s="15" t="s">
        <v>201</v>
      </c>
      <c r="B152" s="15">
        <v>100</v>
      </c>
      <c r="C152" s="15" t="s">
        <v>54</v>
      </c>
      <c r="D152" s="15" t="s">
        <v>55</v>
      </c>
      <c r="E152" s="15">
        <f>'24-july-2026'!T152</f>
        <v>238</v>
      </c>
      <c r="F152" s="15">
        <f>'24-july-2026'!U152</f>
        <v>71</v>
      </c>
      <c r="G152" s="15">
        <f>'24-july-2026'!V152</f>
        <v>14</v>
      </c>
      <c r="H152" s="15">
        <f t="shared" si="40"/>
        <v>323</v>
      </c>
      <c r="I152" s="17">
        <v>0</v>
      </c>
      <c r="J152" s="17">
        <v>2</v>
      </c>
      <c r="K152" s="17">
        <v>0</v>
      </c>
      <c r="L152" s="17">
        <v>133</v>
      </c>
      <c r="M152" s="17">
        <v>10</v>
      </c>
      <c r="N152" s="17">
        <v>0</v>
      </c>
      <c r="O152" s="17">
        <v>0</v>
      </c>
      <c r="P152" s="17">
        <v>50</v>
      </c>
      <c r="Q152" s="17">
        <v>53</v>
      </c>
      <c r="R152" s="17">
        <v>30</v>
      </c>
      <c r="S152" s="15">
        <f t="shared" si="41"/>
        <v>311</v>
      </c>
      <c r="T152" s="15">
        <f t="shared" si="42"/>
        <v>105</v>
      </c>
      <c r="U152" s="15">
        <f t="shared" si="43"/>
        <v>109</v>
      </c>
      <c r="V152" s="15">
        <f t="shared" si="44"/>
        <v>67</v>
      </c>
      <c r="W152" s="18" t="str">
        <f t="shared" si="45"/>
        <v/>
      </c>
      <c r="X152" s="17">
        <v>0</v>
      </c>
      <c r="Y152" s="17">
        <v>0</v>
      </c>
      <c r="Z152" s="15">
        <f t="shared" si="46"/>
        <v>0</v>
      </c>
      <c r="AA152" s="17">
        <v>0</v>
      </c>
      <c r="AB152" s="17">
        <v>0</v>
      </c>
      <c r="AC152" s="15">
        <f t="shared" si="47"/>
        <v>0</v>
      </c>
      <c r="AD152" s="17">
        <v>0</v>
      </c>
      <c r="AE152" s="17">
        <v>0</v>
      </c>
      <c r="AF152" s="15">
        <f t="shared" si="48"/>
        <v>0</v>
      </c>
      <c r="AG152" s="17">
        <v>0</v>
      </c>
      <c r="AH152" s="17">
        <v>0</v>
      </c>
      <c r="AI152" s="15">
        <f t="shared" si="49"/>
        <v>0</v>
      </c>
      <c r="AJ152" s="17"/>
    </row>
    <row r="153" spans="1:36" hidden="1" x14ac:dyDescent="0.3">
      <c r="A153" s="15" t="s">
        <v>202</v>
      </c>
      <c r="B153" s="15">
        <v>100</v>
      </c>
      <c r="C153" s="15" t="s">
        <v>54</v>
      </c>
      <c r="D153" s="15" t="s">
        <v>55</v>
      </c>
      <c r="E153" s="15">
        <f>'24-july-2026'!T153</f>
        <v>13</v>
      </c>
      <c r="F153" s="15">
        <f>'24-july-2026'!U153</f>
        <v>0</v>
      </c>
      <c r="G153" s="15">
        <f>'24-july-2026'!V153</f>
        <v>0</v>
      </c>
      <c r="H153" s="15">
        <f t="shared" si="40"/>
        <v>13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5">
        <f t="shared" si="41"/>
        <v>13</v>
      </c>
      <c r="T153" s="15">
        <f t="shared" si="42"/>
        <v>13</v>
      </c>
      <c r="U153" s="15">
        <f t="shared" si="43"/>
        <v>0</v>
      </c>
      <c r="V153" s="15">
        <f t="shared" si="44"/>
        <v>0</v>
      </c>
      <c r="W153" s="18" t="str">
        <f t="shared" si="45"/>
        <v/>
      </c>
      <c r="X153" s="17">
        <v>0</v>
      </c>
      <c r="Y153" s="17">
        <v>0</v>
      </c>
      <c r="Z153" s="15">
        <f t="shared" si="46"/>
        <v>0</v>
      </c>
      <c r="AA153" s="17">
        <v>0</v>
      </c>
      <c r="AB153" s="17">
        <v>0</v>
      </c>
      <c r="AC153" s="15">
        <f t="shared" si="47"/>
        <v>0</v>
      </c>
      <c r="AD153" s="17">
        <v>0</v>
      </c>
      <c r="AE153" s="17">
        <v>0</v>
      </c>
      <c r="AF153" s="15">
        <f t="shared" si="48"/>
        <v>0</v>
      </c>
      <c r="AG153" s="17">
        <v>0</v>
      </c>
      <c r="AH153" s="17">
        <v>0</v>
      </c>
      <c r="AI153" s="15">
        <f t="shared" si="49"/>
        <v>0</v>
      </c>
      <c r="AJ153" s="17"/>
    </row>
    <row r="154" spans="1:36" hidden="1" x14ac:dyDescent="0.3">
      <c r="A154" s="15" t="s">
        <v>203</v>
      </c>
      <c r="B154" s="15">
        <v>100</v>
      </c>
      <c r="C154" s="15" t="s">
        <v>54</v>
      </c>
      <c r="D154" s="15" t="s">
        <v>55</v>
      </c>
      <c r="E154" s="15">
        <f>'24-july-2026'!T154</f>
        <v>13</v>
      </c>
      <c r="F154" s="15">
        <f>'24-july-2026'!U154</f>
        <v>0</v>
      </c>
      <c r="G154" s="15">
        <f>'24-july-2026'!V154</f>
        <v>0</v>
      </c>
      <c r="H154" s="15">
        <f t="shared" si="40"/>
        <v>13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5">
        <f t="shared" si="41"/>
        <v>13</v>
      </c>
      <c r="T154" s="15">
        <f t="shared" si="42"/>
        <v>13</v>
      </c>
      <c r="U154" s="15">
        <f t="shared" si="43"/>
        <v>0</v>
      </c>
      <c r="V154" s="15">
        <f t="shared" si="44"/>
        <v>0</v>
      </c>
      <c r="W154" s="18" t="str">
        <f t="shared" si="45"/>
        <v/>
      </c>
      <c r="X154" s="17">
        <v>0</v>
      </c>
      <c r="Y154" s="17">
        <v>0</v>
      </c>
      <c r="Z154" s="15">
        <f t="shared" si="46"/>
        <v>0</v>
      </c>
      <c r="AA154" s="17">
        <v>0</v>
      </c>
      <c r="AB154" s="17">
        <v>0</v>
      </c>
      <c r="AC154" s="15">
        <f t="shared" si="47"/>
        <v>0</v>
      </c>
      <c r="AD154" s="17">
        <v>0</v>
      </c>
      <c r="AE154" s="17">
        <v>0</v>
      </c>
      <c r="AF154" s="15">
        <f t="shared" si="48"/>
        <v>0</v>
      </c>
      <c r="AG154" s="17">
        <v>0</v>
      </c>
      <c r="AH154" s="17">
        <v>0</v>
      </c>
      <c r="AI154" s="15">
        <f t="shared" si="49"/>
        <v>0</v>
      </c>
      <c r="AJ154" s="17"/>
    </row>
    <row r="155" spans="1:36" hidden="1" x14ac:dyDescent="0.3">
      <c r="A155" s="15" t="s">
        <v>204</v>
      </c>
      <c r="B155" s="15">
        <v>10000</v>
      </c>
      <c r="C155" s="15" t="s">
        <v>54</v>
      </c>
      <c r="D155" s="15" t="s">
        <v>55</v>
      </c>
      <c r="E155" s="15">
        <v>0</v>
      </c>
      <c r="F155" s="15">
        <v>0</v>
      </c>
      <c r="G155" s="15">
        <v>0</v>
      </c>
      <c r="H155" s="15">
        <f t="shared" si="40"/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5">
        <f t="shared" si="41"/>
        <v>0</v>
      </c>
      <c r="T155" s="15">
        <f t="shared" si="42"/>
        <v>0</v>
      </c>
      <c r="U155" s="15">
        <f t="shared" si="43"/>
        <v>0</v>
      </c>
      <c r="V155" s="15">
        <f t="shared" si="44"/>
        <v>0</v>
      </c>
      <c r="W155" s="18" t="str">
        <f t="shared" si="45"/>
        <v/>
      </c>
      <c r="X155" s="17">
        <v>0</v>
      </c>
      <c r="Y155" s="17">
        <v>0</v>
      </c>
      <c r="Z155" s="15">
        <f t="shared" si="46"/>
        <v>0</v>
      </c>
      <c r="AA155" s="17">
        <v>0</v>
      </c>
      <c r="AB155" s="17">
        <v>0</v>
      </c>
      <c r="AC155" s="15">
        <f t="shared" si="47"/>
        <v>0</v>
      </c>
      <c r="AD155" s="17">
        <v>0</v>
      </c>
      <c r="AE155" s="17">
        <v>0</v>
      </c>
      <c r="AF155" s="15">
        <f t="shared" si="48"/>
        <v>0</v>
      </c>
      <c r="AG155" s="17">
        <v>0</v>
      </c>
      <c r="AH155" s="17">
        <v>0</v>
      </c>
      <c r="AI155" s="15">
        <f t="shared" si="49"/>
        <v>0</v>
      </c>
      <c r="AJ155" s="17"/>
    </row>
    <row r="156" spans="1:36" x14ac:dyDescent="0.3">
      <c r="A156" s="15" t="s">
        <v>205</v>
      </c>
      <c r="B156" s="15">
        <v>1000</v>
      </c>
      <c r="C156" s="15" t="s">
        <v>54</v>
      </c>
      <c r="D156" s="15" t="s">
        <v>57</v>
      </c>
      <c r="E156" s="15">
        <f>'24-july-2026'!T156</f>
        <v>5</v>
      </c>
      <c r="F156" s="15">
        <f>'24-july-2026'!U156</f>
        <v>0</v>
      </c>
      <c r="G156" s="15">
        <f>'24-july-2026'!V156</f>
        <v>0</v>
      </c>
      <c r="H156" s="15">
        <f t="shared" si="40"/>
        <v>5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5">
        <f t="shared" si="41"/>
        <v>5</v>
      </c>
      <c r="T156" s="15">
        <f t="shared" si="42"/>
        <v>5</v>
      </c>
      <c r="U156" s="15">
        <f t="shared" si="43"/>
        <v>0</v>
      </c>
      <c r="V156" s="15">
        <f t="shared" si="44"/>
        <v>0</v>
      </c>
      <c r="W156" s="18" t="str">
        <f t="shared" si="45"/>
        <v/>
      </c>
      <c r="X156" s="17">
        <v>0</v>
      </c>
      <c r="Y156" s="17">
        <v>0</v>
      </c>
      <c r="Z156" s="15">
        <f t="shared" si="46"/>
        <v>0</v>
      </c>
      <c r="AA156" s="17">
        <v>0</v>
      </c>
      <c r="AB156" s="17">
        <v>0</v>
      </c>
      <c r="AC156" s="15">
        <f t="shared" si="47"/>
        <v>0</v>
      </c>
      <c r="AD156" s="17">
        <v>0</v>
      </c>
      <c r="AE156" s="17">
        <v>0</v>
      </c>
      <c r="AF156" s="15">
        <f t="shared" si="48"/>
        <v>0</v>
      </c>
      <c r="AG156" s="17">
        <v>0</v>
      </c>
      <c r="AH156" s="17">
        <v>0</v>
      </c>
      <c r="AI156" s="15">
        <f t="shared" si="49"/>
        <v>0</v>
      </c>
      <c r="AJ156" s="17"/>
    </row>
    <row r="157" spans="1:36" x14ac:dyDescent="0.3">
      <c r="A157" s="15" t="s">
        <v>206</v>
      </c>
      <c r="B157" s="15">
        <v>1000</v>
      </c>
      <c r="C157" s="15" t="s">
        <v>54</v>
      </c>
      <c r="D157" s="15" t="s">
        <v>57</v>
      </c>
      <c r="E157" s="15">
        <f>'24-july-2026'!T157</f>
        <v>2</v>
      </c>
      <c r="F157" s="15">
        <f>'24-july-2026'!U157</f>
        <v>0</v>
      </c>
      <c r="G157" s="15">
        <f>'24-july-2026'!V157</f>
        <v>0</v>
      </c>
      <c r="H157" s="15">
        <f t="shared" si="40"/>
        <v>2</v>
      </c>
      <c r="I157" s="17">
        <v>2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5">
        <f t="shared" si="41"/>
        <v>0</v>
      </c>
      <c r="T157" s="15">
        <f t="shared" si="42"/>
        <v>0</v>
      </c>
      <c r="U157" s="15">
        <f t="shared" si="43"/>
        <v>0</v>
      </c>
      <c r="V157" s="15">
        <f t="shared" si="44"/>
        <v>0</v>
      </c>
      <c r="W157" s="18" t="str">
        <f t="shared" si="45"/>
        <v/>
      </c>
      <c r="X157" s="17">
        <v>0</v>
      </c>
      <c r="Y157" s="17">
        <v>0</v>
      </c>
      <c r="Z157" s="15">
        <f t="shared" si="46"/>
        <v>0</v>
      </c>
      <c r="AA157" s="17">
        <v>0</v>
      </c>
      <c r="AB157" s="17">
        <v>0</v>
      </c>
      <c r="AC157" s="15">
        <f t="shared" si="47"/>
        <v>0</v>
      </c>
      <c r="AD157" s="17">
        <v>0</v>
      </c>
      <c r="AE157" s="17">
        <v>0</v>
      </c>
      <c r="AF157" s="15">
        <f t="shared" si="48"/>
        <v>0</v>
      </c>
      <c r="AG157" s="17">
        <v>0</v>
      </c>
      <c r="AH157" s="17">
        <v>0</v>
      </c>
      <c r="AI157" s="15">
        <f t="shared" si="49"/>
        <v>0</v>
      </c>
      <c r="AJ157" s="17"/>
    </row>
    <row r="158" spans="1:36" x14ac:dyDescent="0.3">
      <c r="A158" s="15" t="s">
        <v>207</v>
      </c>
      <c r="B158" s="15">
        <v>1000</v>
      </c>
      <c r="C158" s="15" t="s">
        <v>54</v>
      </c>
      <c r="D158" s="15" t="s">
        <v>68</v>
      </c>
      <c r="E158" s="15">
        <f>'24-july-2026'!T158</f>
        <v>3</v>
      </c>
      <c r="F158" s="15">
        <f>'24-july-2026'!U158</f>
        <v>0</v>
      </c>
      <c r="G158" s="15">
        <f>'24-july-2026'!V158</f>
        <v>0</v>
      </c>
      <c r="H158" s="15">
        <f t="shared" si="40"/>
        <v>3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5">
        <f t="shared" si="41"/>
        <v>3</v>
      </c>
      <c r="T158" s="15">
        <f t="shared" si="42"/>
        <v>3</v>
      </c>
      <c r="U158" s="15">
        <f t="shared" si="43"/>
        <v>0</v>
      </c>
      <c r="V158" s="15">
        <f t="shared" si="44"/>
        <v>0</v>
      </c>
      <c r="W158" s="18" t="str">
        <f t="shared" si="45"/>
        <v/>
      </c>
      <c r="X158" s="17">
        <v>0</v>
      </c>
      <c r="Y158" s="17">
        <v>0</v>
      </c>
      <c r="Z158" s="15">
        <f t="shared" si="46"/>
        <v>0</v>
      </c>
      <c r="AA158" s="17">
        <v>0</v>
      </c>
      <c r="AB158" s="17">
        <v>0</v>
      </c>
      <c r="AC158" s="15">
        <f t="shared" si="47"/>
        <v>0</v>
      </c>
      <c r="AD158" s="17">
        <v>0</v>
      </c>
      <c r="AE158" s="17">
        <v>0</v>
      </c>
      <c r="AF158" s="15">
        <f t="shared" si="48"/>
        <v>0</v>
      </c>
      <c r="AG158" s="17">
        <v>0</v>
      </c>
      <c r="AH158" s="17">
        <v>0</v>
      </c>
      <c r="AI158" s="15">
        <f t="shared" si="49"/>
        <v>0</v>
      </c>
      <c r="AJ158" s="17"/>
    </row>
    <row r="159" spans="1:36" x14ac:dyDescent="0.3">
      <c r="A159" s="15" t="s">
        <v>208</v>
      </c>
      <c r="B159" s="15">
        <v>1000</v>
      </c>
      <c r="C159" s="15" t="s">
        <v>54</v>
      </c>
      <c r="D159" s="15" t="s">
        <v>68</v>
      </c>
      <c r="E159" s="15">
        <f>'24-july-2026'!T159</f>
        <v>9</v>
      </c>
      <c r="F159" s="15">
        <f>'24-july-2026'!U159</f>
        <v>0</v>
      </c>
      <c r="G159" s="15">
        <f>'24-july-2026'!V159</f>
        <v>0</v>
      </c>
      <c r="H159" s="15">
        <f t="shared" si="40"/>
        <v>9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5">
        <f t="shared" si="41"/>
        <v>9</v>
      </c>
      <c r="T159" s="15">
        <f t="shared" si="42"/>
        <v>9</v>
      </c>
      <c r="U159" s="15">
        <f t="shared" si="43"/>
        <v>0</v>
      </c>
      <c r="V159" s="15">
        <f t="shared" si="44"/>
        <v>0</v>
      </c>
      <c r="W159" s="18" t="str">
        <f t="shared" si="45"/>
        <v/>
      </c>
      <c r="X159" s="17">
        <v>0</v>
      </c>
      <c r="Y159" s="17">
        <v>0</v>
      </c>
      <c r="Z159" s="15">
        <f t="shared" si="46"/>
        <v>0</v>
      </c>
      <c r="AA159" s="17">
        <v>0</v>
      </c>
      <c r="AB159" s="17">
        <v>0</v>
      </c>
      <c r="AC159" s="15">
        <f t="shared" si="47"/>
        <v>0</v>
      </c>
      <c r="AD159" s="17">
        <v>0</v>
      </c>
      <c r="AE159" s="17">
        <v>0</v>
      </c>
      <c r="AF159" s="15">
        <f t="shared" si="48"/>
        <v>0</v>
      </c>
      <c r="AG159" s="17">
        <v>0</v>
      </c>
      <c r="AH159" s="17">
        <v>0</v>
      </c>
      <c r="AI159" s="15">
        <f t="shared" si="49"/>
        <v>0</v>
      </c>
      <c r="AJ159" s="17"/>
    </row>
    <row r="160" spans="1:36" x14ac:dyDescent="0.3">
      <c r="A160" s="15" t="s">
        <v>209</v>
      </c>
      <c r="B160" s="15">
        <v>100</v>
      </c>
      <c r="C160" s="15" t="s">
        <v>54</v>
      </c>
      <c r="D160" s="15" t="s">
        <v>57</v>
      </c>
      <c r="E160" s="15">
        <f>'24-july-2026'!T160</f>
        <v>1</v>
      </c>
      <c r="F160" s="15">
        <f>'24-july-2026'!U160</f>
        <v>0</v>
      </c>
      <c r="G160" s="15">
        <f>'24-july-2026'!V160</f>
        <v>0</v>
      </c>
      <c r="H160" s="15">
        <f t="shared" si="40"/>
        <v>1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5">
        <f t="shared" si="41"/>
        <v>1</v>
      </c>
      <c r="T160" s="15">
        <f t="shared" si="42"/>
        <v>1</v>
      </c>
      <c r="U160" s="15">
        <f t="shared" si="43"/>
        <v>0</v>
      </c>
      <c r="V160" s="15">
        <f t="shared" si="44"/>
        <v>0</v>
      </c>
      <c r="W160" s="18" t="str">
        <f t="shared" si="45"/>
        <v/>
      </c>
      <c r="X160" s="17">
        <v>0</v>
      </c>
      <c r="Y160" s="17">
        <v>0</v>
      </c>
      <c r="Z160" s="15">
        <f t="shared" si="46"/>
        <v>0</v>
      </c>
      <c r="AA160" s="17">
        <v>0</v>
      </c>
      <c r="AB160" s="17">
        <v>0</v>
      </c>
      <c r="AC160" s="15">
        <f t="shared" si="47"/>
        <v>0</v>
      </c>
      <c r="AD160" s="17">
        <v>0</v>
      </c>
      <c r="AE160" s="17">
        <v>0</v>
      </c>
      <c r="AF160" s="15">
        <f t="shared" si="48"/>
        <v>0</v>
      </c>
      <c r="AG160" s="17">
        <v>0</v>
      </c>
      <c r="AH160" s="17">
        <v>0</v>
      </c>
      <c r="AI160" s="15">
        <f t="shared" si="49"/>
        <v>0</v>
      </c>
      <c r="AJ160" s="17"/>
    </row>
    <row r="161" spans="1:36" x14ac:dyDescent="0.3">
      <c r="A161" s="15" t="s">
        <v>210</v>
      </c>
      <c r="B161" s="15">
        <v>1000</v>
      </c>
      <c r="C161" s="15" t="s">
        <v>54</v>
      </c>
      <c r="D161" s="15" t="s">
        <v>68</v>
      </c>
      <c r="E161" s="15">
        <f>'24-july-2026'!T161</f>
        <v>3</v>
      </c>
      <c r="F161" s="15">
        <f>'24-july-2026'!U161</f>
        <v>0</v>
      </c>
      <c r="G161" s="15">
        <f>'24-july-2026'!V161</f>
        <v>0</v>
      </c>
      <c r="H161" s="15">
        <f t="shared" si="40"/>
        <v>3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5">
        <f t="shared" si="41"/>
        <v>3</v>
      </c>
      <c r="T161" s="15">
        <f t="shared" si="42"/>
        <v>3</v>
      </c>
      <c r="U161" s="15">
        <f t="shared" si="43"/>
        <v>0</v>
      </c>
      <c r="V161" s="15">
        <f t="shared" si="44"/>
        <v>0</v>
      </c>
      <c r="W161" s="18" t="str">
        <f t="shared" si="45"/>
        <v/>
      </c>
      <c r="X161" s="17">
        <v>0</v>
      </c>
      <c r="Y161" s="17">
        <v>0</v>
      </c>
      <c r="Z161" s="15">
        <f t="shared" si="46"/>
        <v>0</v>
      </c>
      <c r="AA161" s="17">
        <v>0</v>
      </c>
      <c r="AB161" s="17">
        <v>0</v>
      </c>
      <c r="AC161" s="15">
        <f t="shared" si="47"/>
        <v>0</v>
      </c>
      <c r="AD161" s="17">
        <v>0</v>
      </c>
      <c r="AE161" s="17">
        <v>0</v>
      </c>
      <c r="AF161" s="15">
        <f t="shared" si="48"/>
        <v>0</v>
      </c>
      <c r="AG161" s="17">
        <v>0</v>
      </c>
      <c r="AH161" s="17">
        <v>0</v>
      </c>
      <c r="AI161" s="15">
        <f t="shared" si="49"/>
        <v>0</v>
      </c>
      <c r="AJ161" s="17"/>
    </row>
    <row r="162" spans="1:36" hidden="1" x14ac:dyDescent="0.3">
      <c r="A162" s="15" t="s">
        <v>211</v>
      </c>
      <c r="B162" s="15">
        <v>100</v>
      </c>
      <c r="C162" s="15" t="s">
        <v>54</v>
      </c>
      <c r="D162" s="15" t="s">
        <v>55</v>
      </c>
      <c r="E162" s="15">
        <f>'24-july-2026'!T162</f>
        <v>190</v>
      </c>
      <c r="F162" s="15">
        <f>'24-july-2026'!U162</f>
        <v>165</v>
      </c>
      <c r="G162" s="15">
        <f>'24-july-2026'!V162</f>
        <v>0</v>
      </c>
      <c r="H162" s="15">
        <f t="shared" si="40"/>
        <v>355</v>
      </c>
      <c r="I162" s="17">
        <v>10</v>
      </c>
      <c r="J162" s="17">
        <v>0</v>
      </c>
      <c r="K162" s="17">
        <v>0</v>
      </c>
      <c r="L162" s="17">
        <v>40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40</v>
      </c>
      <c r="S162" s="15">
        <f t="shared" si="41"/>
        <v>345</v>
      </c>
      <c r="T162" s="15">
        <f t="shared" si="42"/>
        <v>140</v>
      </c>
      <c r="U162" s="15">
        <f t="shared" si="43"/>
        <v>165</v>
      </c>
      <c r="V162" s="15">
        <f t="shared" si="44"/>
        <v>0</v>
      </c>
      <c r="W162" s="18" t="str">
        <f t="shared" si="45"/>
        <v/>
      </c>
      <c r="X162" s="17">
        <v>0</v>
      </c>
      <c r="Y162" s="17">
        <v>0</v>
      </c>
      <c r="Z162" s="15">
        <f t="shared" si="46"/>
        <v>0</v>
      </c>
      <c r="AA162" s="17">
        <v>0</v>
      </c>
      <c r="AB162" s="17">
        <v>0</v>
      </c>
      <c r="AC162" s="15">
        <f t="shared" si="47"/>
        <v>0</v>
      </c>
      <c r="AD162" s="17">
        <v>0</v>
      </c>
      <c r="AE162" s="17">
        <v>0</v>
      </c>
      <c r="AF162" s="15">
        <f t="shared" si="48"/>
        <v>0</v>
      </c>
      <c r="AG162" s="17">
        <v>0</v>
      </c>
      <c r="AH162" s="17">
        <v>0</v>
      </c>
      <c r="AI162" s="15">
        <f t="shared" si="49"/>
        <v>0</v>
      </c>
      <c r="AJ162" s="17"/>
    </row>
    <row r="163" spans="1:36" hidden="1" x14ac:dyDescent="0.3">
      <c r="A163" s="15" t="s">
        <v>212</v>
      </c>
      <c r="B163" s="15">
        <v>100</v>
      </c>
      <c r="C163" s="15" t="s">
        <v>54</v>
      </c>
      <c r="D163" s="15" t="s">
        <v>55</v>
      </c>
      <c r="E163" s="15">
        <f>'24-july-2026'!T163</f>
        <v>30</v>
      </c>
      <c r="F163" s="15">
        <f>'24-july-2026'!U163</f>
        <v>6</v>
      </c>
      <c r="G163" s="15">
        <f>'24-july-2026'!V163</f>
        <v>3</v>
      </c>
      <c r="H163" s="15">
        <f t="shared" ref="H163:H194" si="50">E163+F163+G163</f>
        <v>39</v>
      </c>
      <c r="I163" s="17">
        <v>0</v>
      </c>
      <c r="J163" s="17">
        <v>0</v>
      </c>
      <c r="K163" s="17">
        <v>0</v>
      </c>
      <c r="L163" s="17">
        <v>19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5">
        <f t="shared" ref="S163:S194" si="51">H163+O163+P163+Q163+R163-(I163+J163+K163+L163+M163+N163)</f>
        <v>20</v>
      </c>
      <c r="T163" s="15">
        <f t="shared" ref="T163:T199" si="52">E163+O163-I163-L163</f>
        <v>11</v>
      </c>
      <c r="U163" s="15">
        <f t="shared" ref="U163:U199" si="53">F163+P163-J163-M163</f>
        <v>6</v>
      </c>
      <c r="V163" s="15">
        <f t="shared" ref="V163:V199" si="54">G163+Q163-K163-N163</f>
        <v>3</v>
      </c>
      <c r="W163" s="18" t="str">
        <f t="shared" ref="W163:W194" si="55">IF(MIN(T163,U163,V163)&lt;0,"NEGATIVE STOCK - CHECK ENTRIES","")</f>
        <v/>
      </c>
      <c r="X163" s="17">
        <v>0</v>
      </c>
      <c r="Y163" s="17">
        <v>0</v>
      </c>
      <c r="Z163" s="15">
        <f t="shared" ref="Z163:Z194" si="56">X163-Y163</f>
        <v>0</v>
      </c>
      <c r="AA163" s="17">
        <v>0</v>
      </c>
      <c r="AB163" s="17">
        <v>0</v>
      </c>
      <c r="AC163" s="15">
        <f t="shared" ref="AC163:AC194" si="57">AA163-AB163</f>
        <v>0</v>
      </c>
      <c r="AD163" s="17">
        <v>0</v>
      </c>
      <c r="AE163" s="17">
        <v>0</v>
      </c>
      <c r="AF163" s="15">
        <f t="shared" ref="AF163:AF194" si="58">AD163-AE163</f>
        <v>0</v>
      </c>
      <c r="AG163" s="17">
        <v>0</v>
      </c>
      <c r="AH163" s="17">
        <v>0</v>
      </c>
      <c r="AI163" s="15">
        <f t="shared" ref="AI163:AI194" si="59">AG163-AH163</f>
        <v>0</v>
      </c>
      <c r="AJ163" s="17"/>
    </row>
    <row r="164" spans="1:36" hidden="1" x14ac:dyDescent="0.3">
      <c r="A164" s="15" t="s">
        <v>213</v>
      </c>
      <c r="B164" s="15">
        <v>100</v>
      </c>
      <c r="C164" s="15" t="s">
        <v>54</v>
      </c>
      <c r="D164" s="15" t="s">
        <v>55</v>
      </c>
      <c r="E164" s="15">
        <f>'24-july-2026'!T164</f>
        <v>624</v>
      </c>
      <c r="F164" s="15">
        <f>'24-july-2026'!U164</f>
        <v>100</v>
      </c>
      <c r="G164" s="15">
        <f>'24-july-2026'!V164</f>
        <v>8</v>
      </c>
      <c r="H164" s="15">
        <f t="shared" si="50"/>
        <v>732</v>
      </c>
      <c r="I164" s="17">
        <v>0</v>
      </c>
      <c r="J164" s="17">
        <v>0</v>
      </c>
      <c r="K164" s="17">
        <v>0</v>
      </c>
      <c r="L164" s="17">
        <v>150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150</v>
      </c>
      <c r="S164" s="15">
        <f t="shared" si="51"/>
        <v>732</v>
      </c>
      <c r="T164" s="15">
        <f t="shared" si="52"/>
        <v>474</v>
      </c>
      <c r="U164" s="15">
        <f t="shared" si="53"/>
        <v>100</v>
      </c>
      <c r="V164" s="15">
        <f t="shared" si="54"/>
        <v>8</v>
      </c>
      <c r="W164" s="18" t="str">
        <f t="shared" si="55"/>
        <v/>
      </c>
      <c r="X164" s="17">
        <v>0</v>
      </c>
      <c r="Y164" s="17">
        <v>0</v>
      </c>
      <c r="Z164" s="15">
        <f t="shared" si="56"/>
        <v>0</v>
      </c>
      <c r="AA164" s="17">
        <v>0</v>
      </c>
      <c r="AB164" s="17">
        <v>0</v>
      </c>
      <c r="AC164" s="15">
        <f t="shared" si="57"/>
        <v>0</v>
      </c>
      <c r="AD164" s="17">
        <v>0</v>
      </c>
      <c r="AE164" s="17">
        <v>0</v>
      </c>
      <c r="AF164" s="15">
        <f t="shared" si="58"/>
        <v>0</v>
      </c>
      <c r="AG164" s="17">
        <v>0</v>
      </c>
      <c r="AH164" s="17">
        <v>0</v>
      </c>
      <c r="AI164" s="15">
        <f t="shared" si="59"/>
        <v>0</v>
      </c>
      <c r="AJ164" s="17"/>
    </row>
    <row r="165" spans="1:36" hidden="1" x14ac:dyDescent="0.3">
      <c r="A165" s="15" t="s">
        <v>213</v>
      </c>
      <c r="B165" s="15">
        <v>1000</v>
      </c>
      <c r="C165" s="15" t="s">
        <v>54</v>
      </c>
      <c r="D165" s="15" t="s">
        <v>55</v>
      </c>
      <c r="E165" s="15">
        <f>'24-july-2026'!T165</f>
        <v>489</v>
      </c>
      <c r="F165" s="15">
        <f>'24-july-2026'!U165</f>
        <v>131</v>
      </c>
      <c r="G165" s="15">
        <f>'24-july-2026'!V165</f>
        <v>0</v>
      </c>
      <c r="H165" s="15">
        <f t="shared" si="50"/>
        <v>620</v>
      </c>
      <c r="I165" s="17">
        <v>0</v>
      </c>
      <c r="J165" s="17">
        <v>0</v>
      </c>
      <c r="K165" s="17">
        <v>0</v>
      </c>
      <c r="L165" s="17">
        <v>15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15</v>
      </c>
      <c r="S165" s="15">
        <f t="shared" si="51"/>
        <v>620</v>
      </c>
      <c r="T165" s="15">
        <f t="shared" si="52"/>
        <v>474</v>
      </c>
      <c r="U165" s="15">
        <f t="shared" si="53"/>
        <v>131</v>
      </c>
      <c r="V165" s="15">
        <f t="shared" si="54"/>
        <v>0</v>
      </c>
      <c r="W165" s="18" t="str">
        <f t="shared" si="55"/>
        <v/>
      </c>
      <c r="X165" s="17">
        <v>0</v>
      </c>
      <c r="Y165" s="17">
        <v>0</v>
      </c>
      <c r="Z165" s="15">
        <f t="shared" si="56"/>
        <v>0</v>
      </c>
      <c r="AA165" s="17">
        <v>0</v>
      </c>
      <c r="AB165" s="17">
        <v>0</v>
      </c>
      <c r="AC165" s="15">
        <f t="shared" si="57"/>
        <v>0</v>
      </c>
      <c r="AD165" s="17">
        <v>0</v>
      </c>
      <c r="AE165" s="17">
        <v>0</v>
      </c>
      <c r="AF165" s="15">
        <f t="shared" si="58"/>
        <v>0</v>
      </c>
      <c r="AG165" s="17">
        <v>0</v>
      </c>
      <c r="AH165" s="17">
        <v>0</v>
      </c>
      <c r="AI165" s="15">
        <f t="shared" si="59"/>
        <v>0</v>
      </c>
      <c r="AJ165" s="17"/>
    </row>
    <row r="166" spans="1:36" hidden="1" x14ac:dyDescent="0.3">
      <c r="A166" s="15" t="s">
        <v>213</v>
      </c>
      <c r="B166" s="15">
        <v>500</v>
      </c>
      <c r="C166" s="15" t="s">
        <v>54</v>
      </c>
      <c r="D166" s="15" t="s">
        <v>55</v>
      </c>
      <c r="E166" s="15">
        <f>'24-july-2026'!T166</f>
        <v>110</v>
      </c>
      <c r="F166" s="15">
        <f>'24-july-2026'!U166</f>
        <v>0</v>
      </c>
      <c r="G166" s="15">
        <f>'24-july-2026'!V166</f>
        <v>0</v>
      </c>
      <c r="H166" s="15">
        <f t="shared" si="50"/>
        <v>110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5">
        <f t="shared" si="51"/>
        <v>110</v>
      </c>
      <c r="T166" s="15">
        <f t="shared" si="52"/>
        <v>110</v>
      </c>
      <c r="U166" s="15">
        <f t="shared" si="53"/>
        <v>0</v>
      </c>
      <c r="V166" s="15">
        <f t="shared" si="54"/>
        <v>0</v>
      </c>
      <c r="W166" s="18" t="str">
        <f t="shared" si="55"/>
        <v/>
      </c>
      <c r="X166" s="17">
        <v>0</v>
      </c>
      <c r="Y166" s="17">
        <v>0</v>
      </c>
      <c r="Z166" s="15">
        <f t="shared" si="56"/>
        <v>0</v>
      </c>
      <c r="AA166" s="17">
        <v>0</v>
      </c>
      <c r="AB166" s="17">
        <v>0</v>
      </c>
      <c r="AC166" s="15">
        <f t="shared" si="57"/>
        <v>0</v>
      </c>
      <c r="AD166" s="17">
        <v>0</v>
      </c>
      <c r="AE166" s="17">
        <v>0</v>
      </c>
      <c r="AF166" s="15">
        <f t="shared" si="58"/>
        <v>0</v>
      </c>
      <c r="AG166" s="17">
        <v>0</v>
      </c>
      <c r="AH166" s="17">
        <v>0</v>
      </c>
      <c r="AI166" s="15">
        <f t="shared" si="59"/>
        <v>0</v>
      </c>
      <c r="AJ166" s="17"/>
    </row>
    <row r="167" spans="1:36" hidden="1" x14ac:dyDescent="0.3">
      <c r="A167" s="15" t="s">
        <v>214</v>
      </c>
      <c r="B167" s="15">
        <v>1000</v>
      </c>
      <c r="C167" s="15" t="s">
        <v>54</v>
      </c>
      <c r="D167" s="15" t="s">
        <v>55</v>
      </c>
      <c r="E167" s="15">
        <f>'24-july-2026'!T167</f>
        <v>23</v>
      </c>
      <c r="F167" s="15">
        <f>'24-july-2026'!U167</f>
        <v>0</v>
      </c>
      <c r="G167" s="15">
        <f>'24-july-2026'!V167</f>
        <v>2</v>
      </c>
      <c r="H167" s="15">
        <f t="shared" si="50"/>
        <v>25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5">
        <f t="shared" si="51"/>
        <v>25</v>
      </c>
      <c r="T167" s="15">
        <f t="shared" si="52"/>
        <v>23</v>
      </c>
      <c r="U167" s="15">
        <f t="shared" si="53"/>
        <v>0</v>
      </c>
      <c r="V167" s="15">
        <f t="shared" si="54"/>
        <v>2</v>
      </c>
      <c r="W167" s="18" t="str">
        <f t="shared" si="55"/>
        <v/>
      </c>
      <c r="X167" s="17">
        <v>0</v>
      </c>
      <c r="Y167" s="17">
        <v>0</v>
      </c>
      <c r="Z167" s="15">
        <f t="shared" si="56"/>
        <v>0</v>
      </c>
      <c r="AA167" s="17">
        <v>0</v>
      </c>
      <c r="AB167" s="17">
        <v>0</v>
      </c>
      <c r="AC167" s="15">
        <f t="shared" si="57"/>
        <v>0</v>
      </c>
      <c r="AD167" s="17">
        <v>0</v>
      </c>
      <c r="AE167" s="17">
        <v>0</v>
      </c>
      <c r="AF167" s="15">
        <f t="shared" si="58"/>
        <v>0</v>
      </c>
      <c r="AG167" s="17">
        <v>0</v>
      </c>
      <c r="AH167" s="17">
        <v>0</v>
      </c>
      <c r="AI167" s="15">
        <f t="shared" si="59"/>
        <v>0</v>
      </c>
      <c r="AJ167" s="17"/>
    </row>
    <row r="168" spans="1:36" hidden="1" x14ac:dyDescent="0.3">
      <c r="A168" s="15" t="s">
        <v>215</v>
      </c>
      <c r="B168" s="15">
        <v>100</v>
      </c>
      <c r="C168" s="15" t="s">
        <v>54</v>
      </c>
      <c r="D168" s="15" t="s">
        <v>55</v>
      </c>
      <c r="E168" s="15">
        <f>'24-july-2026'!T168</f>
        <v>363</v>
      </c>
      <c r="F168" s="15">
        <f>'24-july-2026'!U168</f>
        <v>642</v>
      </c>
      <c r="G168" s="15">
        <f>'24-july-2026'!V168</f>
        <v>0</v>
      </c>
      <c r="H168" s="15">
        <f t="shared" si="50"/>
        <v>1005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5">
        <f t="shared" si="51"/>
        <v>1005</v>
      </c>
      <c r="T168" s="15">
        <f t="shared" si="52"/>
        <v>363</v>
      </c>
      <c r="U168" s="15">
        <f t="shared" si="53"/>
        <v>642</v>
      </c>
      <c r="V168" s="15">
        <f t="shared" si="54"/>
        <v>0</v>
      </c>
      <c r="W168" s="18" t="str">
        <f t="shared" si="55"/>
        <v/>
      </c>
      <c r="X168" s="17">
        <v>0</v>
      </c>
      <c r="Y168" s="17">
        <v>0</v>
      </c>
      <c r="Z168" s="15">
        <f t="shared" si="56"/>
        <v>0</v>
      </c>
      <c r="AA168" s="17">
        <v>0</v>
      </c>
      <c r="AB168" s="17">
        <v>0</v>
      </c>
      <c r="AC168" s="15">
        <f t="shared" si="57"/>
        <v>0</v>
      </c>
      <c r="AD168" s="17">
        <v>0</v>
      </c>
      <c r="AE168" s="17">
        <v>0</v>
      </c>
      <c r="AF168" s="15">
        <f t="shared" si="58"/>
        <v>0</v>
      </c>
      <c r="AG168" s="17">
        <v>0</v>
      </c>
      <c r="AH168" s="17">
        <v>0</v>
      </c>
      <c r="AI168" s="15">
        <f t="shared" si="59"/>
        <v>0</v>
      </c>
      <c r="AJ168" s="17"/>
    </row>
    <row r="169" spans="1:36" hidden="1" x14ac:dyDescent="0.3">
      <c r="A169" s="15" t="s">
        <v>216</v>
      </c>
      <c r="B169" s="15">
        <v>100</v>
      </c>
      <c r="C169" s="15" t="s">
        <v>54</v>
      </c>
      <c r="D169" s="15" t="s">
        <v>55</v>
      </c>
      <c r="E169" s="15">
        <f>'24-july-2026'!T169</f>
        <v>0</v>
      </c>
      <c r="F169" s="15">
        <f>'24-july-2026'!U169</f>
        <v>9</v>
      </c>
      <c r="G169" s="15">
        <f>'24-july-2026'!V169</f>
        <v>0</v>
      </c>
      <c r="H169" s="15">
        <f t="shared" si="50"/>
        <v>9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5">
        <f t="shared" si="51"/>
        <v>9</v>
      </c>
      <c r="T169" s="15">
        <f t="shared" si="52"/>
        <v>0</v>
      </c>
      <c r="U169" s="15">
        <f t="shared" si="53"/>
        <v>9</v>
      </c>
      <c r="V169" s="15">
        <f t="shared" si="54"/>
        <v>0</v>
      </c>
      <c r="W169" s="18" t="str">
        <f t="shared" si="55"/>
        <v/>
      </c>
      <c r="X169" s="17">
        <v>0</v>
      </c>
      <c r="Y169" s="17">
        <v>0</v>
      </c>
      <c r="Z169" s="15">
        <f t="shared" si="56"/>
        <v>0</v>
      </c>
      <c r="AA169" s="17">
        <v>0</v>
      </c>
      <c r="AB169" s="17">
        <v>0</v>
      </c>
      <c r="AC169" s="15">
        <f t="shared" si="57"/>
        <v>0</v>
      </c>
      <c r="AD169" s="17">
        <v>0</v>
      </c>
      <c r="AE169" s="17">
        <v>0</v>
      </c>
      <c r="AF169" s="15">
        <f t="shared" si="58"/>
        <v>0</v>
      </c>
      <c r="AG169" s="17">
        <v>0</v>
      </c>
      <c r="AH169" s="17">
        <v>0</v>
      </c>
      <c r="AI169" s="15">
        <f t="shared" si="59"/>
        <v>0</v>
      </c>
      <c r="AJ169" s="17"/>
    </row>
    <row r="170" spans="1:36" hidden="1" x14ac:dyDescent="0.3">
      <c r="A170" s="15" t="s">
        <v>217</v>
      </c>
      <c r="B170" s="15">
        <v>100</v>
      </c>
      <c r="C170" s="15" t="s">
        <v>54</v>
      </c>
      <c r="D170" s="15" t="s">
        <v>55</v>
      </c>
      <c r="E170" s="15">
        <f>'24-july-2026'!T170</f>
        <v>32</v>
      </c>
      <c r="F170" s="15">
        <f>'24-july-2026'!U170</f>
        <v>5</v>
      </c>
      <c r="G170" s="15">
        <f>'24-july-2026'!V170</f>
        <v>0</v>
      </c>
      <c r="H170" s="15">
        <f t="shared" si="50"/>
        <v>37</v>
      </c>
      <c r="I170" s="17">
        <v>2</v>
      </c>
      <c r="J170" s="17">
        <v>0</v>
      </c>
      <c r="K170" s="17">
        <v>0</v>
      </c>
      <c r="L170" s="17">
        <v>20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20</v>
      </c>
      <c r="S170" s="15">
        <f t="shared" si="51"/>
        <v>35</v>
      </c>
      <c r="T170" s="15">
        <f t="shared" si="52"/>
        <v>10</v>
      </c>
      <c r="U170" s="15">
        <f t="shared" si="53"/>
        <v>5</v>
      </c>
      <c r="V170" s="15">
        <f t="shared" si="54"/>
        <v>0</v>
      </c>
      <c r="W170" s="18" t="str">
        <f t="shared" si="55"/>
        <v/>
      </c>
      <c r="X170" s="17">
        <v>0</v>
      </c>
      <c r="Y170" s="17">
        <v>0</v>
      </c>
      <c r="Z170" s="15">
        <f t="shared" si="56"/>
        <v>0</v>
      </c>
      <c r="AA170" s="17">
        <v>0</v>
      </c>
      <c r="AB170" s="17">
        <v>0</v>
      </c>
      <c r="AC170" s="15">
        <f t="shared" si="57"/>
        <v>0</v>
      </c>
      <c r="AD170" s="17">
        <v>0</v>
      </c>
      <c r="AE170" s="17">
        <v>0</v>
      </c>
      <c r="AF170" s="15">
        <f t="shared" si="58"/>
        <v>0</v>
      </c>
      <c r="AG170" s="17">
        <v>0</v>
      </c>
      <c r="AH170" s="17">
        <v>0</v>
      </c>
      <c r="AI170" s="15">
        <f t="shared" si="59"/>
        <v>0</v>
      </c>
      <c r="AJ170" s="17"/>
    </row>
    <row r="171" spans="1:36" hidden="1" x14ac:dyDescent="0.3">
      <c r="A171" s="15" t="s">
        <v>218</v>
      </c>
      <c r="B171" s="15">
        <v>100</v>
      </c>
      <c r="C171" s="15" t="s">
        <v>54</v>
      </c>
      <c r="D171" s="15" t="s">
        <v>55</v>
      </c>
      <c r="E171" s="15">
        <f>'24-july-2026'!T171</f>
        <v>335</v>
      </c>
      <c r="F171" s="15">
        <f>'24-july-2026'!U171</f>
        <v>47</v>
      </c>
      <c r="G171" s="15">
        <f>'24-july-2026'!V171</f>
        <v>0</v>
      </c>
      <c r="H171" s="15">
        <f t="shared" si="50"/>
        <v>382</v>
      </c>
      <c r="I171" s="17">
        <v>43</v>
      </c>
      <c r="J171" s="17">
        <v>0</v>
      </c>
      <c r="K171" s="17">
        <v>0</v>
      </c>
      <c r="L171" s="17">
        <v>30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30</v>
      </c>
      <c r="S171" s="15">
        <f t="shared" si="51"/>
        <v>339</v>
      </c>
      <c r="T171" s="15">
        <f t="shared" si="52"/>
        <v>262</v>
      </c>
      <c r="U171" s="15">
        <f t="shared" si="53"/>
        <v>47</v>
      </c>
      <c r="V171" s="15">
        <f t="shared" si="54"/>
        <v>0</v>
      </c>
      <c r="W171" s="18" t="str">
        <f t="shared" si="55"/>
        <v/>
      </c>
      <c r="X171" s="17">
        <v>0</v>
      </c>
      <c r="Y171" s="17">
        <v>0</v>
      </c>
      <c r="Z171" s="15">
        <f t="shared" si="56"/>
        <v>0</v>
      </c>
      <c r="AA171" s="17">
        <v>0</v>
      </c>
      <c r="AB171" s="17">
        <v>0</v>
      </c>
      <c r="AC171" s="15">
        <f t="shared" si="57"/>
        <v>0</v>
      </c>
      <c r="AD171" s="17">
        <v>0</v>
      </c>
      <c r="AE171" s="17">
        <v>0</v>
      </c>
      <c r="AF171" s="15">
        <f t="shared" si="58"/>
        <v>0</v>
      </c>
      <c r="AG171" s="17">
        <v>0</v>
      </c>
      <c r="AH171" s="17">
        <v>0</v>
      </c>
      <c r="AI171" s="15">
        <f t="shared" si="59"/>
        <v>0</v>
      </c>
      <c r="AJ171" s="17"/>
    </row>
    <row r="172" spans="1:36" hidden="1" x14ac:dyDescent="0.3">
      <c r="A172" s="15" t="s">
        <v>219</v>
      </c>
      <c r="B172" s="15">
        <v>100</v>
      </c>
      <c r="C172" s="15" t="s">
        <v>54</v>
      </c>
      <c r="D172" s="15" t="s">
        <v>55</v>
      </c>
      <c r="E172" s="15">
        <f>'24-july-2026'!T172</f>
        <v>37</v>
      </c>
      <c r="F172" s="15">
        <f>'24-july-2026'!U172</f>
        <v>1</v>
      </c>
      <c r="G172" s="15">
        <f>'24-july-2026'!V172</f>
        <v>0</v>
      </c>
      <c r="H172" s="15">
        <f t="shared" si="50"/>
        <v>38</v>
      </c>
      <c r="I172" s="17">
        <v>5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5">
        <f t="shared" si="51"/>
        <v>33</v>
      </c>
      <c r="T172" s="15">
        <f t="shared" si="52"/>
        <v>32</v>
      </c>
      <c r="U172" s="15">
        <f t="shared" si="53"/>
        <v>1</v>
      </c>
      <c r="V172" s="15">
        <f t="shared" si="54"/>
        <v>0</v>
      </c>
      <c r="W172" s="18" t="str">
        <f t="shared" si="55"/>
        <v/>
      </c>
      <c r="X172" s="17">
        <v>0</v>
      </c>
      <c r="Y172" s="17">
        <v>0</v>
      </c>
      <c r="Z172" s="15">
        <f t="shared" si="56"/>
        <v>0</v>
      </c>
      <c r="AA172" s="17">
        <v>0</v>
      </c>
      <c r="AB172" s="17">
        <v>0</v>
      </c>
      <c r="AC172" s="15">
        <f t="shared" si="57"/>
        <v>0</v>
      </c>
      <c r="AD172" s="17">
        <v>0</v>
      </c>
      <c r="AE172" s="17">
        <v>0</v>
      </c>
      <c r="AF172" s="15">
        <f t="shared" si="58"/>
        <v>0</v>
      </c>
      <c r="AG172" s="17">
        <v>0</v>
      </c>
      <c r="AH172" s="17">
        <v>0</v>
      </c>
      <c r="AI172" s="15">
        <f t="shared" si="59"/>
        <v>0</v>
      </c>
      <c r="AJ172" s="17"/>
    </row>
    <row r="173" spans="1:36" x14ac:dyDescent="0.3">
      <c r="A173" s="15" t="s">
        <v>220</v>
      </c>
      <c r="B173" s="15">
        <v>1000</v>
      </c>
      <c r="C173" s="15" t="s">
        <v>54</v>
      </c>
      <c r="D173" s="15" t="s">
        <v>57</v>
      </c>
      <c r="E173" s="15">
        <f>'24-july-2026'!T173</f>
        <v>5</v>
      </c>
      <c r="F173" s="15">
        <f>'24-july-2026'!U173</f>
        <v>0</v>
      </c>
      <c r="G173" s="15">
        <f>'24-july-2026'!V173</f>
        <v>0</v>
      </c>
      <c r="H173" s="15">
        <f t="shared" si="50"/>
        <v>5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5">
        <f t="shared" si="51"/>
        <v>5</v>
      </c>
      <c r="T173" s="15">
        <f t="shared" si="52"/>
        <v>5</v>
      </c>
      <c r="U173" s="15">
        <f t="shared" si="53"/>
        <v>0</v>
      </c>
      <c r="V173" s="15">
        <f t="shared" si="54"/>
        <v>0</v>
      </c>
      <c r="W173" s="18" t="str">
        <f t="shared" si="55"/>
        <v/>
      </c>
      <c r="X173" s="17">
        <v>0</v>
      </c>
      <c r="Y173" s="17">
        <v>0</v>
      </c>
      <c r="Z173" s="15">
        <f t="shared" si="56"/>
        <v>0</v>
      </c>
      <c r="AA173" s="17">
        <v>0</v>
      </c>
      <c r="AB173" s="17">
        <v>0</v>
      </c>
      <c r="AC173" s="15">
        <f t="shared" si="57"/>
        <v>0</v>
      </c>
      <c r="AD173" s="17">
        <v>0</v>
      </c>
      <c r="AE173" s="17">
        <v>0</v>
      </c>
      <c r="AF173" s="15">
        <f t="shared" si="58"/>
        <v>0</v>
      </c>
      <c r="AG173" s="17">
        <v>0</v>
      </c>
      <c r="AH173" s="17">
        <v>0</v>
      </c>
      <c r="AI173" s="15">
        <f t="shared" si="59"/>
        <v>0</v>
      </c>
      <c r="AJ173" s="17"/>
    </row>
    <row r="174" spans="1:36" x14ac:dyDescent="0.3">
      <c r="A174" s="15" t="s">
        <v>221</v>
      </c>
      <c r="B174" s="15">
        <v>1000</v>
      </c>
      <c r="C174" s="15" t="s">
        <v>54</v>
      </c>
      <c r="D174" s="15" t="s">
        <v>68</v>
      </c>
      <c r="E174" s="15">
        <f>'24-july-2026'!T174</f>
        <v>2</v>
      </c>
      <c r="F174" s="15">
        <f>'24-july-2026'!U174</f>
        <v>0</v>
      </c>
      <c r="G174" s="15">
        <f>'24-july-2026'!V174</f>
        <v>0</v>
      </c>
      <c r="H174" s="15">
        <f t="shared" si="50"/>
        <v>2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5">
        <f t="shared" si="51"/>
        <v>2</v>
      </c>
      <c r="T174" s="15">
        <f t="shared" si="52"/>
        <v>2</v>
      </c>
      <c r="U174" s="15">
        <f t="shared" si="53"/>
        <v>0</v>
      </c>
      <c r="V174" s="15">
        <f t="shared" si="54"/>
        <v>0</v>
      </c>
      <c r="W174" s="18" t="str">
        <f t="shared" si="55"/>
        <v/>
      </c>
      <c r="X174" s="17">
        <v>0</v>
      </c>
      <c r="Y174" s="17">
        <v>0</v>
      </c>
      <c r="Z174" s="15">
        <f t="shared" si="56"/>
        <v>0</v>
      </c>
      <c r="AA174" s="17">
        <v>0</v>
      </c>
      <c r="AB174" s="17">
        <v>0</v>
      </c>
      <c r="AC174" s="15">
        <f t="shared" si="57"/>
        <v>0</v>
      </c>
      <c r="AD174" s="17">
        <v>0</v>
      </c>
      <c r="AE174" s="17">
        <v>0</v>
      </c>
      <c r="AF174" s="15">
        <f t="shared" si="58"/>
        <v>0</v>
      </c>
      <c r="AG174" s="17">
        <v>0</v>
      </c>
      <c r="AH174" s="17">
        <v>0</v>
      </c>
      <c r="AI174" s="15">
        <f t="shared" si="59"/>
        <v>0</v>
      </c>
      <c r="AJ174" s="17"/>
    </row>
    <row r="175" spans="1:36" x14ac:dyDescent="0.3">
      <c r="A175" s="15" t="s">
        <v>222</v>
      </c>
      <c r="B175" s="15">
        <v>1000</v>
      </c>
      <c r="C175" s="15" t="s">
        <v>54</v>
      </c>
      <c r="D175" s="15" t="s">
        <v>68</v>
      </c>
      <c r="E175" s="15">
        <f>'24-july-2026'!T175</f>
        <v>2</v>
      </c>
      <c r="F175" s="15">
        <f>'24-july-2026'!U175</f>
        <v>0</v>
      </c>
      <c r="G175" s="15">
        <f>'24-july-2026'!V175</f>
        <v>0</v>
      </c>
      <c r="H175" s="15">
        <f t="shared" si="50"/>
        <v>2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5">
        <f t="shared" si="51"/>
        <v>2</v>
      </c>
      <c r="T175" s="15">
        <f t="shared" si="52"/>
        <v>2</v>
      </c>
      <c r="U175" s="15">
        <f t="shared" si="53"/>
        <v>0</v>
      </c>
      <c r="V175" s="15">
        <f t="shared" si="54"/>
        <v>0</v>
      </c>
      <c r="W175" s="18" t="str">
        <f t="shared" si="55"/>
        <v/>
      </c>
      <c r="X175" s="17">
        <v>0</v>
      </c>
      <c r="Y175" s="17">
        <v>0</v>
      </c>
      <c r="Z175" s="15">
        <f t="shared" si="56"/>
        <v>0</v>
      </c>
      <c r="AA175" s="17">
        <v>0</v>
      </c>
      <c r="AB175" s="17">
        <v>0</v>
      </c>
      <c r="AC175" s="15">
        <f t="shared" si="57"/>
        <v>0</v>
      </c>
      <c r="AD175" s="17">
        <v>0</v>
      </c>
      <c r="AE175" s="17">
        <v>0</v>
      </c>
      <c r="AF175" s="15">
        <f t="shared" si="58"/>
        <v>0</v>
      </c>
      <c r="AG175" s="17">
        <v>0</v>
      </c>
      <c r="AH175" s="17">
        <v>0</v>
      </c>
      <c r="AI175" s="15">
        <f t="shared" si="59"/>
        <v>0</v>
      </c>
      <c r="AJ175" s="17"/>
    </row>
    <row r="176" spans="1:36" x14ac:dyDescent="0.3">
      <c r="A176" s="15" t="s">
        <v>223</v>
      </c>
      <c r="B176" s="15">
        <v>100</v>
      </c>
      <c r="C176" s="15" t="s">
        <v>54</v>
      </c>
      <c r="D176" s="15" t="s">
        <v>57</v>
      </c>
      <c r="E176" s="15">
        <f>'24-july-2026'!T176</f>
        <v>1</v>
      </c>
      <c r="F176" s="15">
        <f>'24-july-2026'!U176</f>
        <v>0</v>
      </c>
      <c r="G176" s="15">
        <f>'24-july-2026'!V176</f>
        <v>0</v>
      </c>
      <c r="H176" s="15">
        <f t="shared" si="50"/>
        <v>1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5">
        <f t="shared" si="51"/>
        <v>1</v>
      </c>
      <c r="T176" s="15">
        <f t="shared" si="52"/>
        <v>1</v>
      </c>
      <c r="U176" s="15">
        <f t="shared" si="53"/>
        <v>0</v>
      </c>
      <c r="V176" s="15">
        <f t="shared" si="54"/>
        <v>0</v>
      </c>
      <c r="W176" s="18" t="str">
        <f t="shared" si="55"/>
        <v/>
      </c>
      <c r="X176" s="17">
        <v>0</v>
      </c>
      <c r="Y176" s="17">
        <v>0</v>
      </c>
      <c r="Z176" s="15">
        <f t="shared" si="56"/>
        <v>0</v>
      </c>
      <c r="AA176" s="17">
        <v>0</v>
      </c>
      <c r="AB176" s="17">
        <v>0</v>
      </c>
      <c r="AC176" s="15">
        <f t="shared" si="57"/>
        <v>0</v>
      </c>
      <c r="AD176" s="17">
        <v>0</v>
      </c>
      <c r="AE176" s="17">
        <v>0</v>
      </c>
      <c r="AF176" s="15">
        <f t="shared" si="58"/>
        <v>0</v>
      </c>
      <c r="AG176" s="17">
        <v>0</v>
      </c>
      <c r="AH176" s="17">
        <v>0</v>
      </c>
      <c r="AI176" s="15">
        <f t="shared" si="59"/>
        <v>0</v>
      </c>
      <c r="AJ176" s="17"/>
    </row>
    <row r="177" spans="1:36" hidden="1" x14ac:dyDescent="0.3">
      <c r="A177" s="15" t="s">
        <v>224</v>
      </c>
      <c r="B177" s="15" t="s">
        <v>225</v>
      </c>
      <c r="C177" s="15" t="s">
        <v>54</v>
      </c>
      <c r="D177" s="15" t="s">
        <v>55</v>
      </c>
      <c r="E177" s="15">
        <f>'24-july-2026'!T177</f>
        <v>0</v>
      </c>
      <c r="F177" s="15">
        <f>'24-july-2026'!U177</f>
        <v>4</v>
      </c>
      <c r="G177" s="15">
        <f>'24-july-2026'!V177</f>
        <v>0</v>
      </c>
      <c r="H177" s="15">
        <f t="shared" si="50"/>
        <v>4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5">
        <f t="shared" si="51"/>
        <v>4</v>
      </c>
      <c r="T177" s="15">
        <f t="shared" si="52"/>
        <v>0</v>
      </c>
      <c r="U177" s="15">
        <f t="shared" si="53"/>
        <v>4</v>
      </c>
      <c r="V177" s="15">
        <f t="shared" si="54"/>
        <v>0</v>
      </c>
      <c r="W177" s="18" t="str">
        <f t="shared" si="55"/>
        <v/>
      </c>
      <c r="X177" s="17">
        <v>0</v>
      </c>
      <c r="Y177" s="17">
        <v>0</v>
      </c>
      <c r="Z177" s="15">
        <f t="shared" si="56"/>
        <v>0</v>
      </c>
      <c r="AA177" s="17">
        <v>0</v>
      </c>
      <c r="AB177" s="17">
        <v>0</v>
      </c>
      <c r="AC177" s="15">
        <f t="shared" si="57"/>
        <v>0</v>
      </c>
      <c r="AD177" s="17">
        <v>0</v>
      </c>
      <c r="AE177" s="17">
        <v>0</v>
      </c>
      <c r="AF177" s="15">
        <f t="shared" si="58"/>
        <v>0</v>
      </c>
      <c r="AG177" s="17">
        <v>0</v>
      </c>
      <c r="AH177" s="17">
        <v>0</v>
      </c>
      <c r="AI177" s="15">
        <f t="shared" si="59"/>
        <v>0</v>
      </c>
      <c r="AJ177" s="17"/>
    </row>
    <row r="178" spans="1:36" x14ac:dyDescent="0.3">
      <c r="A178" s="15" t="s">
        <v>226</v>
      </c>
      <c r="B178" s="15">
        <v>100</v>
      </c>
      <c r="C178" s="15" t="s">
        <v>54</v>
      </c>
      <c r="D178" s="15" t="s">
        <v>68</v>
      </c>
      <c r="E178" s="15">
        <f>'24-july-2026'!T178</f>
        <v>2</v>
      </c>
      <c r="F178" s="15">
        <f>'24-july-2026'!U178</f>
        <v>0</v>
      </c>
      <c r="G178" s="15">
        <f>'24-july-2026'!V178</f>
        <v>0</v>
      </c>
      <c r="H178" s="15">
        <f t="shared" si="50"/>
        <v>2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5">
        <f t="shared" si="51"/>
        <v>2</v>
      </c>
      <c r="T178" s="15">
        <f t="shared" si="52"/>
        <v>2</v>
      </c>
      <c r="U178" s="15">
        <f t="shared" si="53"/>
        <v>0</v>
      </c>
      <c r="V178" s="15">
        <f t="shared" si="54"/>
        <v>0</v>
      </c>
      <c r="W178" s="18" t="str">
        <f t="shared" si="55"/>
        <v/>
      </c>
      <c r="X178" s="17">
        <v>0</v>
      </c>
      <c r="Y178" s="17">
        <v>0</v>
      </c>
      <c r="Z178" s="15">
        <f t="shared" si="56"/>
        <v>0</v>
      </c>
      <c r="AA178" s="17">
        <v>0</v>
      </c>
      <c r="AB178" s="17">
        <v>0</v>
      </c>
      <c r="AC178" s="15">
        <f t="shared" si="57"/>
        <v>0</v>
      </c>
      <c r="AD178" s="17">
        <v>0</v>
      </c>
      <c r="AE178" s="17">
        <v>0</v>
      </c>
      <c r="AF178" s="15">
        <f t="shared" si="58"/>
        <v>0</v>
      </c>
      <c r="AG178" s="17">
        <v>0</v>
      </c>
      <c r="AH178" s="17">
        <v>0</v>
      </c>
      <c r="AI178" s="15">
        <f t="shared" si="59"/>
        <v>0</v>
      </c>
      <c r="AJ178" s="17"/>
    </row>
    <row r="179" spans="1:36" hidden="1" x14ac:dyDescent="0.3">
      <c r="A179" s="15" t="s">
        <v>227</v>
      </c>
      <c r="B179" s="15">
        <v>100</v>
      </c>
      <c r="C179" s="15" t="s">
        <v>54</v>
      </c>
      <c r="D179" s="15" t="s">
        <v>55</v>
      </c>
      <c r="E179" s="15">
        <f>'24-july-2026'!T179</f>
        <v>81</v>
      </c>
      <c r="F179" s="15">
        <f>'24-july-2026'!U179</f>
        <v>0</v>
      </c>
      <c r="G179" s="15">
        <f>'24-july-2026'!V179</f>
        <v>0</v>
      </c>
      <c r="H179" s="15">
        <f t="shared" si="50"/>
        <v>81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5">
        <f t="shared" si="51"/>
        <v>81</v>
      </c>
      <c r="T179" s="15">
        <f t="shared" si="52"/>
        <v>81</v>
      </c>
      <c r="U179" s="15">
        <f t="shared" si="53"/>
        <v>0</v>
      </c>
      <c r="V179" s="15">
        <f t="shared" si="54"/>
        <v>0</v>
      </c>
      <c r="W179" s="18" t="str">
        <f t="shared" si="55"/>
        <v/>
      </c>
      <c r="X179" s="17">
        <v>0</v>
      </c>
      <c r="Y179" s="17">
        <v>0</v>
      </c>
      <c r="Z179" s="15">
        <f t="shared" si="56"/>
        <v>0</v>
      </c>
      <c r="AA179" s="17">
        <v>0</v>
      </c>
      <c r="AB179" s="17">
        <v>0</v>
      </c>
      <c r="AC179" s="15">
        <f t="shared" si="57"/>
        <v>0</v>
      </c>
      <c r="AD179" s="17">
        <v>0</v>
      </c>
      <c r="AE179" s="17">
        <v>0</v>
      </c>
      <c r="AF179" s="15">
        <f t="shared" si="58"/>
        <v>0</v>
      </c>
      <c r="AG179" s="17">
        <v>0</v>
      </c>
      <c r="AH179" s="17">
        <v>0</v>
      </c>
      <c r="AI179" s="15">
        <f t="shared" si="59"/>
        <v>0</v>
      </c>
      <c r="AJ179" s="17"/>
    </row>
    <row r="180" spans="1:36" x14ac:dyDescent="0.3">
      <c r="A180" s="15" t="s">
        <v>228</v>
      </c>
      <c r="B180" s="15">
        <v>1000</v>
      </c>
      <c r="C180" s="15" t="s">
        <v>54</v>
      </c>
      <c r="D180" s="15" t="s">
        <v>57</v>
      </c>
      <c r="E180" s="15">
        <f>'24-july-2026'!T180</f>
        <v>5</v>
      </c>
      <c r="F180" s="15">
        <f>'24-july-2026'!U180</f>
        <v>0</v>
      </c>
      <c r="G180" s="15">
        <f>'24-july-2026'!V180</f>
        <v>0</v>
      </c>
      <c r="H180" s="15">
        <f t="shared" si="50"/>
        <v>5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5">
        <f t="shared" si="51"/>
        <v>5</v>
      </c>
      <c r="T180" s="15">
        <f t="shared" si="52"/>
        <v>5</v>
      </c>
      <c r="U180" s="15">
        <f t="shared" si="53"/>
        <v>0</v>
      </c>
      <c r="V180" s="15">
        <f t="shared" si="54"/>
        <v>0</v>
      </c>
      <c r="W180" s="18" t="str">
        <f t="shared" si="55"/>
        <v/>
      </c>
      <c r="X180" s="17">
        <v>0</v>
      </c>
      <c r="Y180" s="17">
        <v>0</v>
      </c>
      <c r="Z180" s="15">
        <f t="shared" si="56"/>
        <v>0</v>
      </c>
      <c r="AA180" s="17">
        <v>0</v>
      </c>
      <c r="AB180" s="17">
        <v>0</v>
      </c>
      <c r="AC180" s="15">
        <f t="shared" si="57"/>
        <v>0</v>
      </c>
      <c r="AD180" s="17">
        <v>0</v>
      </c>
      <c r="AE180" s="17">
        <v>0</v>
      </c>
      <c r="AF180" s="15">
        <f t="shared" si="58"/>
        <v>0</v>
      </c>
      <c r="AG180" s="17">
        <v>0</v>
      </c>
      <c r="AH180" s="17">
        <v>0</v>
      </c>
      <c r="AI180" s="15">
        <f t="shared" si="59"/>
        <v>0</v>
      </c>
      <c r="AJ180" s="17"/>
    </row>
    <row r="181" spans="1:36" x14ac:dyDescent="0.3">
      <c r="A181" s="15" t="s">
        <v>229</v>
      </c>
      <c r="B181" s="15">
        <v>100</v>
      </c>
      <c r="C181" s="15" t="s">
        <v>54</v>
      </c>
      <c r="D181" s="15" t="s">
        <v>68</v>
      </c>
      <c r="E181" s="15">
        <f>'24-july-2026'!T181</f>
        <v>3</v>
      </c>
      <c r="F181" s="15">
        <f>'24-july-2026'!U181</f>
        <v>0</v>
      </c>
      <c r="G181" s="15">
        <f>'24-july-2026'!V181</f>
        <v>0</v>
      </c>
      <c r="H181" s="15">
        <f t="shared" si="50"/>
        <v>3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5">
        <f t="shared" si="51"/>
        <v>3</v>
      </c>
      <c r="T181" s="15">
        <f t="shared" si="52"/>
        <v>3</v>
      </c>
      <c r="U181" s="15">
        <f t="shared" si="53"/>
        <v>0</v>
      </c>
      <c r="V181" s="15">
        <f t="shared" si="54"/>
        <v>0</v>
      </c>
      <c r="W181" s="18" t="str">
        <f t="shared" si="55"/>
        <v/>
      </c>
      <c r="X181" s="17">
        <v>0</v>
      </c>
      <c r="Y181" s="17">
        <v>0</v>
      </c>
      <c r="Z181" s="15">
        <f t="shared" si="56"/>
        <v>0</v>
      </c>
      <c r="AA181" s="17">
        <v>0</v>
      </c>
      <c r="AB181" s="17">
        <v>0</v>
      </c>
      <c r="AC181" s="15">
        <f t="shared" si="57"/>
        <v>0</v>
      </c>
      <c r="AD181" s="17">
        <v>0</v>
      </c>
      <c r="AE181" s="17">
        <v>0</v>
      </c>
      <c r="AF181" s="15">
        <f t="shared" si="58"/>
        <v>0</v>
      </c>
      <c r="AG181" s="17">
        <v>0</v>
      </c>
      <c r="AH181" s="17">
        <v>0</v>
      </c>
      <c r="AI181" s="15">
        <f t="shared" si="59"/>
        <v>0</v>
      </c>
      <c r="AJ181" s="17"/>
    </row>
    <row r="182" spans="1:36" x14ac:dyDescent="0.3">
      <c r="A182" s="15" t="s">
        <v>230</v>
      </c>
      <c r="B182" s="15">
        <v>1000</v>
      </c>
      <c r="C182" s="15" t="s">
        <v>54</v>
      </c>
      <c r="D182" s="15" t="s">
        <v>68</v>
      </c>
      <c r="E182" s="15">
        <f>'24-july-2026'!T182</f>
        <v>2</v>
      </c>
      <c r="F182" s="15">
        <f>'24-july-2026'!U182</f>
        <v>0</v>
      </c>
      <c r="G182" s="15">
        <f>'24-july-2026'!V182</f>
        <v>0</v>
      </c>
      <c r="H182" s="15">
        <f t="shared" si="50"/>
        <v>2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5">
        <f t="shared" si="51"/>
        <v>2</v>
      </c>
      <c r="T182" s="15">
        <f t="shared" si="52"/>
        <v>2</v>
      </c>
      <c r="U182" s="15">
        <f t="shared" si="53"/>
        <v>0</v>
      </c>
      <c r="V182" s="15">
        <f t="shared" si="54"/>
        <v>0</v>
      </c>
      <c r="W182" s="18" t="str">
        <f t="shared" si="55"/>
        <v/>
      </c>
      <c r="X182" s="17">
        <v>0</v>
      </c>
      <c r="Y182" s="17">
        <v>0</v>
      </c>
      <c r="Z182" s="15">
        <f t="shared" si="56"/>
        <v>0</v>
      </c>
      <c r="AA182" s="17">
        <v>0</v>
      </c>
      <c r="AB182" s="17">
        <v>0</v>
      </c>
      <c r="AC182" s="15">
        <f t="shared" si="57"/>
        <v>0</v>
      </c>
      <c r="AD182" s="17">
        <v>0</v>
      </c>
      <c r="AE182" s="17">
        <v>0</v>
      </c>
      <c r="AF182" s="15">
        <f t="shared" si="58"/>
        <v>0</v>
      </c>
      <c r="AG182" s="17">
        <v>0</v>
      </c>
      <c r="AH182" s="17">
        <v>0</v>
      </c>
      <c r="AI182" s="15">
        <f t="shared" si="59"/>
        <v>0</v>
      </c>
      <c r="AJ182" s="17"/>
    </row>
    <row r="183" spans="1:36" x14ac:dyDescent="0.3">
      <c r="A183" s="15" t="s">
        <v>231</v>
      </c>
      <c r="B183" s="15">
        <v>100</v>
      </c>
      <c r="C183" s="15" t="s">
        <v>54</v>
      </c>
      <c r="D183" s="15" t="s">
        <v>57</v>
      </c>
      <c r="E183" s="15">
        <f>'24-july-2026'!T183</f>
        <v>1</v>
      </c>
      <c r="F183" s="15">
        <f>'24-july-2026'!U183</f>
        <v>0</v>
      </c>
      <c r="G183" s="15">
        <f>'24-july-2026'!V183</f>
        <v>0</v>
      </c>
      <c r="H183" s="15">
        <f t="shared" si="50"/>
        <v>1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5">
        <f t="shared" si="51"/>
        <v>1</v>
      </c>
      <c r="T183" s="15">
        <f t="shared" si="52"/>
        <v>1</v>
      </c>
      <c r="U183" s="15">
        <f t="shared" si="53"/>
        <v>0</v>
      </c>
      <c r="V183" s="15">
        <f t="shared" si="54"/>
        <v>0</v>
      </c>
      <c r="W183" s="18" t="str">
        <f t="shared" si="55"/>
        <v/>
      </c>
      <c r="X183" s="17">
        <v>0</v>
      </c>
      <c r="Y183" s="17">
        <v>0</v>
      </c>
      <c r="Z183" s="15">
        <f t="shared" si="56"/>
        <v>0</v>
      </c>
      <c r="AA183" s="17">
        <v>0</v>
      </c>
      <c r="AB183" s="17">
        <v>0</v>
      </c>
      <c r="AC183" s="15">
        <f t="shared" si="57"/>
        <v>0</v>
      </c>
      <c r="AD183" s="17">
        <v>0</v>
      </c>
      <c r="AE183" s="17">
        <v>0</v>
      </c>
      <c r="AF183" s="15">
        <f t="shared" si="58"/>
        <v>0</v>
      </c>
      <c r="AG183" s="17">
        <v>0</v>
      </c>
      <c r="AH183" s="17">
        <v>0</v>
      </c>
      <c r="AI183" s="15">
        <f t="shared" si="59"/>
        <v>0</v>
      </c>
      <c r="AJ183" s="17"/>
    </row>
    <row r="184" spans="1:36" x14ac:dyDescent="0.3">
      <c r="A184" s="15" t="s">
        <v>232</v>
      </c>
      <c r="B184" s="15">
        <v>100000</v>
      </c>
      <c r="C184" s="15" t="s">
        <v>54</v>
      </c>
      <c r="D184" s="15" t="s">
        <v>68</v>
      </c>
      <c r="E184" s="15">
        <f>'24-july-2026'!T184</f>
        <v>2</v>
      </c>
      <c r="F184" s="15">
        <f>'24-july-2026'!U184</f>
        <v>0</v>
      </c>
      <c r="G184" s="15">
        <f>'24-july-2026'!V184</f>
        <v>0</v>
      </c>
      <c r="H184" s="15">
        <f t="shared" si="50"/>
        <v>2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5">
        <f t="shared" si="51"/>
        <v>2</v>
      </c>
      <c r="T184" s="15">
        <f t="shared" si="52"/>
        <v>2</v>
      </c>
      <c r="U184" s="15">
        <f t="shared" si="53"/>
        <v>0</v>
      </c>
      <c r="V184" s="15">
        <f t="shared" si="54"/>
        <v>0</v>
      </c>
      <c r="W184" s="18" t="str">
        <f t="shared" si="55"/>
        <v/>
      </c>
      <c r="X184" s="17">
        <v>0</v>
      </c>
      <c r="Y184" s="17">
        <v>0</v>
      </c>
      <c r="Z184" s="15">
        <f t="shared" si="56"/>
        <v>0</v>
      </c>
      <c r="AA184" s="17">
        <v>0</v>
      </c>
      <c r="AB184" s="17">
        <v>0</v>
      </c>
      <c r="AC184" s="15">
        <f t="shared" si="57"/>
        <v>0</v>
      </c>
      <c r="AD184" s="17">
        <v>0</v>
      </c>
      <c r="AE184" s="17">
        <v>0</v>
      </c>
      <c r="AF184" s="15">
        <f t="shared" si="58"/>
        <v>0</v>
      </c>
      <c r="AG184" s="17">
        <v>0</v>
      </c>
      <c r="AH184" s="17">
        <v>0</v>
      </c>
      <c r="AI184" s="15">
        <f t="shared" si="59"/>
        <v>0</v>
      </c>
      <c r="AJ184" s="17"/>
    </row>
    <row r="185" spans="1:36" x14ac:dyDescent="0.3">
      <c r="A185" s="15" t="s">
        <v>233</v>
      </c>
      <c r="B185" s="15">
        <v>100</v>
      </c>
      <c r="C185" s="15" t="s">
        <v>54</v>
      </c>
      <c r="D185" s="15" t="s">
        <v>57</v>
      </c>
      <c r="E185" s="15">
        <f>'24-july-2026'!T185</f>
        <v>3</v>
      </c>
      <c r="F185" s="15">
        <f>'24-july-2026'!U185</f>
        <v>0</v>
      </c>
      <c r="G185" s="15">
        <f>'24-july-2026'!V185</f>
        <v>0</v>
      </c>
      <c r="H185" s="15">
        <f t="shared" si="50"/>
        <v>3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5">
        <f t="shared" si="51"/>
        <v>3</v>
      </c>
      <c r="T185" s="15">
        <f t="shared" si="52"/>
        <v>3</v>
      </c>
      <c r="U185" s="15">
        <f t="shared" si="53"/>
        <v>0</v>
      </c>
      <c r="V185" s="15">
        <f t="shared" si="54"/>
        <v>0</v>
      </c>
      <c r="W185" s="18" t="str">
        <f t="shared" si="55"/>
        <v/>
      </c>
      <c r="X185" s="17">
        <v>0</v>
      </c>
      <c r="Y185" s="17">
        <v>0</v>
      </c>
      <c r="Z185" s="15">
        <f t="shared" si="56"/>
        <v>0</v>
      </c>
      <c r="AA185" s="17">
        <v>0</v>
      </c>
      <c r="AB185" s="17">
        <v>0</v>
      </c>
      <c r="AC185" s="15">
        <f t="shared" si="57"/>
        <v>0</v>
      </c>
      <c r="AD185" s="17">
        <v>0</v>
      </c>
      <c r="AE185" s="17">
        <v>0</v>
      </c>
      <c r="AF185" s="15">
        <f t="shared" si="58"/>
        <v>0</v>
      </c>
      <c r="AG185" s="17">
        <v>0</v>
      </c>
      <c r="AH185" s="17">
        <v>0</v>
      </c>
      <c r="AI185" s="15">
        <f t="shared" si="59"/>
        <v>0</v>
      </c>
      <c r="AJ185" s="17"/>
    </row>
    <row r="186" spans="1:36" x14ac:dyDescent="0.3">
      <c r="A186" s="15" t="s">
        <v>234</v>
      </c>
      <c r="B186" s="15">
        <v>1000</v>
      </c>
      <c r="C186" s="15" t="s">
        <v>54</v>
      </c>
      <c r="D186" s="15" t="s">
        <v>68</v>
      </c>
      <c r="E186" s="15">
        <f>'24-july-2026'!T186</f>
        <v>2</v>
      </c>
      <c r="F186" s="15">
        <f>'24-july-2026'!U186</f>
        <v>0</v>
      </c>
      <c r="G186" s="15">
        <f>'24-july-2026'!V186</f>
        <v>0</v>
      </c>
      <c r="H186" s="15">
        <f t="shared" si="50"/>
        <v>2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5">
        <f t="shared" si="51"/>
        <v>2</v>
      </c>
      <c r="T186" s="15">
        <f t="shared" si="52"/>
        <v>2</v>
      </c>
      <c r="U186" s="15">
        <f t="shared" si="53"/>
        <v>0</v>
      </c>
      <c r="V186" s="15">
        <f t="shared" si="54"/>
        <v>0</v>
      </c>
      <c r="W186" s="18" t="str">
        <f t="shared" si="55"/>
        <v/>
      </c>
      <c r="X186" s="17">
        <v>0</v>
      </c>
      <c r="Y186" s="17">
        <v>0</v>
      </c>
      <c r="Z186" s="15">
        <f t="shared" si="56"/>
        <v>0</v>
      </c>
      <c r="AA186" s="17">
        <v>0</v>
      </c>
      <c r="AB186" s="17">
        <v>0</v>
      </c>
      <c r="AC186" s="15">
        <f t="shared" si="57"/>
        <v>0</v>
      </c>
      <c r="AD186" s="17">
        <v>0</v>
      </c>
      <c r="AE186" s="17">
        <v>0</v>
      </c>
      <c r="AF186" s="15">
        <f t="shared" si="58"/>
        <v>0</v>
      </c>
      <c r="AG186" s="17">
        <v>0</v>
      </c>
      <c r="AH186" s="17">
        <v>0</v>
      </c>
      <c r="AI186" s="15">
        <f t="shared" si="59"/>
        <v>0</v>
      </c>
      <c r="AJ186" s="17"/>
    </row>
    <row r="187" spans="1:36" x14ac:dyDescent="0.3">
      <c r="A187" s="15" t="s">
        <v>235</v>
      </c>
      <c r="B187" s="15">
        <v>100000</v>
      </c>
      <c r="C187" s="15" t="s">
        <v>54</v>
      </c>
      <c r="D187" s="15" t="s">
        <v>68</v>
      </c>
      <c r="E187" s="15">
        <f>'24-july-2026'!T187</f>
        <v>3</v>
      </c>
      <c r="F187" s="15">
        <f>'24-july-2026'!U187</f>
        <v>0</v>
      </c>
      <c r="G187" s="15">
        <f>'24-july-2026'!V187</f>
        <v>0</v>
      </c>
      <c r="H187" s="15">
        <f t="shared" si="50"/>
        <v>3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5">
        <f t="shared" si="51"/>
        <v>3</v>
      </c>
      <c r="T187" s="15">
        <f t="shared" si="52"/>
        <v>3</v>
      </c>
      <c r="U187" s="15">
        <f t="shared" si="53"/>
        <v>0</v>
      </c>
      <c r="V187" s="15">
        <f t="shared" si="54"/>
        <v>0</v>
      </c>
      <c r="W187" s="18" t="str">
        <f t="shared" si="55"/>
        <v/>
      </c>
      <c r="X187" s="17">
        <v>0</v>
      </c>
      <c r="Y187" s="17">
        <v>0</v>
      </c>
      <c r="Z187" s="15">
        <f t="shared" si="56"/>
        <v>0</v>
      </c>
      <c r="AA187" s="17">
        <v>0</v>
      </c>
      <c r="AB187" s="17">
        <v>0</v>
      </c>
      <c r="AC187" s="15">
        <f t="shared" si="57"/>
        <v>0</v>
      </c>
      <c r="AD187" s="17">
        <v>0</v>
      </c>
      <c r="AE187" s="17">
        <v>0</v>
      </c>
      <c r="AF187" s="15">
        <f t="shared" si="58"/>
        <v>0</v>
      </c>
      <c r="AG187" s="17">
        <v>0</v>
      </c>
      <c r="AH187" s="17">
        <v>0</v>
      </c>
      <c r="AI187" s="15">
        <f t="shared" si="59"/>
        <v>0</v>
      </c>
      <c r="AJ187" s="17"/>
    </row>
    <row r="188" spans="1:36" hidden="1" x14ac:dyDescent="0.3">
      <c r="A188" s="15" t="s">
        <v>236</v>
      </c>
      <c r="B188" s="15">
        <v>1000</v>
      </c>
      <c r="C188" s="15" t="s">
        <v>54</v>
      </c>
      <c r="D188" s="15" t="s">
        <v>55</v>
      </c>
      <c r="E188" s="15">
        <f>'24-july-2026'!T188</f>
        <v>14</v>
      </c>
      <c r="F188" s="15">
        <f>'24-july-2026'!U188</f>
        <v>0</v>
      </c>
      <c r="G188" s="15">
        <f>'24-july-2026'!V188</f>
        <v>0</v>
      </c>
      <c r="H188" s="15">
        <f t="shared" si="50"/>
        <v>14</v>
      </c>
      <c r="I188" s="17">
        <v>2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5">
        <f t="shared" si="51"/>
        <v>12</v>
      </c>
      <c r="T188" s="15">
        <f t="shared" si="52"/>
        <v>12</v>
      </c>
      <c r="U188" s="15">
        <f t="shared" si="53"/>
        <v>0</v>
      </c>
      <c r="V188" s="15">
        <f t="shared" si="54"/>
        <v>0</v>
      </c>
      <c r="W188" s="18" t="str">
        <f t="shared" si="55"/>
        <v/>
      </c>
      <c r="X188" s="17">
        <v>0</v>
      </c>
      <c r="Y188" s="17">
        <v>0</v>
      </c>
      <c r="Z188" s="15">
        <f t="shared" si="56"/>
        <v>0</v>
      </c>
      <c r="AA188" s="17">
        <v>0</v>
      </c>
      <c r="AB188" s="17">
        <v>0</v>
      </c>
      <c r="AC188" s="15">
        <f t="shared" si="57"/>
        <v>0</v>
      </c>
      <c r="AD188" s="17">
        <v>0</v>
      </c>
      <c r="AE188" s="17">
        <v>0</v>
      </c>
      <c r="AF188" s="15">
        <f t="shared" si="58"/>
        <v>0</v>
      </c>
      <c r="AG188" s="17">
        <v>0</v>
      </c>
      <c r="AH188" s="17">
        <v>0</v>
      </c>
      <c r="AI188" s="15">
        <f t="shared" si="59"/>
        <v>0</v>
      </c>
      <c r="AJ188" s="17"/>
    </row>
    <row r="189" spans="1:36" hidden="1" x14ac:dyDescent="0.3">
      <c r="A189" s="15" t="s">
        <v>237</v>
      </c>
      <c r="B189" s="15">
        <v>1000</v>
      </c>
      <c r="C189" s="15" t="s">
        <v>54</v>
      </c>
      <c r="D189" s="15" t="s">
        <v>55</v>
      </c>
      <c r="E189" s="15">
        <f>'24-july-2026'!T189</f>
        <v>1</v>
      </c>
      <c r="F189" s="15">
        <f>'24-july-2026'!U189</f>
        <v>29</v>
      </c>
      <c r="G189" s="15">
        <f>'24-july-2026'!V189</f>
        <v>0</v>
      </c>
      <c r="H189" s="15">
        <f t="shared" si="50"/>
        <v>30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5">
        <f t="shared" si="51"/>
        <v>30</v>
      </c>
      <c r="T189" s="15">
        <f t="shared" si="52"/>
        <v>1</v>
      </c>
      <c r="U189" s="15">
        <f t="shared" si="53"/>
        <v>29</v>
      </c>
      <c r="V189" s="15">
        <f t="shared" si="54"/>
        <v>0</v>
      </c>
      <c r="W189" s="18" t="str">
        <f t="shared" si="55"/>
        <v/>
      </c>
      <c r="X189" s="17">
        <v>0</v>
      </c>
      <c r="Y189" s="17">
        <v>0</v>
      </c>
      <c r="Z189" s="15">
        <f t="shared" si="56"/>
        <v>0</v>
      </c>
      <c r="AA189" s="17">
        <v>0</v>
      </c>
      <c r="AB189" s="17">
        <v>0</v>
      </c>
      <c r="AC189" s="15">
        <f t="shared" si="57"/>
        <v>0</v>
      </c>
      <c r="AD189" s="17">
        <v>0</v>
      </c>
      <c r="AE189" s="17">
        <v>0</v>
      </c>
      <c r="AF189" s="15">
        <f t="shared" si="58"/>
        <v>0</v>
      </c>
      <c r="AG189" s="17">
        <v>0</v>
      </c>
      <c r="AH189" s="17">
        <v>0</v>
      </c>
      <c r="AI189" s="15">
        <f t="shared" si="59"/>
        <v>0</v>
      </c>
      <c r="AJ189" s="17"/>
    </row>
    <row r="190" spans="1:36" hidden="1" x14ac:dyDescent="0.3">
      <c r="A190" s="15" t="s">
        <v>238</v>
      </c>
      <c r="B190" s="15">
        <v>1000</v>
      </c>
      <c r="C190" s="15" t="s">
        <v>54</v>
      </c>
      <c r="D190" s="15" t="s">
        <v>55</v>
      </c>
      <c r="E190" s="15">
        <f>'24-july-2026'!T190</f>
        <v>4</v>
      </c>
      <c r="F190" s="15">
        <f>'24-july-2026'!U190</f>
        <v>0</v>
      </c>
      <c r="G190" s="15">
        <f>'24-july-2026'!V190</f>
        <v>0</v>
      </c>
      <c r="H190" s="15">
        <f t="shared" si="50"/>
        <v>4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5">
        <f t="shared" si="51"/>
        <v>4</v>
      </c>
      <c r="T190" s="15">
        <f t="shared" si="52"/>
        <v>4</v>
      </c>
      <c r="U190" s="15">
        <f t="shared" si="53"/>
        <v>0</v>
      </c>
      <c r="V190" s="15">
        <f t="shared" si="54"/>
        <v>0</v>
      </c>
      <c r="W190" s="18" t="str">
        <f t="shared" si="55"/>
        <v/>
      </c>
      <c r="X190" s="17">
        <v>0</v>
      </c>
      <c r="Y190" s="17">
        <v>0</v>
      </c>
      <c r="Z190" s="15">
        <f t="shared" si="56"/>
        <v>0</v>
      </c>
      <c r="AA190" s="17">
        <v>0</v>
      </c>
      <c r="AB190" s="17">
        <v>0</v>
      </c>
      <c r="AC190" s="15">
        <f t="shared" si="57"/>
        <v>0</v>
      </c>
      <c r="AD190" s="17">
        <v>0</v>
      </c>
      <c r="AE190" s="17">
        <v>0</v>
      </c>
      <c r="AF190" s="15">
        <f t="shared" si="58"/>
        <v>0</v>
      </c>
      <c r="AG190" s="17">
        <v>0</v>
      </c>
      <c r="AH190" s="17">
        <v>0</v>
      </c>
      <c r="AI190" s="15">
        <f t="shared" si="59"/>
        <v>0</v>
      </c>
      <c r="AJ190" s="17"/>
    </row>
    <row r="191" spans="1:36" hidden="1" x14ac:dyDescent="0.3">
      <c r="A191" s="15" t="s">
        <v>239</v>
      </c>
      <c r="B191" s="15">
        <v>1000</v>
      </c>
      <c r="C191" s="15" t="s">
        <v>54</v>
      </c>
      <c r="D191" s="15" t="s">
        <v>55</v>
      </c>
      <c r="E191" s="15">
        <v>0</v>
      </c>
      <c r="F191" s="15">
        <v>0</v>
      </c>
      <c r="G191" s="15">
        <v>0</v>
      </c>
      <c r="H191" s="15">
        <f t="shared" si="50"/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5">
        <f t="shared" si="51"/>
        <v>0</v>
      </c>
      <c r="T191" s="15">
        <f t="shared" si="52"/>
        <v>0</v>
      </c>
      <c r="U191" s="15">
        <f t="shared" si="53"/>
        <v>0</v>
      </c>
      <c r="V191" s="15">
        <f t="shared" si="54"/>
        <v>0</v>
      </c>
      <c r="W191" s="18" t="str">
        <f t="shared" si="55"/>
        <v/>
      </c>
      <c r="X191" s="17">
        <v>0</v>
      </c>
      <c r="Y191" s="17">
        <v>0</v>
      </c>
      <c r="Z191" s="15">
        <f t="shared" si="56"/>
        <v>0</v>
      </c>
      <c r="AA191" s="17">
        <v>0</v>
      </c>
      <c r="AB191" s="17">
        <v>0</v>
      </c>
      <c r="AC191" s="15">
        <f t="shared" si="57"/>
        <v>0</v>
      </c>
      <c r="AD191" s="17">
        <v>0</v>
      </c>
      <c r="AE191" s="17">
        <v>0</v>
      </c>
      <c r="AF191" s="15">
        <f t="shared" si="58"/>
        <v>0</v>
      </c>
      <c r="AG191" s="17">
        <v>0</v>
      </c>
      <c r="AH191" s="17">
        <v>0</v>
      </c>
      <c r="AI191" s="15">
        <f t="shared" si="59"/>
        <v>0</v>
      </c>
      <c r="AJ191" s="17"/>
    </row>
    <row r="192" spans="1:36" hidden="1" x14ac:dyDescent="0.3">
      <c r="A192" s="15" t="s">
        <v>239</v>
      </c>
      <c r="B192" s="15">
        <v>2500</v>
      </c>
      <c r="C192" s="15" t="s">
        <v>54</v>
      </c>
      <c r="D192" s="15" t="s">
        <v>55</v>
      </c>
      <c r="E192" s="15">
        <f>'24-july-2026'!T192</f>
        <v>0</v>
      </c>
      <c r="F192" s="15">
        <f>'24-july-2026'!U192</f>
        <v>0</v>
      </c>
      <c r="G192" s="15">
        <f>'24-july-2026'!V192</f>
        <v>0</v>
      </c>
      <c r="H192" s="15">
        <f t="shared" si="50"/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5">
        <f t="shared" si="51"/>
        <v>0</v>
      </c>
      <c r="T192" s="15">
        <f t="shared" si="52"/>
        <v>0</v>
      </c>
      <c r="U192" s="15">
        <f t="shared" si="53"/>
        <v>0</v>
      </c>
      <c r="V192" s="15">
        <f t="shared" si="54"/>
        <v>0</v>
      </c>
      <c r="W192" s="18" t="str">
        <f t="shared" si="55"/>
        <v/>
      </c>
      <c r="X192" s="17">
        <v>0</v>
      </c>
      <c r="Y192" s="17">
        <v>0</v>
      </c>
      <c r="Z192" s="15">
        <f t="shared" si="56"/>
        <v>0</v>
      </c>
      <c r="AA192" s="17">
        <v>0</v>
      </c>
      <c r="AB192" s="17">
        <v>0</v>
      </c>
      <c r="AC192" s="15">
        <f t="shared" si="57"/>
        <v>0</v>
      </c>
      <c r="AD192" s="17">
        <v>0</v>
      </c>
      <c r="AE192" s="17">
        <v>0</v>
      </c>
      <c r="AF192" s="15">
        <f t="shared" si="58"/>
        <v>0</v>
      </c>
      <c r="AG192" s="17">
        <v>0</v>
      </c>
      <c r="AH192" s="17">
        <v>0</v>
      </c>
      <c r="AI192" s="15">
        <f t="shared" si="59"/>
        <v>0</v>
      </c>
      <c r="AJ192" s="17"/>
    </row>
    <row r="193" spans="1:36" hidden="1" x14ac:dyDescent="0.3">
      <c r="A193" s="15" t="s">
        <v>240</v>
      </c>
      <c r="B193" s="15">
        <v>100</v>
      </c>
      <c r="C193" s="15" t="s">
        <v>54</v>
      </c>
      <c r="D193" s="15" t="s">
        <v>55</v>
      </c>
      <c r="E193" s="15">
        <f>'24-july-2026'!T193</f>
        <v>34</v>
      </c>
      <c r="F193" s="15">
        <f>'24-july-2026'!U193</f>
        <v>0</v>
      </c>
      <c r="G193" s="15">
        <f>'24-july-2026'!V193</f>
        <v>0</v>
      </c>
      <c r="H193" s="15">
        <f t="shared" si="50"/>
        <v>34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5">
        <f t="shared" si="51"/>
        <v>34</v>
      </c>
      <c r="T193" s="15">
        <f t="shared" si="52"/>
        <v>34</v>
      </c>
      <c r="U193" s="15">
        <f t="shared" si="53"/>
        <v>0</v>
      </c>
      <c r="V193" s="15">
        <f t="shared" si="54"/>
        <v>0</v>
      </c>
      <c r="W193" s="18" t="str">
        <f t="shared" si="55"/>
        <v/>
      </c>
      <c r="X193" s="17">
        <v>0</v>
      </c>
      <c r="Y193" s="17">
        <v>0</v>
      </c>
      <c r="Z193" s="15">
        <f t="shared" si="56"/>
        <v>0</v>
      </c>
      <c r="AA193" s="17">
        <v>0</v>
      </c>
      <c r="AB193" s="17">
        <v>0</v>
      </c>
      <c r="AC193" s="15">
        <f t="shared" si="57"/>
        <v>0</v>
      </c>
      <c r="AD193" s="17">
        <v>0</v>
      </c>
      <c r="AE193" s="17">
        <v>0</v>
      </c>
      <c r="AF193" s="15">
        <f t="shared" si="58"/>
        <v>0</v>
      </c>
      <c r="AG193" s="17">
        <v>0</v>
      </c>
      <c r="AH193" s="17">
        <v>0</v>
      </c>
      <c r="AI193" s="15">
        <f t="shared" si="59"/>
        <v>0</v>
      </c>
      <c r="AJ193" s="17"/>
    </row>
    <row r="194" spans="1:36" hidden="1" x14ac:dyDescent="0.3">
      <c r="A194" s="15" t="s">
        <v>240</v>
      </c>
      <c r="B194" s="15">
        <v>1000</v>
      </c>
      <c r="C194" s="15" t="s">
        <v>54</v>
      </c>
      <c r="D194" s="15" t="s">
        <v>55</v>
      </c>
      <c r="E194" s="17">
        <v>34</v>
      </c>
      <c r="F194" s="17">
        <v>0</v>
      </c>
      <c r="G194" s="17">
        <v>0</v>
      </c>
      <c r="H194" s="15">
        <f t="shared" si="50"/>
        <v>34</v>
      </c>
      <c r="I194" s="17">
        <v>0</v>
      </c>
      <c r="J194" s="17">
        <v>0</v>
      </c>
      <c r="K194" s="17">
        <v>0</v>
      </c>
      <c r="L194" s="17">
        <v>20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50</v>
      </c>
      <c r="S194" s="15">
        <f t="shared" si="51"/>
        <v>64</v>
      </c>
      <c r="T194" s="15">
        <f t="shared" si="52"/>
        <v>14</v>
      </c>
      <c r="U194" s="15">
        <f t="shared" si="53"/>
        <v>0</v>
      </c>
      <c r="V194" s="15">
        <f t="shared" si="54"/>
        <v>0</v>
      </c>
      <c r="W194" s="18" t="str">
        <f t="shared" si="55"/>
        <v/>
      </c>
      <c r="X194" s="17">
        <v>0</v>
      </c>
      <c r="Y194" s="17">
        <v>0</v>
      </c>
      <c r="Z194" s="15">
        <f t="shared" si="56"/>
        <v>0</v>
      </c>
      <c r="AA194" s="17">
        <v>0</v>
      </c>
      <c r="AB194" s="17">
        <v>0</v>
      </c>
      <c r="AC194" s="15">
        <f t="shared" si="57"/>
        <v>0</v>
      </c>
      <c r="AD194" s="17">
        <v>0</v>
      </c>
      <c r="AE194" s="17">
        <v>0</v>
      </c>
      <c r="AF194" s="15">
        <f t="shared" si="58"/>
        <v>0</v>
      </c>
      <c r="AG194" s="17">
        <v>0</v>
      </c>
      <c r="AH194" s="17">
        <v>0</v>
      </c>
      <c r="AI194" s="15">
        <f t="shared" si="59"/>
        <v>0</v>
      </c>
      <c r="AJ194" s="17"/>
    </row>
    <row r="195" spans="1:36" x14ac:dyDescent="0.3">
      <c r="A195" s="15" t="s">
        <v>241</v>
      </c>
      <c r="B195" s="15">
        <v>25000</v>
      </c>
      <c r="C195" s="15" t="s">
        <v>54</v>
      </c>
      <c r="D195" s="15" t="s">
        <v>68</v>
      </c>
      <c r="E195" s="15">
        <f>'24-july-2026'!T195</f>
        <v>2</v>
      </c>
      <c r="F195" s="15">
        <f>'24-july-2026'!U195</f>
        <v>0</v>
      </c>
      <c r="G195" s="15">
        <f>'24-july-2026'!V195</f>
        <v>0</v>
      </c>
      <c r="H195" s="15">
        <f t="shared" ref="H195:H199" si="60">E195+F195+G195</f>
        <v>2</v>
      </c>
      <c r="I195" s="17">
        <v>2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5">
        <f t="shared" ref="S195:S199" si="61">H195+O195+P195+Q195+R195-(I195+J195+K195+L195+M195+N195)</f>
        <v>0</v>
      </c>
      <c r="T195" s="15">
        <f t="shared" si="52"/>
        <v>0</v>
      </c>
      <c r="U195" s="15">
        <f t="shared" si="53"/>
        <v>0</v>
      </c>
      <c r="V195" s="15">
        <f t="shared" si="54"/>
        <v>0</v>
      </c>
      <c r="W195" s="18" t="str">
        <f t="shared" ref="W195:W199" si="62">IF(MIN(T195,U195,V195)&lt;0,"NEGATIVE STOCK - CHECK ENTRIES","")</f>
        <v/>
      </c>
      <c r="X195" s="17">
        <v>0</v>
      </c>
      <c r="Y195" s="17">
        <v>0</v>
      </c>
      <c r="Z195" s="15">
        <f t="shared" ref="Z195:Z199" si="63">X195-Y195</f>
        <v>0</v>
      </c>
      <c r="AA195" s="17">
        <v>0</v>
      </c>
      <c r="AB195" s="17">
        <v>0</v>
      </c>
      <c r="AC195" s="15">
        <f t="shared" ref="AC195:AC199" si="64">AA195-AB195</f>
        <v>0</v>
      </c>
      <c r="AD195" s="17">
        <v>0</v>
      </c>
      <c r="AE195" s="17">
        <v>0</v>
      </c>
      <c r="AF195" s="15">
        <f t="shared" ref="AF195:AF199" si="65">AD195-AE195</f>
        <v>0</v>
      </c>
      <c r="AG195" s="17">
        <v>0</v>
      </c>
      <c r="AH195" s="17">
        <v>0</v>
      </c>
      <c r="AI195" s="15">
        <f t="shared" ref="AI195:AI199" si="66">AG195-AH195</f>
        <v>0</v>
      </c>
      <c r="AJ195" s="17"/>
    </row>
    <row r="196" spans="1:36" x14ac:dyDescent="0.3">
      <c r="A196" s="15" t="s">
        <v>242</v>
      </c>
      <c r="B196" s="15">
        <v>100</v>
      </c>
      <c r="C196" s="15" t="s">
        <v>54</v>
      </c>
      <c r="D196" s="15" t="s">
        <v>68</v>
      </c>
      <c r="E196" s="15">
        <f>'24-july-2026'!T196</f>
        <v>6</v>
      </c>
      <c r="F196" s="15">
        <f>'24-july-2026'!U196</f>
        <v>0</v>
      </c>
      <c r="G196" s="15">
        <f>'24-july-2026'!V196</f>
        <v>0</v>
      </c>
      <c r="H196" s="15">
        <f t="shared" si="60"/>
        <v>6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5">
        <f t="shared" si="61"/>
        <v>6</v>
      </c>
      <c r="T196" s="15">
        <f t="shared" si="52"/>
        <v>6</v>
      </c>
      <c r="U196" s="15">
        <f t="shared" si="53"/>
        <v>0</v>
      </c>
      <c r="V196" s="15">
        <f t="shared" si="54"/>
        <v>0</v>
      </c>
      <c r="W196" s="18" t="str">
        <f t="shared" si="62"/>
        <v/>
      </c>
      <c r="X196" s="17">
        <v>0</v>
      </c>
      <c r="Y196" s="17">
        <v>0</v>
      </c>
      <c r="Z196" s="15">
        <f t="shared" si="63"/>
        <v>0</v>
      </c>
      <c r="AA196" s="17">
        <v>0</v>
      </c>
      <c r="AB196" s="17">
        <v>0</v>
      </c>
      <c r="AC196" s="15">
        <f t="shared" si="64"/>
        <v>0</v>
      </c>
      <c r="AD196" s="17">
        <v>0</v>
      </c>
      <c r="AE196" s="17">
        <v>0</v>
      </c>
      <c r="AF196" s="15">
        <f t="shared" si="65"/>
        <v>0</v>
      </c>
      <c r="AG196" s="17">
        <v>0</v>
      </c>
      <c r="AH196" s="17">
        <v>0</v>
      </c>
      <c r="AI196" s="15">
        <f t="shared" si="66"/>
        <v>0</v>
      </c>
      <c r="AJ196" s="17"/>
    </row>
    <row r="197" spans="1:36" x14ac:dyDescent="0.3">
      <c r="A197" s="15" t="s">
        <v>243</v>
      </c>
      <c r="B197" s="15">
        <v>100000</v>
      </c>
      <c r="C197" s="15" t="s">
        <v>54</v>
      </c>
      <c r="D197" s="15" t="s">
        <v>57</v>
      </c>
      <c r="E197" s="15">
        <f>'24-july-2026'!T197</f>
        <v>6</v>
      </c>
      <c r="F197" s="15">
        <f>'24-july-2026'!U197</f>
        <v>0</v>
      </c>
      <c r="G197" s="15">
        <f>'24-july-2026'!V197</f>
        <v>0</v>
      </c>
      <c r="H197" s="15">
        <f t="shared" si="60"/>
        <v>6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5">
        <f t="shared" si="61"/>
        <v>6</v>
      </c>
      <c r="T197" s="15">
        <f t="shared" si="52"/>
        <v>6</v>
      </c>
      <c r="U197" s="15">
        <f t="shared" si="53"/>
        <v>0</v>
      </c>
      <c r="V197" s="15">
        <f t="shared" si="54"/>
        <v>0</v>
      </c>
      <c r="W197" s="18" t="str">
        <f t="shared" si="62"/>
        <v/>
      </c>
      <c r="X197" s="17">
        <v>0</v>
      </c>
      <c r="Y197" s="17">
        <v>0</v>
      </c>
      <c r="Z197" s="15">
        <f t="shared" si="63"/>
        <v>0</v>
      </c>
      <c r="AA197" s="17">
        <v>0</v>
      </c>
      <c r="AB197" s="17">
        <v>0</v>
      </c>
      <c r="AC197" s="15">
        <f t="shared" si="64"/>
        <v>0</v>
      </c>
      <c r="AD197" s="17">
        <v>0</v>
      </c>
      <c r="AE197" s="17">
        <v>0</v>
      </c>
      <c r="AF197" s="15">
        <f t="shared" si="65"/>
        <v>0</v>
      </c>
      <c r="AG197" s="17">
        <v>0</v>
      </c>
      <c r="AH197" s="17">
        <v>0</v>
      </c>
      <c r="AI197" s="15">
        <f t="shared" si="66"/>
        <v>0</v>
      </c>
      <c r="AJ197" s="17"/>
    </row>
    <row r="198" spans="1:36" hidden="1" x14ac:dyDescent="0.3">
      <c r="A198" s="15" t="s">
        <v>244</v>
      </c>
      <c r="B198" s="15">
        <v>100000</v>
      </c>
      <c r="C198" s="15"/>
      <c r="D198" s="15" t="s">
        <v>55</v>
      </c>
      <c r="E198" s="15">
        <f>'24-july-2026'!T198</f>
        <v>0</v>
      </c>
      <c r="F198" s="15">
        <f>'24-july-2026'!U198</f>
        <v>0</v>
      </c>
      <c r="G198" s="15">
        <f>'24-july-2026'!V198</f>
        <v>0</v>
      </c>
      <c r="H198" s="15">
        <f t="shared" si="60"/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5">
        <f t="shared" si="61"/>
        <v>0</v>
      </c>
      <c r="T198" s="15">
        <f t="shared" si="52"/>
        <v>0</v>
      </c>
      <c r="U198" s="15">
        <f t="shared" si="53"/>
        <v>0</v>
      </c>
      <c r="V198" s="15">
        <f t="shared" si="54"/>
        <v>0</v>
      </c>
      <c r="W198" s="18" t="str">
        <f t="shared" si="62"/>
        <v/>
      </c>
      <c r="X198" s="17">
        <v>0</v>
      </c>
      <c r="Y198" s="17">
        <v>0</v>
      </c>
      <c r="Z198" s="15">
        <f t="shared" si="63"/>
        <v>0</v>
      </c>
      <c r="AA198" s="17">
        <v>0</v>
      </c>
      <c r="AB198" s="17">
        <v>0</v>
      </c>
      <c r="AC198" s="15">
        <f t="shared" si="64"/>
        <v>0</v>
      </c>
      <c r="AD198" s="17">
        <v>0</v>
      </c>
      <c r="AE198" s="17">
        <v>0</v>
      </c>
      <c r="AF198" s="15">
        <f t="shared" si="65"/>
        <v>0</v>
      </c>
      <c r="AG198" s="17">
        <v>0</v>
      </c>
      <c r="AH198" s="17">
        <v>0</v>
      </c>
      <c r="AI198" s="15">
        <f t="shared" si="66"/>
        <v>0</v>
      </c>
      <c r="AJ198" s="17"/>
    </row>
    <row r="199" spans="1:36" x14ac:dyDescent="0.3">
      <c r="A199" s="15" t="s">
        <v>245</v>
      </c>
      <c r="B199" s="15">
        <v>25000</v>
      </c>
      <c r="C199" s="15" t="s">
        <v>54</v>
      </c>
      <c r="D199" s="15" t="s">
        <v>57</v>
      </c>
      <c r="E199" s="15">
        <f>'24-july-2026'!T199</f>
        <v>2</v>
      </c>
      <c r="F199" s="15">
        <f>'24-july-2026'!U199</f>
        <v>0</v>
      </c>
      <c r="G199" s="15">
        <f>'24-july-2026'!V199</f>
        <v>0</v>
      </c>
      <c r="H199" s="15">
        <f t="shared" si="60"/>
        <v>2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5">
        <f t="shared" si="61"/>
        <v>2</v>
      </c>
      <c r="T199" s="15">
        <f t="shared" si="52"/>
        <v>2</v>
      </c>
      <c r="U199" s="15">
        <f t="shared" si="53"/>
        <v>0</v>
      </c>
      <c r="V199" s="15">
        <f t="shared" si="54"/>
        <v>0</v>
      </c>
      <c r="W199" s="18" t="str">
        <f t="shared" si="62"/>
        <v/>
      </c>
      <c r="X199" s="17">
        <v>0</v>
      </c>
      <c r="Y199" s="17">
        <v>0</v>
      </c>
      <c r="Z199" s="15">
        <f t="shared" si="63"/>
        <v>0</v>
      </c>
      <c r="AA199" s="17">
        <v>0</v>
      </c>
      <c r="AB199" s="17">
        <v>0</v>
      </c>
      <c r="AC199" s="15">
        <f t="shared" si="64"/>
        <v>0</v>
      </c>
      <c r="AD199" s="17">
        <v>0</v>
      </c>
      <c r="AE199" s="17">
        <v>0</v>
      </c>
      <c r="AF199" s="15">
        <f t="shared" si="65"/>
        <v>0</v>
      </c>
      <c r="AG199" s="17">
        <v>0</v>
      </c>
      <c r="AH199" s="17">
        <v>0</v>
      </c>
      <c r="AI199" s="15">
        <f t="shared" si="66"/>
        <v>0</v>
      </c>
      <c r="AJ199" s="17"/>
    </row>
  </sheetData>
  <autoFilter ref="A2:AJ199" xr:uid="{00000000-0001-0000-0800-000000000000}">
    <filterColumn colId="3">
      <filters>
        <filter val="CUSTOM&amp;TRIAL"/>
        <filter val="MASIFIO CUSTOM"/>
      </filters>
    </filterColumn>
  </autoFilter>
  <mergeCells count="5">
    <mergeCell ref="A1:D1"/>
    <mergeCell ref="E1:H1"/>
    <mergeCell ref="I1:R1"/>
    <mergeCell ref="S1:V1"/>
    <mergeCell ref="X1:AI1"/>
  </mergeCells>
  <conditionalFormatting sqref="T3:V199">
    <cfRule type="expression" dxfId="17" priority="3">
      <formula>T3&lt;0</formula>
    </cfRule>
  </conditionalFormatting>
  <conditionalFormatting sqref="W3:W199">
    <cfRule type="expression" dxfId="16" priority="2">
      <formula>W3&lt;&gt;""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AJ199"/>
  <sheetViews>
    <sheetView showGridLines="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24" sqref="E24"/>
    </sheetView>
  </sheetViews>
  <sheetFormatPr defaultColWidth="8.6640625" defaultRowHeight="14.4" x14ac:dyDescent="0.3"/>
  <cols>
    <col min="1" max="1" width="30" customWidth="1"/>
    <col min="2" max="2" width="10" customWidth="1"/>
    <col min="3" max="3" width="12" customWidth="1"/>
    <col min="4" max="4" width="14" customWidth="1"/>
    <col min="5" max="35" width="11" customWidth="1"/>
    <col min="36" max="36" width="22" customWidth="1"/>
  </cols>
  <sheetData>
    <row r="1" spans="1:36" ht="19.5" customHeight="1" x14ac:dyDescent="0.3">
      <c r="A1" s="40" t="s">
        <v>246</v>
      </c>
      <c r="B1" s="40"/>
      <c r="C1" s="40"/>
      <c r="D1" s="40"/>
      <c r="E1" s="41" t="s">
        <v>247</v>
      </c>
      <c r="F1" s="41"/>
      <c r="G1" s="41"/>
      <c r="H1" s="41"/>
      <c r="I1" s="42" t="s">
        <v>248</v>
      </c>
      <c r="J1" s="42"/>
      <c r="K1" s="42"/>
      <c r="L1" s="42"/>
      <c r="M1" s="42"/>
      <c r="N1" s="42"/>
      <c r="O1" s="42"/>
      <c r="P1" s="42"/>
      <c r="Q1" s="42"/>
      <c r="R1" s="42"/>
      <c r="S1" s="41" t="s">
        <v>249</v>
      </c>
      <c r="T1" s="41"/>
      <c r="U1" s="41"/>
      <c r="V1" s="41"/>
      <c r="W1" s="3" t="s">
        <v>250</v>
      </c>
      <c r="X1" s="43" t="s">
        <v>251</v>
      </c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" t="s">
        <v>252</v>
      </c>
    </row>
    <row r="2" spans="1:36" ht="33.75" customHeight="1" x14ac:dyDescent="0.3">
      <c r="A2" s="4" t="s">
        <v>45</v>
      </c>
      <c r="B2" s="4" t="s">
        <v>46</v>
      </c>
      <c r="C2" s="4" t="s">
        <v>47</v>
      </c>
      <c r="D2" s="4" t="s">
        <v>48</v>
      </c>
      <c r="E2" s="3" t="s">
        <v>253</v>
      </c>
      <c r="F2" s="3" t="s">
        <v>254</v>
      </c>
      <c r="G2" s="3" t="s">
        <v>255</v>
      </c>
      <c r="H2" s="3" t="s">
        <v>256</v>
      </c>
      <c r="I2" s="2" t="s">
        <v>257</v>
      </c>
      <c r="J2" s="2" t="s">
        <v>258</v>
      </c>
      <c r="K2" s="2" t="s">
        <v>259</v>
      </c>
      <c r="L2" s="2" t="s">
        <v>260</v>
      </c>
      <c r="M2" s="2" t="s">
        <v>261</v>
      </c>
      <c r="N2" s="2" t="s">
        <v>262</v>
      </c>
      <c r="O2" s="2" t="s">
        <v>263</v>
      </c>
      <c r="P2" s="2" t="s">
        <v>264</v>
      </c>
      <c r="Q2" s="2" t="s">
        <v>265</v>
      </c>
      <c r="R2" s="2" t="s">
        <v>266</v>
      </c>
      <c r="S2" s="3" t="s">
        <v>267</v>
      </c>
      <c r="T2" s="3" t="s">
        <v>268</v>
      </c>
      <c r="U2" s="3" t="s">
        <v>269</v>
      </c>
      <c r="V2" s="3" t="s">
        <v>270</v>
      </c>
      <c r="W2" s="3" t="s">
        <v>271</v>
      </c>
      <c r="X2" s="1" t="s">
        <v>272</v>
      </c>
      <c r="Y2" s="1" t="s">
        <v>273</v>
      </c>
      <c r="Z2" s="1" t="s">
        <v>274</v>
      </c>
      <c r="AA2" s="1" t="s">
        <v>275</v>
      </c>
      <c r="AB2" s="1" t="s">
        <v>276</v>
      </c>
      <c r="AC2" s="1" t="s">
        <v>277</v>
      </c>
      <c r="AD2" s="1" t="s">
        <v>278</v>
      </c>
      <c r="AE2" s="1" t="s">
        <v>279</v>
      </c>
      <c r="AF2" s="1" t="s">
        <v>280</v>
      </c>
      <c r="AG2" s="1" t="s">
        <v>281</v>
      </c>
      <c r="AH2" s="1" t="s">
        <v>282</v>
      </c>
      <c r="AI2" s="1" t="s">
        <v>283</v>
      </c>
      <c r="AJ2" s="4" t="s">
        <v>284</v>
      </c>
    </row>
    <row r="3" spans="1:36" hidden="1" x14ac:dyDescent="0.3">
      <c r="A3" s="15" t="s">
        <v>53</v>
      </c>
      <c r="B3" s="15">
        <v>1000</v>
      </c>
      <c r="C3" s="15" t="s">
        <v>54</v>
      </c>
      <c r="D3" s="15" t="s">
        <v>55</v>
      </c>
      <c r="E3" s="15">
        <v>0</v>
      </c>
      <c r="F3" s="15">
        <v>0</v>
      </c>
      <c r="G3" s="15">
        <v>0</v>
      </c>
      <c r="H3" s="15">
        <f t="shared" ref="H3:H34" si="0">E3+F3+G3</f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5">
        <f t="shared" ref="S3:S34" si="1">H3+O3+P3+Q3+R3-(I3+J3+K3+L3+M3+N3)</f>
        <v>0</v>
      </c>
      <c r="T3" s="15">
        <f t="shared" ref="T3:T34" si="2">E3+O3-I3-L3</f>
        <v>0</v>
      </c>
      <c r="U3" s="15">
        <f t="shared" ref="U3:U34" si="3">F3+P3-J3-M3</f>
        <v>0</v>
      </c>
      <c r="V3" s="15">
        <f t="shared" ref="V3:V34" si="4">G3+Q3-K3-N3</f>
        <v>0</v>
      </c>
      <c r="W3" s="18" t="str">
        <f t="shared" ref="W3:W34" si="5">IF(MIN(T3,U3,V3)&lt;0,"NEGATIVE STOCK - CHECK ENTRIES","")</f>
        <v/>
      </c>
      <c r="X3" s="17">
        <v>0</v>
      </c>
      <c r="Y3" s="17">
        <v>0</v>
      </c>
      <c r="Z3" s="15">
        <f t="shared" ref="Z3:Z34" si="6">X3-Y3</f>
        <v>0</v>
      </c>
      <c r="AA3" s="17">
        <v>0</v>
      </c>
      <c r="AB3" s="17">
        <v>0</v>
      </c>
      <c r="AC3" s="15">
        <f t="shared" ref="AC3:AC34" si="7">AA3-AB3</f>
        <v>0</v>
      </c>
      <c r="AD3" s="17">
        <v>0</v>
      </c>
      <c r="AE3" s="17">
        <v>0</v>
      </c>
      <c r="AF3" s="15">
        <f t="shared" ref="AF3:AF34" si="8">AD3-AE3</f>
        <v>0</v>
      </c>
      <c r="AG3" s="17">
        <v>0</v>
      </c>
      <c r="AH3" s="17">
        <v>0</v>
      </c>
      <c r="AI3" s="15">
        <f t="shared" ref="AI3:AI34" si="9">AG3-AH3</f>
        <v>0</v>
      </c>
      <c r="AJ3" s="17"/>
    </row>
    <row r="4" spans="1:36" x14ac:dyDescent="0.3">
      <c r="A4" s="15" t="s">
        <v>56</v>
      </c>
      <c r="B4" s="15">
        <v>500</v>
      </c>
      <c r="C4" s="15" t="s">
        <v>54</v>
      </c>
      <c r="D4" s="15" t="s">
        <v>57</v>
      </c>
      <c r="E4" s="15">
        <f>'31-july-2026'!T4</f>
        <v>0</v>
      </c>
      <c r="F4" s="15">
        <f>'31-july-2026'!U4</f>
        <v>0</v>
      </c>
      <c r="G4" s="15">
        <f>'31-july-2026'!V4</f>
        <v>0</v>
      </c>
      <c r="H4" s="15">
        <f t="shared" si="0"/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5">
        <f t="shared" si="1"/>
        <v>0</v>
      </c>
      <c r="T4" s="15">
        <f t="shared" si="2"/>
        <v>0</v>
      </c>
      <c r="U4" s="15">
        <f t="shared" si="3"/>
        <v>0</v>
      </c>
      <c r="V4" s="15">
        <f t="shared" si="4"/>
        <v>0</v>
      </c>
      <c r="W4" s="18" t="str">
        <f t="shared" si="5"/>
        <v/>
      </c>
      <c r="X4" s="17">
        <v>0</v>
      </c>
      <c r="Y4" s="17">
        <v>0</v>
      </c>
      <c r="Z4" s="15">
        <f t="shared" si="6"/>
        <v>0</v>
      </c>
      <c r="AA4" s="17">
        <v>0</v>
      </c>
      <c r="AB4" s="17">
        <v>0</v>
      </c>
      <c r="AC4" s="15">
        <f t="shared" si="7"/>
        <v>0</v>
      </c>
      <c r="AD4" s="17">
        <v>0</v>
      </c>
      <c r="AE4" s="17">
        <v>0</v>
      </c>
      <c r="AF4" s="15">
        <f t="shared" si="8"/>
        <v>0</v>
      </c>
      <c r="AG4" s="17">
        <v>0</v>
      </c>
      <c r="AH4" s="17">
        <v>0</v>
      </c>
      <c r="AI4" s="15">
        <f t="shared" si="9"/>
        <v>0</v>
      </c>
      <c r="AJ4" s="17"/>
    </row>
    <row r="5" spans="1:36" hidden="1" x14ac:dyDescent="0.3">
      <c r="A5" s="15" t="s">
        <v>58</v>
      </c>
      <c r="B5" s="15">
        <v>100</v>
      </c>
      <c r="C5" s="15" t="s">
        <v>54</v>
      </c>
      <c r="D5" s="15" t="s">
        <v>55</v>
      </c>
      <c r="E5" s="15">
        <f>'31-july-2026'!T5</f>
        <v>62</v>
      </c>
      <c r="F5" s="15">
        <f>'31-july-2026'!U5</f>
        <v>293</v>
      </c>
      <c r="G5" s="15">
        <f>'31-july-2026'!V5</f>
        <v>0</v>
      </c>
      <c r="H5" s="15">
        <f t="shared" si="0"/>
        <v>355</v>
      </c>
      <c r="I5" s="17">
        <v>29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50</v>
      </c>
      <c r="Q5" s="17">
        <v>0</v>
      </c>
      <c r="R5" s="17">
        <v>0</v>
      </c>
      <c r="S5" s="15">
        <f t="shared" si="1"/>
        <v>376</v>
      </c>
      <c r="T5" s="15">
        <f t="shared" si="2"/>
        <v>33</v>
      </c>
      <c r="U5" s="15">
        <f t="shared" si="3"/>
        <v>343</v>
      </c>
      <c r="V5" s="15">
        <f t="shared" si="4"/>
        <v>0</v>
      </c>
      <c r="W5" s="18" t="str">
        <f t="shared" si="5"/>
        <v/>
      </c>
      <c r="X5" s="17">
        <v>0</v>
      </c>
      <c r="Y5" s="17">
        <v>0</v>
      </c>
      <c r="Z5" s="15">
        <f t="shared" si="6"/>
        <v>0</v>
      </c>
      <c r="AA5" s="17">
        <v>0</v>
      </c>
      <c r="AB5" s="17">
        <v>0</v>
      </c>
      <c r="AC5" s="15">
        <f t="shared" si="7"/>
        <v>0</v>
      </c>
      <c r="AD5" s="17">
        <v>0</v>
      </c>
      <c r="AE5" s="17">
        <v>0</v>
      </c>
      <c r="AF5" s="15">
        <f t="shared" si="8"/>
        <v>0</v>
      </c>
      <c r="AG5" s="17">
        <v>0</v>
      </c>
      <c r="AH5" s="17">
        <v>0</v>
      </c>
      <c r="AI5" s="15">
        <f t="shared" si="9"/>
        <v>0</v>
      </c>
      <c r="AJ5" s="17"/>
    </row>
    <row r="6" spans="1:36" hidden="1" x14ac:dyDescent="0.3">
      <c r="A6" s="15" t="s">
        <v>59</v>
      </c>
      <c r="B6" s="15">
        <v>100</v>
      </c>
      <c r="C6" s="15" t="s">
        <v>54</v>
      </c>
      <c r="D6" s="15" t="s">
        <v>55</v>
      </c>
      <c r="E6" s="15">
        <f>'31-july-2026'!T6</f>
        <v>0</v>
      </c>
      <c r="F6" s="15">
        <f>'31-july-2026'!U6</f>
        <v>38</v>
      </c>
      <c r="G6" s="15">
        <f>'31-july-2026'!V6</f>
        <v>40</v>
      </c>
      <c r="H6" s="15">
        <f t="shared" si="0"/>
        <v>78</v>
      </c>
      <c r="I6" s="17">
        <v>0</v>
      </c>
      <c r="J6" s="17">
        <v>0</v>
      </c>
      <c r="K6" s="17">
        <v>0</v>
      </c>
      <c r="L6" s="17">
        <v>0</v>
      </c>
      <c r="M6" s="17">
        <v>8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5">
        <f t="shared" si="1"/>
        <v>70</v>
      </c>
      <c r="T6" s="15">
        <f t="shared" si="2"/>
        <v>0</v>
      </c>
      <c r="U6" s="15">
        <f t="shared" si="3"/>
        <v>30</v>
      </c>
      <c r="V6" s="15">
        <f t="shared" si="4"/>
        <v>40</v>
      </c>
      <c r="W6" s="18" t="str">
        <f t="shared" si="5"/>
        <v/>
      </c>
      <c r="X6" s="17">
        <v>0</v>
      </c>
      <c r="Y6" s="17">
        <v>0</v>
      </c>
      <c r="Z6" s="15">
        <f t="shared" si="6"/>
        <v>0</v>
      </c>
      <c r="AA6" s="17">
        <v>0</v>
      </c>
      <c r="AB6" s="17">
        <v>0</v>
      </c>
      <c r="AC6" s="15">
        <f t="shared" si="7"/>
        <v>0</v>
      </c>
      <c r="AD6" s="17">
        <v>0</v>
      </c>
      <c r="AE6" s="17">
        <v>0</v>
      </c>
      <c r="AF6" s="15">
        <f t="shared" si="8"/>
        <v>0</v>
      </c>
      <c r="AG6" s="17">
        <v>0</v>
      </c>
      <c r="AH6" s="17">
        <v>0</v>
      </c>
      <c r="AI6" s="15">
        <f t="shared" si="9"/>
        <v>0</v>
      </c>
      <c r="AJ6" s="17"/>
    </row>
    <row r="7" spans="1:36" hidden="1" x14ac:dyDescent="0.3">
      <c r="A7" s="15" t="s">
        <v>60</v>
      </c>
      <c r="B7" s="15">
        <v>100</v>
      </c>
      <c r="C7" s="15" t="s">
        <v>54</v>
      </c>
      <c r="D7" s="15" t="s">
        <v>55</v>
      </c>
      <c r="E7" s="15">
        <f>'31-july-2026'!T7</f>
        <v>0</v>
      </c>
      <c r="F7" s="15">
        <f>'31-july-2026'!U7</f>
        <v>20</v>
      </c>
      <c r="G7" s="15">
        <f>'31-july-2026'!V7</f>
        <v>0</v>
      </c>
      <c r="H7" s="15">
        <f t="shared" si="0"/>
        <v>20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5">
        <f t="shared" si="1"/>
        <v>20</v>
      </c>
      <c r="T7" s="15">
        <f t="shared" si="2"/>
        <v>0</v>
      </c>
      <c r="U7" s="15">
        <f t="shared" si="3"/>
        <v>20</v>
      </c>
      <c r="V7" s="15">
        <f t="shared" si="4"/>
        <v>0</v>
      </c>
      <c r="W7" s="18" t="str">
        <f t="shared" si="5"/>
        <v/>
      </c>
      <c r="X7" s="17">
        <v>0</v>
      </c>
      <c r="Y7" s="17">
        <v>0</v>
      </c>
      <c r="Z7" s="15">
        <f t="shared" si="6"/>
        <v>0</v>
      </c>
      <c r="AA7" s="17">
        <v>0</v>
      </c>
      <c r="AB7" s="17">
        <v>0</v>
      </c>
      <c r="AC7" s="15">
        <f t="shared" si="7"/>
        <v>0</v>
      </c>
      <c r="AD7" s="17">
        <v>0</v>
      </c>
      <c r="AE7" s="17">
        <v>0</v>
      </c>
      <c r="AF7" s="15">
        <f t="shared" si="8"/>
        <v>0</v>
      </c>
      <c r="AG7" s="17">
        <v>0</v>
      </c>
      <c r="AH7" s="17">
        <v>0</v>
      </c>
      <c r="AI7" s="15">
        <f t="shared" si="9"/>
        <v>0</v>
      </c>
      <c r="AJ7" s="17"/>
    </row>
    <row r="8" spans="1:36" hidden="1" x14ac:dyDescent="0.3">
      <c r="A8" s="15" t="s">
        <v>61</v>
      </c>
      <c r="B8" s="15">
        <v>100</v>
      </c>
      <c r="C8" s="15" t="s">
        <v>54</v>
      </c>
      <c r="D8" s="15" t="s">
        <v>55</v>
      </c>
      <c r="E8" s="15">
        <f>'31-july-2026'!T8</f>
        <v>5</v>
      </c>
      <c r="F8" s="15">
        <f>'31-july-2026'!U8</f>
        <v>17</v>
      </c>
      <c r="G8" s="15">
        <f>'31-july-2026'!V8</f>
        <v>0</v>
      </c>
      <c r="H8" s="15">
        <f t="shared" si="0"/>
        <v>22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5">
        <f t="shared" si="1"/>
        <v>22</v>
      </c>
      <c r="T8" s="15">
        <f t="shared" si="2"/>
        <v>5</v>
      </c>
      <c r="U8" s="15">
        <f t="shared" si="3"/>
        <v>17</v>
      </c>
      <c r="V8" s="15">
        <f t="shared" si="4"/>
        <v>0</v>
      </c>
      <c r="W8" s="18" t="str">
        <f t="shared" si="5"/>
        <v/>
      </c>
      <c r="X8" s="17">
        <v>0</v>
      </c>
      <c r="Y8" s="17">
        <v>0</v>
      </c>
      <c r="Z8" s="15">
        <f t="shared" si="6"/>
        <v>0</v>
      </c>
      <c r="AA8" s="17">
        <v>0</v>
      </c>
      <c r="AB8" s="17">
        <v>0</v>
      </c>
      <c r="AC8" s="15">
        <f t="shared" si="7"/>
        <v>0</v>
      </c>
      <c r="AD8" s="17">
        <v>0</v>
      </c>
      <c r="AE8" s="17">
        <v>0</v>
      </c>
      <c r="AF8" s="15">
        <f t="shared" si="8"/>
        <v>0</v>
      </c>
      <c r="AG8" s="17">
        <v>0</v>
      </c>
      <c r="AH8" s="17">
        <v>0</v>
      </c>
      <c r="AI8" s="15">
        <f t="shared" si="9"/>
        <v>0</v>
      </c>
      <c r="AJ8" s="17"/>
    </row>
    <row r="9" spans="1:36" hidden="1" x14ac:dyDescent="0.3">
      <c r="A9" s="15" t="s">
        <v>62</v>
      </c>
      <c r="B9" s="15">
        <v>100</v>
      </c>
      <c r="C9" s="15" t="s">
        <v>54</v>
      </c>
      <c r="D9" s="15" t="s">
        <v>55</v>
      </c>
      <c r="E9" s="15">
        <f>'31-july-2026'!T9</f>
        <v>0</v>
      </c>
      <c r="F9" s="15">
        <f>'31-july-2026'!U9</f>
        <v>0</v>
      </c>
      <c r="G9" s="15">
        <f>'31-july-2026'!V9</f>
        <v>1</v>
      </c>
      <c r="H9" s="15">
        <f t="shared" si="0"/>
        <v>1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5">
        <f t="shared" si="1"/>
        <v>1</v>
      </c>
      <c r="T9" s="15">
        <f t="shared" si="2"/>
        <v>0</v>
      </c>
      <c r="U9" s="15">
        <f t="shared" si="3"/>
        <v>0</v>
      </c>
      <c r="V9" s="15">
        <f t="shared" si="4"/>
        <v>1</v>
      </c>
      <c r="W9" s="18" t="str">
        <f t="shared" si="5"/>
        <v/>
      </c>
      <c r="X9" s="17">
        <v>0</v>
      </c>
      <c r="Y9" s="17">
        <v>0</v>
      </c>
      <c r="Z9" s="15">
        <f t="shared" si="6"/>
        <v>0</v>
      </c>
      <c r="AA9" s="17">
        <v>0</v>
      </c>
      <c r="AB9" s="17">
        <v>0</v>
      </c>
      <c r="AC9" s="15">
        <f t="shared" si="7"/>
        <v>0</v>
      </c>
      <c r="AD9" s="17">
        <v>0</v>
      </c>
      <c r="AE9" s="17">
        <v>0</v>
      </c>
      <c r="AF9" s="15">
        <f t="shared" si="8"/>
        <v>0</v>
      </c>
      <c r="AG9" s="17">
        <v>0</v>
      </c>
      <c r="AH9" s="17">
        <v>0</v>
      </c>
      <c r="AI9" s="15">
        <f t="shared" si="9"/>
        <v>0</v>
      </c>
      <c r="AJ9" s="17"/>
    </row>
    <row r="10" spans="1:36" hidden="1" x14ac:dyDescent="0.3">
      <c r="A10" s="15" t="s">
        <v>62</v>
      </c>
      <c r="B10" s="15">
        <v>500</v>
      </c>
      <c r="C10" s="15" t="s">
        <v>54</v>
      </c>
      <c r="D10" s="15" t="s">
        <v>55</v>
      </c>
      <c r="E10" s="15">
        <f>'31-july-2026'!T10</f>
        <v>-2</v>
      </c>
      <c r="F10" s="15">
        <f>'31-july-2026'!U10</f>
        <v>0</v>
      </c>
      <c r="G10" s="15">
        <f>'31-july-2026'!V10</f>
        <v>0</v>
      </c>
      <c r="H10" s="15">
        <f t="shared" si="0"/>
        <v>-2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5">
        <f t="shared" si="1"/>
        <v>-2</v>
      </c>
      <c r="T10" s="15">
        <f t="shared" si="2"/>
        <v>-2</v>
      </c>
      <c r="U10" s="15">
        <f t="shared" si="3"/>
        <v>0</v>
      </c>
      <c r="V10" s="15">
        <f t="shared" si="4"/>
        <v>0</v>
      </c>
      <c r="W10" s="18" t="str">
        <f t="shared" si="5"/>
        <v>NEGATIVE STOCK - CHECK ENTRIES</v>
      </c>
      <c r="X10" s="17">
        <v>0</v>
      </c>
      <c r="Y10" s="17">
        <v>0</v>
      </c>
      <c r="Z10" s="15">
        <f t="shared" si="6"/>
        <v>0</v>
      </c>
      <c r="AA10" s="17">
        <v>0</v>
      </c>
      <c r="AB10" s="17">
        <v>0</v>
      </c>
      <c r="AC10" s="15">
        <f t="shared" si="7"/>
        <v>0</v>
      </c>
      <c r="AD10" s="17">
        <v>0</v>
      </c>
      <c r="AE10" s="17">
        <v>0</v>
      </c>
      <c r="AF10" s="15">
        <f t="shared" si="8"/>
        <v>0</v>
      </c>
      <c r="AG10" s="17">
        <v>0</v>
      </c>
      <c r="AH10" s="17">
        <v>0</v>
      </c>
      <c r="AI10" s="15">
        <f t="shared" si="9"/>
        <v>0</v>
      </c>
      <c r="AJ10" s="17"/>
    </row>
    <row r="11" spans="1:36" hidden="1" x14ac:dyDescent="0.3">
      <c r="A11" s="15" t="s">
        <v>63</v>
      </c>
      <c r="B11" s="15">
        <v>100</v>
      </c>
      <c r="C11" s="15" t="s">
        <v>54</v>
      </c>
      <c r="D11" s="15" t="s">
        <v>55</v>
      </c>
      <c r="E11" s="15">
        <f>'31-july-2026'!T11</f>
        <v>330</v>
      </c>
      <c r="F11" s="15">
        <f>'31-july-2026'!U11</f>
        <v>195</v>
      </c>
      <c r="G11" s="15">
        <f>'31-july-2026'!V11</f>
        <v>16</v>
      </c>
      <c r="H11" s="15">
        <f t="shared" si="0"/>
        <v>541</v>
      </c>
      <c r="I11" s="17">
        <v>0</v>
      </c>
      <c r="J11" s="17">
        <v>0</v>
      </c>
      <c r="K11" s="17">
        <v>0</v>
      </c>
      <c r="L11" s="17">
        <v>0</v>
      </c>
      <c r="M11" s="17">
        <v>17</v>
      </c>
      <c r="N11" s="17">
        <v>0</v>
      </c>
      <c r="O11" s="17">
        <v>0</v>
      </c>
      <c r="P11" s="17">
        <v>0</v>
      </c>
      <c r="Q11" s="17">
        <v>0</v>
      </c>
      <c r="R11" s="17">
        <v>17</v>
      </c>
      <c r="S11" s="15">
        <f t="shared" si="1"/>
        <v>541</v>
      </c>
      <c r="T11" s="15">
        <f t="shared" si="2"/>
        <v>330</v>
      </c>
      <c r="U11" s="15">
        <f t="shared" si="3"/>
        <v>178</v>
      </c>
      <c r="V11" s="15">
        <f t="shared" si="4"/>
        <v>16</v>
      </c>
      <c r="W11" s="18" t="str">
        <f t="shared" si="5"/>
        <v/>
      </c>
      <c r="X11" s="17">
        <v>0</v>
      </c>
      <c r="Y11" s="17">
        <v>0</v>
      </c>
      <c r="Z11" s="15">
        <f t="shared" si="6"/>
        <v>0</v>
      </c>
      <c r="AA11" s="17">
        <v>0</v>
      </c>
      <c r="AB11" s="17">
        <v>0</v>
      </c>
      <c r="AC11" s="15">
        <f t="shared" si="7"/>
        <v>0</v>
      </c>
      <c r="AD11" s="17">
        <v>0</v>
      </c>
      <c r="AE11" s="17">
        <v>0</v>
      </c>
      <c r="AF11" s="15">
        <f t="shared" si="8"/>
        <v>0</v>
      </c>
      <c r="AG11" s="17">
        <v>0</v>
      </c>
      <c r="AH11" s="17">
        <v>0</v>
      </c>
      <c r="AI11" s="15">
        <f t="shared" si="9"/>
        <v>0</v>
      </c>
      <c r="AJ11" s="17"/>
    </row>
    <row r="12" spans="1:36" hidden="1" x14ac:dyDescent="0.3">
      <c r="A12" s="15" t="s">
        <v>64</v>
      </c>
      <c r="B12" s="15">
        <v>500</v>
      </c>
      <c r="C12" s="15" t="s">
        <v>54</v>
      </c>
      <c r="D12" s="15" t="s">
        <v>55</v>
      </c>
      <c r="E12" s="15">
        <f>'31-july-2026'!T12</f>
        <v>8</v>
      </c>
      <c r="F12" s="15">
        <f>'31-july-2026'!U12</f>
        <v>0</v>
      </c>
      <c r="G12" s="15">
        <f>'31-july-2026'!V12</f>
        <v>0</v>
      </c>
      <c r="H12" s="15">
        <f t="shared" si="0"/>
        <v>8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5">
        <f t="shared" si="1"/>
        <v>8</v>
      </c>
      <c r="T12" s="15">
        <f t="shared" si="2"/>
        <v>8</v>
      </c>
      <c r="U12" s="15">
        <f t="shared" si="3"/>
        <v>0</v>
      </c>
      <c r="V12" s="15">
        <f t="shared" si="4"/>
        <v>0</v>
      </c>
      <c r="W12" s="18" t="str">
        <f t="shared" si="5"/>
        <v/>
      </c>
      <c r="X12" s="17">
        <v>0</v>
      </c>
      <c r="Y12" s="17">
        <v>0</v>
      </c>
      <c r="Z12" s="15">
        <f t="shared" si="6"/>
        <v>0</v>
      </c>
      <c r="AA12" s="17">
        <v>0</v>
      </c>
      <c r="AB12" s="17">
        <v>0</v>
      </c>
      <c r="AC12" s="15">
        <f t="shared" si="7"/>
        <v>0</v>
      </c>
      <c r="AD12" s="17">
        <v>0</v>
      </c>
      <c r="AE12" s="17">
        <v>0</v>
      </c>
      <c r="AF12" s="15">
        <f t="shared" si="8"/>
        <v>0</v>
      </c>
      <c r="AG12" s="17">
        <v>0</v>
      </c>
      <c r="AH12" s="17">
        <v>0</v>
      </c>
      <c r="AI12" s="15">
        <f t="shared" si="9"/>
        <v>0</v>
      </c>
      <c r="AJ12" s="17"/>
    </row>
    <row r="13" spans="1:36" hidden="1" x14ac:dyDescent="0.3">
      <c r="A13" s="15" t="s">
        <v>65</v>
      </c>
      <c r="B13" s="15">
        <v>100</v>
      </c>
      <c r="C13" s="15" t="s">
        <v>54</v>
      </c>
      <c r="D13" s="15" t="s">
        <v>55</v>
      </c>
      <c r="E13" s="15">
        <f>'31-july-2026'!T13</f>
        <v>4833</v>
      </c>
      <c r="F13" s="15">
        <f>'31-july-2026'!U13</f>
        <v>731</v>
      </c>
      <c r="G13" s="15">
        <f>'31-july-2026'!V13</f>
        <v>364</v>
      </c>
      <c r="H13" s="15">
        <f t="shared" si="0"/>
        <v>5928</v>
      </c>
      <c r="I13" s="17">
        <v>21</v>
      </c>
      <c r="J13" s="17">
        <v>0</v>
      </c>
      <c r="K13" s="17">
        <v>200</v>
      </c>
      <c r="L13" s="17">
        <v>272</v>
      </c>
      <c r="M13" s="17">
        <v>0</v>
      </c>
      <c r="N13" s="17">
        <v>0</v>
      </c>
      <c r="O13" s="17">
        <v>0</v>
      </c>
      <c r="P13" s="17">
        <v>0</v>
      </c>
      <c r="Q13" s="17">
        <v>240</v>
      </c>
      <c r="R13" s="17">
        <v>0</v>
      </c>
      <c r="S13" s="15">
        <f t="shared" si="1"/>
        <v>5675</v>
      </c>
      <c r="T13" s="15">
        <f t="shared" si="2"/>
        <v>4540</v>
      </c>
      <c r="U13" s="15">
        <f t="shared" si="3"/>
        <v>731</v>
      </c>
      <c r="V13" s="15">
        <f t="shared" si="4"/>
        <v>404</v>
      </c>
      <c r="W13" s="18" t="str">
        <f t="shared" si="5"/>
        <v/>
      </c>
      <c r="X13" s="17">
        <v>0</v>
      </c>
      <c r="Y13" s="17">
        <v>0</v>
      </c>
      <c r="Z13" s="15">
        <f t="shared" si="6"/>
        <v>0</v>
      </c>
      <c r="AA13" s="17">
        <v>0</v>
      </c>
      <c r="AB13" s="17">
        <v>0</v>
      </c>
      <c r="AC13" s="15">
        <f t="shared" si="7"/>
        <v>0</v>
      </c>
      <c r="AD13" s="17">
        <v>0</v>
      </c>
      <c r="AE13" s="17">
        <v>0</v>
      </c>
      <c r="AF13" s="15">
        <f t="shared" si="8"/>
        <v>0</v>
      </c>
      <c r="AG13" s="17">
        <v>0</v>
      </c>
      <c r="AH13" s="17">
        <v>0</v>
      </c>
      <c r="AI13" s="15">
        <f t="shared" si="9"/>
        <v>0</v>
      </c>
      <c r="AJ13" s="17"/>
    </row>
    <row r="14" spans="1:36" hidden="1" x14ac:dyDescent="0.3">
      <c r="A14" s="15" t="s">
        <v>65</v>
      </c>
      <c r="B14" s="15">
        <v>500</v>
      </c>
      <c r="C14" s="15" t="s">
        <v>54</v>
      </c>
      <c r="D14" s="15" t="s">
        <v>55</v>
      </c>
      <c r="E14" s="15">
        <f>'31-july-2026'!T14</f>
        <v>0</v>
      </c>
      <c r="F14" s="15">
        <f>'31-july-2026'!U14</f>
        <v>0</v>
      </c>
      <c r="G14" s="15">
        <f>'31-july-2026'!V14</f>
        <v>21</v>
      </c>
      <c r="H14" s="15">
        <f t="shared" si="0"/>
        <v>21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5">
        <f t="shared" si="1"/>
        <v>21</v>
      </c>
      <c r="T14" s="15">
        <f t="shared" si="2"/>
        <v>0</v>
      </c>
      <c r="U14" s="15">
        <f t="shared" si="3"/>
        <v>0</v>
      </c>
      <c r="V14" s="15">
        <f t="shared" si="4"/>
        <v>21</v>
      </c>
      <c r="W14" s="18" t="str">
        <f t="shared" si="5"/>
        <v/>
      </c>
      <c r="X14" s="17">
        <v>0</v>
      </c>
      <c r="Y14" s="17">
        <v>0</v>
      </c>
      <c r="Z14" s="15">
        <f t="shared" si="6"/>
        <v>0</v>
      </c>
      <c r="AA14" s="17">
        <v>0</v>
      </c>
      <c r="AB14" s="17">
        <v>0</v>
      </c>
      <c r="AC14" s="15">
        <f t="shared" si="7"/>
        <v>0</v>
      </c>
      <c r="AD14" s="17">
        <v>0</v>
      </c>
      <c r="AE14" s="17">
        <v>0</v>
      </c>
      <c r="AF14" s="15">
        <f t="shared" si="8"/>
        <v>0</v>
      </c>
      <c r="AG14" s="17">
        <v>0</v>
      </c>
      <c r="AH14" s="17">
        <v>0</v>
      </c>
      <c r="AI14" s="15">
        <f t="shared" si="9"/>
        <v>0</v>
      </c>
      <c r="AJ14" s="17"/>
    </row>
    <row r="15" spans="1:36" hidden="1" x14ac:dyDescent="0.3">
      <c r="A15" s="15" t="s">
        <v>66</v>
      </c>
      <c r="B15" s="15">
        <v>100</v>
      </c>
      <c r="C15" s="15" t="s">
        <v>54</v>
      </c>
      <c r="D15" s="15" t="s">
        <v>55</v>
      </c>
      <c r="E15" s="15">
        <f>'31-july-2026'!T15</f>
        <v>58</v>
      </c>
      <c r="F15" s="15">
        <f>'31-july-2026'!U15</f>
        <v>41</v>
      </c>
      <c r="G15" s="15">
        <f>'31-july-2026'!V15</f>
        <v>14</v>
      </c>
      <c r="H15" s="15">
        <f t="shared" si="0"/>
        <v>113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5">
        <f t="shared" si="1"/>
        <v>113</v>
      </c>
      <c r="T15" s="15">
        <f t="shared" si="2"/>
        <v>58</v>
      </c>
      <c r="U15" s="15">
        <f t="shared" si="3"/>
        <v>41</v>
      </c>
      <c r="V15" s="15">
        <f t="shared" si="4"/>
        <v>14</v>
      </c>
      <c r="W15" s="18" t="str">
        <f t="shared" si="5"/>
        <v/>
      </c>
      <c r="X15" s="17">
        <v>0</v>
      </c>
      <c r="Y15" s="17">
        <v>0</v>
      </c>
      <c r="Z15" s="15">
        <f t="shared" si="6"/>
        <v>0</v>
      </c>
      <c r="AA15" s="17">
        <v>0</v>
      </c>
      <c r="AB15" s="17">
        <v>0</v>
      </c>
      <c r="AC15" s="15">
        <f t="shared" si="7"/>
        <v>0</v>
      </c>
      <c r="AD15" s="17">
        <v>0</v>
      </c>
      <c r="AE15" s="17">
        <v>0</v>
      </c>
      <c r="AF15" s="15">
        <f t="shared" si="8"/>
        <v>0</v>
      </c>
      <c r="AG15" s="17">
        <v>0</v>
      </c>
      <c r="AH15" s="17">
        <v>0</v>
      </c>
      <c r="AI15" s="15">
        <f t="shared" si="9"/>
        <v>0</v>
      </c>
      <c r="AJ15" s="17"/>
    </row>
    <row r="16" spans="1:36" hidden="1" x14ac:dyDescent="0.3">
      <c r="A16" s="15" t="s">
        <v>66</v>
      </c>
      <c r="B16" s="15">
        <v>1000</v>
      </c>
      <c r="C16" s="15" t="s">
        <v>54</v>
      </c>
      <c r="D16" s="15" t="s">
        <v>55</v>
      </c>
      <c r="E16" s="15">
        <f>'31-july-2026'!T16</f>
        <v>1</v>
      </c>
      <c r="F16" s="15">
        <f>'31-july-2026'!U16</f>
        <v>0</v>
      </c>
      <c r="G16" s="15">
        <f>'31-july-2026'!V16</f>
        <v>0</v>
      </c>
      <c r="H16" s="15">
        <f t="shared" si="0"/>
        <v>1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5">
        <f t="shared" si="1"/>
        <v>1</v>
      </c>
      <c r="T16" s="15">
        <f t="shared" si="2"/>
        <v>1</v>
      </c>
      <c r="U16" s="15">
        <f t="shared" si="3"/>
        <v>0</v>
      </c>
      <c r="V16" s="15">
        <f t="shared" si="4"/>
        <v>0</v>
      </c>
      <c r="W16" s="18" t="str">
        <f t="shared" si="5"/>
        <v/>
      </c>
      <c r="X16" s="17">
        <v>0</v>
      </c>
      <c r="Y16" s="17">
        <v>0</v>
      </c>
      <c r="Z16" s="15">
        <f t="shared" si="6"/>
        <v>0</v>
      </c>
      <c r="AA16" s="17">
        <v>0</v>
      </c>
      <c r="AB16" s="17">
        <v>0</v>
      </c>
      <c r="AC16" s="15">
        <f t="shared" si="7"/>
        <v>0</v>
      </c>
      <c r="AD16" s="17">
        <v>0</v>
      </c>
      <c r="AE16" s="17">
        <v>0</v>
      </c>
      <c r="AF16" s="15">
        <f t="shared" si="8"/>
        <v>0</v>
      </c>
      <c r="AG16" s="17">
        <v>0</v>
      </c>
      <c r="AH16" s="17">
        <v>0</v>
      </c>
      <c r="AI16" s="15">
        <f t="shared" si="9"/>
        <v>0</v>
      </c>
      <c r="AJ16" s="17"/>
    </row>
    <row r="17" spans="1:36" x14ac:dyDescent="0.3">
      <c r="A17" s="15" t="s">
        <v>67</v>
      </c>
      <c r="B17" s="15">
        <v>1000</v>
      </c>
      <c r="C17" s="15" t="s">
        <v>54</v>
      </c>
      <c r="D17" s="15" t="s">
        <v>68</v>
      </c>
      <c r="E17" s="15">
        <f>'31-july-2026'!T17</f>
        <v>3</v>
      </c>
      <c r="F17" s="15">
        <f>'31-july-2026'!U17</f>
        <v>0</v>
      </c>
      <c r="G17" s="15">
        <f>'31-july-2026'!V17</f>
        <v>0</v>
      </c>
      <c r="H17" s="15">
        <f t="shared" si="0"/>
        <v>3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5">
        <f t="shared" si="1"/>
        <v>3</v>
      </c>
      <c r="T17" s="15">
        <f t="shared" si="2"/>
        <v>3</v>
      </c>
      <c r="U17" s="15">
        <f t="shared" si="3"/>
        <v>0</v>
      </c>
      <c r="V17" s="15">
        <f t="shared" si="4"/>
        <v>0</v>
      </c>
      <c r="W17" s="18" t="str">
        <f t="shared" si="5"/>
        <v/>
      </c>
      <c r="X17" s="17">
        <v>0</v>
      </c>
      <c r="Y17" s="17">
        <v>0</v>
      </c>
      <c r="Z17" s="15">
        <f t="shared" si="6"/>
        <v>0</v>
      </c>
      <c r="AA17" s="17">
        <v>0</v>
      </c>
      <c r="AB17" s="17">
        <v>0</v>
      </c>
      <c r="AC17" s="15">
        <f t="shared" si="7"/>
        <v>0</v>
      </c>
      <c r="AD17" s="17">
        <v>0</v>
      </c>
      <c r="AE17" s="17">
        <v>0</v>
      </c>
      <c r="AF17" s="15">
        <f t="shared" si="8"/>
        <v>0</v>
      </c>
      <c r="AG17" s="17">
        <v>0</v>
      </c>
      <c r="AH17" s="17">
        <v>0</v>
      </c>
      <c r="AI17" s="15">
        <f t="shared" si="9"/>
        <v>0</v>
      </c>
      <c r="AJ17" s="17"/>
    </row>
    <row r="18" spans="1:36" x14ac:dyDescent="0.3">
      <c r="A18" s="15" t="s">
        <v>69</v>
      </c>
      <c r="B18" s="15">
        <v>100000</v>
      </c>
      <c r="C18" s="15" t="s">
        <v>54</v>
      </c>
      <c r="D18" s="15" t="s">
        <v>68</v>
      </c>
      <c r="E18" s="15">
        <f>'31-july-2026'!T18</f>
        <v>2</v>
      </c>
      <c r="F18" s="15">
        <f>'31-july-2026'!U18</f>
        <v>0</v>
      </c>
      <c r="G18" s="15">
        <f>'31-july-2026'!V18</f>
        <v>0</v>
      </c>
      <c r="H18" s="15">
        <f t="shared" si="0"/>
        <v>2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5">
        <f t="shared" si="1"/>
        <v>2</v>
      </c>
      <c r="T18" s="15">
        <f t="shared" si="2"/>
        <v>2</v>
      </c>
      <c r="U18" s="15">
        <f t="shared" si="3"/>
        <v>0</v>
      </c>
      <c r="V18" s="15">
        <f t="shared" si="4"/>
        <v>0</v>
      </c>
      <c r="W18" s="18" t="str">
        <f t="shared" si="5"/>
        <v/>
      </c>
      <c r="X18" s="17">
        <v>0</v>
      </c>
      <c r="Y18" s="17">
        <v>0</v>
      </c>
      <c r="Z18" s="15">
        <f t="shared" si="6"/>
        <v>0</v>
      </c>
      <c r="AA18" s="17">
        <v>0</v>
      </c>
      <c r="AB18" s="17">
        <v>0</v>
      </c>
      <c r="AC18" s="15">
        <f t="shared" si="7"/>
        <v>0</v>
      </c>
      <c r="AD18" s="17">
        <v>0</v>
      </c>
      <c r="AE18" s="17">
        <v>0</v>
      </c>
      <c r="AF18" s="15">
        <f t="shared" si="8"/>
        <v>0</v>
      </c>
      <c r="AG18" s="17">
        <v>0</v>
      </c>
      <c r="AH18" s="17">
        <v>0</v>
      </c>
      <c r="AI18" s="15">
        <f t="shared" si="9"/>
        <v>0</v>
      </c>
      <c r="AJ18" s="17"/>
    </row>
    <row r="19" spans="1:36" hidden="1" x14ac:dyDescent="0.3">
      <c r="A19" s="15" t="s">
        <v>70</v>
      </c>
      <c r="B19" s="15">
        <v>1000</v>
      </c>
      <c r="C19" s="15" t="s">
        <v>54</v>
      </c>
      <c r="D19" s="15" t="s">
        <v>55</v>
      </c>
      <c r="E19" s="15">
        <f>'31-july-2026'!T19</f>
        <v>8</v>
      </c>
      <c r="F19" s="15">
        <f>'31-july-2026'!U19</f>
        <v>0</v>
      </c>
      <c r="G19" s="15">
        <f>'31-july-2026'!V19</f>
        <v>0</v>
      </c>
      <c r="H19" s="15">
        <f t="shared" si="0"/>
        <v>8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5">
        <f t="shared" si="1"/>
        <v>8</v>
      </c>
      <c r="T19" s="15">
        <f t="shared" si="2"/>
        <v>8</v>
      </c>
      <c r="U19" s="15">
        <f t="shared" si="3"/>
        <v>0</v>
      </c>
      <c r="V19" s="15">
        <f t="shared" si="4"/>
        <v>0</v>
      </c>
      <c r="W19" s="18" t="str">
        <f t="shared" si="5"/>
        <v/>
      </c>
      <c r="X19" s="17">
        <v>0</v>
      </c>
      <c r="Y19" s="17">
        <v>0</v>
      </c>
      <c r="Z19" s="15">
        <f t="shared" si="6"/>
        <v>0</v>
      </c>
      <c r="AA19" s="17">
        <v>0</v>
      </c>
      <c r="AB19" s="17">
        <v>0</v>
      </c>
      <c r="AC19" s="15">
        <f t="shared" si="7"/>
        <v>0</v>
      </c>
      <c r="AD19" s="17">
        <v>0</v>
      </c>
      <c r="AE19" s="17">
        <v>0</v>
      </c>
      <c r="AF19" s="15">
        <f t="shared" si="8"/>
        <v>0</v>
      </c>
      <c r="AG19" s="17">
        <v>0</v>
      </c>
      <c r="AH19" s="17">
        <v>0</v>
      </c>
      <c r="AI19" s="15">
        <f t="shared" si="9"/>
        <v>0</v>
      </c>
      <c r="AJ19" s="17"/>
    </row>
    <row r="20" spans="1:36" x14ac:dyDescent="0.3">
      <c r="A20" s="15" t="s">
        <v>70</v>
      </c>
      <c r="B20" s="15">
        <v>1000</v>
      </c>
      <c r="C20" s="15" t="s">
        <v>54</v>
      </c>
      <c r="D20" s="15" t="s">
        <v>57</v>
      </c>
      <c r="E20" s="15">
        <f>'31-july-2026'!T20</f>
        <v>1</v>
      </c>
      <c r="F20" s="15">
        <f>'31-july-2026'!U20</f>
        <v>0</v>
      </c>
      <c r="G20" s="15">
        <f>'31-july-2026'!V20</f>
        <v>0</v>
      </c>
      <c r="H20" s="15">
        <f t="shared" si="0"/>
        <v>1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5">
        <f t="shared" si="1"/>
        <v>1</v>
      </c>
      <c r="T20" s="15">
        <f t="shared" si="2"/>
        <v>1</v>
      </c>
      <c r="U20" s="15">
        <f t="shared" si="3"/>
        <v>0</v>
      </c>
      <c r="V20" s="15">
        <f t="shared" si="4"/>
        <v>0</v>
      </c>
      <c r="W20" s="18" t="str">
        <f t="shared" si="5"/>
        <v/>
      </c>
      <c r="X20" s="17">
        <v>0</v>
      </c>
      <c r="Y20" s="17">
        <v>0</v>
      </c>
      <c r="Z20" s="15">
        <f t="shared" si="6"/>
        <v>0</v>
      </c>
      <c r="AA20" s="17">
        <v>0</v>
      </c>
      <c r="AB20" s="17">
        <v>0</v>
      </c>
      <c r="AC20" s="15">
        <f t="shared" si="7"/>
        <v>0</v>
      </c>
      <c r="AD20" s="17">
        <v>0</v>
      </c>
      <c r="AE20" s="17">
        <v>0</v>
      </c>
      <c r="AF20" s="15">
        <f t="shared" si="8"/>
        <v>0</v>
      </c>
      <c r="AG20" s="17">
        <v>0</v>
      </c>
      <c r="AH20" s="17">
        <v>0</v>
      </c>
      <c r="AI20" s="15">
        <f t="shared" si="9"/>
        <v>0</v>
      </c>
      <c r="AJ20" s="17"/>
    </row>
    <row r="21" spans="1:36" hidden="1" x14ac:dyDescent="0.3">
      <c r="A21" s="15" t="s">
        <v>71</v>
      </c>
      <c r="B21" s="15">
        <v>100</v>
      </c>
      <c r="C21" s="15" t="s">
        <v>54</v>
      </c>
      <c r="D21" s="15" t="s">
        <v>55</v>
      </c>
      <c r="E21" s="15">
        <f>'31-july-2026'!T21</f>
        <v>4</v>
      </c>
      <c r="F21" s="15">
        <f>'31-july-2026'!U21</f>
        <v>0</v>
      </c>
      <c r="G21" s="15">
        <f>'31-july-2026'!V21</f>
        <v>0</v>
      </c>
      <c r="H21" s="15">
        <f t="shared" si="0"/>
        <v>4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5">
        <f t="shared" si="1"/>
        <v>4</v>
      </c>
      <c r="T21" s="15">
        <f t="shared" si="2"/>
        <v>4</v>
      </c>
      <c r="U21" s="15">
        <f t="shared" si="3"/>
        <v>0</v>
      </c>
      <c r="V21" s="15">
        <f t="shared" si="4"/>
        <v>0</v>
      </c>
      <c r="W21" s="18" t="str">
        <f t="shared" si="5"/>
        <v/>
      </c>
      <c r="X21" s="17">
        <v>0</v>
      </c>
      <c r="Y21" s="17">
        <v>0</v>
      </c>
      <c r="Z21" s="15">
        <f t="shared" si="6"/>
        <v>0</v>
      </c>
      <c r="AA21" s="17">
        <v>0</v>
      </c>
      <c r="AB21" s="17">
        <v>0</v>
      </c>
      <c r="AC21" s="15">
        <f t="shared" si="7"/>
        <v>0</v>
      </c>
      <c r="AD21" s="17">
        <v>0</v>
      </c>
      <c r="AE21" s="17">
        <v>0</v>
      </c>
      <c r="AF21" s="15">
        <f t="shared" si="8"/>
        <v>0</v>
      </c>
      <c r="AG21" s="17">
        <v>0</v>
      </c>
      <c r="AH21" s="17">
        <v>0</v>
      </c>
      <c r="AI21" s="15">
        <f t="shared" si="9"/>
        <v>0</v>
      </c>
      <c r="AJ21" s="17"/>
    </row>
    <row r="22" spans="1:36" hidden="1" x14ac:dyDescent="0.3">
      <c r="A22" s="15" t="s">
        <v>71</v>
      </c>
      <c r="B22" s="15">
        <v>1000</v>
      </c>
      <c r="C22" s="15" t="s">
        <v>54</v>
      </c>
      <c r="D22" s="15" t="s">
        <v>55</v>
      </c>
      <c r="E22" s="15">
        <f>'31-july-2026'!T22</f>
        <v>8</v>
      </c>
      <c r="F22" s="15">
        <f>'31-july-2026'!U22</f>
        <v>0</v>
      </c>
      <c r="G22" s="15">
        <f>'31-july-2026'!V22</f>
        <v>0</v>
      </c>
      <c r="H22" s="15">
        <f t="shared" si="0"/>
        <v>8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5">
        <f t="shared" si="1"/>
        <v>8</v>
      </c>
      <c r="T22" s="15">
        <f t="shared" si="2"/>
        <v>8</v>
      </c>
      <c r="U22" s="15">
        <f t="shared" si="3"/>
        <v>0</v>
      </c>
      <c r="V22" s="15">
        <f t="shared" si="4"/>
        <v>0</v>
      </c>
      <c r="W22" s="18" t="str">
        <f t="shared" si="5"/>
        <v/>
      </c>
      <c r="X22" s="17">
        <v>0</v>
      </c>
      <c r="Y22" s="17">
        <v>0</v>
      </c>
      <c r="Z22" s="15">
        <f t="shared" si="6"/>
        <v>0</v>
      </c>
      <c r="AA22" s="17">
        <v>0</v>
      </c>
      <c r="AB22" s="17">
        <v>0</v>
      </c>
      <c r="AC22" s="15">
        <f t="shared" si="7"/>
        <v>0</v>
      </c>
      <c r="AD22" s="17">
        <v>0</v>
      </c>
      <c r="AE22" s="17">
        <v>0</v>
      </c>
      <c r="AF22" s="15">
        <f t="shared" si="8"/>
        <v>0</v>
      </c>
      <c r="AG22" s="17">
        <v>0</v>
      </c>
      <c r="AH22" s="17">
        <v>0</v>
      </c>
      <c r="AI22" s="15">
        <f t="shared" si="9"/>
        <v>0</v>
      </c>
      <c r="AJ22" s="17"/>
    </row>
    <row r="23" spans="1:36" x14ac:dyDescent="0.3">
      <c r="A23" s="15" t="s">
        <v>72</v>
      </c>
      <c r="B23" s="15">
        <v>100</v>
      </c>
      <c r="C23" s="15" t="s">
        <v>54</v>
      </c>
      <c r="D23" s="15" t="s">
        <v>57</v>
      </c>
      <c r="E23" s="15">
        <f>'31-july-2026'!T23</f>
        <v>20</v>
      </c>
      <c r="F23" s="15">
        <f>'31-july-2026'!U23</f>
        <v>0</v>
      </c>
      <c r="G23" s="15">
        <f>'31-july-2026'!V23</f>
        <v>0</v>
      </c>
      <c r="H23" s="15">
        <f t="shared" si="0"/>
        <v>20</v>
      </c>
      <c r="I23" s="17">
        <v>0</v>
      </c>
      <c r="J23" s="17">
        <v>0</v>
      </c>
      <c r="K23" s="17">
        <v>0</v>
      </c>
      <c r="L23" s="17">
        <v>2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5">
        <f t="shared" si="1"/>
        <v>18</v>
      </c>
      <c r="T23" s="15">
        <f t="shared" si="2"/>
        <v>18</v>
      </c>
      <c r="U23" s="15">
        <f t="shared" si="3"/>
        <v>0</v>
      </c>
      <c r="V23" s="15">
        <f t="shared" si="4"/>
        <v>0</v>
      </c>
      <c r="W23" s="18" t="str">
        <f t="shared" si="5"/>
        <v/>
      </c>
      <c r="X23" s="17">
        <v>0</v>
      </c>
      <c r="Y23" s="17">
        <v>0</v>
      </c>
      <c r="Z23" s="15">
        <f t="shared" si="6"/>
        <v>0</v>
      </c>
      <c r="AA23" s="17">
        <v>0</v>
      </c>
      <c r="AB23" s="17">
        <v>0</v>
      </c>
      <c r="AC23" s="15">
        <f t="shared" si="7"/>
        <v>0</v>
      </c>
      <c r="AD23" s="17">
        <v>0</v>
      </c>
      <c r="AE23" s="17">
        <v>0</v>
      </c>
      <c r="AF23" s="15">
        <f t="shared" si="8"/>
        <v>0</v>
      </c>
      <c r="AG23" s="17">
        <v>0</v>
      </c>
      <c r="AH23" s="17">
        <v>0</v>
      </c>
      <c r="AI23" s="15">
        <f t="shared" si="9"/>
        <v>0</v>
      </c>
      <c r="AJ23" s="17"/>
    </row>
    <row r="24" spans="1:36" x14ac:dyDescent="0.3">
      <c r="A24" s="15" t="s">
        <v>72</v>
      </c>
      <c r="B24" s="15">
        <v>500</v>
      </c>
      <c r="C24" s="15" t="s">
        <v>54</v>
      </c>
      <c r="D24" s="15" t="s">
        <v>57</v>
      </c>
      <c r="E24" s="15">
        <f>'31-july-2026'!T24</f>
        <v>0</v>
      </c>
      <c r="F24" s="15">
        <f>'31-july-2026'!U24</f>
        <v>0</v>
      </c>
      <c r="G24" s="15">
        <f>'31-july-2026'!V24</f>
        <v>0</v>
      </c>
      <c r="H24" s="15">
        <f t="shared" si="0"/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5">
        <f t="shared" si="1"/>
        <v>0</v>
      </c>
      <c r="T24" s="15">
        <f t="shared" si="2"/>
        <v>0</v>
      </c>
      <c r="U24" s="15">
        <f t="shared" si="3"/>
        <v>0</v>
      </c>
      <c r="V24" s="15">
        <f t="shared" si="4"/>
        <v>0</v>
      </c>
      <c r="W24" s="18" t="str">
        <f t="shared" si="5"/>
        <v/>
      </c>
      <c r="X24" s="17">
        <v>0</v>
      </c>
      <c r="Y24" s="17">
        <v>0</v>
      </c>
      <c r="Z24" s="15">
        <f t="shared" si="6"/>
        <v>0</v>
      </c>
      <c r="AA24" s="17">
        <v>0</v>
      </c>
      <c r="AB24" s="17">
        <v>0</v>
      </c>
      <c r="AC24" s="15">
        <f t="shared" si="7"/>
        <v>0</v>
      </c>
      <c r="AD24" s="17">
        <v>0</v>
      </c>
      <c r="AE24" s="17">
        <v>0</v>
      </c>
      <c r="AF24" s="15">
        <f t="shared" si="8"/>
        <v>0</v>
      </c>
      <c r="AG24" s="17">
        <v>0</v>
      </c>
      <c r="AH24" s="17">
        <v>0</v>
      </c>
      <c r="AI24" s="15">
        <f t="shared" si="9"/>
        <v>0</v>
      </c>
      <c r="AJ24" s="17"/>
    </row>
    <row r="25" spans="1:36" hidden="1" x14ac:dyDescent="0.3">
      <c r="A25" s="15" t="s">
        <v>73</v>
      </c>
      <c r="B25" s="15">
        <v>100</v>
      </c>
      <c r="C25" s="15" t="s">
        <v>54</v>
      </c>
      <c r="D25" s="15" t="s">
        <v>55</v>
      </c>
      <c r="E25" s="15">
        <f>'31-july-2026'!T25</f>
        <v>1</v>
      </c>
      <c r="F25" s="15">
        <f>'31-july-2026'!U25</f>
        <v>141</v>
      </c>
      <c r="G25" s="15">
        <f>'31-july-2026'!V25</f>
        <v>0</v>
      </c>
      <c r="H25" s="15">
        <f t="shared" si="0"/>
        <v>142</v>
      </c>
      <c r="I25" s="17">
        <v>0</v>
      </c>
      <c r="J25" s="17">
        <v>0</v>
      </c>
      <c r="K25" s="17">
        <v>0</v>
      </c>
      <c r="L25" s="17">
        <v>0</v>
      </c>
      <c r="M25" s="17">
        <v>5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5">
        <f t="shared" si="1"/>
        <v>137</v>
      </c>
      <c r="T25" s="15">
        <f t="shared" si="2"/>
        <v>1</v>
      </c>
      <c r="U25" s="15">
        <f t="shared" si="3"/>
        <v>136</v>
      </c>
      <c r="V25" s="15">
        <f t="shared" si="4"/>
        <v>0</v>
      </c>
      <c r="W25" s="18" t="str">
        <f t="shared" si="5"/>
        <v/>
      </c>
      <c r="X25" s="17">
        <v>0</v>
      </c>
      <c r="Y25" s="17">
        <v>0</v>
      </c>
      <c r="Z25" s="15">
        <f t="shared" si="6"/>
        <v>0</v>
      </c>
      <c r="AA25" s="17">
        <v>0</v>
      </c>
      <c r="AB25" s="17">
        <v>0</v>
      </c>
      <c r="AC25" s="15">
        <f t="shared" si="7"/>
        <v>0</v>
      </c>
      <c r="AD25" s="17">
        <v>0</v>
      </c>
      <c r="AE25" s="17">
        <v>0</v>
      </c>
      <c r="AF25" s="15">
        <f t="shared" si="8"/>
        <v>0</v>
      </c>
      <c r="AG25" s="17">
        <v>0</v>
      </c>
      <c r="AH25" s="17">
        <v>0</v>
      </c>
      <c r="AI25" s="15">
        <f t="shared" si="9"/>
        <v>0</v>
      </c>
      <c r="AJ25" s="17"/>
    </row>
    <row r="26" spans="1:36" hidden="1" x14ac:dyDescent="0.3">
      <c r="A26" s="15" t="s">
        <v>74</v>
      </c>
      <c r="B26" s="15">
        <v>100</v>
      </c>
      <c r="C26" s="15" t="s">
        <v>54</v>
      </c>
      <c r="D26" s="15" t="s">
        <v>55</v>
      </c>
      <c r="E26" s="15">
        <f>'31-july-2026'!T26</f>
        <v>79</v>
      </c>
      <c r="F26" s="15">
        <f>'31-july-2026'!U26</f>
        <v>18</v>
      </c>
      <c r="G26" s="15">
        <f>'31-july-2026'!V26</f>
        <v>3</v>
      </c>
      <c r="H26" s="15">
        <f t="shared" si="0"/>
        <v>100</v>
      </c>
      <c r="I26" s="17">
        <v>0</v>
      </c>
      <c r="J26" s="17">
        <v>0</v>
      </c>
      <c r="K26" s="17">
        <v>0</v>
      </c>
      <c r="L26" s="17">
        <v>0</v>
      </c>
      <c r="M26" s="17">
        <v>5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5">
        <f t="shared" si="1"/>
        <v>95</v>
      </c>
      <c r="T26" s="15">
        <f t="shared" si="2"/>
        <v>79</v>
      </c>
      <c r="U26" s="15">
        <f t="shared" si="3"/>
        <v>13</v>
      </c>
      <c r="V26" s="15">
        <f t="shared" si="4"/>
        <v>3</v>
      </c>
      <c r="W26" s="18" t="str">
        <f t="shared" si="5"/>
        <v/>
      </c>
      <c r="X26" s="17">
        <v>0</v>
      </c>
      <c r="Y26" s="17">
        <v>0</v>
      </c>
      <c r="Z26" s="15">
        <f t="shared" si="6"/>
        <v>0</v>
      </c>
      <c r="AA26" s="17">
        <v>0</v>
      </c>
      <c r="AB26" s="17">
        <v>0</v>
      </c>
      <c r="AC26" s="15">
        <f t="shared" si="7"/>
        <v>0</v>
      </c>
      <c r="AD26" s="17">
        <v>0</v>
      </c>
      <c r="AE26" s="17">
        <v>0</v>
      </c>
      <c r="AF26" s="15">
        <f t="shared" si="8"/>
        <v>0</v>
      </c>
      <c r="AG26" s="17">
        <v>0</v>
      </c>
      <c r="AH26" s="17">
        <v>0</v>
      </c>
      <c r="AI26" s="15">
        <f t="shared" si="9"/>
        <v>0</v>
      </c>
      <c r="AJ26" s="17"/>
    </row>
    <row r="27" spans="1:36" x14ac:dyDescent="0.3">
      <c r="A27" s="15" t="s">
        <v>75</v>
      </c>
      <c r="B27" s="15">
        <v>1000</v>
      </c>
      <c r="C27" s="15" t="s">
        <v>54</v>
      </c>
      <c r="D27" s="15" t="s">
        <v>68</v>
      </c>
      <c r="E27" s="15">
        <f>'31-july-2026'!T27</f>
        <v>1</v>
      </c>
      <c r="F27" s="15">
        <f>'31-july-2026'!U27</f>
        <v>0</v>
      </c>
      <c r="G27" s="15">
        <f>'31-july-2026'!V27</f>
        <v>0</v>
      </c>
      <c r="H27" s="15">
        <f t="shared" si="0"/>
        <v>1</v>
      </c>
      <c r="I27" s="17">
        <v>1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5">
        <f t="shared" si="1"/>
        <v>0</v>
      </c>
      <c r="T27" s="15">
        <f t="shared" si="2"/>
        <v>0</v>
      </c>
      <c r="U27" s="15">
        <f t="shared" si="3"/>
        <v>0</v>
      </c>
      <c r="V27" s="15">
        <f t="shared" si="4"/>
        <v>0</v>
      </c>
      <c r="W27" s="18" t="str">
        <f t="shared" si="5"/>
        <v/>
      </c>
      <c r="X27" s="17">
        <v>0</v>
      </c>
      <c r="Y27" s="17">
        <v>0</v>
      </c>
      <c r="Z27" s="15">
        <f t="shared" si="6"/>
        <v>0</v>
      </c>
      <c r="AA27" s="17">
        <v>0</v>
      </c>
      <c r="AB27" s="17">
        <v>0</v>
      </c>
      <c r="AC27" s="15">
        <f t="shared" si="7"/>
        <v>0</v>
      </c>
      <c r="AD27" s="17">
        <v>0</v>
      </c>
      <c r="AE27" s="17">
        <v>0</v>
      </c>
      <c r="AF27" s="15">
        <f t="shared" si="8"/>
        <v>0</v>
      </c>
      <c r="AG27" s="17">
        <v>0</v>
      </c>
      <c r="AH27" s="17">
        <v>0</v>
      </c>
      <c r="AI27" s="15">
        <f t="shared" si="9"/>
        <v>0</v>
      </c>
      <c r="AJ27" s="17"/>
    </row>
    <row r="28" spans="1:36" x14ac:dyDescent="0.3">
      <c r="A28" s="15" t="s">
        <v>76</v>
      </c>
      <c r="B28" s="15">
        <v>100</v>
      </c>
      <c r="C28" s="15" t="s">
        <v>54</v>
      </c>
      <c r="D28" s="15" t="s">
        <v>68</v>
      </c>
      <c r="E28" s="15">
        <f>'31-july-2026'!T28</f>
        <v>6</v>
      </c>
      <c r="F28" s="15">
        <f>'31-july-2026'!U28</f>
        <v>0</v>
      </c>
      <c r="G28" s="15">
        <f>'31-july-2026'!V28</f>
        <v>0</v>
      </c>
      <c r="H28" s="15">
        <f t="shared" si="0"/>
        <v>6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5">
        <f t="shared" si="1"/>
        <v>6</v>
      </c>
      <c r="T28" s="15">
        <f t="shared" si="2"/>
        <v>6</v>
      </c>
      <c r="U28" s="15">
        <f t="shared" si="3"/>
        <v>0</v>
      </c>
      <c r="V28" s="15">
        <f t="shared" si="4"/>
        <v>0</v>
      </c>
      <c r="W28" s="18" t="str">
        <f t="shared" si="5"/>
        <v/>
      </c>
      <c r="X28" s="17">
        <v>0</v>
      </c>
      <c r="Y28" s="17">
        <v>0</v>
      </c>
      <c r="Z28" s="15">
        <f t="shared" si="6"/>
        <v>0</v>
      </c>
      <c r="AA28" s="17">
        <v>0</v>
      </c>
      <c r="AB28" s="17">
        <v>0</v>
      </c>
      <c r="AC28" s="15">
        <f t="shared" si="7"/>
        <v>0</v>
      </c>
      <c r="AD28" s="17">
        <v>0</v>
      </c>
      <c r="AE28" s="17">
        <v>0</v>
      </c>
      <c r="AF28" s="15">
        <f t="shared" si="8"/>
        <v>0</v>
      </c>
      <c r="AG28" s="17">
        <v>0</v>
      </c>
      <c r="AH28" s="17">
        <v>0</v>
      </c>
      <c r="AI28" s="15">
        <f t="shared" si="9"/>
        <v>0</v>
      </c>
      <c r="AJ28" s="17"/>
    </row>
    <row r="29" spans="1:36" hidden="1" x14ac:dyDescent="0.3">
      <c r="A29" s="15" t="s">
        <v>77</v>
      </c>
      <c r="B29" s="15">
        <v>100</v>
      </c>
      <c r="C29" s="15" t="s">
        <v>54</v>
      </c>
      <c r="D29" s="15" t="s">
        <v>55</v>
      </c>
      <c r="E29" s="15">
        <f>'31-july-2026'!T29</f>
        <v>0</v>
      </c>
      <c r="F29" s="15">
        <f>'31-july-2026'!U29</f>
        <v>0</v>
      </c>
      <c r="G29" s="15">
        <f>'31-july-2026'!V29</f>
        <v>0</v>
      </c>
      <c r="H29" s="15">
        <f t="shared" si="0"/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5">
        <f t="shared" si="1"/>
        <v>0</v>
      </c>
      <c r="T29" s="15">
        <f t="shared" si="2"/>
        <v>0</v>
      </c>
      <c r="U29" s="15">
        <f t="shared" si="3"/>
        <v>0</v>
      </c>
      <c r="V29" s="15">
        <f t="shared" si="4"/>
        <v>0</v>
      </c>
      <c r="W29" s="18" t="str">
        <f t="shared" si="5"/>
        <v/>
      </c>
      <c r="X29" s="17">
        <v>0</v>
      </c>
      <c r="Y29" s="17">
        <v>0</v>
      </c>
      <c r="Z29" s="15">
        <f t="shared" si="6"/>
        <v>0</v>
      </c>
      <c r="AA29" s="17">
        <v>0</v>
      </c>
      <c r="AB29" s="17">
        <v>0</v>
      </c>
      <c r="AC29" s="15">
        <f t="shared" si="7"/>
        <v>0</v>
      </c>
      <c r="AD29" s="17">
        <v>0</v>
      </c>
      <c r="AE29" s="17">
        <v>0</v>
      </c>
      <c r="AF29" s="15">
        <f t="shared" si="8"/>
        <v>0</v>
      </c>
      <c r="AG29" s="17">
        <v>0</v>
      </c>
      <c r="AH29" s="17">
        <v>0</v>
      </c>
      <c r="AI29" s="15">
        <f t="shared" si="9"/>
        <v>0</v>
      </c>
      <c r="AJ29" s="17"/>
    </row>
    <row r="30" spans="1:36" hidden="1" x14ac:dyDescent="0.3">
      <c r="A30" s="15" t="s">
        <v>78</v>
      </c>
      <c r="B30" s="15">
        <v>1000</v>
      </c>
      <c r="C30" s="15" t="s">
        <v>54</v>
      </c>
      <c r="D30" s="15" t="s">
        <v>55</v>
      </c>
      <c r="E30" s="15">
        <f>'31-july-2026'!T30</f>
        <v>6</v>
      </c>
      <c r="F30" s="15">
        <f>'31-july-2026'!U30</f>
        <v>12</v>
      </c>
      <c r="G30" s="15">
        <f>'31-july-2026'!V30</f>
        <v>14</v>
      </c>
      <c r="H30" s="15">
        <f t="shared" si="0"/>
        <v>32</v>
      </c>
      <c r="I30" s="17">
        <v>0</v>
      </c>
      <c r="J30" s="17">
        <v>0</v>
      </c>
      <c r="K30" s="17">
        <v>4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5">
        <f t="shared" si="1"/>
        <v>28</v>
      </c>
      <c r="T30" s="15">
        <f t="shared" si="2"/>
        <v>6</v>
      </c>
      <c r="U30" s="15">
        <f t="shared" si="3"/>
        <v>12</v>
      </c>
      <c r="V30" s="15">
        <f t="shared" si="4"/>
        <v>10</v>
      </c>
      <c r="W30" s="18" t="str">
        <f t="shared" si="5"/>
        <v/>
      </c>
      <c r="X30" s="17">
        <v>0</v>
      </c>
      <c r="Y30" s="17">
        <v>0</v>
      </c>
      <c r="Z30" s="15">
        <f t="shared" si="6"/>
        <v>0</v>
      </c>
      <c r="AA30" s="17">
        <v>0</v>
      </c>
      <c r="AB30" s="17">
        <v>0</v>
      </c>
      <c r="AC30" s="15">
        <f t="shared" si="7"/>
        <v>0</v>
      </c>
      <c r="AD30" s="17">
        <v>0</v>
      </c>
      <c r="AE30" s="17">
        <v>0</v>
      </c>
      <c r="AF30" s="15">
        <f t="shared" si="8"/>
        <v>0</v>
      </c>
      <c r="AG30" s="17">
        <v>0</v>
      </c>
      <c r="AH30" s="17">
        <v>0</v>
      </c>
      <c r="AI30" s="15">
        <f t="shared" si="9"/>
        <v>0</v>
      </c>
      <c r="AJ30" s="17"/>
    </row>
    <row r="31" spans="1:36" hidden="1" x14ac:dyDescent="0.3">
      <c r="A31" s="15" t="s">
        <v>79</v>
      </c>
      <c r="B31" s="15">
        <v>1000</v>
      </c>
      <c r="C31" s="15" t="s">
        <v>54</v>
      </c>
      <c r="D31" s="15" t="s">
        <v>55</v>
      </c>
      <c r="E31" s="15">
        <f>'31-july-2026'!T31</f>
        <v>24</v>
      </c>
      <c r="F31" s="15">
        <f>'31-july-2026'!U31</f>
        <v>5</v>
      </c>
      <c r="G31" s="15">
        <f>'31-july-2026'!V31</f>
        <v>0</v>
      </c>
      <c r="H31" s="15">
        <f t="shared" si="0"/>
        <v>29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5">
        <f t="shared" si="1"/>
        <v>29</v>
      </c>
      <c r="T31" s="15">
        <f t="shared" si="2"/>
        <v>24</v>
      </c>
      <c r="U31" s="15">
        <f t="shared" si="3"/>
        <v>5</v>
      </c>
      <c r="V31" s="15">
        <f t="shared" si="4"/>
        <v>0</v>
      </c>
      <c r="W31" s="18" t="str">
        <f t="shared" si="5"/>
        <v/>
      </c>
      <c r="X31" s="17">
        <v>0</v>
      </c>
      <c r="Y31" s="17">
        <v>0</v>
      </c>
      <c r="Z31" s="15">
        <f t="shared" si="6"/>
        <v>0</v>
      </c>
      <c r="AA31" s="17">
        <v>0</v>
      </c>
      <c r="AB31" s="17">
        <v>0</v>
      </c>
      <c r="AC31" s="15">
        <f t="shared" si="7"/>
        <v>0</v>
      </c>
      <c r="AD31" s="17">
        <v>0</v>
      </c>
      <c r="AE31" s="17">
        <v>0</v>
      </c>
      <c r="AF31" s="15">
        <f t="shared" si="8"/>
        <v>0</v>
      </c>
      <c r="AG31" s="17">
        <v>0</v>
      </c>
      <c r="AH31" s="17">
        <v>0</v>
      </c>
      <c r="AI31" s="15">
        <f t="shared" si="9"/>
        <v>0</v>
      </c>
      <c r="AJ31" s="17"/>
    </row>
    <row r="32" spans="1:36" hidden="1" x14ac:dyDescent="0.3">
      <c r="A32" s="15" t="s">
        <v>80</v>
      </c>
      <c r="B32" s="15">
        <v>25000</v>
      </c>
      <c r="C32" s="15" t="s">
        <v>54</v>
      </c>
      <c r="D32" s="15" t="s">
        <v>55</v>
      </c>
      <c r="E32" s="15">
        <f>'31-july-2026'!T32</f>
        <v>4</v>
      </c>
      <c r="F32" s="15">
        <f>'31-july-2026'!U32</f>
        <v>0</v>
      </c>
      <c r="G32" s="15">
        <f>'31-july-2026'!V32</f>
        <v>0</v>
      </c>
      <c r="H32" s="15">
        <f t="shared" si="0"/>
        <v>4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5">
        <f t="shared" si="1"/>
        <v>4</v>
      </c>
      <c r="T32" s="15">
        <f t="shared" si="2"/>
        <v>4</v>
      </c>
      <c r="U32" s="15">
        <f t="shared" si="3"/>
        <v>0</v>
      </c>
      <c r="V32" s="15">
        <f t="shared" si="4"/>
        <v>0</v>
      </c>
      <c r="W32" s="18" t="str">
        <f t="shared" si="5"/>
        <v/>
      </c>
      <c r="X32" s="17">
        <v>0</v>
      </c>
      <c r="Y32" s="17">
        <v>0</v>
      </c>
      <c r="Z32" s="15">
        <f t="shared" si="6"/>
        <v>0</v>
      </c>
      <c r="AA32" s="17">
        <v>0</v>
      </c>
      <c r="AB32" s="17">
        <v>0</v>
      </c>
      <c r="AC32" s="15">
        <f t="shared" si="7"/>
        <v>0</v>
      </c>
      <c r="AD32" s="17">
        <v>0</v>
      </c>
      <c r="AE32" s="17">
        <v>0</v>
      </c>
      <c r="AF32" s="15">
        <f t="shared" si="8"/>
        <v>0</v>
      </c>
      <c r="AG32" s="17">
        <v>0</v>
      </c>
      <c r="AH32" s="17">
        <v>0</v>
      </c>
      <c r="AI32" s="15">
        <f t="shared" si="9"/>
        <v>0</v>
      </c>
      <c r="AJ32" s="17"/>
    </row>
    <row r="33" spans="1:36" hidden="1" x14ac:dyDescent="0.3">
      <c r="A33" s="15" t="s">
        <v>81</v>
      </c>
      <c r="B33" s="15">
        <v>25000</v>
      </c>
      <c r="C33" s="15" t="s">
        <v>54</v>
      </c>
      <c r="D33" s="15" t="s">
        <v>55</v>
      </c>
      <c r="E33" s="15">
        <f>'31-july-2026'!T33</f>
        <v>3</v>
      </c>
      <c r="F33" s="15">
        <f>'31-july-2026'!U33</f>
        <v>3</v>
      </c>
      <c r="G33" s="15">
        <f>'31-july-2026'!V33</f>
        <v>0</v>
      </c>
      <c r="H33" s="15">
        <f t="shared" si="0"/>
        <v>6</v>
      </c>
      <c r="I33" s="17">
        <v>1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5">
        <f t="shared" si="1"/>
        <v>5</v>
      </c>
      <c r="T33" s="15">
        <f t="shared" si="2"/>
        <v>2</v>
      </c>
      <c r="U33" s="15">
        <f t="shared" si="3"/>
        <v>3</v>
      </c>
      <c r="V33" s="15">
        <f t="shared" si="4"/>
        <v>0</v>
      </c>
      <c r="W33" s="18" t="str">
        <f t="shared" si="5"/>
        <v/>
      </c>
      <c r="X33" s="17">
        <v>0</v>
      </c>
      <c r="Y33" s="17">
        <v>0</v>
      </c>
      <c r="Z33" s="15">
        <f t="shared" si="6"/>
        <v>0</v>
      </c>
      <c r="AA33" s="17">
        <v>0</v>
      </c>
      <c r="AB33" s="17">
        <v>0</v>
      </c>
      <c r="AC33" s="15">
        <f t="shared" si="7"/>
        <v>0</v>
      </c>
      <c r="AD33" s="17">
        <v>0</v>
      </c>
      <c r="AE33" s="17">
        <v>0</v>
      </c>
      <c r="AF33" s="15">
        <f t="shared" si="8"/>
        <v>0</v>
      </c>
      <c r="AG33" s="17">
        <v>0</v>
      </c>
      <c r="AH33" s="17">
        <v>0</v>
      </c>
      <c r="AI33" s="15">
        <f t="shared" si="9"/>
        <v>0</v>
      </c>
      <c r="AJ33" s="17"/>
    </row>
    <row r="34" spans="1:36" x14ac:dyDescent="0.3">
      <c r="A34" s="15" t="s">
        <v>82</v>
      </c>
      <c r="B34" s="15">
        <v>1000</v>
      </c>
      <c r="C34" s="15" t="s">
        <v>54</v>
      </c>
      <c r="D34" s="15" t="s">
        <v>68</v>
      </c>
      <c r="E34" s="15">
        <f>'31-july-2026'!T34</f>
        <v>2</v>
      </c>
      <c r="F34" s="15">
        <f>'31-july-2026'!U34</f>
        <v>0</v>
      </c>
      <c r="G34" s="15">
        <f>'31-july-2026'!V34</f>
        <v>0</v>
      </c>
      <c r="H34" s="15">
        <f t="shared" si="0"/>
        <v>2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5">
        <f t="shared" si="1"/>
        <v>2</v>
      </c>
      <c r="T34" s="15">
        <f t="shared" si="2"/>
        <v>2</v>
      </c>
      <c r="U34" s="15">
        <f t="shared" si="3"/>
        <v>0</v>
      </c>
      <c r="V34" s="15">
        <f t="shared" si="4"/>
        <v>0</v>
      </c>
      <c r="W34" s="18" t="str">
        <f t="shared" si="5"/>
        <v/>
      </c>
      <c r="X34" s="17">
        <v>0</v>
      </c>
      <c r="Y34" s="17">
        <v>0</v>
      </c>
      <c r="Z34" s="15">
        <f t="shared" si="6"/>
        <v>0</v>
      </c>
      <c r="AA34" s="17">
        <v>0</v>
      </c>
      <c r="AB34" s="17">
        <v>0</v>
      </c>
      <c r="AC34" s="15">
        <f t="shared" si="7"/>
        <v>0</v>
      </c>
      <c r="AD34" s="17">
        <v>0</v>
      </c>
      <c r="AE34" s="17">
        <v>0</v>
      </c>
      <c r="AF34" s="15">
        <f t="shared" si="8"/>
        <v>0</v>
      </c>
      <c r="AG34" s="17">
        <v>0</v>
      </c>
      <c r="AH34" s="17">
        <v>0</v>
      </c>
      <c r="AI34" s="15">
        <f t="shared" si="9"/>
        <v>0</v>
      </c>
      <c r="AJ34" s="17"/>
    </row>
    <row r="35" spans="1:36" x14ac:dyDescent="0.3">
      <c r="A35" s="15" t="s">
        <v>83</v>
      </c>
      <c r="B35" s="15">
        <v>100</v>
      </c>
      <c r="C35" s="15" t="s">
        <v>54</v>
      </c>
      <c r="D35" s="15" t="s">
        <v>57</v>
      </c>
      <c r="E35" s="15">
        <f>'31-july-2026'!T35</f>
        <v>2</v>
      </c>
      <c r="F35" s="15">
        <f>'31-july-2026'!U35</f>
        <v>0</v>
      </c>
      <c r="G35" s="15">
        <f>'31-july-2026'!V35</f>
        <v>0</v>
      </c>
      <c r="H35" s="15">
        <f t="shared" ref="H35:H66" si="10">E35+F35+G35</f>
        <v>2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5">
        <f t="shared" ref="S35:S66" si="11">H35+O35+P35+Q35+R35-(I35+J35+K35+L35+M35+N35)</f>
        <v>2</v>
      </c>
      <c r="T35" s="15">
        <f t="shared" ref="T35:T66" si="12">E35+O35-I35-L35</f>
        <v>2</v>
      </c>
      <c r="U35" s="15">
        <f t="shared" ref="U35:U66" si="13">F35+P35-J35-M35</f>
        <v>0</v>
      </c>
      <c r="V35" s="15">
        <f t="shared" ref="V35:V66" si="14">G35+Q35-K35-N35</f>
        <v>0</v>
      </c>
      <c r="W35" s="18" t="str">
        <f t="shared" ref="W35:W66" si="15">IF(MIN(T35,U35,V35)&lt;0,"NEGATIVE STOCK - CHECK ENTRIES","")</f>
        <v/>
      </c>
      <c r="X35" s="17">
        <v>0</v>
      </c>
      <c r="Y35" s="17">
        <v>0</v>
      </c>
      <c r="Z35" s="15">
        <f t="shared" ref="Z35:Z66" si="16">X35-Y35</f>
        <v>0</v>
      </c>
      <c r="AA35" s="17">
        <v>0</v>
      </c>
      <c r="AB35" s="17">
        <v>0</v>
      </c>
      <c r="AC35" s="15">
        <f t="shared" ref="AC35:AC66" si="17">AA35-AB35</f>
        <v>0</v>
      </c>
      <c r="AD35" s="17">
        <v>0</v>
      </c>
      <c r="AE35" s="17">
        <v>0</v>
      </c>
      <c r="AF35" s="15">
        <f t="shared" ref="AF35:AF66" si="18">AD35-AE35</f>
        <v>0</v>
      </c>
      <c r="AG35" s="17">
        <v>0</v>
      </c>
      <c r="AH35" s="17">
        <v>0</v>
      </c>
      <c r="AI35" s="15">
        <f t="shared" ref="AI35:AI66" si="19">AG35-AH35</f>
        <v>0</v>
      </c>
      <c r="AJ35" s="17"/>
    </row>
    <row r="36" spans="1:36" hidden="1" x14ac:dyDescent="0.3">
      <c r="A36" s="15" t="s">
        <v>84</v>
      </c>
      <c r="B36" s="15">
        <v>1000</v>
      </c>
      <c r="C36" s="15" t="s">
        <v>54</v>
      </c>
      <c r="D36" s="15" t="s">
        <v>55</v>
      </c>
      <c r="E36" s="15">
        <f>'31-july-2026'!T36</f>
        <v>12</v>
      </c>
      <c r="F36" s="15">
        <f>'31-july-2026'!U36</f>
        <v>0</v>
      </c>
      <c r="G36" s="15">
        <f>'31-july-2026'!V36</f>
        <v>1</v>
      </c>
      <c r="H36" s="15">
        <f t="shared" si="10"/>
        <v>13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5">
        <f t="shared" si="11"/>
        <v>13</v>
      </c>
      <c r="T36" s="15">
        <f t="shared" si="12"/>
        <v>12</v>
      </c>
      <c r="U36" s="15">
        <f t="shared" si="13"/>
        <v>0</v>
      </c>
      <c r="V36" s="15">
        <f t="shared" si="14"/>
        <v>1</v>
      </c>
      <c r="W36" s="18" t="str">
        <f t="shared" si="15"/>
        <v/>
      </c>
      <c r="X36" s="17">
        <v>0</v>
      </c>
      <c r="Y36" s="17">
        <v>0</v>
      </c>
      <c r="Z36" s="15">
        <f t="shared" si="16"/>
        <v>0</v>
      </c>
      <c r="AA36" s="17">
        <v>0</v>
      </c>
      <c r="AB36" s="17">
        <v>0</v>
      </c>
      <c r="AC36" s="15">
        <f t="shared" si="17"/>
        <v>0</v>
      </c>
      <c r="AD36" s="17">
        <v>0</v>
      </c>
      <c r="AE36" s="17">
        <v>0</v>
      </c>
      <c r="AF36" s="15">
        <f t="shared" si="18"/>
        <v>0</v>
      </c>
      <c r="AG36" s="17">
        <v>0</v>
      </c>
      <c r="AH36" s="17">
        <v>0</v>
      </c>
      <c r="AI36" s="15">
        <f t="shared" si="19"/>
        <v>0</v>
      </c>
      <c r="AJ36" s="17"/>
    </row>
    <row r="37" spans="1:36" x14ac:dyDescent="0.3">
      <c r="A37" s="15" t="s">
        <v>85</v>
      </c>
      <c r="B37" s="15">
        <v>1000</v>
      </c>
      <c r="C37" s="15" t="s">
        <v>54</v>
      </c>
      <c r="D37" s="15" t="s">
        <v>68</v>
      </c>
      <c r="E37" s="15">
        <f>'31-july-2026'!T37</f>
        <v>5</v>
      </c>
      <c r="F37" s="15">
        <f>'31-july-2026'!U37</f>
        <v>0</v>
      </c>
      <c r="G37" s="15">
        <f>'31-july-2026'!V37</f>
        <v>0</v>
      </c>
      <c r="H37" s="15">
        <f t="shared" si="10"/>
        <v>5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5">
        <f t="shared" si="11"/>
        <v>5</v>
      </c>
      <c r="T37" s="15">
        <f t="shared" si="12"/>
        <v>5</v>
      </c>
      <c r="U37" s="15">
        <f t="shared" si="13"/>
        <v>0</v>
      </c>
      <c r="V37" s="15">
        <f t="shared" si="14"/>
        <v>0</v>
      </c>
      <c r="W37" s="18" t="str">
        <f t="shared" si="15"/>
        <v/>
      </c>
      <c r="X37" s="17">
        <v>0</v>
      </c>
      <c r="Y37" s="17">
        <v>0</v>
      </c>
      <c r="Z37" s="15">
        <f t="shared" si="16"/>
        <v>0</v>
      </c>
      <c r="AA37" s="17">
        <v>0</v>
      </c>
      <c r="AB37" s="17">
        <v>0</v>
      </c>
      <c r="AC37" s="15">
        <f t="shared" si="17"/>
        <v>0</v>
      </c>
      <c r="AD37" s="17">
        <v>0</v>
      </c>
      <c r="AE37" s="17">
        <v>0</v>
      </c>
      <c r="AF37" s="15">
        <f t="shared" si="18"/>
        <v>0</v>
      </c>
      <c r="AG37" s="17">
        <v>0</v>
      </c>
      <c r="AH37" s="17">
        <v>0</v>
      </c>
      <c r="AI37" s="15">
        <f t="shared" si="19"/>
        <v>0</v>
      </c>
      <c r="AJ37" s="17"/>
    </row>
    <row r="38" spans="1:36" x14ac:dyDescent="0.3">
      <c r="A38" s="15" t="s">
        <v>86</v>
      </c>
      <c r="B38" s="15">
        <v>100</v>
      </c>
      <c r="C38" s="15" t="s">
        <v>54</v>
      </c>
      <c r="D38" s="15" t="s">
        <v>57</v>
      </c>
      <c r="E38" s="15">
        <f>'31-july-2026'!T38</f>
        <v>1</v>
      </c>
      <c r="F38" s="15">
        <f>'31-july-2026'!U38</f>
        <v>0</v>
      </c>
      <c r="G38" s="15">
        <f>'31-july-2026'!V38</f>
        <v>0</v>
      </c>
      <c r="H38" s="15">
        <f t="shared" si="10"/>
        <v>1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5">
        <f t="shared" si="11"/>
        <v>1</v>
      </c>
      <c r="T38" s="15">
        <f t="shared" si="12"/>
        <v>1</v>
      </c>
      <c r="U38" s="15">
        <f t="shared" si="13"/>
        <v>0</v>
      </c>
      <c r="V38" s="15">
        <f t="shared" si="14"/>
        <v>0</v>
      </c>
      <c r="W38" s="18" t="str">
        <f t="shared" si="15"/>
        <v/>
      </c>
      <c r="X38" s="17">
        <v>0</v>
      </c>
      <c r="Y38" s="17">
        <v>0</v>
      </c>
      <c r="Z38" s="15">
        <f t="shared" si="16"/>
        <v>0</v>
      </c>
      <c r="AA38" s="17">
        <v>0</v>
      </c>
      <c r="AB38" s="17">
        <v>0</v>
      </c>
      <c r="AC38" s="15">
        <f t="shared" si="17"/>
        <v>0</v>
      </c>
      <c r="AD38" s="17">
        <v>0</v>
      </c>
      <c r="AE38" s="17">
        <v>0</v>
      </c>
      <c r="AF38" s="15">
        <f t="shared" si="18"/>
        <v>0</v>
      </c>
      <c r="AG38" s="17">
        <v>0</v>
      </c>
      <c r="AH38" s="17">
        <v>0</v>
      </c>
      <c r="AI38" s="15">
        <f t="shared" si="19"/>
        <v>0</v>
      </c>
      <c r="AJ38" s="17"/>
    </row>
    <row r="39" spans="1:36" x14ac:dyDescent="0.3">
      <c r="A39" s="15" t="s">
        <v>87</v>
      </c>
      <c r="B39" s="15">
        <v>100000</v>
      </c>
      <c r="C39" s="15" t="s">
        <v>54</v>
      </c>
      <c r="D39" s="15" t="s">
        <v>68</v>
      </c>
      <c r="E39" s="15">
        <f>'31-july-2026'!T39</f>
        <v>2</v>
      </c>
      <c r="F39" s="15">
        <f>'31-july-2026'!U39</f>
        <v>0</v>
      </c>
      <c r="G39" s="15">
        <f>'31-july-2026'!V39</f>
        <v>0</v>
      </c>
      <c r="H39" s="15">
        <f t="shared" si="10"/>
        <v>2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5">
        <f t="shared" si="11"/>
        <v>2</v>
      </c>
      <c r="T39" s="15">
        <f t="shared" si="12"/>
        <v>2</v>
      </c>
      <c r="U39" s="15">
        <f t="shared" si="13"/>
        <v>0</v>
      </c>
      <c r="V39" s="15">
        <f t="shared" si="14"/>
        <v>0</v>
      </c>
      <c r="W39" s="18" t="str">
        <f t="shared" si="15"/>
        <v/>
      </c>
      <c r="X39" s="17">
        <v>0</v>
      </c>
      <c r="Y39" s="17">
        <v>0</v>
      </c>
      <c r="Z39" s="15">
        <f t="shared" si="16"/>
        <v>0</v>
      </c>
      <c r="AA39" s="17">
        <v>0</v>
      </c>
      <c r="AB39" s="17">
        <v>0</v>
      </c>
      <c r="AC39" s="15">
        <f t="shared" si="17"/>
        <v>0</v>
      </c>
      <c r="AD39" s="17">
        <v>0</v>
      </c>
      <c r="AE39" s="17">
        <v>0</v>
      </c>
      <c r="AF39" s="15">
        <f t="shared" si="18"/>
        <v>0</v>
      </c>
      <c r="AG39" s="17">
        <v>0</v>
      </c>
      <c r="AH39" s="17">
        <v>0</v>
      </c>
      <c r="AI39" s="15">
        <f t="shared" si="19"/>
        <v>0</v>
      </c>
      <c r="AJ39" s="17"/>
    </row>
    <row r="40" spans="1:36" x14ac:dyDescent="0.3">
      <c r="A40" s="15" t="s">
        <v>88</v>
      </c>
      <c r="B40" s="15">
        <v>100000</v>
      </c>
      <c r="C40" s="15" t="s">
        <v>54</v>
      </c>
      <c r="D40" s="15" t="s">
        <v>68</v>
      </c>
      <c r="E40" s="15">
        <f>'31-july-2026'!T40</f>
        <v>1</v>
      </c>
      <c r="F40" s="15">
        <f>'31-july-2026'!U40</f>
        <v>0</v>
      </c>
      <c r="G40" s="15">
        <f>'31-july-2026'!V40</f>
        <v>0</v>
      </c>
      <c r="H40" s="15">
        <f t="shared" si="10"/>
        <v>1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5">
        <f t="shared" si="11"/>
        <v>1</v>
      </c>
      <c r="T40" s="15">
        <f t="shared" si="12"/>
        <v>1</v>
      </c>
      <c r="U40" s="15">
        <f t="shared" si="13"/>
        <v>0</v>
      </c>
      <c r="V40" s="15">
        <f t="shared" si="14"/>
        <v>0</v>
      </c>
      <c r="W40" s="18" t="str">
        <f t="shared" si="15"/>
        <v/>
      </c>
      <c r="X40" s="17">
        <v>0</v>
      </c>
      <c r="Y40" s="17">
        <v>0</v>
      </c>
      <c r="Z40" s="15">
        <f t="shared" si="16"/>
        <v>0</v>
      </c>
      <c r="AA40" s="17">
        <v>0</v>
      </c>
      <c r="AB40" s="17">
        <v>0</v>
      </c>
      <c r="AC40" s="15">
        <f t="shared" si="17"/>
        <v>0</v>
      </c>
      <c r="AD40" s="17">
        <v>0</v>
      </c>
      <c r="AE40" s="17">
        <v>0</v>
      </c>
      <c r="AF40" s="15">
        <f t="shared" si="18"/>
        <v>0</v>
      </c>
      <c r="AG40" s="17">
        <v>0</v>
      </c>
      <c r="AH40" s="17">
        <v>0</v>
      </c>
      <c r="AI40" s="15">
        <f t="shared" si="19"/>
        <v>0</v>
      </c>
      <c r="AJ40" s="17"/>
    </row>
    <row r="41" spans="1:36" hidden="1" x14ac:dyDescent="0.3">
      <c r="A41" s="15" t="s">
        <v>89</v>
      </c>
      <c r="B41" s="15">
        <v>100</v>
      </c>
      <c r="C41" s="15" t="s">
        <v>54</v>
      </c>
      <c r="D41" s="15" t="s">
        <v>55</v>
      </c>
      <c r="E41" s="15">
        <f>'31-july-2026'!T41</f>
        <v>9</v>
      </c>
      <c r="F41" s="15">
        <f>'31-july-2026'!U41</f>
        <v>0</v>
      </c>
      <c r="G41" s="15">
        <f>'31-july-2026'!V41</f>
        <v>0</v>
      </c>
      <c r="H41" s="15">
        <f t="shared" si="10"/>
        <v>9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5">
        <f t="shared" si="11"/>
        <v>9</v>
      </c>
      <c r="T41" s="15">
        <f t="shared" si="12"/>
        <v>9</v>
      </c>
      <c r="U41" s="15">
        <f t="shared" si="13"/>
        <v>0</v>
      </c>
      <c r="V41" s="15">
        <f t="shared" si="14"/>
        <v>0</v>
      </c>
      <c r="W41" s="18" t="str">
        <f t="shared" si="15"/>
        <v/>
      </c>
      <c r="X41" s="17">
        <v>0</v>
      </c>
      <c r="Y41" s="17">
        <v>0</v>
      </c>
      <c r="Z41" s="15">
        <f t="shared" si="16"/>
        <v>0</v>
      </c>
      <c r="AA41" s="17">
        <v>0</v>
      </c>
      <c r="AB41" s="17">
        <v>0</v>
      </c>
      <c r="AC41" s="15">
        <f t="shared" si="17"/>
        <v>0</v>
      </c>
      <c r="AD41" s="17">
        <v>0</v>
      </c>
      <c r="AE41" s="17">
        <v>0</v>
      </c>
      <c r="AF41" s="15">
        <f t="shared" si="18"/>
        <v>0</v>
      </c>
      <c r="AG41" s="17">
        <v>0</v>
      </c>
      <c r="AH41" s="17">
        <v>0</v>
      </c>
      <c r="AI41" s="15">
        <f t="shared" si="19"/>
        <v>0</v>
      </c>
      <c r="AJ41" s="17"/>
    </row>
    <row r="42" spans="1:36" x14ac:dyDescent="0.3">
      <c r="A42" s="15" t="s">
        <v>90</v>
      </c>
      <c r="B42" s="15">
        <v>100</v>
      </c>
      <c r="C42" s="15" t="s">
        <v>54</v>
      </c>
      <c r="D42" s="15" t="s">
        <v>57</v>
      </c>
      <c r="E42" s="15">
        <f>'31-july-2026'!T42</f>
        <v>10</v>
      </c>
      <c r="F42" s="15">
        <f>'31-july-2026'!U42</f>
        <v>0</v>
      </c>
      <c r="G42" s="15">
        <f>'31-july-2026'!V42</f>
        <v>0</v>
      </c>
      <c r="H42" s="15">
        <f t="shared" si="10"/>
        <v>10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5">
        <f t="shared" si="11"/>
        <v>10</v>
      </c>
      <c r="T42" s="15">
        <f t="shared" si="12"/>
        <v>10</v>
      </c>
      <c r="U42" s="15">
        <f t="shared" si="13"/>
        <v>0</v>
      </c>
      <c r="V42" s="15">
        <f t="shared" si="14"/>
        <v>0</v>
      </c>
      <c r="W42" s="18" t="str">
        <f t="shared" si="15"/>
        <v/>
      </c>
      <c r="X42" s="17">
        <v>0</v>
      </c>
      <c r="Y42" s="17">
        <v>0</v>
      </c>
      <c r="Z42" s="15">
        <f t="shared" si="16"/>
        <v>0</v>
      </c>
      <c r="AA42" s="17">
        <v>0</v>
      </c>
      <c r="AB42" s="17">
        <v>0</v>
      </c>
      <c r="AC42" s="15">
        <f t="shared" si="17"/>
        <v>0</v>
      </c>
      <c r="AD42" s="17">
        <v>0</v>
      </c>
      <c r="AE42" s="17">
        <v>0</v>
      </c>
      <c r="AF42" s="15">
        <f t="shared" si="18"/>
        <v>0</v>
      </c>
      <c r="AG42" s="17">
        <v>0</v>
      </c>
      <c r="AH42" s="17">
        <v>0</v>
      </c>
      <c r="AI42" s="15">
        <f t="shared" si="19"/>
        <v>0</v>
      </c>
      <c r="AJ42" s="17"/>
    </row>
    <row r="43" spans="1:36" hidden="1" x14ac:dyDescent="0.3">
      <c r="A43" s="15" t="s">
        <v>91</v>
      </c>
      <c r="B43" s="15">
        <v>1000</v>
      </c>
      <c r="C43" s="15" t="s">
        <v>54</v>
      </c>
      <c r="D43" s="15" t="s">
        <v>55</v>
      </c>
      <c r="E43" s="15">
        <f>'31-july-2026'!T43</f>
        <v>54</v>
      </c>
      <c r="F43" s="15">
        <f>'31-july-2026'!U43</f>
        <v>129</v>
      </c>
      <c r="G43" s="15">
        <f>'31-july-2026'!V43</f>
        <v>0</v>
      </c>
      <c r="H43" s="15">
        <f t="shared" si="10"/>
        <v>183</v>
      </c>
      <c r="I43" s="17">
        <v>3</v>
      </c>
      <c r="J43" s="17">
        <v>0</v>
      </c>
      <c r="K43" s="17">
        <v>0</v>
      </c>
      <c r="L43" s="17">
        <v>0</v>
      </c>
      <c r="M43" s="17">
        <v>10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5">
        <f t="shared" si="11"/>
        <v>170</v>
      </c>
      <c r="T43" s="15">
        <f t="shared" si="12"/>
        <v>51</v>
      </c>
      <c r="U43" s="15">
        <f t="shared" si="13"/>
        <v>119</v>
      </c>
      <c r="V43" s="15">
        <f t="shared" si="14"/>
        <v>0</v>
      </c>
      <c r="W43" s="18" t="str">
        <f t="shared" si="15"/>
        <v/>
      </c>
      <c r="X43" s="17">
        <v>0</v>
      </c>
      <c r="Y43" s="17">
        <v>0</v>
      </c>
      <c r="Z43" s="15">
        <f t="shared" si="16"/>
        <v>0</v>
      </c>
      <c r="AA43" s="17">
        <v>0</v>
      </c>
      <c r="AB43" s="17">
        <v>0</v>
      </c>
      <c r="AC43" s="15">
        <f t="shared" si="17"/>
        <v>0</v>
      </c>
      <c r="AD43" s="17">
        <v>0</v>
      </c>
      <c r="AE43" s="17">
        <v>0</v>
      </c>
      <c r="AF43" s="15">
        <f t="shared" si="18"/>
        <v>0</v>
      </c>
      <c r="AG43" s="17">
        <v>0</v>
      </c>
      <c r="AH43" s="17">
        <v>0</v>
      </c>
      <c r="AI43" s="15">
        <f t="shared" si="19"/>
        <v>0</v>
      </c>
      <c r="AJ43" s="17"/>
    </row>
    <row r="44" spans="1:36" x14ac:dyDescent="0.3">
      <c r="A44" s="15" t="s">
        <v>92</v>
      </c>
      <c r="B44" s="15">
        <v>100</v>
      </c>
      <c r="C44" s="15" t="s">
        <v>54</v>
      </c>
      <c r="D44" s="15" t="s">
        <v>68</v>
      </c>
      <c r="E44" s="15">
        <f>'31-july-2026'!T44</f>
        <v>5</v>
      </c>
      <c r="F44" s="15">
        <f>'31-july-2026'!U44</f>
        <v>0</v>
      </c>
      <c r="G44" s="15">
        <f>'31-july-2026'!V44</f>
        <v>0</v>
      </c>
      <c r="H44" s="15">
        <f t="shared" si="10"/>
        <v>5</v>
      </c>
      <c r="I44" s="17">
        <v>1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5">
        <f t="shared" si="11"/>
        <v>4</v>
      </c>
      <c r="T44" s="15">
        <f t="shared" si="12"/>
        <v>4</v>
      </c>
      <c r="U44" s="15">
        <f t="shared" si="13"/>
        <v>0</v>
      </c>
      <c r="V44" s="15">
        <f t="shared" si="14"/>
        <v>0</v>
      </c>
      <c r="W44" s="18" t="str">
        <f t="shared" si="15"/>
        <v/>
      </c>
      <c r="X44" s="17">
        <v>0</v>
      </c>
      <c r="Y44" s="17">
        <v>0</v>
      </c>
      <c r="Z44" s="15">
        <f t="shared" si="16"/>
        <v>0</v>
      </c>
      <c r="AA44" s="17">
        <v>0</v>
      </c>
      <c r="AB44" s="17">
        <v>0</v>
      </c>
      <c r="AC44" s="15">
        <f t="shared" si="17"/>
        <v>0</v>
      </c>
      <c r="AD44" s="17">
        <v>0</v>
      </c>
      <c r="AE44" s="17">
        <v>0</v>
      </c>
      <c r="AF44" s="15">
        <f t="shared" si="18"/>
        <v>0</v>
      </c>
      <c r="AG44" s="17">
        <v>0</v>
      </c>
      <c r="AH44" s="17">
        <v>0</v>
      </c>
      <c r="AI44" s="15">
        <f t="shared" si="19"/>
        <v>0</v>
      </c>
      <c r="AJ44" s="17"/>
    </row>
    <row r="45" spans="1:36" x14ac:dyDescent="0.3">
      <c r="A45" s="15" t="s">
        <v>93</v>
      </c>
      <c r="B45" s="15">
        <v>100000</v>
      </c>
      <c r="C45" s="15" t="s">
        <v>54</v>
      </c>
      <c r="D45" s="15" t="s">
        <v>68</v>
      </c>
      <c r="E45" s="15">
        <f>'31-july-2026'!T45</f>
        <v>2</v>
      </c>
      <c r="F45" s="15">
        <f>'31-july-2026'!U45</f>
        <v>0</v>
      </c>
      <c r="G45" s="15">
        <f>'31-july-2026'!V45</f>
        <v>0</v>
      </c>
      <c r="H45" s="15">
        <f t="shared" si="10"/>
        <v>2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5">
        <f t="shared" si="11"/>
        <v>2</v>
      </c>
      <c r="T45" s="15">
        <f t="shared" si="12"/>
        <v>2</v>
      </c>
      <c r="U45" s="15">
        <f t="shared" si="13"/>
        <v>0</v>
      </c>
      <c r="V45" s="15">
        <f t="shared" si="14"/>
        <v>0</v>
      </c>
      <c r="W45" s="18" t="str">
        <f t="shared" si="15"/>
        <v/>
      </c>
      <c r="X45" s="17">
        <v>0</v>
      </c>
      <c r="Y45" s="17">
        <v>0</v>
      </c>
      <c r="Z45" s="15">
        <f t="shared" si="16"/>
        <v>0</v>
      </c>
      <c r="AA45" s="17">
        <v>0</v>
      </c>
      <c r="AB45" s="17">
        <v>0</v>
      </c>
      <c r="AC45" s="15">
        <f t="shared" si="17"/>
        <v>0</v>
      </c>
      <c r="AD45" s="17">
        <v>0</v>
      </c>
      <c r="AE45" s="17">
        <v>0</v>
      </c>
      <c r="AF45" s="15">
        <f t="shared" si="18"/>
        <v>0</v>
      </c>
      <c r="AG45" s="17">
        <v>0</v>
      </c>
      <c r="AH45" s="17">
        <v>0</v>
      </c>
      <c r="AI45" s="15">
        <f t="shared" si="19"/>
        <v>0</v>
      </c>
      <c r="AJ45" s="17"/>
    </row>
    <row r="46" spans="1:36" hidden="1" x14ac:dyDescent="0.3">
      <c r="A46" s="15" t="s">
        <v>94</v>
      </c>
      <c r="B46" s="15">
        <v>100</v>
      </c>
      <c r="C46" s="15" t="s">
        <v>54</v>
      </c>
      <c r="D46" s="15" t="s">
        <v>55</v>
      </c>
      <c r="E46" s="15">
        <f>'31-july-2026'!T46</f>
        <v>5</v>
      </c>
      <c r="F46" s="15">
        <f>'31-july-2026'!U46</f>
        <v>0</v>
      </c>
      <c r="G46" s="15">
        <f>'31-july-2026'!V46</f>
        <v>0</v>
      </c>
      <c r="H46" s="15">
        <f t="shared" si="10"/>
        <v>5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5">
        <f t="shared" si="11"/>
        <v>5</v>
      </c>
      <c r="T46" s="15">
        <f t="shared" si="12"/>
        <v>5</v>
      </c>
      <c r="U46" s="15">
        <f t="shared" si="13"/>
        <v>0</v>
      </c>
      <c r="V46" s="15">
        <f t="shared" si="14"/>
        <v>0</v>
      </c>
      <c r="W46" s="18" t="str">
        <f t="shared" si="15"/>
        <v/>
      </c>
      <c r="X46" s="17">
        <v>0</v>
      </c>
      <c r="Y46" s="17">
        <v>0</v>
      </c>
      <c r="Z46" s="15">
        <f t="shared" si="16"/>
        <v>0</v>
      </c>
      <c r="AA46" s="17">
        <v>0</v>
      </c>
      <c r="AB46" s="17">
        <v>0</v>
      </c>
      <c r="AC46" s="15">
        <f t="shared" si="17"/>
        <v>0</v>
      </c>
      <c r="AD46" s="17">
        <v>0</v>
      </c>
      <c r="AE46" s="17">
        <v>0</v>
      </c>
      <c r="AF46" s="15">
        <f t="shared" si="18"/>
        <v>0</v>
      </c>
      <c r="AG46" s="17">
        <v>0</v>
      </c>
      <c r="AH46" s="17">
        <v>0</v>
      </c>
      <c r="AI46" s="15">
        <f t="shared" si="19"/>
        <v>0</v>
      </c>
      <c r="AJ46" s="17"/>
    </row>
    <row r="47" spans="1:36" x14ac:dyDescent="0.3">
      <c r="A47" s="15" t="s">
        <v>94</v>
      </c>
      <c r="B47" s="15">
        <v>100</v>
      </c>
      <c r="C47" s="15" t="s">
        <v>54</v>
      </c>
      <c r="D47" s="15" t="s">
        <v>57</v>
      </c>
      <c r="E47" s="15">
        <f>'31-july-2026'!T47</f>
        <v>1</v>
      </c>
      <c r="F47" s="15">
        <f>'31-july-2026'!U47</f>
        <v>0</v>
      </c>
      <c r="G47" s="15">
        <f>'31-july-2026'!V47</f>
        <v>0</v>
      </c>
      <c r="H47" s="15">
        <f t="shared" si="10"/>
        <v>1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5">
        <f t="shared" si="11"/>
        <v>1</v>
      </c>
      <c r="T47" s="15">
        <f t="shared" si="12"/>
        <v>1</v>
      </c>
      <c r="U47" s="15">
        <f t="shared" si="13"/>
        <v>0</v>
      </c>
      <c r="V47" s="15">
        <f t="shared" si="14"/>
        <v>0</v>
      </c>
      <c r="W47" s="18" t="str">
        <f t="shared" si="15"/>
        <v/>
      </c>
      <c r="X47" s="17">
        <v>0</v>
      </c>
      <c r="Y47" s="17">
        <v>0</v>
      </c>
      <c r="Z47" s="15">
        <f t="shared" si="16"/>
        <v>0</v>
      </c>
      <c r="AA47" s="17">
        <v>0</v>
      </c>
      <c r="AB47" s="17">
        <v>0</v>
      </c>
      <c r="AC47" s="15">
        <f t="shared" si="17"/>
        <v>0</v>
      </c>
      <c r="AD47" s="17">
        <v>0</v>
      </c>
      <c r="AE47" s="17">
        <v>0</v>
      </c>
      <c r="AF47" s="15">
        <f t="shared" si="18"/>
        <v>0</v>
      </c>
      <c r="AG47" s="17">
        <v>0</v>
      </c>
      <c r="AH47" s="17">
        <v>0</v>
      </c>
      <c r="AI47" s="15">
        <f t="shared" si="19"/>
        <v>0</v>
      </c>
      <c r="AJ47" s="17"/>
    </row>
    <row r="48" spans="1:36" x14ac:dyDescent="0.3">
      <c r="A48" s="15" t="s">
        <v>95</v>
      </c>
      <c r="B48" s="15">
        <v>100</v>
      </c>
      <c r="C48" s="15" t="s">
        <v>54</v>
      </c>
      <c r="D48" s="15" t="s">
        <v>57</v>
      </c>
      <c r="E48" s="15">
        <f>'31-july-2026'!T48</f>
        <v>1</v>
      </c>
      <c r="F48" s="15">
        <f>'31-july-2026'!U48</f>
        <v>0</v>
      </c>
      <c r="G48" s="15">
        <f>'31-july-2026'!V48</f>
        <v>0</v>
      </c>
      <c r="H48" s="15">
        <f t="shared" si="10"/>
        <v>1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5">
        <f t="shared" si="11"/>
        <v>1</v>
      </c>
      <c r="T48" s="15">
        <f t="shared" si="12"/>
        <v>1</v>
      </c>
      <c r="U48" s="15">
        <f t="shared" si="13"/>
        <v>0</v>
      </c>
      <c r="V48" s="15">
        <f t="shared" si="14"/>
        <v>0</v>
      </c>
      <c r="W48" s="18" t="str">
        <f t="shared" si="15"/>
        <v/>
      </c>
      <c r="X48" s="17">
        <v>0</v>
      </c>
      <c r="Y48" s="17">
        <v>0</v>
      </c>
      <c r="Z48" s="15">
        <f t="shared" si="16"/>
        <v>0</v>
      </c>
      <c r="AA48" s="17">
        <v>0</v>
      </c>
      <c r="AB48" s="17">
        <v>0</v>
      </c>
      <c r="AC48" s="15">
        <f t="shared" si="17"/>
        <v>0</v>
      </c>
      <c r="AD48" s="17">
        <v>0</v>
      </c>
      <c r="AE48" s="17">
        <v>0</v>
      </c>
      <c r="AF48" s="15">
        <f t="shared" si="18"/>
        <v>0</v>
      </c>
      <c r="AG48" s="17">
        <v>0</v>
      </c>
      <c r="AH48" s="17">
        <v>0</v>
      </c>
      <c r="AI48" s="15">
        <f t="shared" si="19"/>
        <v>0</v>
      </c>
      <c r="AJ48" s="17"/>
    </row>
    <row r="49" spans="1:36" hidden="1" x14ac:dyDescent="0.3">
      <c r="A49" s="15" t="s">
        <v>96</v>
      </c>
      <c r="B49" s="15">
        <v>1000</v>
      </c>
      <c r="C49" s="15"/>
      <c r="D49" s="15" t="s">
        <v>55</v>
      </c>
      <c r="E49" s="15">
        <f>'31-july-2026'!T49</f>
        <v>0</v>
      </c>
      <c r="F49" s="15">
        <f>'31-july-2026'!U49</f>
        <v>0</v>
      </c>
      <c r="G49" s="15">
        <f>'31-july-2026'!V49</f>
        <v>0</v>
      </c>
      <c r="H49" s="15">
        <f t="shared" si="10"/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5">
        <f t="shared" si="11"/>
        <v>0</v>
      </c>
      <c r="T49" s="15">
        <f t="shared" si="12"/>
        <v>0</v>
      </c>
      <c r="U49" s="15">
        <f t="shared" si="13"/>
        <v>0</v>
      </c>
      <c r="V49" s="15">
        <f t="shared" si="14"/>
        <v>0</v>
      </c>
      <c r="W49" s="18" t="str">
        <f t="shared" si="15"/>
        <v/>
      </c>
      <c r="X49" s="17">
        <v>0</v>
      </c>
      <c r="Y49" s="17">
        <v>0</v>
      </c>
      <c r="Z49" s="15">
        <f t="shared" si="16"/>
        <v>0</v>
      </c>
      <c r="AA49" s="17">
        <v>0</v>
      </c>
      <c r="AB49" s="17">
        <v>0</v>
      </c>
      <c r="AC49" s="15">
        <f t="shared" si="17"/>
        <v>0</v>
      </c>
      <c r="AD49" s="17">
        <v>0</v>
      </c>
      <c r="AE49" s="17">
        <v>0</v>
      </c>
      <c r="AF49" s="15">
        <f t="shared" si="18"/>
        <v>0</v>
      </c>
      <c r="AG49" s="17">
        <v>0</v>
      </c>
      <c r="AH49" s="17">
        <v>0</v>
      </c>
      <c r="AI49" s="15">
        <f t="shared" si="19"/>
        <v>0</v>
      </c>
      <c r="AJ49" s="17"/>
    </row>
    <row r="50" spans="1:36" hidden="1" x14ac:dyDescent="0.3">
      <c r="A50" s="15" t="s">
        <v>97</v>
      </c>
      <c r="B50" s="15">
        <v>1000</v>
      </c>
      <c r="C50" s="15" t="s">
        <v>54</v>
      </c>
      <c r="D50" s="15" t="s">
        <v>55</v>
      </c>
      <c r="E50" s="15">
        <f>'31-july-2026'!T50</f>
        <v>34</v>
      </c>
      <c r="F50" s="15">
        <f>'31-july-2026'!U50</f>
        <v>37</v>
      </c>
      <c r="G50" s="15">
        <f>'31-july-2026'!V50</f>
        <v>0</v>
      </c>
      <c r="H50" s="15">
        <f t="shared" si="10"/>
        <v>71</v>
      </c>
      <c r="I50" s="17">
        <v>2</v>
      </c>
      <c r="J50" s="17">
        <v>0</v>
      </c>
      <c r="K50" s="17">
        <v>0</v>
      </c>
      <c r="L50" s="17">
        <v>0</v>
      </c>
      <c r="M50" s="17">
        <v>10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5">
        <f t="shared" si="11"/>
        <v>59</v>
      </c>
      <c r="T50" s="15">
        <f t="shared" si="12"/>
        <v>32</v>
      </c>
      <c r="U50" s="15">
        <f t="shared" si="13"/>
        <v>27</v>
      </c>
      <c r="V50" s="15">
        <f t="shared" si="14"/>
        <v>0</v>
      </c>
      <c r="W50" s="18" t="str">
        <f t="shared" si="15"/>
        <v/>
      </c>
      <c r="X50" s="17">
        <v>0</v>
      </c>
      <c r="Y50" s="17">
        <v>0</v>
      </c>
      <c r="Z50" s="15">
        <f t="shared" si="16"/>
        <v>0</v>
      </c>
      <c r="AA50" s="17">
        <v>0</v>
      </c>
      <c r="AB50" s="17">
        <v>0</v>
      </c>
      <c r="AC50" s="15">
        <f t="shared" si="17"/>
        <v>0</v>
      </c>
      <c r="AD50" s="17">
        <v>0</v>
      </c>
      <c r="AE50" s="17">
        <v>0</v>
      </c>
      <c r="AF50" s="15">
        <f t="shared" si="18"/>
        <v>0</v>
      </c>
      <c r="AG50" s="17">
        <v>0</v>
      </c>
      <c r="AH50" s="17">
        <v>0</v>
      </c>
      <c r="AI50" s="15">
        <f t="shared" si="19"/>
        <v>0</v>
      </c>
      <c r="AJ50" s="17"/>
    </row>
    <row r="51" spans="1:36" hidden="1" x14ac:dyDescent="0.3">
      <c r="A51" s="15" t="s">
        <v>98</v>
      </c>
      <c r="B51" s="15">
        <v>1000</v>
      </c>
      <c r="C51" s="15" t="s">
        <v>54</v>
      </c>
      <c r="D51" s="15" t="s">
        <v>55</v>
      </c>
      <c r="E51" s="15">
        <f>'31-july-2026'!T51</f>
        <v>3</v>
      </c>
      <c r="F51" s="15">
        <f>'31-july-2026'!U51</f>
        <v>17</v>
      </c>
      <c r="G51" s="15">
        <f>'31-july-2026'!V51</f>
        <v>0</v>
      </c>
      <c r="H51" s="15">
        <f t="shared" si="10"/>
        <v>20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5">
        <f t="shared" si="11"/>
        <v>20</v>
      </c>
      <c r="T51" s="15">
        <f t="shared" si="12"/>
        <v>3</v>
      </c>
      <c r="U51" s="15">
        <f t="shared" si="13"/>
        <v>17</v>
      </c>
      <c r="V51" s="15">
        <f t="shared" si="14"/>
        <v>0</v>
      </c>
      <c r="W51" s="18" t="str">
        <f t="shared" si="15"/>
        <v/>
      </c>
      <c r="X51" s="17">
        <v>0</v>
      </c>
      <c r="Y51" s="17">
        <v>0</v>
      </c>
      <c r="Z51" s="15">
        <f t="shared" si="16"/>
        <v>0</v>
      </c>
      <c r="AA51" s="17">
        <v>0</v>
      </c>
      <c r="AB51" s="17">
        <v>0</v>
      </c>
      <c r="AC51" s="15">
        <f t="shared" si="17"/>
        <v>0</v>
      </c>
      <c r="AD51" s="17">
        <v>0</v>
      </c>
      <c r="AE51" s="17">
        <v>0</v>
      </c>
      <c r="AF51" s="15">
        <f t="shared" si="18"/>
        <v>0</v>
      </c>
      <c r="AG51" s="17">
        <v>0</v>
      </c>
      <c r="AH51" s="17">
        <v>0</v>
      </c>
      <c r="AI51" s="15">
        <f t="shared" si="19"/>
        <v>0</v>
      </c>
      <c r="AJ51" s="17"/>
    </row>
    <row r="52" spans="1:36" hidden="1" x14ac:dyDescent="0.3">
      <c r="A52" s="15" t="s">
        <v>99</v>
      </c>
      <c r="B52" s="15">
        <v>1000</v>
      </c>
      <c r="C52" s="15" t="s">
        <v>54</v>
      </c>
      <c r="D52" s="15" t="s">
        <v>55</v>
      </c>
      <c r="E52" s="15">
        <f>'31-july-2026'!T52</f>
        <v>4</v>
      </c>
      <c r="F52" s="15">
        <f>'31-july-2026'!U52</f>
        <v>1</v>
      </c>
      <c r="G52" s="15">
        <f>'31-july-2026'!V52</f>
        <v>0</v>
      </c>
      <c r="H52" s="15">
        <f t="shared" si="10"/>
        <v>5</v>
      </c>
      <c r="I52" s="17">
        <v>2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5">
        <f t="shared" si="11"/>
        <v>3</v>
      </c>
      <c r="T52" s="15">
        <f t="shared" si="12"/>
        <v>2</v>
      </c>
      <c r="U52" s="15">
        <f t="shared" si="13"/>
        <v>1</v>
      </c>
      <c r="V52" s="15">
        <f t="shared" si="14"/>
        <v>0</v>
      </c>
      <c r="W52" s="18" t="str">
        <f t="shared" si="15"/>
        <v/>
      </c>
      <c r="X52" s="17">
        <v>0</v>
      </c>
      <c r="Y52" s="17">
        <v>0</v>
      </c>
      <c r="Z52" s="15">
        <f t="shared" si="16"/>
        <v>0</v>
      </c>
      <c r="AA52" s="17">
        <v>0</v>
      </c>
      <c r="AB52" s="17">
        <v>0</v>
      </c>
      <c r="AC52" s="15">
        <f t="shared" si="17"/>
        <v>0</v>
      </c>
      <c r="AD52" s="17">
        <v>0</v>
      </c>
      <c r="AE52" s="17">
        <v>0</v>
      </c>
      <c r="AF52" s="15">
        <f t="shared" si="18"/>
        <v>0</v>
      </c>
      <c r="AG52" s="17">
        <v>0</v>
      </c>
      <c r="AH52" s="17">
        <v>0</v>
      </c>
      <c r="AI52" s="15">
        <f t="shared" si="19"/>
        <v>0</v>
      </c>
      <c r="AJ52" s="17"/>
    </row>
    <row r="53" spans="1:36" x14ac:dyDescent="0.3">
      <c r="A53" s="15" t="s">
        <v>100</v>
      </c>
      <c r="B53" s="15">
        <v>100</v>
      </c>
      <c r="C53" s="15" t="s">
        <v>54</v>
      </c>
      <c r="D53" s="15" t="s">
        <v>68</v>
      </c>
      <c r="E53" s="15">
        <f>'31-july-2026'!T53</f>
        <v>3</v>
      </c>
      <c r="F53" s="15">
        <f>'31-july-2026'!U53</f>
        <v>0</v>
      </c>
      <c r="G53" s="15">
        <f>'31-july-2026'!V53</f>
        <v>0</v>
      </c>
      <c r="H53" s="15">
        <f t="shared" si="10"/>
        <v>3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5">
        <f t="shared" si="11"/>
        <v>3</v>
      </c>
      <c r="T53" s="15">
        <f t="shared" si="12"/>
        <v>3</v>
      </c>
      <c r="U53" s="15">
        <f t="shared" si="13"/>
        <v>0</v>
      </c>
      <c r="V53" s="15">
        <f t="shared" si="14"/>
        <v>0</v>
      </c>
      <c r="W53" s="18" t="str">
        <f t="shared" si="15"/>
        <v/>
      </c>
      <c r="X53" s="17">
        <v>0</v>
      </c>
      <c r="Y53" s="17">
        <v>0</v>
      </c>
      <c r="Z53" s="15">
        <f t="shared" si="16"/>
        <v>0</v>
      </c>
      <c r="AA53" s="17">
        <v>0</v>
      </c>
      <c r="AB53" s="17">
        <v>0</v>
      </c>
      <c r="AC53" s="15">
        <f t="shared" si="17"/>
        <v>0</v>
      </c>
      <c r="AD53" s="17">
        <v>0</v>
      </c>
      <c r="AE53" s="17">
        <v>0</v>
      </c>
      <c r="AF53" s="15">
        <f t="shared" si="18"/>
        <v>0</v>
      </c>
      <c r="AG53" s="17">
        <v>0</v>
      </c>
      <c r="AH53" s="17">
        <v>0</v>
      </c>
      <c r="AI53" s="15">
        <f t="shared" si="19"/>
        <v>0</v>
      </c>
      <c r="AJ53" s="17"/>
    </row>
    <row r="54" spans="1:36" x14ac:dyDescent="0.3">
      <c r="A54" s="15" t="s">
        <v>101</v>
      </c>
      <c r="B54" s="15">
        <v>1000</v>
      </c>
      <c r="C54" s="15" t="s">
        <v>54</v>
      </c>
      <c r="D54" s="15" t="s">
        <v>68</v>
      </c>
      <c r="E54" s="15">
        <f>'31-july-2026'!T54</f>
        <v>7</v>
      </c>
      <c r="F54" s="15">
        <f>'31-july-2026'!U54</f>
        <v>0</v>
      </c>
      <c r="G54" s="15">
        <f>'31-july-2026'!V54</f>
        <v>0</v>
      </c>
      <c r="H54" s="15">
        <f t="shared" si="10"/>
        <v>7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5">
        <f t="shared" si="11"/>
        <v>7</v>
      </c>
      <c r="T54" s="15">
        <f t="shared" si="12"/>
        <v>7</v>
      </c>
      <c r="U54" s="15">
        <f t="shared" si="13"/>
        <v>0</v>
      </c>
      <c r="V54" s="15">
        <f t="shared" si="14"/>
        <v>0</v>
      </c>
      <c r="W54" s="18" t="str">
        <f t="shared" si="15"/>
        <v/>
      </c>
      <c r="X54" s="17">
        <v>0</v>
      </c>
      <c r="Y54" s="17">
        <v>0</v>
      </c>
      <c r="Z54" s="15">
        <f t="shared" si="16"/>
        <v>0</v>
      </c>
      <c r="AA54" s="17">
        <v>0</v>
      </c>
      <c r="AB54" s="17">
        <v>0</v>
      </c>
      <c r="AC54" s="15">
        <f t="shared" si="17"/>
        <v>0</v>
      </c>
      <c r="AD54" s="17">
        <v>0</v>
      </c>
      <c r="AE54" s="17">
        <v>0</v>
      </c>
      <c r="AF54" s="15">
        <f t="shared" si="18"/>
        <v>0</v>
      </c>
      <c r="AG54" s="17">
        <v>0</v>
      </c>
      <c r="AH54" s="17">
        <v>0</v>
      </c>
      <c r="AI54" s="15">
        <f t="shared" si="19"/>
        <v>0</v>
      </c>
      <c r="AJ54" s="17"/>
    </row>
    <row r="55" spans="1:36" x14ac:dyDescent="0.3">
      <c r="A55" s="15" t="s">
        <v>102</v>
      </c>
      <c r="B55" s="15">
        <v>5000</v>
      </c>
      <c r="C55" s="15" t="s">
        <v>54</v>
      </c>
      <c r="D55" s="15" t="s">
        <v>57</v>
      </c>
      <c r="E55" s="15">
        <f>'31-july-2026'!T55</f>
        <v>1</v>
      </c>
      <c r="F55" s="15">
        <f>'31-july-2026'!U55</f>
        <v>0</v>
      </c>
      <c r="G55" s="15">
        <f>'31-july-2026'!V55</f>
        <v>0</v>
      </c>
      <c r="H55" s="15">
        <f t="shared" si="10"/>
        <v>1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5">
        <f t="shared" si="11"/>
        <v>1</v>
      </c>
      <c r="T55" s="15">
        <f t="shared" si="12"/>
        <v>1</v>
      </c>
      <c r="U55" s="15">
        <f t="shared" si="13"/>
        <v>0</v>
      </c>
      <c r="V55" s="15">
        <f t="shared" si="14"/>
        <v>0</v>
      </c>
      <c r="W55" s="18" t="str">
        <f t="shared" si="15"/>
        <v/>
      </c>
      <c r="X55" s="17">
        <v>0</v>
      </c>
      <c r="Y55" s="17">
        <v>0</v>
      </c>
      <c r="Z55" s="15">
        <f t="shared" si="16"/>
        <v>0</v>
      </c>
      <c r="AA55" s="17">
        <v>0</v>
      </c>
      <c r="AB55" s="17">
        <v>0</v>
      </c>
      <c r="AC55" s="15">
        <f t="shared" si="17"/>
        <v>0</v>
      </c>
      <c r="AD55" s="17">
        <v>0</v>
      </c>
      <c r="AE55" s="17">
        <v>0</v>
      </c>
      <c r="AF55" s="15">
        <f t="shared" si="18"/>
        <v>0</v>
      </c>
      <c r="AG55" s="17">
        <v>0</v>
      </c>
      <c r="AH55" s="17">
        <v>0</v>
      </c>
      <c r="AI55" s="15">
        <f t="shared" si="19"/>
        <v>0</v>
      </c>
      <c r="AJ55" s="17"/>
    </row>
    <row r="56" spans="1:36" x14ac:dyDescent="0.3">
      <c r="A56" s="15" t="s">
        <v>103</v>
      </c>
      <c r="B56" s="15">
        <v>1000</v>
      </c>
      <c r="C56" s="15" t="s">
        <v>54</v>
      </c>
      <c r="D56" s="15" t="s">
        <v>68</v>
      </c>
      <c r="E56" s="15">
        <f>'31-july-2026'!T56</f>
        <v>1</v>
      </c>
      <c r="F56" s="15">
        <f>'31-july-2026'!U56</f>
        <v>0</v>
      </c>
      <c r="G56" s="15">
        <f>'31-july-2026'!V56</f>
        <v>0</v>
      </c>
      <c r="H56" s="15">
        <f t="shared" si="10"/>
        <v>1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5">
        <f t="shared" si="11"/>
        <v>1</v>
      </c>
      <c r="T56" s="15">
        <f t="shared" si="12"/>
        <v>1</v>
      </c>
      <c r="U56" s="15">
        <f t="shared" si="13"/>
        <v>0</v>
      </c>
      <c r="V56" s="15">
        <f t="shared" si="14"/>
        <v>0</v>
      </c>
      <c r="W56" s="18" t="str">
        <f t="shared" si="15"/>
        <v/>
      </c>
      <c r="X56" s="17">
        <v>0</v>
      </c>
      <c r="Y56" s="17">
        <v>0</v>
      </c>
      <c r="Z56" s="15">
        <f t="shared" si="16"/>
        <v>0</v>
      </c>
      <c r="AA56" s="17">
        <v>0</v>
      </c>
      <c r="AB56" s="17">
        <v>0</v>
      </c>
      <c r="AC56" s="15">
        <f t="shared" si="17"/>
        <v>0</v>
      </c>
      <c r="AD56" s="17">
        <v>0</v>
      </c>
      <c r="AE56" s="17">
        <v>0</v>
      </c>
      <c r="AF56" s="15">
        <f t="shared" si="18"/>
        <v>0</v>
      </c>
      <c r="AG56" s="17">
        <v>0</v>
      </c>
      <c r="AH56" s="17">
        <v>0</v>
      </c>
      <c r="AI56" s="15">
        <f t="shared" si="19"/>
        <v>0</v>
      </c>
      <c r="AJ56" s="17"/>
    </row>
    <row r="57" spans="1:36" hidden="1" x14ac:dyDescent="0.3">
      <c r="A57" s="15" t="s">
        <v>104</v>
      </c>
      <c r="B57" s="15">
        <v>1000</v>
      </c>
      <c r="C57" s="15" t="s">
        <v>54</v>
      </c>
      <c r="D57" s="15" t="s">
        <v>55</v>
      </c>
      <c r="E57" s="15">
        <f>'31-july-2026'!T57</f>
        <v>0</v>
      </c>
      <c r="F57" s="15">
        <f>'31-july-2026'!U57</f>
        <v>2</v>
      </c>
      <c r="G57" s="15">
        <f>'31-july-2026'!V57</f>
        <v>0</v>
      </c>
      <c r="H57" s="15">
        <f t="shared" si="10"/>
        <v>2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5">
        <f t="shared" si="11"/>
        <v>2</v>
      </c>
      <c r="T57" s="15">
        <f t="shared" si="12"/>
        <v>0</v>
      </c>
      <c r="U57" s="15">
        <f t="shared" si="13"/>
        <v>2</v>
      </c>
      <c r="V57" s="15">
        <f t="shared" si="14"/>
        <v>0</v>
      </c>
      <c r="W57" s="18" t="str">
        <f t="shared" si="15"/>
        <v/>
      </c>
      <c r="X57" s="17">
        <v>0</v>
      </c>
      <c r="Y57" s="17">
        <v>0</v>
      </c>
      <c r="Z57" s="15">
        <f t="shared" si="16"/>
        <v>0</v>
      </c>
      <c r="AA57" s="17">
        <v>0</v>
      </c>
      <c r="AB57" s="17">
        <v>0</v>
      </c>
      <c r="AC57" s="15">
        <f t="shared" si="17"/>
        <v>0</v>
      </c>
      <c r="AD57" s="17">
        <v>0</v>
      </c>
      <c r="AE57" s="17">
        <v>0</v>
      </c>
      <c r="AF57" s="15">
        <f t="shared" si="18"/>
        <v>0</v>
      </c>
      <c r="AG57" s="17">
        <v>0</v>
      </c>
      <c r="AH57" s="17">
        <v>0</v>
      </c>
      <c r="AI57" s="15">
        <f t="shared" si="19"/>
        <v>0</v>
      </c>
      <c r="AJ57" s="17"/>
    </row>
    <row r="58" spans="1:36" x14ac:dyDescent="0.3">
      <c r="A58" s="15" t="s">
        <v>105</v>
      </c>
      <c r="B58" s="15">
        <v>100000</v>
      </c>
      <c r="C58" s="15" t="s">
        <v>54</v>
      </c>
      <c r="D58" s="15" t="s">
        <v>68</v>
      </c>
      <c r="E58" s="15">
        <f>'31-july-2026'!T58</f>
        <v>2</v>
      </c>
      <c r="F58" s="15">
        <f>'31-july-2026'!U58</f>
        <v>0</v>
      </c>
      <c r="G58" s="15">
        <f>'31-july-2026'!V58</f>
        <v>0</v>
      </c>
      <c r="H58" s="15">
        <f t="shared" si="10"/>
        <v>2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5">
        <f t="shared" si="11"/>
        <v>2</v>
      </c>
      <c r="T58" s="15">
        <f t="shared" si="12"/>
        <v>2</v>
      </c>
      <c r="U58" s="15">
        <f t="shared" si="13"/>
        <v>0</v>
      </c>
      <c r="V58" s="15">
        <f t="shared" si="14"/>
        <v>0</v>
      </c>
      <c r="W58" s="18" t="str">
        <f t="shared" si="15"/>
        <v/>
      </c>
      <c r="X58" s="17">
        <v>0</v>
      </c>
      <c r="Y58" s="17">
        <v>0</v>
      </c>
      <c r="Z58" s="15">
        <f t="shared" si="16"/>
        <v>0</v>
      </c>
      <c r="AA58" s="17">
        <v>0</v>
      </c>
      <c r="AB58" s="17">
        <v>0</v>
      </c>
      <c r="AC58" s="15">
        <f t="shared" si="17"/>
        <v>0</v>
      </c>
      <c r="AD58" s="17">
        <v>0</v>
      </c>
      <c r="AE58" s="17">
        <v>0</v>
      </c>
      <c r="AF58" s="15">
        <f t="shared" si="18"/>
        <v>0</v>
      </c>
      <c r="AG58" s="17">
        <v>0</v>
      </c>
      <c r="AH58" s="17">
        <v>0</v>
      </c>
      <c r="AI58" s="15">
        <f t="shared" si="19"/>
        <v>0</v>
      </c>
      <c r="AJ58" s="17"/>
    </row>
    <row r="59" spans="1:36" hidden="1" x14ac:dyDescent="0.3">
      <c r="A59" s="15" t="s">
        <v>106</v>
      </c>
      <c r="B59" s="15">
        <v>100</v>
      </c>
      <c r="C59" s="15" t="s">
        <v>54</v>
      </c>
      <c r="D59" s="15" t="s">
        <v>55</v>
      </c>
      <c r="E59" s="15">
        <f>'31-july-2026'!T59</f>
        <v>6</v>
      </c>
      <c r="F59" s="15">
        <f>'31-july-2026'!U59</f>
        <v>0</v>
      </c>
      <c r="G59" s="15">
        <f>'31-july-2026'!V59</f>
        <v>0</v>
      </c>
      <c r="H59" s="15">
        <f t="shared" si="10"/>
        <v>6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5">
        <f t="shared" si="11"/>
        <v>6</v>
      </c>
      <c r="T59" s="15">
        <f t="shared" si="12"/>
        <v>6</v>
      </c>
      <c r="U59" s="15">
        <f t="shared" si="13"/>
        <v>0</v>
      </c>
      <c r="V59" s="15">
        <f t="shared" si="14"/>
        <v>0</v>
      </c>
      <c r="W59" s="18" t="str">
        <f t="shared" si="15"/>
        <v/>
      </c>
      <c r="X59" s="17">
        <v>0</v>
      </c>
      <c r="Y59" s="17">
        <v>0</v>
      </c>
      <c r="Z59" s="15">
        <f t="shared" si="16"/>
        <v>0</v>
      </c>
      <c r="AA59" s="17">
        <v>0</v>
      </c>
      <c r="AB59" s="17">
        <v>0</v>
      </c>
      <c r="AC59" s="15">
        <f t="shared" si="17"/>
        <v>0</v>
      </c>
      <c r="AD59" s="17">
        <v>0</v>
      </c>
      <c r="AE59" s="17">
        <v>0</v>
      </c>
      <c r="AF59" s="15">
        <f t="shared" si="18"/>
        <v>0</v>
      </c>
      <c r="AG59" s="17">
        <v>0</v>
      </c>
      <c r="AH59" s="17">
        <v>0</v>
      </c>
      <c r="AI59" s="15">
        <f t="shared" si="19"/>
        <v>0</v>
      </c>
      <c r="AJ59" s="17"/>
    </row>
    <row r="60" spans="1:36" x14ac:dyDescent="0.3">
      <c r="A60" s="15" t="s">
        <v>107</v>
      </c>
      <c r="B60" s="15">
        <v>100000</v>
      </c>
      <c r="C60" s="15" t="s">
        <v>54</v>
      </c>
      <c r="D60" s="15" t="s">
        <v>68</v>
      </c>
      <c r="E60" s="15">
        <f>'31-july-2026'!T60</f>
        <v>5</v>
      </c>
      <c r="F60" s="15">
        <f>'31-july-2026'!U60</f>
        <v>0</v>
      </c>
      <c r="G60" s="15">
        <f>'31-july-2026'!V60</f>
        <v>0</v>
      </c>
      <c r="H60" s="15">
        <f t="shared" si="10"/>
        <v>5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5">
        <f t="shared" si="11"/>
        <v>5</v>
      </c>
      <c r="T60" s="15">
        <f t="shared" si="12"/>
        <v>5</v>
      </c>
      <c r="U60" s="15">
        <f t="shared" si="13"/>
        <v>0</v>
      </c>
      <c r="V60" s="15">
        <f t="shared" si="14"/>
        <v>0</v>
      </c>
      <c r="W60" s="18" t="str">
        <f t="shared" si="15"/>
        <v/>
      </c>
      <c r="X60" s="17">
        <v>0</v>
      </c>
      <c r="Y60" s="17">
        <v>0</v>
      </c>
      <c r="Z60" s="15">
        <f t="shared" si="16"/>
        <v>0</v>
      </c>
      <c r="AA60" s="17">
        <v>0</v>
      </c>
      <c r="AB60" s="17">
        <v>0</v>
      </c>
      <c r="AC60" s="15">
        <f t="shared" si="17"/>
        <v>0</v>
      </c>
      <c r="AD60" s="17">
        <v>0</v>
      </c>
      <c r="AE60" s="17">
        <v>0</v>
      </c>
      <c r="AF60" s="15">
        <f t="shared" si="18"/>
        <v>0</v>
      </c>
      <c r="AG60" s="17">
        <v>0</v>
      </c>
      <c r="AH60" s="17">
        <v>0</v>
      </c>
      <c r="AI60" s="15">
        <f t="shared" si="19"/>
        <v>0</v>
      </c>
      <c r="AJ60" s="17"/>
    </row>
    <row r="61" spans="1:36" x14ac:dyDescent="0.3">
      <c r="A61" s="15" t="s">
        <v>108</v>
      </c>
      <c r="B61" s="15">
        <v>100</v>
      </c>
      <c r="C61" s="15" t="s">
        <v>54</v>
      </c>
      <c r="D61" s="15" t="s">
        <v>68</v>
      </c>
      <c r="E61" s="15">
        <f>'31-july-2026'!T61</f>
        <v>3</v>
      </c>
      <c r="F61" s="15">
        <f>'31-july-2026'!U61</f>
        <v>0</v>
      </c>
      <c r="G61" s="15">
        <f>'31-july-2026'!V61</f>
        <v>0</v>
      </c>
      <c r="H61" s="15">
        <f t="shared" si="10"/>
        <v>3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5">
        <f t="shared" si="11"/>
        <v>3</v>
      </c>
      <c r="T61" s="15">
        <f t="shared" si="12"/>
        <v>3</v>
      </c>
      <c r="U61" s="15">
        <f t="shared" si="13"/>
        <v>0</v>
      </c>
      <c r="V61" s="15">
        <f t="shared" si="14"/>
        <v>0</v>
      </c>
      <c r="W61" s="18" t="str">
        <f t="shared" si="15"/>
        <v/>
      </c>
      <c r="X61" s="17">
        <v>0</v>
      </c>
      <c r="Y61" s="17">
        <v>0</v>
      </c>
      <c r="Z61" s="15">
        <f t="shared" si="16"/>
        <v>0</v>
      </c>
      <c r="AA61" s="17">
        <v>0</v>
      </c>
      <c r="AB61" s="17">
        <v>0</v>
      </c>
      <c r="AC61" s="15">
        <f t="shared" si="17"/>
        <v>0</v>
      </c>
      <c r="AD61" s="17">
        <v>0</v>
      </c>
      <c r="AE61" s="17">
        <v>0</v>
      </c>
      <c r="AF61" s="15">
        <f t="shared" si="18"/>
        <v>0</v>
      </c>
      <c r="AG61" s="17">
        <v>0</v>
      </c>
      <c r="AH61" s="17">
        <v>0</v>
      </c>
      <c r="AI61" s="15">
        <f t="shared" si="19"/>
        <v>0</v>
      </c>
      <c r="AJ61" s="17"/>
    </row>
    <row r="62" spans="1:36" hidden="1" x14ac:dyDescent="0.3">
      <c r="A62" s="15" t="s">
        <v>109</v>
      </c>
      <c r="B62" s="15">
        <v>0</v>
      </c>
      <c r="C62" s="15" t="s">
        <v>110</v>
      </c>
      <c r="D62" s="15" t="s">
        <v>55</v>
      </c>
      <c r="E62" s="15">
        <v>0</v>
      </c>
      <c r="F62" s="15">
        <v>0</v>
      </c>
      <c r="G62" s="15">
        <v>0</v>
      </c>
      <c r="H62" s="15">
        <f t="shared" si="10"/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5">
        <f t="shared" si="11"/>
        <v>0</v>
      </c>
      <c r="T62" s="15">
        <f t="shared" si="12"/>
        <v>0</v>
      </c>
      <c r="U62" s="15">
        <f t="shared" si="13"/>
        <v>0</v>
      </c>
      <c r="V62" s="15">
        <f t="shared" si="14"/>
        <v>0</v>
      </c>
      <c r="W62" s="18" t="str">
        <f t="shared" si="15"/>
        <v/>
      </c>
      <c r="X62" s="17">
        <v>0</v>
      </c>
      <c r="Y62" s="17">
        <v>0</v>
      </c>
      <c r="Z62" s="15">
        <f t="shared" si="16"/>
        <v>0</v>
      </c>
      <c r="AA62" s="17">
        <v>0</v>
      </c>
      <c r="AB62" s="17">
        <v>0</v>
      </c>
      <c r="AC62" s="15">
        <f t="shared" si="17"/>
        <v>0</v>
      </c>
      <c r="AD62" s="17">
        <v>0</v>
      </c>
      <c r="AE62" s="17">
        <v>0</v>
      </c>
      <c r="AF62" s="15">
        <f t="shared" si="18"/>
        <v>0</v>
      </c>
      <c r="AG62" s="17">
        <v>0</v>
      </c>
      <c r="AH62" s="17">
        <v>0</v>
      </c>
      <c r="AI62" s="15">
        <f t="shared" si="19"/>
        <v>0</v>
      </c>
      <c r="AJ62" s="17"/>
    </row>
    <row r="63" spans="1:36" x14ac:dyDescent="0.3">
      <c r="A63" s="15" t="s">
        <v>111</v>
      </c>
      <c r="B63" s="15">
        <v>1000</v>
      </c>
      <c r="C63" s="15" t="s">
        <v>54</v>
      </c>
      <c r="D63" s="15" t="s">
        <v>68</v>
      </c>
      <c r="E63" s="15">
        <f>'31-july-2026'!T63</f>
        <v>3</v>
      </c>
      <c r="F63" s="15">
        <f>'31-july-2026'!U63</f>
        <v>0</v>
      </c>
      <c r="G63" s="15">
        <f>'31-july-2026'!V63</f>
        <v>0</v>
      </c>
      <c r="H63" s="15">
        <f t="shared" si="10"/>
        <v>3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5">
        <f t="shared" si="11"/>
        <v>3</v>
      </c>
      <c r="T63" s="15">
        <f t="shared" si="12"/>
        <v>3</v>
      </c>
      <c r="U63" s="15">
        <f t="shared" si="13"/>
        <v>0</v>
      </c>
      <c r="V63" s="15">
        <f t="shared" si="14"/>
        <v>0</v>
      </c>
      <c r="W63" s="18" t="str">
        <f t="shared" si="15"/>
        <v/>
      </c>
      <c r="X63" s="17">
        <v>0</v>
      </c>
      <c r="Y63" s="17">
        <v>0</v>
      </c>
      <c r="Z63" s="15">
        <f t="shared" si="16"/>
        <v>0</v>
      </c>
      <c r="AA63" s="17">
        <v>0</v>
      </c>
      <c r="AB63" s="17">
        <v>0</v>
      </c>
      <c r="AC63" s="15">
        <f t="shared" si="17"/>
        <v>0</v>
      </c>
      <c r="AD63" s="17">
        <v>0</v>
      </c>
      <c r="AE63" s="17">
        <v>0</v>
      </c>
      <c r="AF63" s="15">
        <f t="shared" si="18"/>
        <v>0</v>
      </c>
      <c r="AG63" s="17">
        <v>0</v>
      </c>
      <c r="AH63" s="17">
        <v>0</v>
      </c>
      <c r="AI63" s="15">
        <f t="shared" si="19"/>
        <v>0</v>
      </c>
      <c r="AJ63" s="17"/>
    </row>
    <row r="64" spans="1:36" x14ac:dyDescent="0.3">
      <c r="A64" s="15" t="s">
        <v>112</v>
      </c>
      <c r="B64" s="15">
        <v>1000</v>
      </c>
      <c r="C64" s="15" t="s">
        <v>54</v>
      </c>
      <c r="D64" s="15" t="s">
        <v>68</v>
      </c>
      <c r="E64" s="15">
        <f>'31-july-2026'!T64</f>
        <v>2</v>
      </c>
      <c r="F64" s="15">
        <f>'31-july-2026'!U64</f>
        <v>0</v>
      </c>
      <c r="G64" s="15">
        <f>'31-july-2026'!V64</f>
        <v>0</v>
      </c>
      <c r="H64" s="15">
        <f t="shared" si="10"/>
        <v>2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5">
        <f t="shared" si="11"/>
        <v>2</v>
      </c>
      <c r="T64" s="15">
        <f t="shared" si="12"/>
        <v>2</v>
      </c>
      <c r="U64" s="15">
        <f t="shared" si="13"/>
        <v>0</v>
      </c>
      <c r="V64" s="15">
        <f t="shared" si="14"/>
        <v>0</v>
      </c>
      <c r="W64" s="18" t="str">
        <f t="shared" si="15"/>
        <v/>
      </c>
      <c r="X64" s="17">
        <v>0</v>
      </c>
      <c r="Y64" s="17">
        <v>0</v>
      </c>
      <c r="Z64" s="15">
        <f t="shared" si="16"/>
        <v>0</v>
      </c>
      <c r="AA64" s="17">
        <v>0</v>
      </c>
      <c r="AB64" s="17">
        <v>0</v>
      </c>
      <c r="AC64" s="15">
        <f t="shared" si="17"/>
        <v>0</v>
      </c>
      <c r="AD64" s="17">
        <v>0</v>
      </c>
      <c r="AE64" s="17">
        <v>0</v>
      </c>
      <c r="AF64" s="15">
        <f t="shared" si="18"/>
        <v>0</v>
      </c>
      <c r="AG64" s="17">
        <v>0</v>
      </c>
      <c r="AH64" s="17">
        <v>0</v>
      </c>
      <c r="AI64" s="15">
        <f t="shared" si="19"/>
        <v>0</v>
      </c>
      <c r="AJ64" s="17"/>
    </row>
    <row r="65" spans="1:36" x14ac:dyDescent="0.3">
      <c r="A65" s="15" t="s">
        <v>113</v>
      </c>
      <c r="B65" s="15">
        <v>1000</v>
      </c>
      <c r="C65" s="15" t="s">
        <v>54</v>
      </c>
      <c r="D65" s="15" t="s">
        <v>68</v>
      </c>
      <c r="E65" s="15">
        <f>'31-july-2026'!T65</f>
        <v>4</v>
      </c>
      <c r="F65" s="15">
        <f>'31-july-2026'!U65</f>
        <v>0</v>
      </c>
      <c r="G65" s="15">
        <f>'31-july-2026'!V65</f>
        <v>0</v>
      </c>
      <c r="H65" s="15">
        <f t="shared" si="10"/>
        <v>4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5">
        <f t="shared" si="11"/>
        <v>4</v>
      </c>
      <c r="T65" s="15">
        <f t="shared" si="12"/>
        <v>4</v>
      </c>
      <c r="U65" s="15">
        <f t="shared" si="13"/>
        <v>0</v>
      </c>
      <c r="V65" s="15">
        <f t="shared" si="14"/>
        <v>0</v>
      </c>
      <c r="W65" s="18" t="str">
        <f t="shared" si="15"/>
        <v/>
      </c>
      <c r="X65" s="17">
        <v>0</v>
      </c>
      <c r="Y65" s="17">
        <v>0</v>
      </c>
      <c r="Z65" s="15">
        <f t="shared" si="16"/>
        <v>0</v>
      </c>
      <c r="AA65" s="17">
        <v>0</v>
      </c>
      <c r="AB65" s="17">
        <v>0</v>
      </c>
      <c r="AC65" s="15">
        <f t="shared" si="17"/>
        <v>0</v>
      </c>
      <c r="AD65" s="17">
        <v>0</v>
      </c>
      <c r="AE65" s="17">
        <v>0</v>
      </c>
      <c r="AF65" s="15">
        <f t="shared" si="18"/>
        <v>0</v>
      </c>
      <c r="AG65" s="17">
        <v>0</v>
      </c>
      <c r="AH65" s="17">
        <v>0</v>
      </c>
      <c r="AI65" s="15">
        <f t="shared" si="19"/>
        <v>0</v>
      </c>
      <c r="AJ65" s="17"/>
    </row>
    <row r="66" spans="1:36" x14ac:dyDescent="0.3">
      <c r="A66" s="15" t="s">
        <v>114</v>
      </c>
      <c r="B66" s="15">
        <v>100</v>
      </c>
      <c r="C66" s="15" t="s">
        <v>54</v>
      </c>
      <c r="D66" s="15" t="s">
        <v>57</v>
      </c>
      <c r="E66" s="15">
        <f>'31-july-2026'!T66</f>
        <v>4</v>
      </c>
      <c r="F66" s="15">
        <f>'31-july-2026'!U66</f>
        <v>0</v>
      </c>
      <c r="G66" s="15">
        <f>'31-july-2026'!V66</f>
        <v>0</v>
      </c>
      <c r="H66" s="15">
        <f t="shared" si="10"/>
        <v>4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5">
        <f t="shared" si="11"/>
        <v>4</v>
      </c>
      <c r="T66" s="15">
        <f t="shared" si="12"/>
        <v>4</v>
      </c>
      <c r="U66" s="15">
        <f t="shared" si="13"/>
        <v>0</v>
      </c>
      <c r="V66" s="15">
        <f t="shared" si="14"/>
        <v>0</v>
      </c>
      <c r="W66" s="18" t="str">
        <f t="shared" si="15"/>
        <v/>
      </c>
      <c r="X66" s="17">
        <v>0</v>
      </c>
      <c r="Y66" s="17">
        <v>0</v>
      </c>
      <c r="Z66" s="15">
        <f t="shared" si="16"/>
        <v>0</v>
      </c>
      <c r="AA66" s="17">
        <v>0</v>
      </c>
      <c r="AB66" s="17">
        <v>0</v>
      </c>
      <c r="AC66" s="15">
        <f t="shared" si="17"/>
        <v>0</v>
      </c>
      <c r="AD66" s="17">
        <v>0</v>
      </c>
      <c r="AE66" s="17">
        <v>0</v>
      </c>
      <c r="AF66" s="15">
        <f t="shared" si="18"/>
        <v>0</v>
      </c>
      <c r="AG66" s="17">
        <v>0</v>
      </c>
      <c r="AH66" s="17">
        <v>0</v>
      </c>
      <c r="AI66" s="15">
        <f t="shared" si="19"/>
        <v>0</v>
      </c>
      <c r="AJ66" s="17"/>
    </row>
    <row r="67" spans="1:36" hidden="1" x14ac:dyDescent="0.3">
      <c r="A67" s="15" t="s">
        <v>115</v>
      </c>
      <c r="B67" s="15">
        <v>1000</v>
      </c>
      <c r="C67" s="15" t="s">
        <v>54</v>
      </c>
      <c r="D67" s="15" t="s">
        <v>55</v>
      </c>
      <c r="E67" s="15">
        <f>'31-july-2026'!T67</f>
        <v>1</v>
      </c>
      <c r="F67" s="15">
        <f>'31-july-2026'!U67</f>
        <v>0</v>
      </c>
      <c r="G67" s="15">
        <f>'31-july-2026'!V67</f>
        <v>0</v>
      </c>
      <c r="H67" s="15">
        <f t="shared" ref="H67:H98" si="20">E67+F67+G67</f>
        <v>1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5">
        <f t="shared" ref="S67:S98" si="21">H67+O67+P67+Q67+R67-(I67+J67+K67+L67+M67+N67)</f>
        <v>1</v>
      </c>
      <c r="T67" s="15">
        <f t="shared" ref="T67:T98" si="22">E67+O67-I67-L67</f>
        <v>1</v>
      </c>
      <c r="U67" s="15">
        <f t="shared" ref="U67:U98" si="23">F67+P67-J67-M67</f>
        <v>0</v>
      </c>
      <c r="V67" s="15">
        <f t="shared" ref="V67:V98" si="24">G67+Q67-K67-N67</f>
        <v>0</v>
      </c>
      <c r="W67" s="18" t="str">
        <f t="shared" ref="W67:W98" si="25">IF(MIN(T67,U67,V67)&lt;0,"NEGATIVE STOCK - CHECK ENTRIES","")</f>
        <v/>
      </c>
      <c r="X67" s="17">
        <v>0</v>
      </c>
      <c r="Y67" s="17">
        <v>0</v>
      </c>
      <c r="Z67" s="15">
        <f t="shared" ref="Z67:Z98" si="26">X67-Y67</f>
        <v>0</v>
      </c>
      <c r="AA67" s="17">
        <v>0</v>
      </c>
      <c r="AB67" s="17">
        <v>0</v>
      </c>
      <c r="AC67" s="15">
        <f t="shared" ref="AC67:AC98" si="27">AA67-AB67</f>
        <v>0</v>
      </c>
      <c r="AD67" s="17">
        <v>0</v>
      </c>
      <c r="AE67" s="17">
        <v>0</v>
      </c>
      <c r="AF67" s="15">
        <f t="shared" ref="AF67:AF98" si="28">AD67-AE67</f>
        <v>0</v>
      </c>
      <c r="AG67" s="17">
        <v>0</v>
      </c>
      <c r="AH67" s="17">
        <v>0</v>
      </c>
      <c r="AI67" s="15">
        <f t="shared" ref="AI67:AI98" si="29">AG67-AH67</f>
        <v>0</v>
      </c>
      <c r="AJ67" s="17"/>
    </row>
    <row r="68" spans="1:36" x14ac:dyDescent="0.3">
      <c r="A68" s="15" t="s">
        <v>116</v>
      </c>
      <c r="B68" s="15">
        <v>5000</v>
      </c>
      <c r="C68" s="15" t="s">
        <v>54</v>
      </c>
      <c r="D68" s="15" t="s">
        <v>68</v>
      </c>
      <c r="E68" s="15">
        <f>'31-july-2026'!T68</f>
        <v>1</v>
      </c>
      <c r="F68" s="15">
        <f>'31-july-2026'!U68</f>
        <v>0</v>
      </c>
      <c r="G68" s="15">
        <f>'31-july-2026'!V68</f>
        <v>0</v>
      </c>
      <c r="H68" s="15">
        <f t="shared" si="20"/>
        <v>1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5">
        <f t="shared" si="21"/>
        <v>1</v>
      </c>
      <c r="T68" s="15">
        <f t="shared" si="22"/>
        <v>1</v>
      </c>
      <c r="U68" s="15">
        <f t="shared" si="23"/>
        <v>0</v>
      </c>
      <c r="V68" s="15">
        <f t="shared" si="24"/>
        <v>0</v>
      </c>
      <c r="W68" s="18" t="str">
        <f t="shared" si="25"/>
        <v/>
      </c>
      <c r="X68" s="17">
        <v>0</v>
      </c>
      <c r="Y68" s="17">
        <v>0</v>
      </c>
      <c r="Z68" s="15">
        <f t="shared" si="26"/>
        <v>0</v>
      </c>
      <c r="AA68" s="17">
        <v>0</v>
      </c>
      <c r="AB68" s="17">
        <v>0</v>
      </c>
      <c r="AC68" s="15">
        <f t="shared" si="27"/>
        <v>0</v>
      </c>
      <c r="AD68" s="17">
        <v>0</v>
      </c>
      <c r="AE68" s="17">
        <v>0</v>
      </c>
      <c r="AF68" s="15">
        <f t="shared" si="28"/>
        <v>0</v>
      </c>
      <c r="AG68" s="17">
        <v>0</v>
      </c>
      <c r="AH68" s="17">
        <v>0</v>
      </c>
      <c r="AI68" s="15">
        <f t="shared" si="29"/>
        <v>0</v>
      </c>
      <c r="AJ68" s="17"/>
    </row>
    <row r="69" spans="1:36" x14ac:dyDescent="0.3">
      <c r="A69" s="15" t="s">
        <v>117</v>
      </c>
      <c r="B69" s="15">
        <v>100</v>
      </c>
      <c r="C69" s="15" t="s">
        <v>54</v>
      </c>
      <c r="D69" s="15" t="s">
        <v>57</v>
      </c>
      <c r="E69" s="15">
        <f>'31-july-2026'!T69</f>
        <v>10</v>
      </c>
      <c r="F69" s="15">
        <f>'31-july-2026'!U69</f>
        <v>0</v>
      </c>
      <c r="G69" s="15">
        <f>'31-july-2026'!V69</f>
        <v>0</v>
      </c>
      <c r="H69" s="15">
        <f t="shared" si="20"/>
        <v>10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5">
        <f t="shared" si="21"/>
        <v>10</v>
      </c>
      <c r="T69" s="15">
        <f t="shared" si="22"/>
        <v>10</v>
      </c>
      <c r="U69" s="15">
        <f t="shared" si="23"/>
        <v>0</v>
      </c>
      <c r="V69" s="15">
        <f t="shared" si="24"/>
        <v>0</v>
      </c>
      <c r="W69" s="18" t="str">
        <f t="shared" si="25"/>
        <v/>
      </c>
      <c r="X69" s="17">
        <v>0</v>
      </c>
      <c r="Y69" s="17">
        <v>0</v>
      </c>
      <c r="Z69" s="15">
        <f t="shared" si="26"/>
        <v>0</v>
      </c>
      <c r="AA69" s="17">
        <v>0</v>
      </c>
      <c r="AB69" s="17">
        <v>0</v>
      </c>
      <c r="AC69" s="15">
        <f t="shared" si="27"/>
        <v>0</v>
      </c>
      <c r="AD69" s="17">
        <v>0</v>
      </c>
      <c r="AE69" s="17">
        <v>0</v>
      </c>
      <c r="AF69" s="15">
        <f t="shared" si="28"/>
        <v>0</v>
      </c>
      <c r="AG69" s="17">
        <v>0</v>
      </c>
      <c r="AH69" s="17">
        <v>0</v>
      </c>
      <c r="AI69" s="15">
        <f t="shared" si="29"/>
        <v>0</v>
      </c>
      <c r="AJ69" s="17"/>
    </row>
    <row r="70" spans="1:36" x14ac:dyDescent="0.3">
      <c r="A70" s="15" t="s">
        <v>118</v>
      </c>
      <c r="B70" s="15">
        <v>5000</v>
      </c>
      <c r="C70" s="15" t="s">
        <v>54</v>
      </c>
      <c r="D70" s="15" t="s">
        <v>68</v>
      </c>
      <c r="E70" s="15">
        <f>'31-july-2026'!T70</f>
        <v>3</v>
      </c>
      <c r="F70" s="15">
        <f>'31-july-2026'!U70</f>
        <v>0</v>
      </c>
      <c r="G70" s="15">
        <f>'31-july-2026'!V70</f>
        <v>0</v>
      </c>
      <c r="H70" s="15">
        <f t="shared" si="20"/>
        <v>3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5">
        <f t="shared" si="21"/>
        <v>3</v>
      </c>
      <c r="T70" s="15">
        <f t="shared" si="22"/>
        <v>3</v>
      </c>
      <c r="U70" s="15">
        <f t="shared" si="23"/>
        <v>0</v>
      </c>
      <c r="V70" s="15">
        <f t="shared" si="24"/>
        <v>0</v>
      </c>
      <c r="W70" s="18" t="str">
        <f t="shared" si="25"/>
        <v/>
      </c>
      <c r="X70" s="17">
        <v>0</v>
      </c>
      <c r="Y70" s="17">
        <v>0</v>
      </c>
      <c r="Z70" s="15">
        <f t="shared" si="26"/>
        <v>0</v>
      </c>
      <c r="AA70" s="17">
        <v>0</v>
      </c>
      <c r="AB70" s="17">
        <v>0</v>
      </c>
      <c r="AC70" s="15">
        <f t="shared" si="27"/>
        <v>0</v>
      </c>
      <c r="AD70" s="17">
        <v>0</v>
      </c>
      <c r="AE70" s="17">
        <v>0</v>
      </c>
      <c r="AF70" s="15">
        <f t="shared" si="28"/>
        <v>0</v>
      </c>
      <c r="AG70" s="17">
        <v>0</v>
      </c>
      <c r="AH70" s="17">
        <v>0</v>
      </c>
      <c r="AI70" s="15">
        <f t="shared" si="29"/>
        <v>0</v>
      </c>
      <c r="AJ70" s="17"/>
    </row>
    <row r="71" spans="1:36" x14ac:dyDescent="0.3">
      <c r="A71" s="15" t="s">
        <v>119</v>
      </c>
      <c r="B71" s="15">
        <v>100</v>
      </c>
      <c r="C71" s="15" t="s">
        <v>54</v>
      </c>
      <c r="D71" s="15" t="s">
        <v>68</v>
      </c>
      <c r="E71" s="15">
        <f>'31-july-2026'!T71</f>
        <v>0</v>
      </c>
      <c r="F71" s="15">
        <f>'31-july-2026'!U71</f>
        <v>0</v>
      </c>
      <c r="G71" s="15">
        <f>'31-july-2026'!V71</f>
        <v>0</v>
      </c>
      <c r="H71" s="15">
        <f t="shared" si="20"/>
        <v>0</v>
      </c>
      <c r="I71" s="17">
        <v>2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5">
        <f t="shared" si="21"/>
        <v>-2</v>
      </c>
      <c r="T71" s="15">
        <f t="shared" si="22"/>
        <v>-2</v>
      </c>
      <c r="U71" s="15">
        <f t="shared" si="23"/>
        <v>0</v>
      </c>
      <c r="V71" s="15">
        <f t="shared" si="24"/>
        <v>0</v>
      </c>
      <c r="W71" s="18" t="str">
        <f t="shared" si="25"/>
        <v>NEGATIVE STOCK - CHECK ENTRIES</v>
      </c>
      <c r="X71" s="17">
        <v>0</v>
      </c>
      <c r="Y71" s="17">
        <v>0</v>
      </c>
      <c r="Z71" s="15">
        <f t="shared" si="26"/>
        <v>0</v>
      </c>
      <c r="AA71" s="17">
        <v>0</v>
      </c>
      <c r="AB71" s="17">
        <v>0</v>
      </c>
      <c r="AC71" s="15">
        <f t="shared" si="27"/>
        <v>0</v>
      </c>
      <c r="AD71" s="17">
        <v>0</v>
      </c>
      <c r="AE71" s="17">
        <v>0</v>
      </c>
      <c r="AF71" s="15">
        <f t="shared" si="28"/>
        <v>0</v>
      </c>
      <c r="AG71" s="17">
        <v>0</v>
      </c>
      <c r="AH71" s="17">
        <v>0</v>
      </c>
      <c r="AI71" s="15">
        <f t="shared" si="29"/>
        <v>0</v>
      </c>
      <c r="AJ71" s="17"/>
    </row>
    <row r="72" spans="1:36" x14ac:dyDescent="0.3">
      <c r="A72" s="15" t="s">
        <v>120</v>
      </c>
      <c r="B72" s="15">
        <v>100</v>
      </c>
      <c r="C72" s="15" t="s">
        <v>54</v>
      </c>
      <c r="D72" s="15" t="s">
        <v>57</v>
      </c>
      <c r="E72" s="15">
        <f>'31-july-2026'!T72</f>
        <v>2</v>
      </c>
      <c r="F72" s="15">
        <f>'31-july-2026'!U72</f>
        <v>0</v>
      </c>
      <c r="G72" s="15">
        <f>'31-july-2026'!V72</f>
        <v>0</v>
      </c>
      <c r="H72" s="15">
        <f t="shared" si="20"/>
        <v>2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5">
        <f t="shared" si="21"/>
        <v>2</v>
      </c>
      <c r="T72" s="15">
        <f t="shared" si="22"/>
        <v>2</v>
      </c>
      <c r="U72" s="15">
        <f t="shared" si="23"/>
        <v>0</v>
      </c>
      <c r="V72" s="15">
        <f t="shared" si="24"/>
        <v>0</v>
      </c>
      <c r="W72" s="18" t="str">
        <f t="shared" si="25"/>
        <v/>
      </c>
      <c r="X72" s="17">
        <v>0</v>
      </c>
      <c r="Y72" s="17">
        <v>0</v>
      </c>
      <c r="Z72" s="15">
        <f t="shared" si="26"/>
        <v>0</v>
      </c>
      <c r="AA72" s="17">
        <v>0</v>
      </c>
      <c r="AB72" s="17">
        <v>0</v>
      </c>
      <c r="AC72" s="15">
        <f t="shared" si="27"/>
        <v>0</v>
      </c>
      <c r="AD72" s="17">
        <v>0</v>
      </c>
      <c r="AE72" s="17">
        <v>0</v>
      </c>
      <c r="AF72" s="15">
        <f t="shared" si="28"/>
        <v>0</v>
      </c>
      <c r="AG72" s="17">
        <v>0</v>
      </c>
      <c r="AH72" s="17">
        <v>0</v>
      </c>
      <c r="AI72" s="15">
        <f t="shared" si="29"/>
        <v>0</v>
      </c>
      <c r="AJ72" s="17"/>
    </row>
    <row r="73" spans="1:36" x14ac:dyDescent="0.3">
      <c r="A73" s="15" t="s">
        <v>121</v>
      </c>
      <c r="B73" s="15">
        <v>100</v>
      </c>
      <c r="C73" s="15" t="s">
        <v>54</v>
      </c>
      <c r="D73" s="15" t="s">
        <v>68</v>
      </c>
      <c r="E73" s="15">
        <f>'31-july-2026'!T73</f>
        <v>5</v>
      </c>
      <c r="F73" s="15">
        <f>'31-july-2026'!U73</f>
        <v>0</v>
      </c>
      <c r="G73" s="15">
        <f>'31-july-2026'!V73</f>
        <v>0</v>
      </c>
      <c r="H73" s="15">
        <f t="shared" si="20"/>
        <v>5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5">
        <f t="shared" si="21"/>
        <v>5</v>
      </c>
      <c r="T73" s="15">
        <f t="shared" si="22"/>
        <v>5</v>
      </c>
      <c r="U73" s="15">
        <f t="shared" si="23"/>
        <v>0</v>
      </c>
      <c r="V73" s="15">
        <f t="shared" si="24"/>
        <v>0</v>
      </c>
      <c r="W73" s="18" t="str">
        <f t="shared" si="25"/>
        <v/>
      </c>
      <c r="X73" s="17">
        <v>0</v>
      </c>
      <c r="Y73" s="17">
        <v>0</v>
      </c>
      <c r="Z73" s="15">
        <f t="shared" si="26"/>
        <v>0</v>
      </c>
      <c r="AA73" s="17">
        <v>0</v>
      </c>
      <c r="AB73" s="17">
        <v>0</v>
      </c>
      <c r="AC73" s="15">
        <f t="shared" si="27"/>
        <v>0</v>
      </c>
      <c r="AD73" s="17">
        <v>0</v>
      </c>
      <c r="AE73" s="17">
        <v>0</v>
      </c>
      <c r="AF73" s="15">
        <f t="shared" si="28"/>
        <v>0</v>
      </c>
      <c r="AG73" s="17">
        <v>0</v>
      </c>
      <c r="AH73" s="17">
        <v>0</v>
      </c>
      <c r="AI73" s="15">
        <f t="shared" si="29"/>
        <v>0</v>
      </c>
      <c r="AJ73" s="17"/>
    </row>
    <row r="74" spans="1:36" x14ac:dyDescent="0.3">
      <c r="A74" s="15" t="s">
        <v>122</v>
      </c>
      <c r="B74" s="15">
        <v>1000</v>
      </c>
      <c r="C74" s="15" t="s">
        <v>54</v>
      </c>
      <c r="D74" s="15" t="s">
        <v>68</v>
      </c>
      <c r="E74" s="15">
        <f>'31-july-2026'!T74</f>
        <v>2</v>
      </c>
      <c r="F74" s="15">
        <f>'31-july-2026'!U74</f>
        <v>0</v>
      </c>
      <c r="G74" s="15">
        <f>'31-july-2026'!V74</f>
        <v>0</v>
      </c>
      <c r="H74" s="15">
        <f t="shared" si="20"/>
        <v>2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5">
        <f t="shared" si="21"/>
        <v>2</v>
      </c>
      <c r="T74" s="15">
        <f t="shared" si="22"/>
        <v>2</v>
      </c>
      <c r="U74" s="15">
        <f t="shared" si="23"/>
        <v>0</v>
      </c>
      <c r="V74" s="15">
        <f t="shared" si="24"/>
        <v>0</v>
      </c>
      <c r="W74" s="18" t="str">
        <f t="shared" si="25"/>
        <v/>
      </c>
      <c r="X74" s="17">
        <v>0</v>
      </c>
      <c r="Y74" s="17">
        <v>0</v>
      </c>
      <c r="Z74" s="15">
        <f t="shared" si="26"/>
        <v>0</v>
      </c>
      <c r="AA74" s="17">
        <v>0</v>
      </c>
      <c r="AB74" s="17">
        <v>0</v>
      </c>
      <c r="AC74" s="15">
        <f t="shared" si="27"/>
        <v>0</v>
      </c>
      <c r="AD74" s="17">
        <v>0</v>
      </c>
      <c r="AE74" s="17">
        <v>0</v>
      </c>
      <c r="AF74" s="15">
        <f t="shared" si="28"/>
        <v>0</v>
      </c>
      <c r="AG74" s="17">
        <v>0</v>
      </c>
      <c r="AH74" s="17">
        <v>0</v>
      </c>
      <c r="AI74" s="15">
        <f t="shared" si="29"/>
        <v>0</v>
      </c>
      <c r="AJ74" s="17"/>
    </row>
    <row r="75" spans="1:36" hidden="1" x14ac:dyDescent="0.3">
      <c r="A75" s="15" t="s">
        <v>123</v>
      </c>
      <c r="B75" s="15" t="s">
        <v>124</v>
      </c>
      <c r="C75" s="15" t="s">
        <v>123</v>
      </c>
      <c r="D75" s="15" t="s">
        <v>55</v>
      </c>
      <c r="E75" s="15">
        <f>'31-july-2026'!T75</f>
        <v>1</v>
      </c>
      <c r="F75" s="15">
        <f>'31-july-2026'!U75</f>
        <v>0</v>
      </c>
      <c r="G75" s="15">
        <f>'31-july-2026'!V75</f>
        <v>0</v>
      </c>
      <c r="H75" s="15">
        <f t="shared" si="20"/>
        <v>1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5">
        <f t="shared" si="21"/>
        <v>1</v>
      </c>
      <c r="T75" s="15">
        <f t="shared" si="22"/>
        <v>1</v>
      </c>
      <c r="U75" s="15">
        <f t="shared" si="23"/>
        <v>0</v>
      </c>
      <c r="V75" s="15">
        <f t="shared" si="24"/>
        <v>0</v>
      </c>
      <c r="W75" s="18" t="str">
        <f t="shared" si="25"/>
        <v/>
      </c>
      <c r="X75" s="17">
        <v>0</v>
      </c>
      <c r="Y75" s="17">
        <v>0</v>
      </c>
      <c r="Z75" s="15">
        <f t="shared" si="26"/>
        <v>0</v>
      </c>
      <c r="AA75" s="17">
        <v>0</v>
      </c>
      <c r="AB75" s="17">
        <v>0</v>
      </c>
      <c r="AC75" s="15">
        <f t="shared" si="27"/>
        <v>0</v>
      </c>
      <c r="AD75" s="17">
        <v>0</v>
      </c>
      <c r="AE75" s="17">
        <v>0</v>
      </c>
      <c r="AF75" s="15">
        <f t="shared" si="28"/>
        <v>0</v>
      </c>
      <c r="AG75" s="17">
        <v>0</v>
      </c>
      <c r="AH75" s="17">
        <v>0</v>
      </c>
      <c r="AI75" s="15">
        <f t="shared" si="29"/>
        <v>0</v>
      </c>
      <c r="AJ75" s="17"/>
    </row>
    <row r="76" spans="1:36" x14ac:dyDescent="0.3">
      <c r="A76" s="15" t="s">
        <v>125</v>
      </c>
      <c r="B76" s="15">
        <v>1000</v>
      </c>
      <c r="C76" s="15" t="s">
        <v>54</v>
      </c>
      <c r="D76" s="15" t="s">
        <v>68</v>
      </c>
      <c r="E76" s="15">
        <f>'31-july-2026'!T76</f>
        <v>4</v>
      </c>
      <c r="F76" s="15">
        <f>'31-july-2026'!U76</f>
        <v>0</v>
      </c>
      <c r="G76" s="15">
        <f>'31-july-2026'!V76</f>
        <v>0</v>
      </c>
      <c r="H76" s="15">
        <f t="shared" si="20"/>
        <v>4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5">
        <f t="shared" si="21"/>
        <v>4</v>
      </c>
      <c r="T76" s="15">
        <f t="shared" si="22"/>
        <v>4</v>
      </c>
      <c r="U76" s="15">
        <f t="shared" si="23"/>
        <v>0</v>
      </c>
      <c r="V76" s="15">
        <f t="shared" si="24"/>
        <v>0</v>
      </c>
      <c r="W76" s="18" t="str">
        <f t="shared" si="25"/>
        <v/>
      </c>
      <c r="X76" s="17">
        <v>0</v>
      </c>
      <c r="Y76" s="17">
        <v>0</v>
      </c>
      <c r="Z76" s="15">
        <f t="shared" si="26"/>
        <v>0</v>
      </c>
      <c r="AA76" s="17">
        <v>0</v>
      </c>
      <c r="AB76" s="17">
        <v>0</v>
      </c>
      <c r="AC76" s="15">
        <f t="shared" si="27"/>
        <v>0</v>
      </c>
      <c r="AD76" s="17">
        <v>0</v>
      </c>
      <c r="AE76" s="17">
        <v>0</v>
      </c>
      <c r="AF76" s="15">
        <f t="shared" si="28"/>
        <v>0</v>
      </c>
      <c r="AG76" s="17">
        <v>0</v>
      </c>
      <c r="AH76" s="17">
        <v>0</v>
      </c>
      <c r="AI76" s="15">
        <f t="shared" si="29"/>
        <v>0</v>
      </c>
      <c r="AJ76" s="17"/>
    </row>
    <row r="77" spans="1:36" x14ac:dyDescent="0.3">
      <c r="A77" s="15" t="s">
        <v>126</v>
      </c>
      <c r="B77" s="15">
        <v>1000</v>
      </c>
      <c r="C77" s="15" t="s">
        <v>54</v>
      </c>
      <c r="D77" s="15" t="s">
        <v>68</v>
      </c>
      <c r="E77" s="15">
        <f>'31-july-2026'!T77</f>
        <v>3</v>
      </c>
      <c r="F77" s="15">
        <f>'31-july-2026'!U77</f>
        <v>0</v>
      </c>
      <c r="G77" s="15">
        <f>'31-july-2026'!V77</f>
        <v>0</v>
      </c>
      <c r="H77" s="15">
        <f t="shared" si="20"/>
        <v>3</v>
      </c>
      <c r="I77" s="17">
        <v>1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5">
        <f t="shared" si="21"/>
        <v>2</v>
      </c>
      <c r="T77" s="15">
        <f t="shared" si="22"/>
        <v>2</v>
      </c>
      <c r="U77" s="15">
        <f t="shared" si="23"/>
        <v>0</v>
      </c>
      <c r="V77" s="15">
        <f t="shared" si="24"/>
        <v>0</v>
      </c>
      <c r="W77" s="18" t="str">
        <f t="shared" si="25"/>
        <v/>
      </c>
      <c r="X77" s="17">
        <v>0</v>
      </c>
      <c r="Y77" s="17">
        <v>0</v>
      </c>
      <c r="Z77" s="15">
        <f t="shared" si="26"/>
        <v>0</v>
      </c>
      <c r="AA77" s="17">
        <v>0</v>
      </c>
      <c r="AB77" s="17">
        <v>0</v>
      </c>
      <c r="AC77" s="15">
        <f t="shared" si="27"/>
        <v>0</v>
      </c>
      <c r="AD77" s="17">
        <v>0</v>
      </c>
      <c r="AE77" s="17">
        <v>0</v>
      </c>
      <c r="AF77" s="15">
        <f t="shared" si="28"/>
        <v>0</v>
      </c>
      <c r="AG77" s="17">
        <v>0</v>
      </c>
      <c r="AH77" s="17">
        <v>0</v>
      </c>
      <c r="AI77" s="15">
        <f t="shared" si="29"/>
        <v>0</v>
      </c>
      <c r="AJ77" s="17"/>
    </row>
    <row r="78" spans="1:36" hidden="1" x14ac:dyDescent="0.3">
      <c r="A78" s="15" t="s">
        <v>127</v>
      </c>
      <c r="B78" s="15">
        <v>0</v>
      </c>
      <c r="C78" s="15" t="s">
        <v>128</v>
      </c>
      <c r="D78" s="15" t="s">
        <v>55</v>
      </c>
      <c r="E78" s="15">
        <f>'31-july-2026'!T78</f>
        <v>107</v>
      </c>
      <c r="F78" s="15">
        <f>'31-july-2026'!U78</f>
        <v>6</v>
      </c>
      <c r="G78" s="15">
        <f>'31-july-2026'!V78</f>
        <v>0</v>
      </c>
      <c r="H78" s="15">
        <f t="shared" si="20"/>
        <v>113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5">
        <f t="shared" si="21"/>
        <v>113</v>
      </c>
      <c r="T78" s="15">
        <f t="shared" si="22"/>
        <v>107</v>
      </c>
      <c r="U78" s="15">
        <f t="shared" si="23"/>
        <v>6</v>
      </c>
      <c r="V78" s="15">
        <f t="shared" si="24"/>
        <v>0</v>
      </c>
      <c r="W78" s="18" t="str">
        <f t="shared" si="25"/>
        <v/>
      </c>
      <c r="X78" s="17">
        <v>0</v>
      </c>
      <c r="Y78" s="17">
        <v>0</v>
      </c>
      <c r="Z78" s="15">
        <f t="shared" si="26"/>
        <v>0</v>
      </c>
      <c r="AA78" s="17">
        <v>0</v>
      </c>
      <c r="AB78" s="17">
        <v>0</v>
      </c>
      <c r="AC78" s="15">
        <f t="shared" si="27"/>
        <v>0</v>
      </c>
      <c r="AD78" s="17">
        <v>0</v>
      </c>
      <c r="AE78" s="17">
        <v>0</v>
      </c>
      <c r="AF78" s="15">
        <f t="shared" si="28"/>
        <v>0</v>
      </c>
      <c r="AG78" s="17">
        <v>0</v>
      </c>
      <c r="AH78" s="17">
        <v>0</v>
      </c>
      <c r="AI78" s="15">
        <f t="shared" si="29"/>
        <v>0</v>
      </c>
      <c r="AJ78" s="17"/>
    </row>
    <row r="79" spans="1:36" hidden="1" x14ac:dyDescent="0.3">
      <c r="A79" s="15" t="s">
        <v>129</v>
      </c>
      <c r="B79" s="15">
        <v>0</v>
      </c>
      <c r="C79" s="15" t="s">
        <v>128</v>
      </c>
      <c r="D79" s="15" t="s">
        <v>55</v>
      </c>
      <c r="E79" s="15">
        <f>'31-july-2026'!T79</f>
        <v>45</v>
      </c>
      <c r="F79" s="15">
        <f>'31-july-2026'!U79</f>
        <v>4</v>
      </c>
      <c r="G79" s="15">
        <f>'31-july-2026'!V79</f>
        <v>55</v>
      </c>
      <c r="H79" s="15">
        <f t="shared" si="20"/>
        <v>104</v>
      </c>
      <c r="I79" s="17">
        <v>1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5">
        <f t="shared" si="21"/>
        <v>103</v>
      </c>
      <c r="T79" s="15">
        <f t="shared" si="22"/>
        <v>44</v>
      </c>
      <c r="U79" s="15">
        <f t="shared" si="23"/>
        <v>4</v>
      </c>
      <c r="V79" s="15">
        <f t="shared" si="24"/>
        <v>55</v>
      </c>
      <c r="W79" s="18" t="str">
        <f t="shared" si="25"/>
        <v/>
      </c>
      <c r="X79" s="17">
        <v>0</v>
      </c>
      <c r="Y79" s="17">
        <v>0</v>
      </c>
      <c r="Z79" s="15">
        <f t="shared" si="26"/>
        <v>0</v>
      </c>
      <c r="AA79" s="17">
        <v>0</v>
      </c>
      <c r="AB79" s="17">
        <v>0</v>
      </c>
      <c r="AC79" s="15">
        <f t="shared" si="27"/>
        <v>0</v>
      </c>
      <c r="AD79" s="17">
        <v>0</v>
      </c>
      <c r="AE79" s="17">
        <v>0</v>
      </c>
      <c r="AF79" s="15">
        <f t="shared" si="28"/>
        <v>0</v>
      </c>
      <c r="AG79" s="17">
        <v>0</v>
      </c>
      <c r="AH79" s="17">
        <v>0</v>
      </c>
      <c r="AI79" s="15">
        <f t="shared" si="29"/>
        <v>0</v>
      </c>
      <c r="AJ79" s="17"/>
    </row>
    <row r="80" spans="1:36" hidden="1" x14ac:dyDescent="0.3">
      <c r="A80" s="15" t="s">
        <v>130</v>
      </c>
      <c r="B80" s="15">
        <v>100</v>
      </c>
      <c r="C80" s="15" t="s">
        <v>54</v>
      </c>
      <c r="D80" s="15" t="s">
        <v>55</v>
      </c>
      <c r="E80" s="15">
        <f>'31-july-2026'!T80</f>
        <v>48</v>
      </c>
      <c r="F80" s="15">
        <f>'31-july-2026'!U80</f>
        <v>113</v>
      </c>
      <c r="G80" s="15">
        <f>'31-july-2026'!V80</f>
        <v>104</v>
      </c>
      <c r="H80" s="15">
        <f t="shared" si="20"/>
        <v>265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5">
        <f t="shared" si="21"/>
        <v>265</v>
      </c>
      <c r="T80" s="15">
        <f t="shared" si="22"/>
        <v>48</v>
      </c>
      <c r="U80" s="15">
        <f t="shared" si="23"/>
        <v>113</v>
      </c>
      <c r="V80" s="15">
        <f t="shared" si="24"/>
        <v>104</v>
      </c>
      <c r="W80" s="18" t="str">
        <f t="shared" si="25"/>
        <v/>
      </c>
      <c r="X80" s="17">
        <v>0</v>
      </c>
      <c r="Y80" s="17">
        <v>0</v>
      </c>
      <c r="Z80" s="15">
        <f t="shared" si="26"/>
        <v>0</v>
      </c>
      <c r="AA80" s="17">
        <v>0</v>
      </c>
      <c r="AB80" s="17">
        <v>0</v>
      </c>
      <c r="AC80" s="15">
        <f t="shared" si="27"/>
        <v>0</v>
      </c>
      <c r="AD80" s="17">
        <v>0</v>
      </c>
      <c r="AE80" s="17">
        <v>0</v>
      </c>
      <c r="AF80" s="15">
        <f t="shared" si="28"/>
        <v>0</v>
      </c>
      <c r="AG80" s="17">
        <v>0</v>
      </c>
      <c r="AH80" s="17">
        <v>0</v>
      </c>
      <c r="AI80" s="15">
        <f t="shared" si="29"/>
        <v>0</v>
      </c>
      <c r="AJ80" s="17"/>
    </row>
    <row r="81" spans="1:36" hidden="1" x14ac:dyDescent="0.3">
      <c r="A81" s="15" t="s">
        <v>131</v>
      </c>
      <c r="B81" s="15">
        <v>500</v>
      </c>
      <c r="C81" s="15" t="s">
        <v>54</v>
      </c>
      <c r="D81" s="15" t="s">
        <v>55</v>
      </c>
      <c r="E81" s="15">
        <f>'31-july-2026'!T81</f>
        <v>6</v>
      </c>
      <c r="F81" s="15">
        <f>'31-july-2026'!U81</f>
        <v>0</v>
      </c>
      <c r="G81" s="15">
        <f>'31-july-2026'!V81</f>
        <v>0</v>
      </c>
      <c r="H81" s="15">
        <f t="shared" si="20"/>
        <v>6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5">
        <f t="shared" si="21"/>
        <v>6</v>
      </c>
      <c r="T81" s="15">
        <f t="shared" si="22"/>
        <v>6</v>
      </c>
      <c r="U81" s="15">
        <f t="shared" si="23"/>
        <v>0</v>
      </c>
      <c r="V81" s="15">
        <f t="shared" si="24"/>
        <v>0</v>
      </c>
      <c r="W81" s="18" t="str">
        <f t="shared" si="25"/>
        <v/>
      </c>
      <c r="X81" s="17">
        <v>0</v>
      </c>
      <c r="Y81" s="17">
        <v>0</v>
      </c>
      <c r="Z81" s="15">
        <f t="shared" si="26"/>
        <v>0</v>
      </c>
      <c r="AA81" s="17">
        <v>0</v>
      </c>
      <c r="AB81" s="17">
        <v>0</v>
      </c>
      <c r="AC81" s="15">
        <f t="shared" si="27"/>
        <v>0</v>
      </c>
      <c r="AD81" s="17">
        <v>0</v>
      </c>
      <c r="AE81" s="17">
        <v>0</v>
      </c>
      <c r="AF81" s="15">
        <f t="shared" si="28"/>
        <v>0</v>
      </c>
      <c r="AG81" s="17">
        <v>0</v>
      </c>
      <c r="AH81" s="17">
        <v>0</v>
      </c>
      <c r="AI81" s="15">
        <f t="shared" si="29"/>
        <v>0</v>
      </c>
      <c r="AJ81" s="17"/>
    </row>
    <row r="82" spans="1:36" hidden="1" x14ac:dyDescent="0.3">
      <c r="A82" s="15" t="s">
        <v>132</v>
      </c>
      <c r="B82" s="15">
        <v>100</v>
      </c>
      <c r="C82" s="15" t="s">
        <v>54</v>
      </c>
      <c r="D82" s="15" t="s">
        <v>55</v>
      </c>
      <c r="E82" s="15">
        <f>'31-july-2026'!T82</f>
        <v>100</v>
      </c>
      <c r="F82" s="15">
        <f>'31-july-2026'!U82</f>
        <v>277</v>
      </c>
      <c r="G82" s="15">
        <f>'31-july-2026'!V82</f>
        <v>11</v>
      </c>
      <c r="H82" s="15">
        <f t="shared" si="20"/>
        <v>388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2</v>
      </c>
      <c r="Q82" s="17">
        <v>0</v>
      </c>
      <c r="R82" s="17">
        <v>0</v>
      </c>
      <c r="S82" s="15">
        <f t="shared" si="21"/>
        <v>390</v>
      </c>
      <c r="T82" s="15">
        <f t="shared" si="22"/>
        <v>100</v>
      </c>
      <c r="U82" s="15">
        <f t="shared" si="23"/>
        <v>279</v>
      </c>
      <c r="V82" s="15">
        <f t="shared" si="24"/>
        <v>11</v>
      </c>
      <c r="W82" s="18" t="str">
        <f t="shared" si="25"/>
        <v/>
      </c>
      <c r="X82" s="17">
        <v>0</v>
      </c>
      <c r="Y82" s="17">
        <v>0</v>
      </c>
      <c r="Z82" s="15">
        <f t="shared" si="26"/>
        <v>0</v>
      </c>
      <c r="AA82" s="17">
        <v>0</v>
      </c>
      <c r="AB82" s="17">
        <v>0</v>
      </c>
      <c r="AC82" s="15">
        <f t="shared" si="27"/>
        <v>0</v>
      </c>
      <c r="AD82" s="17">
        <v>0</v>
      </c>
      <c r="AE82" s="17">
        <v>0</v>
      </c>
      <c r="AF82" s="15">
        <f t="shared" si="28"/>
        <v>0</v>
      </c>
      <c r="AG82" s="17">
        <v>0</v>
      </c>
      <c r="AH82" s="17">
        <v>0</v>
      </c>
      <c r="AI82" s="15">
        <f t="shared" si="29"/>
        <v>0</v>
      </c>
      <c r="AJ82" s="17"/>
    </row>
    <row r="83" spans="1:36" hidden="1" x14ac:dyDescent="0.3">
      <c r="A83" s="15" t="s">
        <v>133</v>
      </c>
      <c r="B83" s="15">
        <v>1000</v>
      </c>
      <c r="C83" s="15" t="s">
        <v>54</v>
      </c>
      <c r="D83" s="15" t="s">
        <v>55</v>
      </c>
      <c r="E83" s="15">
        <f>'31-july-2026'!T83</f>
        <v>1</v>
      </c>
      <c r="F83" s="15">
        <f>'31-july-2026'!U83</f>
        <v>9</v>
      </c>
      <c r="G83" s="15">
        <f>'31-july-2026'!V83</f>
        <v>0</v>
      </c>
      <c r="H83" s="15">
        <f t="shared" si="20"/>
        <v>10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5">
        <f t="shared" si="21"/>
        <v>10</v>
      </c>
      <c r="T83" s="15">
        <f t="shared" si="22"/>
        <v>1</v>
      </c>
      <c r="U83" s="15">
        <f t="shared" si="23"/>
        <v>9</v>
      </c>
      <c r="V83" s="15">
        <f t="shared" si="24"/>
        <v>0</v>
      </c>
      <c r="W83" s="18" t="str">
        <f t="shared" si="25"/>
        <v/>
      </c>
      <c r="X83" s="17">
        <v>0</v>
      </c>
      <c r="Y83" s="17">
        <v>0</v>
      </c>
      <c r="Z83" s="15">
        <f t="shared" si="26"/>
        <v>0</v>
      </c>
      <c r="AA83" s="17">
        <v>0</v>
      </c>
      <c r="AB83" s="17">
        <v>0</v>
      </c>
      <c r="AC83" s="15">
        <f t="shared" si="27"/>
        <v>0</v>
      </c>
      <c r="AD83" s="17">
        <v>0</v>
      </c>
      <c r="AE83" s="17">
        <v>0</v>
      </c>
      <c r="AF83" s="15">
        <f t="shared" si="28"/>
        <v>0</v>
      </c>
      <c r="AG83" s="17">
        <v>0</v>
      </c>
      <c r="AH83" s="17">
        <v>0</v>
      </c>
      <c r="AI83" s="15">
        <f t="shared" si="29"/>
        <v>0</v>
      </c>
      <c r="AJ83" s="17"/>
    </row>
    <row r="84" spans="1:36" x14ac:dyDescent="0.3">
      <c r="A84" s="15" t="s">
        <v>134</v>
      </c>
      <c r="B84" s="15">
        <v>100</v>
      </c>
      <c r="C84" s="15" t="s">
        <v>54</v>
      </c>
      <c r="D84" s="15" t="s">
        <v>57</v>
      </c>
      <c r="E84" s="15">
        <f>'31-july-2026'!T84</f>
        <v>3</v>
      </c>
      <c r="F84" s="15">
        <f>'31-july-2026'!U84</f>
        <v>0</v>
      </c>
      <c r="G84" s="15">
        <f>'31-july-2026'!V84</f>
        <v>0</v>
      </c>
      <c r="H84" s="15">
        <f t="shared" si="20"/>
        <v>3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5">
        <f t="shared" si="21"/>
        <v>3</v>
      </c>
      <c r="T84" s="15">
        <f t="shared" si="22"/>
        <v>3</v>
      </c>
      <c r="U84" s="15">
        <f t="shared" si="23"/>
        <v>0</v>
      </c>
      <c r="V84" s="15">
        <f t="shared" si="24"/>
        <v>0</v>
      </c>
      <c r="W84" s="18" t="str">
        <f t="shared" si="25"/>
        <v/>
      </c>
      <c r="X84" s="17">
        <v>0</v>
      </c>
      <c r="Y84" s="17">
        <v>0</v>
      </c>
      <c r="Z84" s="15">
        <f t="shared" si="26"/>
        <v>0</v>
      </c>
      <c r="AA84" s="17">
        <v>0</v>
      </c>
      <c r="AB84" s="17">
        <v>0</v>
      </c>
      <c r="AC84" s="15">
        <f t="shared" si="27"/>
        <v>0</v>
      </c>
      <c r="AD84" s="17">
        <v>0</v>
      </c>
      <c r="AE84" s="17">
        <v>0</v>
      </c>
      <c r="AF84" s="15">
        <f t="shared" si="28"/>
        <v>0</v>
      </c>
      <c r="AG84" s="17">
        <v>0</v>
      </c>
      <c r="AH84" s="17">
        <v>0</v>
      </c>
      <c r="AI84" s="15">
        <f t="shared" si="29"/>
        <v>0</v>
      </c>
      <c r="AJ84" s="17"/>
    </row>
    <row r="85" spans="1:36" x14ac:dyDescent="0.3">
      <c r="A85" s="15" t="s">
        <v>135</v>
      </c>
      <c r="B85" s="15">
        <v>100</v>
      </c>
      <c r="C85" s="15" t="s">
        <v>54</v>
      </c>
      <c r="D85" s="15" t="s">
        <v>57</v>
      </c>
      <c r="E85" s="15">
        <f>'31-july-2026'!T85</f>
        <v>4</v>
      </c>
      <c r="F85" s="15">
        <f>'31-july-2026'!U85</f>
        <v>0</v>
      </c>
      <c r="G85" s="15">
        <f>'31-july-2026'!V85</f>
        <v>0</v>
      </c>
      <c r="H85" s="15">
        <f t="shared" si="20"/>
        <v>4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5">
        <f t="shared" si="21"/>
        <v>4</v>
      </c>
      <c r="T85" s="15">
        <f t="shared" si="22"/>
        <v>4</v>
      </c>
      <c r="U85" s="15">
        <f t="shared" si="23"/>
        <v>0</v>
      </c>
      <c r="V85" s="15">
        <f t="shared" si="24"/>
        <v>0</v>
      </c>
      <c r="W85" s="18" t="str">
        <f t="shared" si="25"/>
        <v/>
      </c>
      <c r="X85" s="17">
        <v>0</v>
      </c>
      <c r="Y85" s="17">
        <v>0</v>
      </c>
      <c r="Z85" s="15">
        <f t="shared" si="26"/>
        <v>0</v>
      </c>
      <c r="AA85" s="17">
        <v>0</v>
      </c>
      <c r="AB85" s="17">
        <v>0</v>
      </c>
      <c r="AC85" s="15">
        <f t="shared" si="27"/>
        <v>0</v>
      </c>
      <c r="AD85" s="17">
        <v>0</v>
      </c>
      <c r="AE85" s="17">
        <v>0</v>
      </c>
      <c r="AF85" s="15">
        <f t="shared" si="28"/>
        <v>0</v>
      </c>
      <c r="AG85" s="17">
        <v>0</v>
      </c>
      <c r="AH85" s="17">
        <v>0</v>
      </c>
      <c r="AI85" s="15">
        <f t="shared" si="29"/>
        <v>0</v>
      </c>
      <c r="AJ85" s="17"/>
    </row>
    <row r="86" spans="1:36" x14ac:dyDescent="0.3">
      <c r="A86" s="15" t="s">
        <v>135</v>
      </c>
      <c r="B86" s="15">
        <v>1000</v>
      </c>
      <c r="C86" s="15" t="s">
        <v>54</v>
      </c>
      <c r="D86" s="15" t="s">
        <v>57</v>
      </c>
      <c r="E86" s="15">
        <f>'31-july-2026'!T86</f>
        <v>1</v>
      </c>
      <c r="F86" s="15">
        <f>'31-july-2026'!U86</f>
        <v>0</v>
      </c>
      <c r="G86" s="15">
        <f>'31-july-2026'!V86</f>
        <v>0</v>
      </c>
      <c r="H86" s="15">
        <f t="shared" si="20"/>
        <v>1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5">
        <f t="shared" si="21"/>
        <v>1</v>
      </c>
      <c r="T86" s="15">
        <f t="shared" si="22"/>
        <v>1</v>
      </c>
      <c r="U86" s="15">
        <f t="shared" si="23"/>
        <v>0</v>
      </c>
      <c r="V86" s="15">
        <f t="shared" si="24"/>
        <v>0</v>
      </c>
      <c r="W86" s="18" t="str">
        <f t="shared" si="25"/>
        <v/>
      </c>
      <c r="X86" s="17">
        <v>0</v>
      </c>
      <c r="Y86" s="17">
        <v>0</v>
      </c>
      <c r="Z86" s="15">
        <f t="shared" si="26"/>
        <v>0</v>
      </c>
      <c r="AA86" s="17">
        <v>0</v>
      </c>
      <c r="AB86" s="17">
        <v>0</v>
      </c>
      <c r="AC86" s="15">
        <f t="shared" si="27"/>
        <v>0</v>
      </c>
      <c r="AD86" s="17">
        <v>0</v>
      </c>
      <c r="AE86" s="17">
        <v>0</v>
      </c>
      <c r="AF86" s="15">
        <f t="shared" si="28"/>
        <v>0</v>
      </c>
      <c r="AG86" s="17">
        <v>0</v>
      </c>
      <c r="AH86" s="17">
        <v>0</v>
      </c>
      <c r="AI86" s="15">
        <f t="shared" si="29"/>
        <v>0</v>
      </c>
      <c r="AJ86" s="17"/>
    </row>
    <row r="87" spans="1:36" x14ac:dyDescent="0.3">
      <c r="A87" s="15" t="s">
        <v>136</v>
      </c>
      <c r="B87" s="15">
        <v>100000</v>
      </c>
      <c r="C87" s="15" t="s">
        <v>54</v>
      </c>
      <c r="D87" s="15" t="s">
        <v>68</v>
      </c>
      <c r="E87" s="15">
        <f>'31-july-2026'!T87</f>
        <v>1</v>
      </c>
      <c r="F87" s="15">
        <f>'31-july-2026'!U87</f>
        <v>0</v>
      </c>
      <c r="G87" s="15">
        <f>'31-july-2026'!V87</f>
        <v>0</v>
      </c>
      <c r="H87" s="15">
        <f t="shared" si="20"/>
        <v>1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5">
        <f t="shared" si="21"/>
        <v>1</v>
      </c>
      <c r="T87" s="15">
        <f t="shared" si="22"/>
        <v>1</v>
      </c>
      <c r="U87" s="15">
        <f t="shared" si="23"/>
        <v>0</v>
      </c>
      <c r="V87" s="15">
        <f t="shared" si="24"/>
        <v>0</v>
      </c>
      <c r="W87" s="18" t="str">
        <f t="shared" si="25"/>
        <v/>
      </c>
      <c r="X87" s="17">
        <v>0</v>
      </c>
      <c r="Y87" s="17">
        <v>0</v>
      </c>
      <c r="Z87" s="15">
        <f t="shared" si="26"/>
        <v>0</v>
      </c>
      <c r="AA87" s="17">
        <v>0</v>
      </c>
      <c r="AB87" s="17">
        <v>0</v>
      </c>
      <c r="AC87" s="15">
        <f t="shared" si="27"/>
        <v>0</v>
      </c>
      <c r="AD87" s="17">
        <v>0</v>
      </c>
      <c r="AE87" s="17">
        <v>0</v>
      </c>
      <c r="AF87" s="15">
        <f t="shared" si="28"/>
        <v>0</v>
      </c>
      <c r="AG87" s="17">
        <v>0</v>
      </c>
      <c r="AH87" s="17">
        <v>0</v>
      </c>
      <c r="AI87" s="15">
        <f t="shared" si="29"/>
        <v>0</v>
      </c>
      <c r="AJ87" s="17"/>
    </row>
    <row r="88" spans="1:36" x14ac:dyDescent="0.3">
      <c r="A88" s="15" t="s">
        <v>137</v>
      </c>
      <c r="B88" s="15">
        <v>1000</v>
      </c>
      <c r="C88" s="15" t="s">
        <v>54</v>
      </c>
      <c r="D88" s="15" t="s">
        <v>68</v>
      </c>
      <c r="E88" s="15">
        <f>'31-july-2026'!T88</f>
        <v>5</v>
      </c>
      <c r="F88" s="15">
        <f>'31-july-2026'!U88</f>
        <v>0</v>
      </c>
      <c r="G88" s="15">
        <f>'31-july-2026'!V88</f>
        <v>0</v>
      </c>
      <c r="H88" s="15">
        <f t="shared" si="20"/>
        <v>5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5">
        <f t="shared" si="21"/>
        <v>5</v>
      </c>
      <c r="T88" s="15">
        <f t="shared" si="22"/>
        <v>5</v>
      </c>
      <c r="U88" s="15">
        <f t="shared" si="23"/>
        <v>0</v>
      </c>
      <c r="V88" s="15">
        <f t="shared" si="24"/>
        <v>0</v>
      </c>
      <c r="W88" s="18" t="str">
        <f t="shared" si="25"/>
        <v/>
      </c>
      <c r="X88" s="17">
        <v>0</v>
      </c>
      <c r="Y88" s="17">
        <v>0</v>
      </c>
      <c r="Z88" s="15">
        <f t="shared" si="26"/>
        <v>0</v>
      </c>
      <c r="AA88" s="17">
        <v>0</v>
      </c>
      <c r="AB88" s="17">
        <v>0</v>
      </c>
      <c r="AC88" s="15">
        <f t="shared" si="27"/>
        <v>0</v>
      </c>
      <c r="AD88" s="17">
        <v>0</v>
      </c>
      <c r="AE88" s="17">
        <v>0</v>
      </c>
      <c r="AF88" s="15">
        <f t="shared" si="28"/>
        <v>0</v>
      </c>
      <c r="AG88" s="17">
        <v>0</v>
      </c>
      <c r="AH88" s="17">
        <v>0</v>
      </c>
      <c r="AI88" s="15">
        <f t="shared" si="29"/>
        <v>0</v>
      </c>
      <c r="AJ88" s="17"/>
    </row>
    <row r="89" spans="1:36" x14ac:dyDescent="0.3">
      <c r="A89" s="15" t="s">
        <v>138</v>
      </c>
      <c r="B89" s="15">
        <v>100</v>
      </c>
      <c r="C89" s="15" t="s">
        <v>54</v>
      </c>
      <c r="D89" s="15" t="s">
        <v>57</v>
      </c>
      <c r="E89" s="15">
        <f>'31-july-2026'!T89</f>
        <v>0</v>
      </c>
      <c r="F89" s="15">
        <f>'31-july-2026'!U89</f>
        <v>0</v>
      </c>
      <c r="G89" s="15">
        <f>'31-july-2026'!V89</f>
        <v>0</v>
      </c>
      <c r="H89" s="15">
        <f t="shared" si="20"/>
        <v>0</v>
      </c>
      <c r="I89" s="17">
        <v>2</v>
      </c>
      <c r="J89" s="17">
        <v>0</v>
      </c>
      <c r="K89" s="17">
        <v>0</v>
      </c>
      <c r="L89" s="17">
        <v>2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5">
        <f t="shared" si="21"/>
        <v>-4</v>
      </c>
      <c r="T89" s="15">
        <f t="shared" si="22"/>
        <v>-4</v>
      </c>
      <c r="U89" s="15">
        <f t="shared" si="23"/>
        <v>0</v>
      </c>
      <c r="V89" s="15">
        <f t="shared" si="24"/>
        <v>0</v>
      </c>
      <c r="W89" s="18" t="str">
        <f t="shared" si="25"/>
        <v>NEGATIVE STOCK - CHECK ENTRIES</v>
      </c>
      <c r="X89" s="17">
        <v>0</v>
      </c>
      <c r="Y89" s="17">
        <v>0</v>
      </c>
      <c r="Z89" s="15">
        <f t="shared" si="26"/>
        <v>0</v>
      </c>
      <c r="AA89" s="17">
        <v>0</v>
      </c>
      <c r="AB89" s="17">
        <v>0</v>
      </c>
      <c r="AC89" s="15">
        <f t="shared" si="27"/>
        <v>0</v>
      </c>
      <c r="AD89" s="17">
        <v>0</v>
      </c>
      <c r="AE89" s="17">
        <v>0</v>
      </c>
      <c r="AF89" s="15">
        <f t="shared" si="28"/>
        <v>0</v>
      </c>
      <c r="AG89" s="17">
        <v>0</v>
      </c>
      <c r="AH89" s="17">
        <v>0</v>
      </c>
      <c r="AI89" s="15">
        <f t="shared" si="29"/>
        <v>0</v>
      </c>
      <c r="AJ89" s="17"/>
    </row>
    <row r="90" spans="1:36" x14ac:dyDescent="0.3">
      <c r="A90" s="15" t="s">
        <v>139</v>
      </c>
      <c r="B90" s="15">
        <v>100</v>
      </c>
      <c r="C90" s="15" t="s">
        <v>54</v>
      </c>
      <c r="D90" s="15" t="s">
        <v>68</v>
      </c>
      <c r="E90" s="15">
        <f>'31-july-2026'!T90</f>
        <v>8</v>
      </c>
      <c r="F90" s="15">
        <f>'31-july-2026'!U90</f>
        <v>0</v>
      </c>
      <c r="G90" s="15">
        <f>'31-july-2026'!V90</f>
        <v>0</v>
      </c>
      <c r="H90" s="15">
        <f t="shared" si="20"/>
        <v>8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5">
        <f t="shared" si="21"/>
        <v>8</v>
      </c>
      <c r="T90" s="15">
        <f t="shared" si="22"/>
        <v>8</v>
      </c>
      <c r="U90" s="15">
        <f t="shared" si="23"/>
        <v>0</v>
      </c>
      <c r="V90" s="15">
        <f t="shared" si="24"/>
        <v>0</v>
      </c>
      <c r="W90" s="18" t="str">
        <f t="shared" si="25"/>
        <v/>
      </c>
      <c r="X90" s="17">
        <v>0</v>
      </c>
      <c r="Y90" s="17">
        <v>0</v>
      </c>
      <c r="Z90" s="15">
        <f t="shared" si="26"/>
        <v>0</v>
      </c>
      <c r="AA90" s="17">
        <v>0</v>
      </c>
      <c r="AB90" s="17">
        <v>0</v>
      </c>
      <c r="AC90" s="15">
        <f t="shared" si="27"/>
        <v>0</v>
      </c>
      <c r="AD90" s="17">
        <v>0</v>
      </c>
      <c r="AE90" s="17">
        <v>0</v>
      </c>
      <c r="AF90" s="15">
        <f t="shared" si="28"/>
        <v>0</v>
      </c>
      <c r="AG90" s="17">
        <v>0</v>
      </c>
      <c r="AH90" s="17">
        <v>0</v>
      </c>
      <c r="AI90" s="15">
        <f t="shared" si="29"/>
        <v>0</v>
      </c>
      <c r="AJ90" s="17"/>
    </row>
    <row r="91" spans="1:36" x14ac:dyDescent="0.3">
      <c r="A91" s="15" t="s">
        <v>140</v>
      </c>
      <c r="B91" s="15">
        <v>1000</v>
      </c>
      <c r="C91" s="15" t="s">
        <v>54</v>
      </c>
      <c r="D91" s="15" t="s">
        <v>68</v>
      </c>
      <c r="E91" s="15">
        <f>'31-july-2026'!T91</f>
        <v>7</v>
      </c>
      <c r="F91" s="15">
        <f>'31-july-2026'!U91</f>
        <v>0</v>
      </c>
      <c r="G91" s="15">
        <f>'31-july-2026'!V91</f>
        <v>0</v>
      </c>
      <c r="H91" s="15">
        <f t="shared" si="20"/>
        <v>7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5">
        <f t="shared" si="21"/>
        <v>7</v>
      </c>
      <c r="T91" s="15">
        <f t="shared" si="22"/>
        <v>7</v>
      </c>
      <c r="U91" s="15">
        <f t="shared" si="23"/>
        <v>0</v>
      </c>
      <c r="V91" s="15">
        <f t="shared" si="24"/>
        <v>0</v>
      </c>
      <c r="W91" s="18" t="str">
        <f t="shared" si="25"/>
        <v/>
      </c>
      <c r="X91" s="17">
        <v>0</v>
      </c>
      <c r="Y91" s="17">
        <v>0</v>
      </c>
      <c r="Z91" s="15">
        <f t="shared" si="26"/>
        <v>0</v>
      </c>
      <c r="AA91" s="17">
        <v>0</v>
      </c>
      <c r="AB91" s="17">
        <v>0</v>
      </c>
      <c r="AC91" s="15">
        <f t="shared" si="27"/>
        <v>0</v>
      </c>
      <c r="AD91" s="17">
        <v>0</v>
      </c>
      <c r="AE91" s="17">
        <v>0</v>
      </c>
      <c r="AF91" s="15">
        <f t="shared" si="28"/>
        <v>0</v>
      </c>
      <c r="AG91" s="17">
        <v>0</v>
      </c>
      <c r="AH91" s="17">
        <v>0</v>
      </c>
      <c r="AI91" s="15">
        <f t="shared" si="29"/>
        <v>0</v>
      </c>
      <c r="AJ91" s="17"/>
    </row>
    <row r="92" spans="1:36" hidden="1" x14ac:dyDescent="0.3">
      <c r="A92" s="15" t="s">
        <v>141</v>
      </c>
      <c r="B92" s="15">
        <v>1000</v>
      </c>
      <c r="C92" s="15" t="s">
        <v>54</v>
      </c>
      <c r="D92" s="15" t="s">
        <v>55</v>
      </c>
      <c r="E92" s="15">
        <f>'31-july-2026'!T92</f>
        <v>4</v>
      </c>
      <c r="F92" s="15">
        <f>'31-july-2026'!U92</f>
        <v>0</v>
      </c>
      <c r="G92" s="15">
        <f>'31-july-2026'!V92</f>
        <v>0</v>
      </c>
      <c r="H92" s="15">
        <f t="shared" si="20"/>
        <v>4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5">
        <f t="shared" si="21"/>
        <v>4</v>
      </c>
      <c r="T92" s="15">
        <f t="shared" si="22"/>
        <v>4</v>
      </c>
      <c r="U92" s="15">
        <f t="shared" si="23"/>
        <v>0</v>
      </c>
      <c r="V92" s="15">
        <f t="shared" si="24"/>
        <v>0</v>
      </c>
      <c r="W92" s="18" t="str">
        <f t="shared" si="25"/>
        <v/>
      </c>
      <c r="X92" s="17">
        <v>0</v>
      </c>
      <c r="Y92" s="17">
        <v>0</v>
      </c>
      <c r="Z92" s="15">
        <f t="shared" si="26"/>
        <v>0</v>
      </c>
      <c r="AA92" s="17">
        <v>0</v>
      </c>
      <c r="AB92" s="17">
        <v>0</v>
      </c>
      <c r="AC92" s="15">
        <f t="shared" si="27"/>
        <v>0</v>
      </c>
      <c r="AD92" s="17">
        <v>0</v>
      </c>
      <c r="AE92" s="17">
        <v>0</v>
      </c>
      <c r="AF92" s="15">
        <f t="shared" si="28"/>
        <v>0</v>
      </c>
      <c r="AG92" s="17">
        <v>0</v>
      </c>
      <c r="AH92" s="17">
        <v>0</v>
      </c>
      <c r="AI92" s="15">
        <f t="shared" si="29"/>
        <v>0</v>
      </c>
      <c r="AJ92" s="17"/>
    </row>
    <row r="93" spans="1:36" hidden="1" x14ac:dyDescent="0.3">
      <c r="A93" s="15" t="s">
        <v>142</v>
      </c>
      <c r="B93" s="15">
        <v>100</v>
      </c>
      <c r="C93" s="15" t="s">
        <v>54</v>
      </c>
      <c r="D93" s="15" t="s">
        <v>55</v>
      </c>
      <c r="E93" s="15">
        <f>'31-july-2026'!T93</f>
        <v>1</v>
      </c>
      <c r="F93" s="15">
        <f>'31-july-2026'!U93</f>
        <v>0</v>
      </c>
      <c r="G93" s="15">
        <f>'31-july-2026'!V93</f>
        <v>0</v>
      </c>
      <c r="H93" s="15">
        <f t="shared" si="20"/>
        <v>1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5">
        <f t="shared" si="21"/>
        <v>1</v>
      </c>
      <c r="T93" s="15">
        <f t="shared" si="22"/>
        <v>1</v>
      </c>
      <c r="U93" s="15">
        <f t="shared" si="23"/>
        <v>0</v>
      </c>
      <c r="V93" s="15">
        <f t="shared" si="24"/>
        <v>0</v>
      </c>
      <c r="W93" s="18" t="str">
        <f t="shared" si="25"/>
        <v/>
      </c>
      <c r="X93" s="17">
        <v>0</v>
      </c>
      <c r="Y93" s="17">
        <v>0</v>
      </c>
      <c r="Z93" s="15">
        <f t="shared" si="26"/>
        <v>0</v>
      </c>
      <c r="AA93" s="17">
        <v>0</v>
      </c>
      <c r="AB93" s="17">
        <v>0</v>
      </c>
      <c r="AC93" s="15">
        <f t="shared" si="27"/>
        <v>0</v>
      </c>
      <c r="AD93" s="17">
        <v>0</v>
      </c>
      <c r="AE93" s="17">
        <v>0</v>
      </c>
      <c r="AF93" s="15">
        <f t="shared" si="28"/>
        <v>0</v>
      </c>
      <c r="AG93" s="17">
        <v>0</v>
      </c>
      <c r="AH93" s="17">
        <v>0</v>
      </c>
      <c r="AI93" s="15">
        <f t="shared" si="29"/>
        <v>0</v>
      </c>
      <c r="AJ93" s="17"/>
    </row>
    <row r="94" spans="1:36" x14ac:dyDescent="0.3">
      <c r="A94" s="15" t="s">
        <v>143</v>
      </c>
      <c r="B94" s="15">
        <v>1000</v>
      </c>
      <c r="C94" s="15" t="s">
        <v>54</v>
      </c>
      <c r="D94" s="15" t="s">
        <v>57</v>
      </c>
      <c r="E94" s="15">
        <f>'31-july-2026'!T94</f>
        <v>1</v>
      </c>
      <c r="F94" s="15">
        <f>'31-july-2026'!U94</f>
        <v>0</v>
      </c>
      <c r="G94" s="15">
        <f>'31-july-2026'!V94</f>
        <v>0</v>
      </c>
      <c r="H94" s="15">
        <f t="shared" si="20"/>
        <v>1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5">
        <f t="shared" si="21"/>
        <v>1</v>
      </c>
      <c r="T94" s="15">
        <f t="shared" si="22"/>
        <v>1</v>
      </c>
      <c r="U94" s="15">
        <f t="shared" si="23"/>
        <v>0</v>
      </c>
      <c r="V94" s="15">
        <f t="shared" si="24"/>
        <v>0</v>
      </c>
      <c r="W94" s="18" t="str">
        <f t="shared" si="25"/>
        <v/>
      </c>
      <c r="X94" s="17">
        <v>0</v>
      </c>
      <c r="Y94" s="17">
        <v>0</v>
      </c>
      <c r="Z94" s="15">
        <f t="shared" si="26"/>
        <v>0</v>
      </c>
      <c r="AA94" s="17">
        <v>0</v>
      </c>
      <c r="AB94" s="17">
        <v>0</v>
      </c>
      <c r="AC94" s="15">
        <f t="shared" si="27"/>
        <v>0</v>
      </c>
      <c r="AD94" s="17">
        <v>0</v>
      </c>
      <c r="AE94" s="17">
        <v>0</v>
      </c>
      <c r="AF94" s="15">
        <f t="shared" si="28"/>
        <v>0</v>
      </c>
      <c r="AG94" s="17">
        <v>0</v>
      </c>
      <c r="AH94" s="17">
        <v>0</v>
      </c>
      <c r="AI94" s="15">
        <f t="shared" si="29"/>
        <v>0</v>
      </c>
      <c r="AJ94" s="17"/>
    </row>
    <row r="95" spans="1:36" x14ac:dyDescent="0.3">
      <c r="A95" s="15" t="s">
        <v>144</v>
      </c>
      <c r="B95" s="15">
        <v>1000</v>
      </c>
      <c r="C95" s="15" t="s">
        <v>54</v>
      </c>
      <c r="D95" s="15" t="s">
        <v>68</v>
      </c>
      <c r="E95" s="15">
        <f>'31-july-2026'!T95</f>
        <v>1</v>
      </c>
      <c r="F95" s="15">
        <f>'31-july-2026'!U95</f>
        <v>0</v>
      </c>
      <c r="G95" s="15">
        <f>'31-july-2026'!V95</f>
        <v>0</v>
      </c>
      <c r="H95" s="15">
        <f t="shared" si="20"/>
        <v>1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5">
        <f t="shared" si="21"/>
        <v>1</v>
      </c>
      <c r="T95" s="15">
        <f t="shared" si="22"/>
        <v>1</v>
      </c>
      <c r="U95" s="15">
        <f t="shared" si="23"/>
        <v>0</v>
      </c>
      <c r="V95" s="15">
        <f t="shared" si="24"/>
        <v>0</v>
      </c>
      <c r="W95" s="18" t="str">
        <f t="shared" si="25"/>
        <v/>
      </c>
      <c r="X95" s="17">
        <v>0</v>
      </c>
      <c r="Y95" s="17">
        <v>0</v>
      </c>
      <c r="Z95" s="15">
        <f t="shared" si="26"/>
        <v>0</v>
      </c>
      <c r="AA95" s="17">
        <v>0</v>
      </c>
      <c r="AB95" s="17">
        <v>0</v>
      </c>
      <c r="AC95" s="15">
        <f t="shared" si="27"/>
        <v>0</v>
      </c>
      <c r="AD95" s="17">
        <v>0</v>
      </c>
      <c r="AE95" s="17">
        <v>0</v>
      </c>
      <c r="AF95" s="15">
        <f t="shared" si="28"/>
        <v>0</v>
      </c>
      <c r="AG95" s="17">
        <v>0</v>
      </c>
      <c r="AH95" s="17">
        <v>0</v>
      </c>
      <c r="AI95" s="15">
        <f t="shared" si="29"/>
        <v>0</v>
      </c>
      <c r="AJ95" s="17"/>
    </row>
    <row r="96" spans="1:36" x14ac:dyDescent="0.3">
      <c r="A96" s="15" t="s">
        <v>145</v>
      </c>
      <c r="B96" s="15">
        <v>1000</v>
      </c>
      <c r="C96" s="15" t="s">
        <v>54</v>
      </c>
      <c r="D96" s="15" t="s">
        <v>68</v>
      </c>
      <c r="E96" s="15">
        <f>'31-july-2026'!T96</f>
        <v>5</v>
      </c>
      <c r="F96" s="15">
        <f>'31-july-2026'!U96</f>
        <v>0</v>
      </c>
      <c r="G96" s="15">
        <f>'31-july-2026'!V96</f>
        <v>0</v>
      </c>
      <c r="H96" s="15">
        <f t="shared" si="20"/>
        <v>5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5">
        <f t="shared" si="21"/>
        <v>5</v>
      </c>
      <c r="T96" s="15">
        <f t="shared" si="22"/>
        <v>5</v>
      </c>
      <c r="U96" s="15">
        <f t="shared" si="23"/>
        <v>0</v>
      </c>
      <c r="V96" s="15">
        <f t="shared" si="24"/>
        <v>0</v>
      </c>
      <c r="W96" s="18" t="str">
        <f t="shared" si="25"/>
        <v/>
      </c>
      <c r="X96" s="17">
        <v>0</v>
      </c>
      <c r="Y96" s="17">
        <v>0</v>
      </c>
      <c r="Z96" s="15">
        <f t="shared" si="26"/>
        <v>0</v>
      </c>
      <c r="AA96" s="17">
        <v>0</v>
      </c>
      <c r="AB96" s="17">
        <v>0</v>
      </c>
      <c r="AC96" s="15">
        <f t="shared" si="27"/>
        <v>0</v>
      </c>
      <c r="AD96" s="17">
        <v>0</v>
      </c>
      <c r="AE96" s="17">
        <v>0</v>
      </c>
      <c r="AF96" s="15">
        <f t="shared" si="28"/>
        <v>0</v>
      </c>
      <c r="AG96" s="17">
        <v>0</v>
      </c>
      <c r="AH96" s="17">
        <v>0</v>
      </c>
      <c r="AI96" s="15">
        <f t="shared" si="29"/>
        <v>0</v>
      </c>
      <c r="AJ96" s="17"/>
    </row>
    <row r="97" spans="1:36" x14ac:dyDescent="0.3">
      <c r="A97" s="15" t="s">
        <v>146</v>
      </c>
      <c r="B97" s="15">
        <v>1000</v>
      </c>
      <c r="C97" s="15" t="s">
        <v>54</v>
      </c>
      <c r="D97" s="15" t="s">
        <v>68</v>
      </c>
      <c r="E97" s="15">
        <f>'31-july-2026'!T97</f>
        <v>3</v>
      </c>
      <c r="F97" s="15">
        <f>'31-july-2026'!U97</f>
        <v>0</v>
      </c>
      <c r="G97" s="15">
        <f>'31-july-2026'!V97</f>
        <v>0</v>
      </c>
      <c r="H97" s="15">
        <f t="shared" si="20"/>
        <v>3</v>
      </c>
      <c r="I97" s="17">
        <v>1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5">
        <f t="shared" si="21"/>
        <v>2</v>
      </c>
      <c r="T97" s="15">
        <f t="shared" si="22"/>
        <v>2</v>
      </c>
      <c r="U97" s="15">
        <f t="shared" si="23"/>
        <v>0</v>
      </c>
      <c r="V97" s="15">
        <f t="shared" si="24"/>
        <v>0</v>
      </c>
      <c r="W97" s="18" t="str">
        <f t="shared" si="25"/>
        <v/>
      </c>
      <c r="X97" s="17">
        <v>0</v>
      </c>
      <c r="Y97" s="17">
        <v>0</v>
      </c>
      <c r="Z97" s="15">
        <f t="shared" si="26"/>
        <v>0</v>
      </c>
      <c r="AA97" s="17">
        <v>0</v>
      </c>
      <c r="AB97" s="17">
        <v>0</v>
      </c>
      <c r="AC97" s="15">
        <f t="shared" si="27"/>
        <v>0</v>
      </c>
      <c r="AD97" s="17">
        <v>0</v>
      </c>
      <c r="AE97" s="17">
        <v>0</v>
      </c>
      <c r="AF97" s="15">
        <f t="shared" si="28"/>
        <v>0</v>
      </c>
      <c r="AG97" s="17">
        <v>0</v>
      </c>
      <c r="AH97" s="17">
        <v>0</v>
      </c>
      <c r="AI97" s="15">
        <f t="shared" si="29"/>
        <v>0</v>
      </c>
      <c r="AJ97" s="17"/>
    </row>
    <row r="98" spans="1:36" hidden="1" x14ac:dyDescent="0.3">
      <c r="A98" s="15" t="s">
        <v>147</v>
      </c>
      <c r="B98" s="15">
        <v>1000</v>
      </c>
      <c r="C98" s="15" t="s">
        <v>54</v>
      </c>
      <c r="D98" s="15" t="s">
        <v>55</v>
      </c>
      <c r="E98" s="15">
        <f>'31-july-2026'!T98</f>
        <v>29</v>
      </c>
      <c r="F98" s="15">
        <f>'31-july-2026'!U98</f>
        <v>1</v>
      </c>
      <c r="G98" s="15">
        <f>'31-july-2026'!V98</f>
        <v>5</v>
      </c>
      <c r="H98" s="15">
        <f t="shared" si="20"/>
        <v>35</v>
      </c>
      <c r="I98" s="17">
        <v>0</v>
      </c>
      <c r="J98" s="17">
        <v>0</v>
      </c>
      <c r="K98" s="17">
        <v>5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5">
        <f t="shared" si="21"/>
        <v>30</v>
      </c>
      <c r="T98" s="15">
        <f t="shared" si="22"/>
        <v>29</v>
      </c>
      <c r="U98" s="15">
        <f t="shared" si="23"/>
        <v>1</v>
      </c>
      <c r="V98" s="15">
        <f t="shared" si="24"/>
        <v>0</v>
      </c>
      <c r="W98" s="18" t="str">
        <f t="shared" si="25"/>
        <v/>
      </c>
      <c r="X98" s="17">
        <v>0</v>
      </c>
      <c r="Y98" s="17">
        <v>0</v>
      </c>
      <c r="Z98" s="15">
        <f t="shared" si="26"/>
        <v>0</v>
      </c>
      <c r="AA98" s="17">
        <v>0</v>
      </c>
      <c r="AB98" s="17">
        <v>0</v>
      </c>
      <c r="AC98" s="15">
        <f t="shared" si="27"/>
        <v>0</v>
      </c>
      <c r="AD98" s="17">
        <v>0</v>
      </c>
      <c r="AE98" s="17">
        <v>0</v>
      </c>
      <c r="AF98" s="15">
        <f t="shared" si="28"/>
        <v>0</v>
      </c>
      <c r="AG98" s="17">
        <v>0</v>
      </c>
      <c r="AH98" s="17">
        <v>0</v>
      </c>
      <c r="AI98" s="15">
        <f t="shared" si="29"/>
        <v>0</v>
      </c>
      <c r="AJ98" s="17"/>
    </row>
    <row r="99" spans="1:36" x14ac:dyDescent="0.3">
      <c r="A99" s="15" t="s">
        <v>148</v>
      </c>
      <c r="B99" s="15">
        <v>100</v>
      </c>
      <c r="C99" s="15" t="s">
        <v>54</v>
      </c>
      <c r="D99" s="15" t="s">
        <v>57</v>
      </c>
      <c r="E99" s="15">
        <f>'31-july-2026'!T99</f>
        <v>2</v>
      </c>
      <c r="F99" s="15">
        <f>'31-july-2026'!U99</f>
        <v>0</v>
      </c>
      <c r="G99" s="15">
        <f>'31-july-2026'!V99</f>
        <v>0</v>
      </c>
      <c r="H99" s="15">
        <f t="shared" ref="H99:H130" si="30">E99+F99+G99</f>
        <v>2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5">
        <f t="shared" ref="S99:S130" si="31">H99+O99+P99+Q99+R99-(I99+J99+K99+L99+M99+N99)</f>
        <v>2</v>
      </c>
      <c r="T99" s="15">
        <f t="shared" ref="T99:T130" si="32">E99+O99-I99-L99</f>
        <v>2</v>
      </c>
      <c r="U99" s="15">
        <f t="shared" ref="U99:U130" si="33">F99+P99-J99-M99</f>
        <v>0</v>
      </c>
      <c r="V99" s="15">
        <f t="shared" ref="V99:V130" si="34">G99+Q99-K99-N99</f>
        <v>0</v>
      </c>
      <c r="W99" s="18" t="str">
        <f t="shared" ref="W99:W130" si="35">IF(MIN(T99,U99,V99)&lt;0,"NEGATIVE STOCK - CHECK ENTRIES","")</f>
        <v/>
      </c>
      <c r="X99" s="17">
        <v>0</v>
      </c>
      <c r="Y99" s="17">
        <v>0</v>
      </c>
      <c r="Z99" s="15">
        <f t="shared" ref="Z99:Z130" si="36">X99-Y99</f>
        <v>0</v>
      </c>
      <c r="AA99" s="17">
        <v>0</v>
      </c>
      <c r="AB99" s="17">
        <v>0</v>
      </c>
      <c r="AC99" s="15">
        <f t="shared" ref="AC99:AC130" si="37">AA99-AB99</f>
        <v>0</v>
      </c>
      <c r="AD99" s="17">
        <v>0</v>
      </c>
      <c r="AE99" s="17">
        <v>0</v>
      </c>
      <c r="AF99" s="15">
        <f t="shared" ref="AF99:AF130" si="38">AD99-AE99</f>
        <v>0</v>
      </c>
      <c r="AG99" s="17">
        <v>0</v>
      </c>
      <c r="AH99" s="17">
        <v>0</v>
      </c>
      <c r="AI99" s="15">
        <f t="shared" ref="AI99:AI130" si="39">AG99-AH99</f>
        <v>0</v>
      </c>
      <c r="AJ99" s="17"/>
    </row>
    <row r="100" spans="1:36" hidden="1" x14ac:dyDescent="0.3">
      <c r="A100" s="15" t="s">
        <v>149</v>
      </c>
      <c r="B100" s="15">
        <v>250</v>
      </c>
      <c r="C100" s="15" t="s">
        <v>54</v>
      </c>
      <c r="D100" s="15" t="s">
        <v>55</v>
      </c>
      <c r="E100" s="15">
        <v>0</v>
      </c>
      <c r="F100" s="15">
        <v>0</v>
      </c>
      <c r="G100" s="15">
        <v>0</v>
      </c>
      <c r="H100" s="15">
        <f t="shared" si="30"/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5">
        <f t="shared" si="31"/>
        <v>0</v>
      </c>
      <c r="T100" s="15">
        <f t="shared" si="32"/>
        <v>0</v>
      </c>
      <c r="U100" s="15">
        <f t="shared" si="33"/>
        <v>0</v>
      </c>
      <c r="V100" s="15">
        <f t="shared" si="34"/>
        <v>0</v>
      </c>
      <c r="W100" s="18" t="str">
        <f t="shared" si="35"/>
        <v/>
      </c>
      <c r="X100" s="17">
        <v>0</v>
      </c>
      <c r="Y100" s="17">
        <v>0</v>
      </c>
      <c r="Z100" s="15">
        <f t="shared" si="36"/>
        <v>0</v>
      </c>
      <c r="AA100" s="17">
        <v>0</v>
      </c>
      <c r="AB100" s="17">
        <v>0</v>
      </c>
      <c r="AC100" s="15">
        <f t="shared" si="37"/>
        <v>0</v>
      </c>
      <c r="AD100" s="17">
        <v>0</v>
      </c>
      <c r="AE100" s="17">
        <v>0</v>
      </c>
      <c r="AF100" s="15">
        <f t="shared" si="38"/>
        <v>0</v>
      </c>
      <c r="AG100" s="17">
        <v>0</v>
      </c>
      <c r="AH100" s="17">
        <v>0</v>
      </c>
      <c r="AI100" s="15">
        <f t="shared" si="39"/>
        <v>0</v>
      </c>
      <c r="AJ100" s="17"/>
    </row>
    <row r="101" spans="1:36" x14ac:dyDescent="0.3">
      <c r="A101" s="15" t="s">
        <v>150</v>
      </c>
      <c r="B101" s="15">
        <v>10000</v>
      </c>
      <c r="C101" s="15" t="s">
        <v>54</v>
      </c>
      <c r="D101" s="15" t="s">
        <v>68</v>
      </c>
      <c r="E101" s="15">
        <f>'31-july-2026'!T101</f>
        <v>1</v>
      </c>
      <c r="F101" s="15">
        <f>'31-july-2026'!U101</f>
        <v>0</v>
      </c>
      <c r="G101" s="15">
        <f>'31-july-2026'!V101</f>
        <v>0</v>
      </c>
      <c r="H101" s="15">
        <f t="shared" si="30"/>
        <v>1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5">
        <f t="shared" si="31"/>
        <v>1</v>
      </c>
      <c r="T101" s="15">
        <f t="shared" si="32"/>
        <v>1</v>
      </c>
      <c r="U101" s="15">
        <f t="shared" si="33"/>
        <v>0</v>
      </c>
      <c r="V101" s="15">
        <f t="shared" si="34"/>
        <v>0</v>
      </c>
      <c r="W101" s="18" t="str">
        <f t="shared" si="35"/>
        <v/>
      </c>
      <c r="X101" s="17">
        <v>0</v>
      </c>
      <c r="Y101" s="17">
        <v>0</v>
      </c>
      <c r="Z101" s="15">
        <f t="shared" si="36"/>
        <v>0</v>
      </c>
      <c r="AA101" s="17">
        <v>0</v>
      </c>
      <c r="AB101" s="17">
        <v>0</v>
      </c>
      <c r="AC101" s="15">
        <f t="shared" si="37"/>
        <v>0</v>
      </c>
      <c r="AD101" s="17">
        <v>0</v>
      </c>
      <c r="AE101" s="17">
        <v>0</v>
      </c>
      <c r="AF101" s="15">
        <f t="shared" si="38"/>
        <v>0</v>
      </c>
      <c r="AG101" s="17">
        <v>0</v>
      </c>
      <c r="AH101" s="17">
        <v>0</v>
      </c>
      <c r="AI101" s="15">
        <f t="shared" si="39"/>
        <v>0</v>
      </c>
      <c r="AJ101" s="17"/>
    </row>
    <row r="102" spans="1:36" x14ac:dyDescent="0.3">
      <c r="A102" s="15" t="s">
        <v>151</v>
      </c>
      <c r="B102" s="15">
        <v>100000</v>
      </c>
      <c r="C102" s="15" t="s">
        <v>54</v>
      </c>
      <c r="D102" s="15" t="s">
        <v>68</v>
      </c>
      <c r="E102" s="15">
        <f>'31-july-2026'!T102</f>
        <v>2</v>
      </c>
      <c r="F102" s="15">
        <f>'31-july-2026'!U102</f>
        <v>0</v>
      </c>
      <c r="G102" s="15">
        <f>'31-july-2026'!V102</f>
        <v>0</v>
      </c>
      <c r="H102" s="15">
        <f t="shared" si="30"/>
        <v>2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5">
        <f t="shared" si="31"/>
        <v>2</v>
      </c>
      <c r="T102" s="15">
        <f t="shared" si="32"/>
        <v>2</v>
      </c>
      <c r="U102" s="15">
        <f t="shared" si="33"/>
        <v>0</v>
      </c>
      <c r="V102" s="15">
        <f t="shared" si="34"/>
        <v>0</v>
      </c>
      <c r="W102" s="18" t="str">
        <f t="shared" si="35"/>
        <v/>
      </c>
      <c r="X102" s="17">
        <v>0</v>
      </c>
      <c r="Y102" s="17">
        <v>0</v>
      </c>
      <c r="Z102" s="15">
        <f t="shared" si="36"/>
        <v>0</v>
      </c>
      <c r="AA102" s="17">
        <v>0</v>
      </c>
      <c r="AB102" s="17">
        <v>0</v>
      </c>
      <c r="AC102" s="15">
        <f t="shared" si="37"/>
        <v>0</v>
      </c>
      <c r="AD102" s="17">
        <v>0</v>
      </c>
      <c r="AE102" s="17">
        <v>0</v>
      </c>
      <c r="AF102" s="15">
        <f t="shared" si="38"/>
        <v>0</v>
      </c>
      <c r="AG102" s="17">
        <v>0</v>
      </c>
      <c r="AH102" s="17">
        <v>0</v>
      </c>
      <c r="AI102" s="15">
        <f t="shared" si="39"/>
        <v>0</v>
      </c>
      <c r="AJ102" s="17"/>
    </row>
    <row r="103" spans="1:36" x14ac:dyDescent="0.3">
      <c r="A103" s="15" t="s">
        <v>152</v>
      </c>
      <c r="B103" s="15">
        <v>500</v>
      </c>
      <c r="C103" s="15" t="s">
        <v>54</v>
      </c>
      <c r="D103" s="15" t="s">
        <v>57</v>
      </c>
      <c r="E103" s="15">
        <f>'31-july-2026'!T103</f>
        <v>1</v>
      </c>
      <c r="F103" s="15">
        <f>'31-july-2026'!U103</f>
        <v>0</v>
      </c>
      <c r="G103" s="15">
        <f>'31-july-2026'!V103</f>
        <v>0</v>
      </c>
      <c r="H103" s="15">
        <f t="shared" si="30"/>
        <v>1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5">
        <f t="shared" si="31"/>
        <v>1</v>
      </c>
      <c r="T103" s="15">
        <f t="shared" si="32"/>
        <v>1</v>
      </c>
      <c r="U103" s="15">
        <f t="shared" si="33"/>
        <v>0</v>
      </c>
      <c r="V103" s="15">
        <f t="shared" si="34"/>
        <v>0</v>
      </c>
      <c r="W103" s="18" t="str">
        <f t="shared" si="35"/>
        <v/>
      </c>
      <c r="X103" s="17">
        <v>0</v>
      </c>
      <c r="Y103" s="17">
        <v>0</v>
      </c>
      <c r="Z103" s="15">
        <f t="shared" si="36"/>
        <v>0</v>
      </c>
      <c r="AA103" s="17">
        <v>0</v>
      </c>
      <c r="AB103" s="17">
        <v>0</v>
      </c>
      <c r="AC103" s="15">
        <f t="shared" si="37"/>
        <v>0</v>
      </c>
      <c r="AD103" s="17">
        <v>0</v>
      </c>
      <c r="AE103" s="17">
        <v>0</v>
      </c>
      <c r="AF103" s="15">
        <f t="shared" si="38"/>
        <v>0</v>
      </c>
      <c r="AG103" s="17">
        <v>0</v>
      </c>
      <c r="AH103" s="17">
        <v>0</v>
      </c>
      <c r="AI103" s="15">
        <f t="shared" si="39"/>
        <v>0</v>
      </c>
      <c r="AJ103" s="17"/>
    </row>
    <row r="104" spans="1:36" x14ac:dyDescent="0.3">
      <c r="A104" s="15" t="s">
        <v>153</v>
      </c>
      <c r="B104" s="15">
        <v>100</v>
      </c>
      <c r="C104" s="15" t="s">
        <v>54</v>
      </c>
      <c r="D104" s="15" t="s">
        <v>68</v>
      </c>
      <c r="E104" s="15">
        <f>'31-july-2026'!T104</f>
        <v>0</v>
      </c>
      <c r="F104" s="15">
        <f>'31-july-2026'!U104</f>
        <v>0</v>
      </c>
      <c r="G104" s="15">
        <f>'31-july-2026'!V104</f>
        <v>0</v>
      </c>
      <c r="H104" s="15">
        <f t="shared" si="30"/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5">
        <f t="shared" si="31"/>
        <v>0</v>
      </c>
      <c r="T104" s="15">
        <f t="shared" si="32"/>
        <v>0</v>
      </c>
      <c r="U104" s="15">
        <f t="shared" si="33"/>
        <v>0</v>
      </c>
      <c r="V104" s="15">
        <f t="shared" si="34"/>
        <v>0</v>
      </c>
      <c r="W104" s="18" t="str">
        <f t="shared" si="35"/>
        <v/>
      </c>
      <c r="X104" s="17">
        <v>0</v>
      </c>
      <c r="Y104" s="17">
        <v>0</v>
      </c>
      <c r="Z104" s="15">
        <f t="shared" si="36"/>
        <v>0</v>
      </c>
      <c r="AA104" s="17">
        <v>0</v>
      </c>
      <c r="AB104" s="17">
        <v>0</v>
      </c>
      <c r="AC104" s="15">
        <f t="shared" si="37"/>
        <v>0</v>
      </c>
      <c r="AD104" s="17">
        <v>0</v>
      </c>
      <c r="AE104" s="17">
        <v>0</v>
      </c>
      <c r="AF104" s="15">
        <f t="shared" si="38"/>
        <v>0</v>
      </c>
      <c r="AG104" s="17">
        <v>0</v>
      </c>
      <c r="AH104" s="17">
        <v>0</v>
      </c>
      <c r="AI104" s="15">
        <f t="shared" si="39"/>
        <v>0</v>
      </c>
      <c r="AJ104" s="17"/>
    </row>
    <row r="105" spans="1:36" hidden="1" x14ac:dyDescent="0.3">
      <c r="A105" s="15" t="s">
        <v>154</v>
      </c>
      <c r="B105" s="15">
        <v>100</v>
      </c>
      <c r="C105" s="15" t="s">
        <v>54</v>
      </c>
      <c r="D105" s="15" t="s">
        <v>55</v>
      </c>
      <c r="E105" s="15">
        <f>'31-july-2026'!T105</f>
        <v>67</v>
      </c>
      <c r="F105" s="15">
        <f>'31-july-2026'!U105</f>
        <v>0</v>
      </c>
      <c r="G105" s="15">
        <f>'31-july-2026'!V105</f>
        <v>0</v>
      </c>
      <c r="H105" s="15">
        <f t="shared" si="30"/>
        <v>67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5">
        <f t="shared" si="31"/>
        <v>67</v>
      </c>
      <c r="T105" s="15">
        <f t="shared" si="32"/>
        <v>67</v>
      </c>
      <c r="U105" s="15">
        <f t="shared" si="33"/>
        <v>0</v>
      </c>
      <c r="V105" s="15">
        <f t="shared" si="34"/>
        <v>0</v>
      </c>
      <c r="W105" s="18" t="str">
        <f t="shared" si="35"/>
        <v/>
      </c>
      <c r="X105" s="17">
        <v>0</v>
      </c>
      <c r="Y105" s="17">
        <v>0</v>
      </c>
      <c r="Z105" s="15">
        <f t="shared" si="36"/>
        <v>0</v>
      </c>
      <c r="AA105" s="17">
        <v>0</v>
      </c>
      <c r="AB105" s="17">
        <v>0</v>
      </c>
      <c r="AC105" s="15">
        <f t="shared" si="37"/>
        <v>0</v>
      </c>
      <c r="AD105" s="17">
        <v>0</v>
      </c>
      <c r="AE105" s="17">
        <v>0</v>
      </c>
      <c r="AF105" s="15">
        <f t="shared" si="38"/>
        <v>0</v>
      </c>
      <c r="AG105" s="17">
        <v>0</v>
      </c>
      <c r="AH105" s="17">
        <v>0</v>
      </c>
      <c r="AI105" s="15">
        <f t="shared" si="39"/>
        <v>0</v>
      </c>
      <c r="AJ105" s="17"/>
    </row>
    <row r="106" spans="1:36" x14ac:dyDescent="0.3">
      <c r="A106" s="15" t="s">
        <v>155</v>
      </c>
      <c r="B106" s="15">
        <v>100</v>
      </c>
      <c r="C106" s="15" t="s">
        <v>54</v>
      </c>
      <c r="D106" s="15" t="s">
        <v>68</v>
      </c>
      <c r="E106" s="15">
        <f>'31-july-2026'!T106</f>
        <v>1</v>
      </c>
      <c r="F106" s="15">
        <f>'31-july-2026'!U106</f>
        <v>0</v>
      </c>
      <c r="G106" s="15">
        <f>'31-july-2026'!V106</f>
        <v>0</v>
      </c>
      <c r="H106" s="15">
        <f t="shared" si="30"/>
        <v>1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5">
        <f t="shared" si="31"/>
        <v>1</v>
      </c>
      <c r="T106" s="15">
        <f t="shared" si="32"/>
        <v>1</v>
      </c>
      <c r="U106" s="15">
        <f t="shared" si="33"/>
        <v>0</v>
      </c>
      <c r="V106" s="15">
        <f t="shared" si="34"/>
        <v>0</v>
      </c>
      <c r="W106" s="18" t="str">
        <f t="shared" si="35"/>
        <v/>
      </c>
      <c r="X106" s="17">
        <v>0</v>
      </c>
      <c r="Y106" s="17">
        <v>0</v>
      </c>
      <c r="Z106" s="15">
        <f t="shared" si="36"/>
        <v>0</v>
      </c>
      <c r="AA106" s="17">
        <v>0</v>
      </c>
      <c r="AB106" s="17">
        <v>0</v>
      </c>
      <c r="AC106" s="15">
        <f t="shared" si="37"/>
        <v>0</v>
      </c>
      <c r="AD106" s="17">
        <v>0</v>
      </c>
      <c r="AE106" s="17">
        <v>0</v>
      </c>
      <c r="AF106" s="15">
        <f t="shared" si="38"/>
        <v>0</v>
      </c>
      <c r="AG106" s="17">
        <v>0</v>
      </c>
      <c r="AH106" s="17">
        <v>0</v>
      </c>
      <c r="AI106" s="15">
        <f t="shared" si="39"/>
        <v>0</v>
      </c>
      <c r="AJ106" s="17"/>
    </row>
    <row r="107" spans="1:36" x14ac:dyDescent="0.3">
      <c r="A107" s="15" t="s">
        <v>156</v>
      </c>
      <c r="B107" s="15">
        <v>2500</v>
      </c>
      <c r="C107" s="15" t="s">
        <v>54</v>
      </c>
      <c r="D107" s="15" t="s">
        <v>68</v>
      </c>
      <c r="E107" s="15">
        <f>'31-july-2026'!T107</f>
        <v>0</v>
      </c>
      <c r="F107" s="15">
        <f>'31-july-2026'!U107</f>
        <v>0</v>
      </c>
      <c r="G107" s="15">
        <f>'31-july-2026'!V107</f>
        <v>0</v>
      </c>
      <c r="H107" s="15">
        <f t="shared" si="30"/>
        <v>0</v>
      </c>
      <c r="I107" s="17">
        <v>1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5">
        <f t="shared" si="31"/>
        <v>-1</v>
      </c>
      <c r="T107" s="15">
        <f t="shared" si="32"/>
        <v>-1</v>
      </c>
      <c r="U107" s="15">
        <f t="shared" si="33"/>
        <v>0</v>
      </c>
      <c r="V107" s="15">
        <f t="shared" si="34"/>
        <v>0</v>
      </c>
      <c r="W107" s="18" t="str">
        <f t="shared" si="35"/>
        <v>NEGATIVE STOCK - CHECK ENTRIES</v>
      </c>
      <c r="X107" s="17">
        <v>0</v>
      </c>
      <c r="Y107" s="17">
        <v>0</v>
      </c>
      <c r="Z107" s="15">
        <f t="shared" si="36"/>
        <v>0</v>
      </c>
      <c r="AA107" s="17">
        <v>0</v>
      </c>
      <c r="AB107" s="17">
        <v>0</v>
      </c>
      <c r="AC107" s="15">
        <f t="shared" si="37"/>
        <v>0</v>
      </c>
      <c r="AD107" s="17">
        <v>0</v>
      </c>
      <c r="AE107" s="17">
        <v>0</v>
      </c>
      <c r="AF107" s="15">
        <f t="shared" si="38"/>
        <v>0</v>
      </c>
      <c r="AG107" s="17">
        <v>0</v>
      </c>
      <c r="AH107" s="17">
        <v>0</v>
      </c>
      <c r="AI107" s="15">
        <f t="shared" si="39"/>
        <v>0</v>
      </c>
      <c r="AJ107" s="17"/>
    </row>
    <row r="108" spans="1:36" x14ac:dyDescent="0.3">
      <c r="A108" s="15" t="s">
        <v>157</v>
      </c>
      <c r="B108" s="15">
        <v>100</v>
      </c>
      <c r="C108" s="15" t="s">
        <v>54</v>
      </c>
      <c r="D108" s="15" t="s">
        <v>57</v>
      </c>
      <c r="E108" s="15">
        <f>'31-july-2026'!T108</f>
        <v>2</v>
      </c>
      <c r="F108" s="15">
        <f>'31-july-2026'!U108</f>
        <v>0</v>
      </c>
      <c r="G108" s="15">
        <f>'31-july-2026'!V108</f>
        <v>0</v>
      </c>
      <c r="H108" s="15">
        <f t="shared" si="30"/>
        <v>2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5">
        <f t="shared" si="31"/>
        <v>2</v>
      </c>
      <c r="T108" s="15">
        <f t="shared" si="32"/>
        <v>2</v>
      </c>
      <c r="U108" s="15">
        <f t="shared" si="33"/>
        <v>0</v>
      </c>
      <c r="V108" s="15">
        <f t="shared" si="34"/>
        <v>0</v>
      </c>
      <c r="W108" s="18" t="str">
        <f t="shared" si="35"/>
        <v/>
      </c>
      <c r="X108" s="17">
        <v>0</v>
      </c>
      <c r="Y108" s="17">
        <v>0</v>
      </c>
      <c r="Z108" s="15">
        <f t="shared" si="36"/>
        <v>0</v>
      </c>
      <c r="AA108" s="17">
        <v>0</v>
      </c>
      <c r="AB108" s="17">
        <v>0</v>
      </c>
      <c r="AC108" s="15">
        <f t="shared" si="37"/>
        <v>0</v>
      </c>
      <c r="AD108" s="17">
        <v>0</v>
      </c>
      <c r="AE108" s="17">
        <v>0</v>
      </c>
      <c r="AF108" s="15">
        <f t="shared" si="38"/>
        <v>0</v>
      </c>
      <c r="AG108" s="17">
        <v>0</v>
      </c>
      <c r="AH108" s="17">
        <v>0</v>
      </c>
      <c r="AI108" s="15">
        <f t="shared" si="39"/>
        <v>0</v>
      </c>
      <c r="AJ108" s="17"/>
    </row>
    <row r="109" spans="1:36" hidden="1" x14ac:dyDescent="0.3">
      <c r="A109" s="15" t="s">
        <v>158</v>
      </c>
      <c r="B109" s="15">
        <v>100</v>
      </c>
      <c r="C109" s="15" t="s">
        <v>54</v>
      </c>
      <c r="D109" s="15" t="s">
        <v>55</v>
      </c>
      <c r="E109" s="15">
        <f>'31-july-2026'!T109</f>
        <v>27</v>
      </c>
      <c r="F109" s="15">
        <f>'31-july-2026'!U109</f>
        <v>0</v>
      </c>
      <c r="G109" s="15">
        <f>'31-july-2026'!V109</f>
        <v>0</v>
      </c>
      <c r="H109" s="15">
        <f t="shared" si="30"/>
        <v>27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5">
        <f t="shared" si="31"/>
        <v>27</v>
      </c>
      <c r="T109" s="15">
        <f t="shared" si="32"/>
        <v>27</v>
      </c>
      <c r="U109" s="15">
        <f t="shared" si="33"/>
        <v>0</v>
      </c>
      <c r="V109" s="15">
        <f t="shared" si="34"/>
        <v>0</v>
      </c>
      <c r="W109" s="18" t="str">
        <f t="shared" si="35"/>
        <v/>
      </c>
      <c r="X109" s="17">
        <v>0</v>
      </c>
      <c r="Y109" s="17">
        <v>0</v>
      </c>
      <c r="Z109" s="15">
        <f t="shared" si="36"/>
        <v>0</v>
      </c>
      <c r="AA109" s="17">
        <v>0</v>
      </c>
      <c r="AB109" s="17">
        <v>0</v>
      </c>
      <c r="AC109" s="15">
        <f t="shared" si="37"/>
        <v>0</v>
      </c>
      <c r="AD109" s="17">
        <v>0</v>
      </c>
      <c r="AE109" s="17">
        <v>0</v>
      </c>
      <c r="AF109" s="15">
        <f t="shared" si="38"/>
        <v>0</v>
      </c>
      <c r="AG109" s="17">
        <v>0</v>
      </c>
      <c r="AH109" s="17">
        <v>0</v>
      </c>
      <c r="AI109" s="15">
        <f t="shared" si="39"/>
        <v>0</v>
      </c>
      <c r="AJ109" s="17"/>
    </row>
    <row r="110" spans="1:36" hidden="1" x14ac:dyDescent="0.3">
      <c r="A110" s="15" t="s">
        <v>159</v>
      </c>
      <c r="B110" s="15">
        <v>100</v>
      </c>
      <c r="C110" s="15" t="s">
        <v>54</v>
      </c>
      <c r="D110" s="15" t="s">
        <v>55</v>
      </c>
      <c r="E110" s="15">
        <f>'31-july-2026'!T110</f>
        <v>99</v>
      </c>
      <c r="F110" s="15">
        <f>'31-july-2026'!U110</f>
        <v>0</v>
      </c>
      <c r="G110" s="15">
        <f>'31-july-2026'!V110</f>
        <v>0</v>
      </c>
      <c r="H110" s="15">
        <f t="shared" si="30"/>
        <v>99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5">
        <f t="shared" si="31"/>
        <v>99</v>
      </c>
      <c r="T110" s="15">
        <f t="shared" si="32"/>
        <v>99</v>
      </c>
      <c r="U110" s="15">
        <f t="shared" si="33"/>
        <v>0</v>
      </c>
      <c r="V110" s="15">
        <f t="shared" si="34"/>
        <v>0</v>
      </c>
      <c r="W110" s="18" t="str">
        <f t="shared" si="35"/>
        <v/>
      </c>
      <c r="X110" s="17">
        <v>0</v>
      </c>
      <c r="Y110" s="17">
        <v>0</v>
      </c>
      <c r="Z110" s="15">
        <f t="shared" si="36"/>
        <v>0</v>
      </c>
      <c r="AA110" s="17">
        <v>0</v>
      </c>
      <c r="AB110" s="17">
        <v>0</v>
      </c>
      <c r="AC110" s="15">
        <f t="shared" si="37"/>
        <v>0</v>
      </c>
      <c r="AD110" s="17">
        <v>0</v>
      </c>
      <c r="AE110" s="17">
        <v>0</v>
      </c>
      <c r="AF110" s="15">
        <f t="shared" si="38"/>
        <v>0</v>
      </c>
      <c r="AG110" s="17">
        <v>0</v>
      </c>
      <c r="AH110" s="17">
        <v>0</v>
      </c>
      <c r="AI110" s="15">
        <f t="shared" si="39"/>
        <v>0</v>
      </c>
      <c r="AJ110" s="17"/>
    </row>
    <row r="111" spans="1:36" hidden="1" x14ac:dyDescent="0.3">
      <c r="A111" s="15" t="s">
        <v>160</v>
      </c>
      <c r="B111" s="15">
        <v>100</v>
      </c>
      <c r="C111" s="15" t="s">
        <v>54</v>
      </c>
      <c r="D111" s="15" t="s">
        <v>55</v>
      </c>
      <c r="E111" s="15">
        <f>'31-july-2026'!T111</f>
        <v>121</v>
      </c>
      <c r="F111" s="15">
        <f>'31-july-2026'!U111</f>
        <v>4</v>
      </c>
      <c r="G111" s="15">
        <f>'31-july-2026'!V111</f>
        <v>5</v>
      </c>
      <c r="H111" s="15">
        <f t="shared" si="30"/>
        <v>130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5">
        <f t="shared" si="31"/>
        <v>130</v>
      </c>
      <c r="T111" s="15">
        <f t="shared" si="32"/>
        <v>121</v>
      </c>
      <c r="U111" s="15">
        <f t="shared" si="33"/>
        <v>4</v>
      </c>
      <c r="V111" s="15">
        <f t="shared" si="34"/>
        <v>5</v>
      </c>
      <c r="W111" s="18" t="str">
        <f t="shared" si="35"/>
        <v/>
      </c>
      <c r="X111" s="17">
        <v>0</v>
      </c>
      <c r="Y111" s="17">
        <v>0</v>
      </c>
      <c r="Z111" s="15">
        <f t="shared" si="36"/>
        <v>0</v>
      </c>
      <c r="AA111" s="17">
        <v>0</v>
      </c>
      <c r="AB111" s="17">
        <v>0</v>
      </c>
      <c r="AC111" s="15">
        <f t="shared" si="37"/>
        <v>0</v>
      </c>
      <c r="AD111" s="17">
        <v>0</v>
      </c>
      <c r="AE111" s="17">
        <v>0</v>
      </c>
      <c r="AF111" s="15">
        <f t="shared" si="38"/>
        <v>0</v>
      </c>
      <c r="AG111" s="17">
        <v>0</v>
      </c>
      <c r="AH111" s="17">
        <v>0</v>
      </c>
      <c r="AI111" s="15">
        <f t="shared" si="39"/>
        <v>0</v>
      </c>
      <c r="AJ111" s="17"/>
    </row>
    <row r="112" spans="1:36" hidden="1" x14ac:dyDescent="0.3">
      <c r="A112" s="15" t="s">
        <v>161</v>
      </c>
      <c r="B112" s="15">
        <v>100</v>
      </c>
      <c r="C112" s="15" t="s">
        <v>54</v>
      </c>
      <c r="D112" s="15" t="s">
        <v>55</v>
      </c>
      <c r="E112" s="15">
        <f>'31-july-2026'!T112</f>
        <v>170</v>
      </c>
      <c r="F112" s="15">
        <f>'31-july-2026'!U112</f>
        <v>60</v>
      </c>
      <c r="G112" s="15">
        <f>'31-july-2026'!V112</f>
        <v>28</v>
      </c>
      <c r="H112" s="15">
        <f t="shared" si="30"/>
        <v>258</v>
      </c>
      <c r="I112" s="17">
        <v>1</v>
      </c>
      <c r="J112" s="17">
        <v>0</v>
      </c>
      <c r="K112" s="17">
        <v>25</v>
      </c>
      <c r="L112" s="17">
        <v>10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5">
        <f t="shared" si="31"/>
        <v>222</v>
      </c>
      <c r="T112" s="15">
        <f t="shared" si="32"/>
        <v>159</v>
      </c>
      <c r="U112" s="15">
        <f t="shared" si="33"/>
        <v>60</v>
      </c>
      <c r="V112" s="15">
        <f t="shared" si="34"/>
        <v>3</v>
      </c>
      <c r="W112" s="18" t="str">
        <f t="shared" si="35"/>
        <v/>
      </c>
      <c r="X112" s="17">
        <v>0</v>
      </c>
      <c r="Y112" s="17">
        <v>0</v>
      </c>
      <c r="Z112" s="15">
        <f t="shared" si="36"/>
        <v>0</v>
      </c>
      <c r="AA112" s="17">
        <v>0</v>
      </c>
      <c r="AB112" s="17">
        <v>0</v>
      </c>
      <c r="AC112" s="15">
        <f t="shared" si="37"/>
        <v>0</v>
      </c>
      <c r="AD112" s="17">
        <v>0</v>
      </c>
      <c r="AE112" s="17">
        <v>0</v>
      </c>
      <c r="AF112" s="15">
        <f t="shared" si="38"/>
        <v>0</v>
      </c>
      <c r="AG112" s="17">
        <v>0</v>
      </c>
      <c r="AH112" s="17">
        <v>0</v>
      </c>
      <c r="AI112" s="15">
        <f t="shared" si="39"/>
        <v>0</v>
      </c>
      <c r="AJ112" s="17"/>
    </row>
    <row r="113" spans="1:36" hidden="1" x14ac:dyDescent="0.3">
      <c r="A113" s="15" t="s">
        <v>162</v>
      </c>
      <c r="B113" s="15">
        <v>1000</v>
      </c>
      <c r="C113" s="15" t="s">
        <v>54</v>
      </c>
      <c r="D113" s="15" t="s">
        <v>55</v>
      </c>
      <c r="E113" s="15">
        <f>'31-july-2026'!T113</f>
        <v>5</v>
      </c>
      <c r="F113" s="15">
        <f>'31-july-2026'!U113</f>
        <v>7</v>
      </c>
      <c r="G113" s="15">
        <f>'31-july-2026'!V113</f>
        <v>0</v>
      </c>
      <c r="H113" s="15">
        <f t="shared" si="30"/>
        <v>12</v>
      </c>
      <c r="I113" s="17">
        <v>0</v>
      </c>
      <c r="J113" s="17">
        <v>0</v>
      </c>
      <c r="K113" s="17">
        <v>0</v>
      </c>
      <c r="L113" s="17">
        <v>5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5">
        <f t="shared" si="31"/>
        <v>7</v>
      </c>
      <c r="T113" s="15">
        <f t="shared" si="32"/>
        <v>0</v>
      </c>
      <c r="U113" s="15">
        <f t="shared" si="33"/>
        <v>7</v>
      </c>
      <c r="V113" s="15">
        <f t="shared" si="34"/>
        <v>0</v>
      </c>
      <c r="W113" s="18" t="str">
        <f t="shared" si="35"/>
        <v/>
      </c>
      <c r="X113" s="17">
        <v>0</v>
      </c>
      <c r="Y113" s="17">
        <v>0</v>
      </c>
      <c r="Z113" s="15">
        <f t="shared" si="36"/>
        <v>0</v>
      </c>
      <c r="AA113" s="17">
        <v>0</v>
      </c>
      <c r="AB113" s="17">
        <v>0</v>
      </c>
      <c r="AC113" s="15">
        <f t="shared" si="37"/>
        <v>0</v>
      </c>
      <c r="AD113" s="17">
        <v>0</v>
      </c>
      <c r="AE113" s="17">
        <v>0</v>
      </c>
      <c r="AF113" s="15">
        <f t="shared" si="38"/>
        <v>0</v>
      </c>
      <c r="AG113" s="17">
        <v>0</v>
      </c>
      <c r="AH113" s="17">
        <v>0</v>
      </c>
      <c r="AI113" s="15">
        <f t="shared" si="39"/>
        <v>0</v>
      </c>
      <c r="AJ113" s="17"/>
    </row>
    <row r="114" spans="1:36" hidden="1" x14ac:dyDescent="0.3">
      <c r="A114" s="15" t="s">
        <v>163</v>
      </c>
      <c r="B114" s="15">
        <v>500</v>
      </c>
      <c r="C114" s="15" t="s">
        <v>54</v>
      </c>
      <c r="D114" s="15" t="s">
        <v>55</v>
      </c>
      <c r="E114" s="15">
        <f>'31-july-2026'!T114</f>
        <v>1</v>
      </c>
      <c r="F114" s="15">
        <f>'31-july-2026'!U114</f>
        <v>2</v>
      </c>
      <c r="G114" s="15">
        <f>'31-july-2026'!V114</f>
        <v>0</v>
      </c>
      <c r="H114" s="15">
        <f t="shared" si="30"/>
        <v>3</v>
      </c>
      <c r="I114" s="17">
        <v>0</v>
      </c>
      <c r="J114" s="17">
        <v>0</v>
      </c>
      <c r="K114" s="17">
        <v>0</v>
      </c>
      <c r="L114" s="17">
        <v>1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1</v>
      </c>
      <c r="S114" s="15">
        <f t="shared" si="31"/>
        <v>3</v>
      </c>
      <c r="T114" s="15">
        <f t="shared" si="32"/>
        <v>0</v>
      </c>
      <c r="U114" s="15">
        <f t="shared" si="33"/>
        <v>2</v>
      </c>
      <c r="V114" s="15">
        <f t="shared" si="34"/>
        <v>0</v>
      </c>
      <c r="W114" s="18" t="str">
        <f t="shared" si="35"/>
        <v/>
      </c>
      <c r="X114" s="17">
        <v>0</v>
      </c>
      <c r="Y114" s="17">
        <v>0</v>
      </c>
      <c r="Z114" s="15">
        <f t="shared" si="36"/>
        <v>0</v>
      </c>
      <c r="AA114" s="17">
        <v>0</v>
      </c>
      <c r="AB114" s="17">
        <v>0</v>
      </c>
      <c r="AC114" s="15">
        <f t="shared" si="37"/>
        <v>0</v>
      </c>
      <c r="AD114" s="17">
        <v>0</v>
      </c>
      <c r="AE114" s="17">
        <v>0</v>
      </c>
      <c r="AF114" s="15">
        <f t="shared" si="38"/>
        <v>0</v>
      </c>
      <c r="AG114" s="17">
        <v>0</v>
      </c>
      <c r="AH114" s="17">
        <v>0</v>
      </c>
      <c r="AI114" s="15">
        <f t="shared" si="39"/>
        <v>0</v>
      </c>
      <c r="AJ114" s="17"/>
    </row>
    <row r="115" spans="1:36" x14ac:dyDescent="0.3">
      <c r="A115" s="15" t="s">
        <v>164</v>
      </c>
      <c r="B115" s="15">
        <v>100</v>
      </c>
      <c r="C115" s="15" t="s">
        <v>54</v>
      </c>
      <c r="D115" s="15" t="s">
        <v>68</v>
      </c>
      <c r="E115" s="15">
        <f>'31-july-2026'!T115</f>
        <v>2</v>
      </c>
      <c r="F115" s="15">
        <f>'31-july-2026'!U115</f>
        <v>0</v>
      </c>
      <c r="G115" s="15">
        <f>'31-july-2026'!V115</f>
        <v>0</v>
      </c>
      <c r="H115" s="15">
        <f t="shared" si="30"/>
        <v>2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5">
        <f t="shared" si="31"/>
        <v>2</v>
      </c>
      <c r="T115" s="15">
        <f t="shared" si="32"/>
        <v>2</v>
      </c>
      <c r="U115" s="15">
        <f t="shared" si="33"/>
        <v>0</v>
      </c>
      <c r="V115" s="15">
        <f t="shared" si="34"/>
        <v>0</v>
      </c>
      <c r="W115" s="18" t="str">
        <f t="shared" si="35"/>
        <v/>
      </c>
      <c r="X115" s="17">
        <v>0</v>
      </c>
      <c r="Y115" s="17">
        <v>0</v>
      </c>
      <c r="Z115" s="15">
        <f t="shared" si="36"/>
        <v>0</v>
      </c>
      <c r="AA115" s="17">
        <v>0</v>
      </c>
      <c r="AB115" s="17">
        <v>0</v>
      </c>
      <c r="AC115" s="15">
        <f t="shared" si="37"/>
        <v>0</v>
      </c>
      <c r="AD115" s="17">
        <v>0</v>
      </c>
      <c r="AE115" s="17">
        <v>0</v>
      </c>
      <c r="AF115" s="15">
        <f t="shared" si="38"/>
        <v>0</v>
      </c>
      <c r="AG115" s="17">
        <v>0</v>
      </c>
      <c r="AH115" s="17">
        <v>0</v>
      </c>
      <c r="AI115" s="15">
        <f t="shared" si="39"/>
        <v>0</v>
      </c>
      <c r="AJ115" s="17"/>
    </row>
    <row r="116" spans="1:36" x14ac:dyDescent="0.3">
      <c r="A116" s="15" t="s">
        <v>165</v>
      </c>
      <c r="B116" s="15">
        <v>100000</v>
      </c>
      <c r="C116" s="15" t="s">
        <v>54</v>
      </c>
      <c r="D116" s="15" t="s">
        <v>68</v>
      </c>
      <c r="E116" s="15">
        <f>'31-july-2026'!T116</f>
        <v>2</v>
      </c>
      <c r="F116" s="15">
        <f>'31-july-2026'!U116</f>
        <v>0</v>
      </c>
      <c r="G116" s="15">
        <f>'31-july-2026'!V116</f>
        <v>0</v>
      </c>
      <c r="H116" s="15">
        <f t="shared" si="30"/>
        <v>2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5">
        <f t="shared" si="31"/>
        <v>2</v>
      </c>
      <c r="T116" s="15">
        <f t="shared" si="32"/>
        <v>2</v>
      </c>
      <c r="U116" s="15">
        <f t="shared" si="33"/>
        <v>0</v>
      </c>
      <c r="V116" s="15">
        <f t="shared" si="34"/>
        <v>0</v>
      </c>
      <c r="W116" s="18" t="str">
        <f t="shared" si="35"/>
        <v/>
      </c>
      <c r="X116" s="17">
        <v>0</v>
      </c>
      <c r="Y116" s="17">
        <v>0</v>
      </c>
      <c r="Z116" s="15">
        <f t="shared" si="36"/>
        <v>0</v>
      </c>
      <c r="AA116" s="17">
        <v>0</v>
      </c>
      <c r="AB116" s="17">
        <v>0</v>
      </c>
      <c r="AC116" s="15">
        <f t="shared" si="37"/>
        <v>0</v>
      </c>
      <c r="AD116" s="17">
        <v>0</v>
      </c>
      <c r="AE116" s="17">
        <v>0</v>
      </c>
      <c r="AF116" s="15">
        <f t="shared" si="38"/>
        <v>0</v>
      </c>
      <c r="AG116" s="17">
        <v>0</v>
      </c>
      <c r="AH116" s="17">
        <v>0</v>
      </c>
      <c r="AI116" s="15">
        <f t="shared" si="39"/>
        <v>0</v>
      </c>
      <c r="AJ116" s="17"/>
    </row>
    <row r="117" spans="1:36" x14ac:dyDescent="0.3">
      <c r="A117" s="15" t="s">
        <v>165</v>
      </c>
      <c r="B117" s="15">
        <v>25000</v>
      </c>
      <c r="C117" s="15" t="s">
        <v>54</v>
      </c>
      <c r="D117" s="15" t="s">
        <v>68</v>
      </c>
      <c r="E117" s="15">
        <f>'31-july-2026'!T117</f>
        <v>0</v>
      </c>
      <c r="F117" s="15">
        <f>'31-july-2026'!U117</f>
        <v>0</v>
      </c>
      <c r="G117" s="15">
        <f>'31-july-2026'!V117</f>
        <v>0</v>
      </c>
      <c r="H117" s="15">
        <f t="shared" si="30"/>
        <v>0</v>
      </c>
      <c r="I117" s="17">
        <v>1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5">
        <f t="shared" si="31"/>
        <v>-1</v>
      </c>
      <c r="T117" s="15">
        <f t="shared" si="32"/>
        <v>-1</v>
      </c>
      <c r="U117" s="15">
        <f t="shared" si="33"/>
        <v>0</v>
      </c>
      <c r="V117" s="15">
        <f t="shared" si="34"/>
        <v>0</v>
      </c>
      <c r="W117" s="18" t="str">
        <f t="shared" si="35"/>
        <v>NEGATIVE STOCK - CHECK ENTRIES</v>
      </c>
      <c r="X117" s="17">
        <v>0</v>
      </c>
      <c r="Y117" s="17">
        <v>0</v>
      </c>
      <c r="Z117" s="15">
        <f t="shared" si="36"/>
        <v>0</v>
      </c>
      <c r="AA117" s="17">
        <v>0</v>
      </c>
      <c r="AB117" s="17">
        <v>0</v>
      </c>
      <c r="AC117" s="15">
        <f t="shared" si="37"/>
        <v>0</v>
      </c>
      <c r="AD117" s="17">
        <v>0</v>
      </c>
      <c r="AE117" s="17">
        <v>0</v>
      </c>
      <c r="AF117" s="15">
        <f t="shared" si="38"/>
        <v>0</v>
      </c>
      <c r="AG117" s="17">
        <v>0</v>
      </c>
      <c r="AH117" s="17">
        <v>0</v>
      </c>
      <c r="AI117" s="15">
        <f t="shared" si="39"/>
        <v>0</v>
      </c>
      <c r="AJ117" s="17"/>
    </row>
    <row r="118" spans="1:36" x14ac:dyDescent="0.3">
      <c r="A118" s="15" t="s">
        <v>166</v>
      </c>
      <c r="B118" s="15">
        <v>100000</v>
      </c>
      <c r="C118" s="15" t="s">
        <v>54</v>
      </c>
      <c r="D118" s="15" t="s">
        <v>68</v>
      </c>
      <c r="E118" s="15">
        <f>'31-july-2026'!T118</f>
        <v>2</v>
      </c>
      <c r="F118" s="15">
        <f>'31-july-2026'!U118</f>
        <v>0</v>
      </c>
      <c r="G118" s="15">
        <f>'31-july-2026'!V118</f>
        <v>0</v>
      </c>
      <c r="H118" s="15">
        <f t="shared" si="30"/>
        <v>2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5">
        <f t="shared" si="31"/>
        <v>2</v>
      </c>
      <c r="T118" s="15">
        <f t="shared" si="32"/>
        <v>2</v>
      </c>
      <c r="U118" s="15">
        <f t="shared" si="33"/>
        <v>0</v>
      </c>
      <c r="V118" s="15">
        <f t="shared" si="34"/>
        <v>0</v>
      </c>
      <c r="W118" s="18" t="str">
        <f t="shared" si="35"/>
        <v/>
      </c>
      <c r="X118" s="17">
        <v>0</v>
      </c>
      <c r="Y118" s="17">
        <v>0</v>
      </c>
      <c r="Z118" s="15">
        <f t="shared" si="36"/>
        <v>0</v>
      </c>
      <c r="AA118" s="17">
        <v>0</v>
      </c>
      <c r="AB118" s="17">
        <v>0</v>
      </c>
      <c r="AC118" s="15">
        <f t="shared" si="37"/>
        <v>0</v>
      </c>
      <c r="AD118" s="17">
        <v>0</v>
      </c>
      <c r="AE118" s="17">
        <v>0</v>
      </c>
      <c r="AF118" s="15">
        <f t="shared" si="38"/>
        <v>0</v>
      </c>
      <c r="AG118" s="17">
        <v>0</v>
      </c>
      <c r="AH118" s="17">
        <v>0</v>
      </c>
      <c r="AI118" s="15">
        <f t="shared" si="39"/>
        <v>0</v>
      </c>
      <c r="AJ118" s="17"/>
    </row>
    <row r="119" spans="1:36" hidden="1" x14ac:dyDescent="0.3">
      <c r="A119" s="15" t="s">
        <v>167</v>
      </c>
      <c r="B119" s="15">
        <v>100</v>
      </c>
      <c r="C119" s="15" t="s">
        <v>54</v>
      </c>
      <c r="D119" s="15" t="s">
        <v>55</v>
      </c>
      <c r="E119" s="15">
        <f>'31-july-2026'!T119</f>
        <v>94</v>
      </c>
      <c r="F119" s="15">
        <f>'31-july-2026'!U119</f>
        <v>0</v>
      </c>
      <c r="G119" s="15">
        <f>'31-july-2026'!V119</f>
        <v>5</v>
      </c>
      <c r="H119" s="15">
        <f t="shared" si="30"/>
        <v>99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5">
        <f t="shared" si="31"/>
        <v>99</v>
      </c>
      <c r="T119" s="15">
        <f t="shared" si="32"/>
        <v>94</v>
      </c>
      <c r="U119" s="15">
        <f t="shared" si="33"/>
        <v>0</v>
      </c>
      <c r="V119" s="15">
        <f t="shared" si="34"/>
        <v>5</v>
      </c>
      <c r="W119" s="18" t="str">
        <f t="shared" si="35"/>
        <v/>
      </c>
      <c r="X119" s="17">
        <v>0</v>
      </c>
      <c r="Y119" s="17">
        <v>0</v>
      </c>
      <c r="Z119" s="15">
        <f t="shared" si="36"/>
        <v>0</v>
      </c>
      <c r="AA119" s="17">
        <v>0</v>
      </c>
      <c r="AB119" s="17">
        <v>0</v>
      </c>
      <c r="AC119" s="15">
        <f t="shared" si="37"/>
        <v>0</v>
      </c>
      <c r="AD119" s="17">
        <v>0</v>
      </c>
      <c r="AE119" s="17">
        <v>0</v>
      </c>
      <c r="AF119" s="15">
        <f t="shared" si="38"/>
        <v>0</v>
      </c>
      <c r="AG119" s="17">
        <v>0</v>
      </c>
      <c r="AH119" s="17">
        <v>0</v>
      </c>
      <c r="AI119" s="15">
        <f t="shared" si="39"/>
        <v>0</v>
      </c>
      <c r="AJ119" s="17"/>
    </row>
    <row r="120" spans="1:36" x14ac:dyDescent="0.3">
      <c r="A120" s="15" t="s">
        <v>168</v>
      </c>
      <c r="B120" s="15">
        <v>100</v>
      </c>
      <c r="C120" s="15" t="s">
        <v>54</v>
      </c>
      <c r="D120" s="15" t="s">
        <v>68</v>
      </c>
      <c r="E120" s="15">
        <f>'31-july-2026'!T120</f>
        <v>1</v>
      </c>
      <c r="F120" s="15">
        <f>'31-july-2026'!U120</f>
        <v>0</v>
      </c>
      <c r="G120" s="15">
        <f>'31-july-2026'!V120</f>
        <v>0</v>
      </c>
      <c r="H120" s="15">
        <f t="shared" si="30"/>
        <v>1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5">
        <f t="shared" si="31"/>
        <v>1</v>
      </c>
      <c r="T120" s="15">
        <f t="shared" si="32"/>
        <v>1</v>
      </c>
      <c r="U120" s="15">
        <f t="shared" si="33"/>
        <v>0</v>
      </c>
      <c r="V120" s="15">
        <f t="shared" si="34"/>
        <v>0</v>
      </c>
      <c r="W120" s="18" t="str">
        <f t="shared" si="35"/>
        <v/>
      </c>
      <c r="X120" s="17">
        <v>0</v>
      </c>
      <c r="Y120" s="17">
        <v>0</v>
      </c>
      <c r="Z120" s="15">
        <f t="shared" si="36"/>
        <v>0</v>
      </c>
      <c r="AA120" s="17">
        <v>0</v>
      </c>
      <c r="AB120" s="17">
        <v>0</v>
      </c>
      <c r="AC120" s="15">
        <f t="shared" si="37"/>
        <v>0</v>
      </c>
      <c r="AD120" s="17">
        <v>0</v>
      </c>
      <c r="AE120" s="17">
        <v>0</v>
      </c>
      <c r="AF120" s="15">
        <f t="shared" si="38"/>
        <v>0</v>
      </c>
      <c r="AG120" s="17">
        <v>0</v>
      </c>
      <c r="AH120" s="17">
        <v>0</v>
      </c>
      <c r="AI120" s="15">
        <f t="shared" si="39"/>
        <v>0</v>
      </c>
      <c r="AJ120" s="17"/>
    </row>
    <row r="121" spans="1:36" x14ac:dyDescent="0.3">
      <c r="A121" s="15" t="s">
        <v>169</v>
      </c>
      <c r="B121" s="15">
        <v>1000</v>
      </c>
      <c r="C121" s="15" t="s">
        <v>54</v>
      </c>
      <c r="D121" s="15" t="s">
        <v>68</v>
      </c>
      <c r="E121" s="15">
        <f>'31-july-2026'!T121</f>
        <v>2</v>
      </c>
      <c r="F121" s="15">
        <f>'31-july-2026'!U121</f>
        <v>0</v>
      </c>
      <c r="G121" s="15">
        <f>'31-july-2026'!V121</f>
        <v>0</v>
      </c>
      <c r="H121" s="15">
        <f t="shared" si="30"/>
        <v>2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5">
        <f t="shared" si="31"/>
        <v>2</v>
      </c>
      <c r="T121" s="15">
        <f t="shared" si="32"/>
        <v>2</v>
      </c>
      <c r="U121" s="15">
        <f t="shared" si="33"/>
        <v>0</v>
      </c>
      <c r="V121" s="15">
        <f t="shared" si="34"/>
        <v>0</v>
      </c>
      <c r="W121" s="18" t="str">
        <f t="shared" si="35"/>
        <v/>
      </c>
      <c r="X121" s="17">
        <v>0</v>
      </c>
      <c r="Y121" s="17">
        <v>0</v>
      </c>
      <c r="Z121" s="15">
        <f t="shared" si="36"/>
        <v>0</v>
      </c>
      <c r="AA121" s="17">
        <v>0</v>
      </c>
      <c r="AB121" s="17">
        <v>0</v>
      </c>
      <c r="AC121" s="15">
        <f t="shared" si="37"/>
        <v>0</v>
      </c>
      <c r="AD121" s="17">
        <v>0</v>
      </c>
      <c r="AE121" s="17">
        <v>0</v>
      </c>
      <c r="AF121" s="15">
        <f t="shared" si="38"/>
        <v>0</v>
      </c>
      <c r="AG121" s="17">
        <v>0</v>
      </c>
      <c r="AH121" s="17">
        <v>0</v>
      </c>
      <c r="AI121" s="15">
        <f t="shared" si="39"/>
        <v>0</v>
      </c>
      <c r="AJ121" s="17"/>
    </row>
    <row r="122" spans="1:36" hidden="1" x14ac:dyDescent="0.3">
      <c r="A122" s="15" t="s">
        <v>170</v>
      </c>
      <c r="B122" s="15">
        <v>1000</v>
      </c>
      <c r="C122" s="15" t="s">
        <v>54</v>
      </c>
      <c r="D122" s="15" t="s">
        <v>55</v>
      </c>
      <c r="E122" s="15">
        <f>'31-july-2026'!T122</f>
        <v>35</v>
      </c>
      <c r="F122" s="15">
        <f>'31-july-2026'!U122</f>
        <v>0</v>
      </c>
      <c r="G122" s="15">
        <f>'31-july-2026'!V122</f>
        <v>7</v>
      </c>
      <c r="H122" s="15">
        <f t="shared" si="30"/>
        <v>42</v>
      </c>
      <c r="I122" s="17">
        <v>0</v>
      </c>
      <c r="J122" s="17">
        <v>0</v>
      </c>
      <c r="K122" s="17">
        <v>5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5">
        <f t="shared" si="31"/>
        <v>37</v>
      </c>
      <c r="T122" s="15">
        <f t="shared" si="32"/>
        <v>35</v>
      </c>
      <c r="U122" s="15">
        <f t="shared" si="33"/>
        <v>0</v>
      </c>
      <c r="V122" s="15">
        <f t="shared" si="34"/>
        <v>2</v>
      </c>
      <c r="W122" s="18" t="str">
        <f t="shared" si="35"/>
        <v/>
      </c>
      <c r="X122" s="17">
        <v>0</v>
      </c>
      <c r="Y122" s="17">
        <v>0</v>
      </c>
      <c r="Z122" s="15">
        <f t="shared" si="36"/>
        <v>0</v>
      </c>
      <c r="AA122" s="17">
        <v>0</v>
      </c>
      <c r="AB122" s="17">
        <v>0</v>
      </c>
      <c r="AC122" s="15">
        <f t="shared" si="37"/>
        <v>0</v>
      </c>
      <c r="AD122" s="17">
        <v>0</v>
      </c>
      <c r="AE122" s="17">
        <v>0</v>
      </c>
      <c r="AF122" s="15">
        <f t="shared" si="38"/>
        <v>0</v>
      </c>
      <c r="AG122" s="17">
        <v>0</v>
      </c>
      <c r="AH122" s="17">
        <v>0</v>
      </c>
      <c r="AI122" s="15">
        <f t="shared" si="39"/>
        <v>0</v>
      </c>
      <c r="AJ122" s="17"/>
    </row>
    <row r="123" spans="1:36" hidden="1" x14ac:dyDescent="0.3">
      <c r="A123" s="15" t="s">
        <v>171</v>
      </c>
      <c r="B123" s="15">
        <v>1000</v>
      </c>
      <c r="C123" s="15" t="s">
        <v>54</v>
      </c>
      <c r="D123" s="15" t="s">
        <v>55</v>
      </c>
      <c r="E123" s="15">
        <f>'31-july-2026'!T123</f>
        <v>4</v>
      </c>
      <c r="F123" s="15">
        <f>'31-july-2026'!U123</f>
        <v>9</v>
      </c>
      <c r="G123" s="15">
        <f>'31-july-2026'!V123</f>
        <v>4</v>
      </c>
      <c r="H123" s="15">
        <f t="shared" si="30"/>
        <v>17</v>
      </c>
      <c r="I123" s="17">
        <v>0</v>
      </c>
      <c r="J123" s="17">
        <v>0</v>
      </c>
      <c r="K123" s="17">
        <v>2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5">
        <f t="shared" si="31"/>
        <v>15</v>
      </c>
      <c r="T123" s="15">
        <f t="shared" si="32"/>
        <v>4</v>
      </c>
      <c r="U123" s="15">
        <f t="shared" si="33"/>
        <v>9</v>
      </c>
      <c r="V123" s="15">
        <f t="shared" si="34"/>
        <v>2</v>
      </c>
      <c r="W123" s="18" t="str">
        <f t="shared" si="35"/>
        <v/>
      </c>
      <c r="X123" s="17">
        <v>0</v>
      </c>
      <c r="Y123" s="17">
        <v>0</v>
      </c>
      <c r="Z123" s="15">
        <f t="shared" si="36"/>
        <v>0</v>
      </c>
      <c r="AA123" s="17">
        <v>0</v>
      </c>
      <c r="AB123" s="17">
        <v>0</v>
      </c>
      <c r="AC123" s="15">
        <f t="shared" si="37"/>
        <v>0</v>
      </c>
      <c r="AD123" s="17">
        <v>0</v>
      </c>
      <c r="AE123" s="17">
        <v>0</v>
      </c>
      <c r="AF123" s="15">
        <f t="shared" si="38"/>
        <v>0</v>
      </c>
      <c r="AG123" s="17">
        <v>0</v>
      </c>
      <c r="AH123" s="17">
        <v>0</v>
      </c>
      <c r="AI123" s="15">
        <f t="shared" si="39"/>
        <v>0</v>
      </c>
      <c r="AJ123" s="17"/>
    </row>
    <row r="124" spans="1:36" x14ac:dyDescent="0.3">
      <c r="A124" s="15" t="s">
        <v>172</v>
      </c>
      <c r="B124" s="15">
        <v>100</v>
      </c>
      <c r="C124" s="15" t="s">
        <v>54</v>
      </c>
      <c r="D124" s="15" t="s">
        <v>68</v>
      </c>
      <c r="E124" s="15">
        <f>'31-july-2026'!T124</f>
        <v>10</v>
      </c>
      <c r="F124" s="15">
        <f>'31-july-2026'!U124</f>
        <v>0</v>
      </c>
      <c r="G124" s="15">
        <f>'31-july-2026'!V124</f>
        <v>0</v>
      </c>
      <c r="H124" s="15">
        <f t="shared" si="30"/>
        <v>10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5">
        <f t="shared" si="31"/>
        <v>10</v>
      </c>
      <c r="T124" s="15">
        <f t="shared" si="32"/>
        <v>10</v>
      </c>
      <c r="U124" s="15">
        <f t="shared" si="33"/>
        <v>0</v>
      </c>
      <c r="V124" s="15">
        <f t="shared" si="34"/>
        <v>0</v>
      </c>
      <c r="W124" s="18" t="str">
        <f t="shared" si="35"/>
        <v/>
      </c>
      <c r="X124" s="17">
        <v>0</v>
      </c>
      <c r="Y124" s="17">
        <v>0</v>
      </c>
      <c r="Z124" s="15">
        <f t="shared" si="36"/>
        <v>0</v>
      </c>
      <c r="AA124" s="17">
        <v>0</v>
      </c>
      <c r="AB124" s="17">
        <v>0</v>
      </c>
      <c r="AC124" s="15">
        <f t="shared" si="37"/>
        <v>0</v>
      </c>
      <c r="AD124" s="17">
        <v>0</v>
      </c>
      <c r="AE124" s="17">
        <v>0</v>
      </c>
      <c r="AF124" s="15">
        <f t="shared" si="38"/>
        <v>0</v>
      </c>
      <c r="AG124" s="17">
        <v>0</v>
      </c>
      <c r="AH124" s="17">
        <v>0</v>
      </c>
      <c r="AI124" s="15">
        <f t="shared" si="39"/>
        <v>0</v>
      </c>
      <c r="AJ124" s="17"/>
    </row>
    <row r="125" spans="1:36" x14ac:dyDescent="0.3">
      <c r="A125" s="15" t="s">
        <v>173</v>
      </c>
      <c r="B125" s="15">
        <v>100</v>
      </c>
      <c r="C125" s="15" t="s">
        <v>54</v>
      </c>
      <c r="D125" s="15" t="s">
        <v>68</v>
      </c>
      <c r="E125" s="15">
        <f>'31-july-2026'!T125</f>
        <v>7</v>
      </c>
      <c r="F125" s="15">
        <f>'31-july-2026'!U125</f>
        <v>0</v>
      </c>
      <c r="G125" s="15">
        <f>'31-july-2026'!V125</f>
        <v>0</v>
      </c>
      <c r="H125" s="15">
        <f t="shared" si="30"/>
        <v>7</v>
      </c>
      <c r="I125" s="17">
        <v>1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5">
        <f t="shared" si="31"/>
        <v>6</v>
      </c>
      <c r="T125" s="15">
        <f t="shared" si="32"/>
        <v>6</v>
      </c>
      <c r="U125" s="15">
        <f t="shared" si="33"/>
        <v>0</v>
      </c>
      <c r="V125" s="15">
        <f t="shared" si="34"/>
        <v>0</v>
      </c>
      <c r="W125" s="18" t="str">
        <f t="shared" si="35"/>
        <v/>
      </c>
      <c r="X125" s="17">
        <v>0</v>
      </c>
      <c r="Y125" s="17">
        <v>0</v>
      </c>
      <c r="Z125" s="15">
        <f t="shared" si="36"/>
        <v>0</v>
      </c>
      <c r="AA125" s="17">
        <v>0</v>
      </c>
      <c r="AB125" s="17">
        <v>0</v>
      </c>
      <c r="AC125" s="15">
        <f t="shared" si="37"/>
        <v>0</v>
      </c>
      <c r="AD125" s="17">
        <v>0</v>
      </c>
      <c r="AE125" s="17">
        <v>0</v>
      </c>
      <c r="AF125" s="15">
        <f t="shared" si="38"/>
        <v>0</v>
      </c>
      <c r="AG125" s="17">
        <v>0</v>
      </c>
      <c r="AH125" s="17">
        <v>0</v>
      </c>
      <c r="AI125" s="15">
        <f t="shared" si="39"/>
        <v>0</v>
      </c>
      <c r="AJ125" s="17"/>
    </row>
    <row r="126" spans="1:36" x14ac:dyDescent="0.3">
      <c r="A126" s="15" t="s">
        <v>174</v>
      </c>
      <c r="B126" s="15">
        <v>100</v>
      </c>
      <c r="C126" s="15" t="s">
        <v>54</v>
      </c>
      <c r="D126" s="15" t="s">
        <v>68</v>
      </c>
      <c r="E126" s="15">
        <f>'31-july-2026'!T126</f>
        <v>4</v>
      </c>
      <c r="F126" s="15">
        <f>'31-july-2026'!U126</f>
        <v>0</v>
      </c>
      <c r="G126" s="15">
        <f>'31-july-2026'!V126</f>
        <v>0</v>
      </c>
      <c r="H126" s="15">
        <f t="shared" si="30"/>
        <v>4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5">
        <f t="shared" si="31"/>
        <v>4</v>
      </c>
      <c r="T126" s="15">
        <f t="shared" si="32"/>
        <v>4</v>
      </c>
      <c r="U126" s="15">
        <f t="shared" si="33"/>
        <v>0</v>
      </c>
      <c r="V126" s="15">
        <f t="shared" si="34"/>
        <v>0</v>
      </c>
      <c r="W126" s="18" t="str">
        <f t="shared" si="35"/>
        <v/>
      </c>
      <c r="X126" s="17">
        <v>0</v>
      </c>
      <c r="Y126" s="17">
        <v>0</v>
      </c>
      <c r="Z126" s="15">
        <f t="shared" si="36"/>
        <v>0</v>
      </c>
      <c r="AA126" s="17">
        <v>0</v>
      </c>
      <c r="AB126" s="17">
        <v>0</v>
      </c>
      <c r="AC126" s="15">
        <f t="shared" si="37"/>
        <v>0</v>
      </c>
      <c r="AD126" s="17">
        <v>0</v>
      </c>
      <c r="AE126" s="17">
        <v>0</v>
      </c>
      <c r="AF126" s="15">
        <f t="shared" si="38"/>
        <v>0</v>
      </c>
      <c r="AG126" s="17">
        <v>0</v>
      </c>
      <c r="AH126" s="17">
        <v>0</v>
      </c>
      <c r="AI126" s="15">
        <f t="shared" si="39"/>
        <v>0</v>
      </c>
      <c r="AJ126" s="17"/>
    </row>
    <row r="127" spans="1:36" x14ac:dyDescent="0.3">
      <c r="A127" s="15" t="s">
        <v>175</v>
      </c>
      <c r="B127" s="15">
        <v>100</v>
      </c>
      <c r="C127" s="15" t="s">
        <v>54</v>
      </c>
      <c r="D127" s="15" t="s">
        <v>57</v>
      </c>
      <c r="E127" s="15">
        <f>'31-july-2026'!T127</f>
        <v>4</v>
      </c>
      <c r="F127" s="15">
        <f>'31-july-2026'!U127</f>
        <v>0</v>
      </c>
      <c r="G127" s="15">
        <f>'31-july-2026'!V127</f>
        <v>0</v>
      </c>
      <c r="H127" s="15">
        <f t="shared" si="30"/>
        <v>4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5">
        <f t="shared" si="31"/>
        <v>4</v>
      </c>
      <c r="T127" s="15">
        <f t="shared" si="32"/>
        <v>4</v>
      </c>
      <c r="U127" s="15">
        <f t="shared" si="33"/>
        <v>0</v>
      </c>
      <c r="V127" s="15">
        <f t="shared" si="34"/>
        <v>0</v>
      </c>
      <c r="W127" s="18" t="str">
        <f t="shared" si="35"/>
        <v/>
      </c>
      <c r="X127" s="17">
        <v>0</v>
      </c>
      <c r="Y127" s="17">
        <v>0</v>
      </c>
      <c r="Z127" s="15">
        <f t="shared" si="36"/>
        <v>0</v>
      </c>
      <c r="AA127" s="17">
        <v>0</v>
      </c>
      <c r="AB127" s="17">
        <v>0</v>
      </c>
      <c r="AC127" s="15">
        <f t="shared" si="37"/>
        <v>0</v>
      </c>
      <c r="AD127" s="17">
        <v>0</v>
      </c>
      <c r="AE127" s="17">
        <v>0</v>
      </c>
      <c r="AF127" s="15">
        <f t="shared" si="38"/>
        <v>0</v>
      </c>
      <c r="AG127" s="17">
        <v>0</v>
      </c>
      <c r="AH127" s="17">
        <v>0</v>
      </c>
      <c r="AI127" s="15">
        <f t="shared" si="39"/>
        <v>0</v>
      </c>
      <c r="AJ127" s="17"/>
    </row>
    <row r="128" spans="1:36" hidden="1" x14ac:dyDescent="0.3">
      <c r="A128" s="15" t="s">
        <v>176</v>
      </c>
      <c r="B128" s="15" t="s">
        <v>177</v>
      </c>
      <c r="C128" s="15" t="s">
        <v>178</v>
      </c>
      <c r="D128" s="15" t="s">
        <v>55</v>
      </c>
      <c r="E128" s="15">
        <v>0</v>
      </c>
      <c r="F128" s="15">
        <v>0</v>
      </c>
      <c r="G128" s="15">
        <v>0</v>
      </c>
      <c r="H128" s="15">
        <f t="shared" si="30"/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5">
        <f t="shared" si="31"/>
        <v>0</v>
      </c>
      <c r="T128" s="15">
        <f t="shared" si="32"/>
        <v>0</v>
      </c>
      <c r="U128" s="15">
        <f t="shared" si="33"/>
        <v>0</v>
      </c>
      <c r="V128" s="15">
        <f t="shared" si="34"/>
        <v>0</v>
      </c>
      <c r="W128" s="18" t="str">
        <f t="shared" si="35"/>
        <v/>
      </c>
      <c r="X128" s="17">
        <v>0</v>
      </c>
      <c r="Y128" s="17">
        <v>0</v>
      </c>
      <c r="Z128" s="15">
        <f t="shared" si="36"/>
        <v>0</v>
      </c>
      <c r="AA128" s="17">
        <v>0</v>
      </c>
      <c r="AB128" s="17">
        <v>0</v>
      </c>
      <c r="AC128" s="15">
        <f t="shared" si="37"/>
        <v>0</v>
      </c>
      <c r="AD128" s="17">
        <v>0</v>
      </c>
      <c r="AE128" s="17">
        <v>0</v>
      </c>
      <c r="AF128" s="15">
        <f t="shared" si="38"/>
        <v>0</v>
      </c>
      <c r="AG128" s="17">
        <v>0</v>
      </c>
      <c r="AH128" s="17">
        <v>0</v>
      </c>
      <c r="AI128" s="15">
        <f t="shared" si="39"/>
        <v>0</v>
      </c>
      <c r="AJ128" s="17"/>
    </row>
    <row r="129" spans="1:36" x14ac:dyDescent="0.3">
      <c r="A129" s="15" t="s">
        <v>179</v>
      </c>
      <c r="B129" s="15">
        <v>2500</v>
      </c>
      <c r="C129" s="15" t="s">
        <v>54</v>
      </c>
      <c r="D129" s="15" t="s">
        <v>68</v>
      </c>
      <c r="E129" s="15">
        <f>'31-july-2026'!T129</f>
        <v>3</v>
      </c>
      <c r="F129" s="15">
        <f>'31-july-2026'!U129</f>
        <v>0</v>
      </c>
      <c r="G129" s="15">
        <f>'31-july-2026'!V129</f>
        <v>0</v>
      </c>
      <c r="H129" s="15">
        <f t="shared" si="30"/>
        <v>3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5">
        <f t="shared" si="31"/>
        <v>3</v>
      </c>
      <c r="T129" s="15">
        <f t="shared" si="32"/>
        <v>3</v>
      </c>
      <c r="U129" s="15">
        <f t="shared" si="33"/>
        <v>0</v>
      </c>
      <c r="V129" s="15">
        <f t="shared" si="34"/>
        <v>0</v>
      </c>
      <c r="W129" s="18" t="str">
        <f t="shared" si="35"/>
        <v/>
      </c>
      <c r="X129" s="17">
        <v>0</v>
      </c>
      <c r="Y129" s="17">
        <v>0</v>
      </c>
      <c r="Z129" s="15">
        <f t="shared" si="36"/>
        <v>0</v>
      </c>
      <c r="AA129" s="17">
        <v>0</v>
      </c>
      <c r="AB129" s="17">
        <v>0</v>
      </c>
      <c r="AC129" s="15">
        <f t="shared" si="37"/>
        <v>0</v>
      </c>
      <c r="AD129" s="17">
        <v>0</v>
      </c>
      <c r="AE129" s="17">
        <v>0</v>
      </c>
      <c r="AF129" s="15">
        <f t="shared" si="38"/>
        <v>0</v>
      </c>
      <c r="AG129" s="17">
        <v>0</v>
      </c>
      <c r="AH129" s="17">
        <v>0</v>
      </c>
      <c r="AI129" s="15">
        <f t="shared" si="39"/>
        <v>0</v>
      </c>
      <c r="AJ129" s="17"/>
    </row>
    <row r="130" spans="1:36" x14ac:dyDescent="0.3">
      <c r="A130" s="15" t="s">
        <v>180</v>
      </c>
      <c r="B130" s="15">
        <v>1000</v>
      </c>
      <c r="C130" s="15" t="s">
        <v>54</v>
      </c>
      <c r="D130" s="15" t="s">
        <v>68</v>
      </c>
      <c r="E130" s="15">
        <f>'31-july-2026'!T130</f>
        <v>2</v>
      </c>
      <c r="F130" s="15">
        <f>'31-july-2026'!U130</f>
        <v>0</v>
      </c>
      <c r="G130" s="15">
        <f>'31-july-2026'!V130</f>
        <v>0</v>
      </c>
      <c r="H130" s="15">
        <f t="shared" si="30"/>
        <v>2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5">
        <f t="shared" si="31"/>
        <v>2</v>
      </c>
      <c r="T130" s="15">
        <f t="shared" si="32"/>
        <v>2</v>
      </c>
      <c r="U130" s="15">
        <f t="shared" si="33"/>
        <v>0</v>
      </c>
      <c r="V130" s="15">
        <f t="shared" si="34"/>
        <v>0</v>
      </c>
      <c r="W130" s="18" t="str">
        <f t="shared" si="35"/>
        <v/>
      </c>
      <c r="X130" s="17">
        <v>0</v>
      </c>
      <c r="Y130" s="17">
        <v>0</v>
      </c>
      <c r="Z130" s="15">
        <f t="shared" si="36"/>
        <v>0</v>
      </c>
      <c r="AA130" s="17">
        <v>0</v>
      </c>
      <c r="AB130" s="17">
        <v>0</v>
      </c>
      <c r="AC130" s="15">
        <f t="shared" si="37"/>
        <v>0</v>
      </c>
      <c r="AD130" s="17">
        <v>0</v>
      </c>
      <c r="AE130" s="17">
        <v>0</v>
      </c>
      <c r="AF130" s="15">
        <f t="shared" si="38"/>
        <v>0</v>
      </c>
      <c r="AG130" s="17">
        <v>0</v>
      </c>
      <c r="AH130" s="17">
        <v>0</v>
      </c>
      <c r="AI130" s="15">
        <f t="shared" si="39"/>
        <v>0</v>
      </c>
      <c r="AJ130" s="17"/>
    </row>
    <row r="131" spans="1:36" x14ac:dyDescent="0.3">
      <c r="A131" s="15" t="s">
        <v>181</v>
      </c>
      <c r="B131" s="15">
        <v>100</v>
      </c>
      <c r="C131" s="15" t="s">
        <v>54</v>
      </c>
      <c r="D131" s="15" t="s">
        <v>57</v>
      </c>
      <c r="E131" s="15">
        <f>'31-july-2026'!T131</f>
        <v>7</v>
      </c>
      <c r="F131" s="15">
        <f>'31-july-2026'!U131</f>
        <v>0</v>
      </c>
      <c r="G131" s="15">
        <f>'31-july-2026'!V131</f>
        <v>0</v>
      </c>
      <c r="H131" s="15">
        <f t="shared" ref="H131:H162" si="40">E131+F131+G131</f>
        <v>7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5">
        <f t="shared" ref="S131:S162" si="41">H131+O131+P131+Q131+R131-(I131+J131+K131+L131+M131+N131)</f>
        <v>7</v>
      </c>
      <c r="T131" s="15">
        <f t="shared" ref="T131:T162" si="42">E131+O131-I131-L131</f>
        <v>7</v>
      </c>
      <c r="U131" s="15">
        <f t="shared" ref="U131:U162" si="43">F131+P131-J131-M131</f>
        <v>0</v>
      </c>
      <c r="V131" s="15">
        <f t="shared" ref="V131:V162" si="44">G131+Q131-K131-N131</f>
        <v>0</v>
      </c>
      <c r="W131" s="18" t="str">
        <f t="shared" ref="W131:W162" si="45">IF(MIN(T131,U131,V131)&lt;0,"NEGATIVE STOCK - CHECK ENTRIES","")</f>
        <v/>
      </c>
      <c r="X131" s="17">
        <v>0</v>
      </c>
      <c r="Y131" s="17">
        <v>0</v>
      </c>
      <c r="Z131" s="15">
        <f t="shared" ref="Z131:Z162" si="46">X131-Y131</f>
        <v>0</v>
      </c>
      <c r="AA131" s="17">
        <v>0</v>
      </c>
      <c r="AB131" s="17">
        <v>0</v>
      </c>
      <c r="AC131" s="15">
        <f t="shared" ref="AC131:AC162" si="47">AA131-AB131</f>
        <v>0</v>
      </c>
      <c r="AD131" s="17">
        <v>0</v>
      </c>
      <c r="AE131" s="17">
        <v>0</v>
      </c>
      <c r="AF131" s="15">
        <f t="shared" ref="AF131:AF162" si="48">AD131-AE131</f>
        <v>0</v>
      </c>
      <c r="AG131" s="17">
        <v>0</v>
      </c>
      <c r="AH131" s="17">
        <v>0</v>
      </c>
      <c r="AI131" s="15">
        <f t="shared" ref="AI131:AI162" si="49">AG131-AH131</f>
        <v>0</v>
      </c>
      <c r="AJ131" s="17"/>
    </row>
    <row r="132" spans="1:36" x14ac:dyDescent="0.3">
      <c r="A132" s="15" t="s">
        <v>182</v>
      </c>
      <c r="B132" s="15">
        <v>1000</v>
      </c>
      <c r="C132" s="15" t="s">
        <v>54</v>
      </c>
      <c r="D132" s="15" t="s">
        <v>68</v>
      </c>
      <c r="E132" s="15">
        <f>'31-july-2026'!T132</f>
        <v>4</v>
      </c>
      <c r="F132" s="15">
        <f>'31-july-2026'!U132</f>
        <v>0</v>
      </c>
      <c r="G132" s="15">
        <f>'31-july-2026'!V132</f>
        <v>0</v>
      </c>
      <c r="H132" s="15">
        <f t="shared" si="40"/>
        <v>4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5">
        <f t="shared" si="41"/>
        <v>4</v>
      </c>
      <c r="T132" s="15">
        <f t="shared" si="42"/>
        <v>4</v>
      </c>
      <c r="U132" s="15">
        <f t="shared" si="43"/>
        <v>0</v>
      </c>
      <c r="V132" s="15">
        <f t="shared" si="44"/>
        <v>0</v>
      </c>
      <c r="W132" s="18" t="str">
        <f t="shared" si="45"/>
        <v/>
      </c>
      <c r="X132" s="17">
        <v>0</v>
      </c>
      <c r="Y132" s="17">
        <v>0</v>
      </c>
      <c r="Z132" s="15">
        <f t="shared" si="46"/>
        <v>0</v>
      </c>
      <c r="AA132" s="17">
        <v>0</v>
      </c>
      <c r="AB132" s="17">
        <v>0</v>
      </c>
      <c r="AC132" s="15">
        <f t="shared" si="47"/>
        <v>0</v>
      </c>
      <c r="AD132" s="17">
        <v>0</v>
      </c>
      <c r="AE132" s="17">
        <v>0</v>
      </c>
      <c r="AF132" s="15">
        <f t="shared" si="48"/>
        <v>0</v>
      </c>
      <c r="AG132" s="17">
        <v>0</v>
      </c>
      <c r="AH132" s="17">
        <v>0</v>
      </c>
      <c r="AI132" s="15">
        <f t="shared" si="49"/>
        <v>0</v>
      </c>
      <c r="AJ132" s="17"/>
    </row>
    <row r="133" spans="1:36" x14ac:dyDescent="0.3">
      <c r="A133" s="15" t="s">
        <v>183</v>
      </c>
      <c r="B133" s="15">
        <v>100</v>
      </c>
      <c r="C133" s="15" t="s">
        <v>54</v>
      </c>
      <c r="D133" s="15" t="s">
        <v>68</v>
      </c>
      <c r="E133" s="15">
        <f>'31-july-2026'!T133</f>
        <v>2</v>
      </c>
      <c r="F133" s="15">
        <f>'31-july-2026'!U133</f>
        <v>0</v>
      </c>
      <c r="G133" s="15">
        <f>'31-july-2026'!V133</f>
        <v>0</v>
      </c>
      <c r="H133" s="15">
        <f t="shared" si="40"/>
        <v>2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5">
        <f t="shared" si="41"/>
        <v>2</v>
      </c>
      <c r="T133" s="15">
        <f t="shared" si="42"/>
        <v>2</v>
      </c>
      <c r="U133" s="15">
        <f t="shared" si="43"/>
        <v>0</v>
      </c>
      <c r="V133" s="15">
        <f t="shared" si="44"/>
        <v>0</v>
      </c>
      <c r="W133" s="18" t="str">
        <f t="shared" si="45"/>
        <v/>
      </c>
      <c r="X133" s="17">
        <v>0</v>
      </c>
      <c r="Y133" s="17">
        <v>0</v>
      </c>
      <c r="Z133" s="15">
        <f t="shared" si="46"/>
        <v>0</v>
      </c>
      <c r="AA133" s="17">
        <v>0</v>
      </c>
      <c r="AB133" s="17">
        <v>0</v>
      </c>
      <c r="AC133" s="15">
        <f t="shared" si="47"/>
        <v>0</v>
      </c>
      <c r="AD133" s="17">
        <v>0</v>
      </c>
      <c r="AE133" s="17">
        <v>0</v>
      </c>
      <c r="AF133" s="15">
        <f t="shared" si="48"/>
        <v>0</v>
      </c>
      <c r="AG133" s="17">
        <v>0</v>
      </c>
      <c r="AH133" s="17">
        <v>0</v>
      </c>
      <c r="AI133" s="15">
        <f t="shared" si="49"/>
        <v>0</v>
      </c>
      <c r="AJ133" s="17"/>
    </row>
    <row r="134" spans="1:36" hidden="1" x14ac:dyDescent="0.3">
      <c r="A134" s="15" t="s">
        <v>184</v>
      </c>
      <c r="B134" s="15">
        <v>1000</v>
      </c>
      <c r="C134" s="15" t="s">
        <v>54</v>
      </c>
      <c r="D134" s="15" t="s">
        <v>55</v>
      </c>
      <c r="E134" s="15">
        <f>'31-july-2026'!T134</f>
        <v>15</v>
      </c>
      <c r="F134" s="15">
        <f>'31-july-2026'!U134</f>
        <v>10</v>
      </c>
      <c r="G134" s="15">
        <f>'31-july-2026'!V134</f>
        <v>0</v>
      </c>
      <c r="H134" s="15">
        <f t="shared" si="40"/>
        <v>25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5">
        <f t="shared" si="41"/>
        <v>25</v>
      </c>
      <c r="T134" s="15">
        <f t="shared" si="42"/>
        <v>15</v>
      </c>
      <c r="U134" s="15">
        <f t="shared" si="43"/>
        <v>10</v>
      </c>
      <c r="V134" s="15">
        <f t="shared" si="44"/>
        <v>0</v>
      </c>
      <c r="W134" s="18" t="str">
        <f t="shared" si="45"/>
        <v/>
      </c>
      <c r="X134" s="17">
        <v>0</v>
      </c>
      <c r="Y134" s="17">
        <v>0</v>
      </c>
      <c r="Z134" s="15">
        <f t="shared" si="46"/>
        <v>0</v>
      </c>
      <c r="AA134" s="17">
        <v>0</v>
      </c>
      <c r="AB134" s="17">
        <v>0</v>
      </c>
      <c r="AC134" s="15">
        <f t="shared" si="47"/>
        <v>0</v>
      </c>
      <c r="AD134" s="17">
        <v>0</v>
      </c>
      <c r="AE134" s="17">
        <v>0</v>
      </c>
      <c r="AF134" s="15">
        <f t="shared" si="48"/>
        <v>0</v>
      </c>
      <c r="AG134" s="17">
        <v>0</v>
      </c>
      <c r="AH134" s="17">
        <v>0</v>
      </c>
      <c r="AI134" s="15">
        <f t="shared" si="49"/>
        <v>0</v>
      </c>
      <c r="AJ134" s="17"/>
    </row>
    <row r="135" spans="1:36" x14ac:dyDescent="0.3">
      <c r="A135" s="15" t="s">
        <v>185</v>
      </c>
      <c r="B135" s="15">
        <v>100</v>
      </c>
      <c r="C135" s="15" t="s">
        <v>54</v>
      </c>
      <c r="D135" s="15" t="s">
        <v>68</v>
      </c>
      <c r="E135" s="15">
        <f>'31-july-2026'!T135</f>
        <v>6</v>
      </c>
      <c r="F135" s="15">
        <f>'31-july-2026'!U135</f>
        <v>0</v>
      </c>
      <c r="G135" s="15">
        <f>'31-july-2026'!V135</f>
        <v>0</v>
      </c>
      <c r="H135" s="15">
        <f t="shared" si="40"/>
        <v>6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5">
        <f t="shared" si="41"/>
        <v>6</v>
      </c>
      <c r="T135" s="15">
        <f t="shared" si="42"/>
        <v>6</v>
      </c>
      <c r="U135" s="15">
        <f t="shared" si="43"/>
        <v>0</v>
      </c>
      <c r="V135" s="15">
        <f t="shared" si="44"/>
        <v>0</v>
      </c>
      <c r="W135" s="18" t="str">
        <f t="shared" si="45"/>
        <v/>
      </c>
      <c r="X135" s="17">
        <v>0</v>
      </c>
      <c r="Y135" s="17">
        <v>0</v>
      </c>
      <c r="Z135" s="15">
        <f t="shared" si="46"/>
        <v>0</v>
      </c>
      <c r="AA135" s="17">
        <v>0</v>
      </c>
      <c r="AB135" s="17">
        <v>0</v>
      </c>
      <c r="AC135" s="15">
        <f t="shared" si="47"/>
        <v>0</v>
      </c>
      <c r="AD135" s="17">
        <v>0</v>
      </c>
      <c r="AE135" s="17">
        <v>0</v>
      </c>
      <c r="AF135" s="15">
        <f t="shared" si="48"/>
        <v>0</v>
      </c>
      <c r="AG135" s="17">
        <v>0</v>
      </c>
      <c r="AH135" s="17">
        <v>0</v>
      </c>
      <c r="AI135" s="15">
        <f t="shared" si="49"/>
        <v>0</v>
      </c>
      <c r="AJ135" s="17"/>
    </row>
    <row r="136" spans="1:36" x14ac:dyDescent="0.3">
      <c r="A136" s="15" t="s">
        <v>186</v>
      </c>
      <c r="B136" s="15">
        <v>100</v>
      </c>
      <c r="C136" s="15" t="s">
        <v>54</v>
      </c>
      <c r="D136" s="15" t="s">
        <v>57</v>
      </c>
      <c r="E136" s="15">
        <f>'31-july-2026'!T136</f>
        <v>4</v>
      </c>
      <c r="F136" s="15">
        <f>'31-july-2026'!U136</f>
        <v>0</v>
      </c>
      <c r="G136" s="15">
        <f>'31-july-2026'!V136</f>
        <v>0</v>
      </c>
      <c r="H136" s="15">
        <f t="shared" si="40"/>
        <v>4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5">
        <f t="shared" si="41"/>
        <v>4</v>
      </c>
      <c r="T136" s="15">
        <f t="shared" si="42"/>
        <v>4</v>
      </c>
      <c r="U136" s="15">
        <f t="shared" si="43"/>
        <v>0</v>
      </c>
      <c r="V136" s="15">
        <f t="shared" si="44"/>
        <v>0</v>
      </c>
      <c r="W136" s="18" t="str">
        <f t="shared" si="45"/>
        <v/>
      </c>
      <c r="X136" s="17">
        <v>0</v>
      </c>
      <c r="Y136" s="17">
        <v>0</v>
      </c>
      <c r="Z136" s="15">
        <f t="shared" si="46"/>
        <v>0</v>
      </c>
      <c r="AA136" s="17">
        <v>0</v>
      </c>
      <c r="AB136" s="17">
        <v>0</v>
      </c>
      <c r="AC136" s="15">
        <f t="shared" si="47"/>
        <v>0</v>
      </c>
      <c r="AD136" s="17">
        <v>0</v>
      </c>
      <c r="AE136" s="17">
        <v>0</v>
      </c>
      <c r="AF136" s="15">
        <f t="shared" si="48"/>
        <v>0</v>
      </c>
      <c r="AG136" s="17">
        <v>0</v>
      </c>
      <c r="AH136" s="17">
        <v>0</v>
      </c>
      <c r="AI136" s="15">
        <f t="shared" si="49"/>
        <v>0</v>
      </c>
      <c r="AJ136" s="17"/>
    </row>
    <row r="137" spans="1:36" x14ac:dyDescent="0.3">
      <c r="A137" s="15" t="s">
        <v>187</v>
      </c>
      <c r="B137" s="15">
        <v>1000</v>
      </c>
      <c r="C137" s="15" t="s">
        <v>54</v>
      </c>
      <c r="D137" s="15" t="s">
        <v>68</v>
      </c>
      <c r="E137" s="15">
        <f>'31-july-2026'!T137</f>
        <v>1</v>
      </c>
      <c r="F137" s="15">
        <f>'31-july-2026'!U137</f>
        <v>0</v>
      </c>
      <c r="G137" s="15">
        <f>'31-july-2026'!V137</f>
        <v>0</v>
      </c>
      <c r="H137" s="15">
        <f t="shared" si="40"/>
        <v>1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5">
        <f t="shared" si="41"/>
        <v>1</v>
      </c>
      <c r="T137" s="15">
        <f t="shared" si="42"/>
        <v>1</v>
      </c>
      <c r="U137" s="15">
        <f t="shared" si="43"/>
        <v>0</v>
      </c>
      <c r="V137" s="15">
        <f t="shared" si="44"/>
        <v>0</v>
      </c>
      <c r="W137" s="18" t="str">
        <f t="shared" si="45"/>
        <v/>
      </c>
      <c r="X137" s="17">
        <v>0</v>
      </c>
      <c r="Y137" s="17">
        <v>0</v>
      </c>
      <c r="Z137" s="15">
        <f t="shared" si="46"/>
        <v>0</v>
      </c>
      <c r="AA137" s="17">
        <v>0</v>
      </c>
      <c r="AB137" s="17">
        <v>0</v>
      </c>
      <c r="AC137" s="15">
        <f t="shared" si="47"/>
        <v>0</v>
      </c>
      <c r="AD137" s="17">
        <v>0</v>
      </c>
      <c r="AE137" s="17">
        <v>0</v>
      </c>
      <c r="AF137" s="15">
        <f t="shared" si="48"/>
        <v>0</v>
      </c>
      <c r="AG137" s="17">
        <v>0</v>
      </c>
      <c r="AH137" s="17">
        <v>0</v>
      </c>
      <c r="AI137" s="15">
        <f t="shared" si="49"/>
        <v>0</v>
      </c>
      <c r="AJ137" s="17"/>
    </row>
    <row r="138" spans="1:36" x14ac:dyDescent="0.3">
      <c r="A138" s="15" t="s">
        <v>188</v>
      </c>
      <c r="B138" s="15">
        <v>100</v>
      </c>
      <c r="C138" s="15" t="s">
        <v>54</v>
      </c>
      <c r="D138" s="15" t="s">
        <v>57</v>
      </c>
      <c r="E138" s="15">
        <f>'31-july-2026'!T138</f>
        <v>3</v>
      </c>
      <c r="F138" s="15">
        <f>'31-july-2026'!U138</f>
        <v>0</v>
      </c>
      <c r="G138" s="15">
        <f>'31-july-2026'!V138</f>
        <v>0</v>
      </c>
      <c r="H138" s="15">
        <f t="shared" si="40"/>
        <v>3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5">
        <f t="shared" si="41"/>
        <v>3</v>
      </c>
      <c r="T138" s="15">
        <f t="shared" si="42"/>
        <v>3</v>
      </c>
      <c r="U138" s="15">
        <f t="shared" si="43"/>
        <v>0</v>
      </c>
      <c r="V138" s="15">
        <f t="shared" si="44"/>
        <v>0</v>
      </c>
      <c r="W138" s="18" t="str">
        <f t="shared" si="45"/>
        <v/>
      </c>
      <c r="X138" s="17">
        <v>0</v>
      </c>
      <c r="Y138" s="17">
        <v>0</v>
      </c>
      <c r="Z138" s="15">
        <f t="shared" si="46"/>
        <v>0</v>
      </c>
      <c r="AA138" s="17">
        <v>0</v>
      </c>
      <c r="AB138" s="17">
        <v>0</v>
      </c>
      <c r="AC138" s="15">
        <f t="shared" si="47"/>
        <v>0</v>
      </c>
      <c r="AD138" s="17">
        <v>0</v>
      </c>
      <c r="AE138" s="17">
        <v>0</v>
      </c>
      <c r="AF138" s="15">
        <f t="shared" si="48"/>
        <v>0</v>
      </c>
      <c r="AG138" s="17">
        <v>0</v>
      </c>
      <c r="AH138" s="17">
        <v>0</v>
      </c>
      <c r="AI138" s="15">
        <f t="shared" si="49"/>
        <v>0</v>
      </c>
      <c r="AJ138" s="17"/>
    </row>
    <row r="139" spans="1:36" x14ac:dyDescent="0.3">
      <c r="A139" s="15" t="s">
        <v>189</v>
      </c>
      <c r="B139" s="15">
        <v>100</v>
      </c>
      <c r="C139" s="15" t="s">
        <v>54</v>
      </c>
      <c r="D139" s="15" t="s">
        <v>68</v>
      </c>
      <c r="E139" s="15">
        <f>'31-july-2026'!T139</f>
        <v>3</v>
      </c>
      <c r="F139" s="15">
        <f>'31-july-2026'!U139</f>
        <v>0</v>
      </c>
      <c r="G139" s="15">
        <f>'31-july-2026'!V139</f>
        <v>0</v>
      </c>
      <c r="H139" s="15">
        <f t="shared" si="40"/>
        <v>3</v>
      </c>
      <c r="I139" s="17">
        <v>1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5">
        <f t="shared" si="41"/>
        <v>2</v>
      </c>
      <c r="T139" s="15">
        <f t="shared" si="42"/>
        <v>2</v>
      </c>
      <c r="U139" s="15">
        <f t="shared" si="43"/>
        <v>0</v>
      </c>
      <c r="V139" s="15">
        <f t="shared" si="44"/>
        <v>0</v>
      </c>
      <c r="W139" s="18" t="str">
        <f t="shared" si="45"/>
        <v/>
      </c>
      <c r="X139" s="17">
        <v>0</v>
      </c>
      <c r="Y139" s="17">
        <v>0</v>
      </c>
      <c r="Z139" s="15">
        <f t="shared" si="46"/>
        <v>0</v>
      </c>
      <c r="AA139" s="17">
        <v>0</v>
      </c>
      <c r="AB139" s="17">
        <v>0</v>
      </c>
      <c r="AC139" s="15">
        <f t="shared" si="47"/>
        <v>0</v>
      </c>
      <c r="AD139" s="17">
        <v>0</v>
      </c>
      <c r="AE139" s="17">
        <v>0</v>
      </c>
      <c r="AF139" s="15">
        <f t="shared" si="48"/>
        <v>0</v>
      </c>
      <c r="AG139" s="17">
        <v>0</v>
      </c>
      <c r="AH139" s="17">
        <v>0</v>
      </c>
      <c r="AI139" s="15">
        <f t="shared" si="49"/>
        <v>0</v>
      </c>
      <c r="AJ139" s="17"/>
    </row>
    <row r="140" spans="1:36" x14ac:dyDescent="0.3">
      <c r="A140" s="15" t="s">
        <v>190</v>
      </c>
      <c r="B140" s="15">
        <v>100</v>
      </c>
      <c r="C140" s="15" t="s">
        <v>54</v>
      </c>
      <c r="D140" s="15" t="s">
        <v>57</v>
      </c>
      <c r="E140" s="15">
        <f>'31-july-2026'!T140</f>
        <v>4</v>
      </c>
      <c r="F140" s="15">
        <f>'31-july-2026'!U140</f>
        <v>-2</v>
      </c>
      <c r="G140" s="15">
        <f>'31-july-2026'!V140</f>
        <v>-4</v>
      </c>
      <c r="H140" s="15">
        <f t="shared" si="40"/>
        <v>-2</v>
      </c>
      <c r="I140" s="17">
        <v>0</v>
      </c>
      <c r="J140" s="17">
        <v>0</v>
      </c>
      <c r="K140" s="17">
        <v>0</v>
      </c>
      <c r="L140" s="17">
        <v>0</v>
      </c>
      <c r="M140" s="17">
        <v>2</v>
      </c>
      <c r="N140" s="17">
        <v>2</v>
      </c>
      <c r="O140" s="17">
        <v>0</v>
      </c>
      <c r="P140" s="17">
        <v>0</v>
      </c>
      <c r="Q140" s="17">
        <v>0</v>
      </c>
      <c r="R140" s="17">
        <v>0</v>
      </c>
      <c r="S140" s="15">
        <f t="shared" si="41"/>
        <v>-6</v>
      </c>
      <c r="T140" s="15">
        <f t="shared" si="42"/>
        <v>4</v>
      </c>
      <c r="U140" s="15">
        <f t="shared" si="43"/>
        <v>-4</v>
      </c>
      <c r="V140" s="15">
        <f t="shared" si="44"/>
        <v>-6</v>
      </c>
      <c r="W140" s="18" t="str">
        <f t="shared" si="45"/>
        <v>NEGATIVE STOCK - CHECK ENTRIES</v>
      </c>
      <c r="X140" s="17">
        <v>0</v>
      </c>
      <c r="Y140" s="17">
        <v>0</v>
      </c>
      <c r="Z140" s="15">
        <f t="shared" si="46"/>
        <v>0</v>
      </c>
      <c r="AA140" s="17">
        <v>0</v>
      </c>
      <c r="AB140" s="17">
        <v>0</v>
      </c>
      <c r="AC140" s="15">
        <f t="shared" si="47"/>
        <v>0</v>
      </c>
      <c r="AD140" s="17">
        <v>0</v>
      </c>
      <c r="AE140" s="17">
        <v>0</v>
      </c>
      <c r="AF140" s="15">
        <f t="shared" si="48"/>
        <v>0</v>
      </c>
      <c r="AG140" s="17">
        <v>0</v>
      </c>
      <c r="AH140" s="17">
        <v>0</v>
      </c>
      <c r="AI140" s="15">
        <f t="shared" si="49"/>
        <v>0</v>
      </c>
      <c r="AJ140" s="17"/>
    </row>
    <row r="141" spans="1:36" x14ac:dyDescent="0.3">
      <c r="A141" s="15" t="s">
        <v>191</v>
      </c>
      <c r="B141" s="15">
        <v>100</v>
      </c>
      <c r="C141" s="15" t="s">
        <v>54</v>
      </c>
      <c r="D141" s="15" t="s">
        <v>68</v>
      </c>
      <c r="E141" s="15">
        <f>'31-july-2026'!T141</f>
        <v>2</v>
      </c>
      <c r="F141" s="15">
        <f>'31-july-2026'!U141</f>
        <v>0</v>
      </c>
      <c r="G141" s="15">
        <f>'31-july-2026'!V141</f>
        <v>0</v>
      </c>
      <c r="H141" s="15">
        <f t="shared" si="40"/>
        <v>2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5">
        <f t="shared" si="41"/>
        <v>2</v>
      </c>
      <c r="T141" s="15">
        <f t="shared" si="42"/>
        <v>2</v>
      </c>
      <c r="U141" s="15">
        <f t="shared" si="43"/>
        <v>0</v>
      </c>
      <c r="V141" s="15">
        <f t="shared" si="44"/>
        <v>0</v>
      </c>
      <c r="W141" s="18" t="str">
        <f t="shared" si="45"/>
        <v/>
      </c>
      <c r="X141" s="17">
        <v>0</v>
      </c>
      <c r="Y141" s="17">
        <v>0</v>
      </c>
      <c r="Z141" s="15">
        <f t="shared" si="46"/>
        <v>0</v>
      </c>
      <c r="AA141" s="17">
        <v>0</v>
      </c>
      <c r="AB141" s="17">
        <v>0</v>
      </c>
      <c r="AC141" s="15">
        <f t="shared" si="47"/>
        <v>0</v>
      </c>
      <c r="AD141" s="17">
        <v>0</v>
      </c>
      <c r="AE141" s="17">
        <v>0</v>
      </c>
      <c r="AF141" s="15">
        <f t="shared" si="48"/>
        <v>0</v>
      </c>
      <c r="AG141" s="17">
        <v>0</v>
      </c>
      <c r="AH141" s="17">
        <v>0</v>
      </c>
      <c r="AI141" s="15">
        <f t="shared" si="49"/>
        <v>0</v>
      </c>
      <c r="AJ141" s="17"/>
    </row>
    <row r="142" spans="1:36" hidden="1" x14ac:dyDescent="0.3">
      <c r="A142" s="15" t="s">
        <v>192</v>
      </c>
      <c r="B142" s="15">
        <v>100</v>
      </c>
      <c r="C142" s="15" t="s">
        <v>54</v>
      </c>
      <c r="D142" s="15" t="s">
        <v>55</v>
      </c>
      <c r="E142" s="15">
        <f>'31-july-2026'!T142</f>
        <v>4350</v>
      </c>
      <c r="F142" s="15">
        <f>'31-july-2026'!U142</f>
        <v>402</v>
      </c>
      <c r="G142" s="15">
        <f>'31-july-2026'!V142</f>
        <v>30</v>
      </c>
      <c r="H142" s="15">
        <f t="shared" si="40"/>
        <v>4782</v>
      </c>
      <c r="I142" s="17">
        <v>33</v>
      </c>
      <c r="J142" s="17">
        <v>0</v>
      </c>
      <c r="K142" s="17">
        <v>0</v>
      </c>
      <c r="L142" s="17">
        <v>32</v>
      </c>
      <c r="M142" s="17">
        <v>7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5">
        <f t="shared" si="41"/>
        <v>4710</v>
      </c>
      <c r="T142" s="15">
        <f t="shared" si="42"/>
        <v>4285</v>
      </c>
      <c r="U142" s="15">
        <f t="shared" si="43"/>
        <v>395</v>
      </c>
      <c r="V142" s="15">
        <f t="shared" si="44"/>
        <v>30</v>
      </c>
      <c r="W142" s="18" t="str">
        <f t="shared" si="45"/>
        <v/>
      </c>
      <c r="X142" s="17">
        <v>0</v>
      </c>
      <c r="Y142" s="17">
        <v>0</v>
      </c>
      <c r="Z142" s="15">
        <f t="shared" si="46"/>
        <v>0</v>
      </c>
      <c r="AA142" s="17">
        <v>0</v>
      </c>
      <c r="AB142" s="17">
        <v>0</v>
      </c>
      <c r="AC142" s="15">
        <f t="shared" si="47"/>
        <v>0</v>
      </c>
      <c r="AD142" s="17">
        <v>0</v>
      </c>
      <c r="AE142" s="17">
        <v>0</v>
      </c>
      <c r="AF142" s="15">
        <f t="shared" si="48"/>
        <v>0</v>
      </c>
      <c r="AG142" s="17">
        <v>0</v>
      </c>
      <c r="AH142" s="17">
        <v>0</v>
      </c>
      <c r="AI142" s="15">
        <f t="shared" si="49"/>
        <v>0</v>
      </c>
      <c r="AJ142" s="17"/>
    </row>
    <row r="143" spans="1:36" hidden="1" x14ac:dyDescent="0.3">
      <c r="A143" s="15" t="s">
        <v>192</v>
      </c>
      <c r="B143" s="15">
        <v>500</v>
      </c>
      <c r="C143" s="15" t="s">
        <v>54</v>
      </c>
      <c r="D143" s="15" t="s">
        <v>55</v>
      </c>
      <c r="E143" s="15">
        <f>'31-july-2026'!T143</f>
        <v>6</v>
      </c>
      <c r="F143" s="15">
        <f>'31-july-2026'!U143</f>
        <v>0</v>
      </c>
      <c r="G143" s="15">
        <f>'31-july-2026'!V143</f>
        <v>2</v>
      </c>
      <c r="H143" s="15">
        <f t="shared" si="40"/>
        <v>8</v>
      </c>
      <c r="I143" s="17">
        <v>0</v>
      </c>
      <c r="J143" s="17">
        <v>0</v>
      </c>
      <c r="K143" s="17">
        <v>0</v>
      </c>
      <c r="L143" s="17">
        <v>5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5">
        <f t="shared" si="41"/>
        <v>3</v>
      </c>
      <c r="T143" s="15">
        <f t="shared" si="42"/>
        <v>1</v>
      </c>
      <c r="U143" s="15">
        <f t="shared" si="43"/>
        <v>0</v>
      </c>
      <c r="V143" s="15">
        <f t="shared" si="44"/>
        <v>2</v>
      </c>
      <c r="W143" s="18" t="str">
        <f t="shared" si="45"/>
        <v/>
      </c>
      <c r="X143" s="17">
        <v>0</v>
      </c>
      <c r="Y143" s="17">
        <v>0</v>
      </c>
      <c r="Z143" s="15">
        <f t="shared" si="46"/>
        <v>0</v>
      </c>
      <c r="AA143" s="17">
        <v>0</v>
      </c>
      <c r="AB143" s="17">
        <v>0</v>
      </c>
      <c r="AC143" s="15">
        <f t="shared" si="47"/>
        <v>0</v>
      </c>
      <c r="AD143" s="17">
        <v>0</v>
      </c>
      <c r="AE143" s="17">
        <v>0</v>
      </c>
      <c r="AF143" s="15">
        <f t="shared" si="48"/>
        <v>0</v>
      </c>
      <c r="AG143" s="17">
        <v>0</v>
      </c>
      <c r="AH143" s="17">
        <v>0</v>
      </c>
      <c r="AI143" s="15">
        <f t="shared" si="49"/>
        <v>0</v>
      </c>
      <c r="AJ143" s="17"/>
    </row>
    <row r="144" spans="1:36" x14ac:dyDescent="0.3">
      <c r="A144" s="15" t="s">
        <v>193</v>
      </c>
      <c r="B144" s="15">
        <v>100</v>
      </c>
      <c r="C144" s="15" t="s">
        <v>54</v>
      </c>
      <c r="D144" s="15" t="s">
        <v>57</v>
      </c>
      <c r="E144" s="15">
        <f>'31-july-2026'!T144</f>
        <v>1</v>
      </c>
      <c r="F144" s="15">
        <f>'31-july-2026'!U144</f>
        <v>0</v>
      </c>
      <c r="G144" s="15">
        <f>'31-july-2026'!V144</f>
        <v>0</v>
      </c>
      <c r="H144" s="15">
        <f t="shared" si="40"/>
        <v>1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5">
        <f t="shared" si="41"/>
        <v>1</v>
      </c>
      <c r="T144" s="15">
        <f t="shared" si="42"/>
        <v>1</v>
      </c>
      <c r="U144" s="15">
        <f t="shared" si="43"/>
        <v>0</v>
      </c>
      <c r="V144" s="15">
        <f t="shared" si="44"/>
        <v>0</v>
      </c>
      <c r="W144" s="18" t="str">
        <f t="shared" si="45"/>
        <v/>
      </c>
      <c r="X144" s="17">
        <v>0</v>
      </c>
      <c r="Y144" s="17">
        <v>0</v>
      </c>
      <c r="Z144" s="15">
        <f t="shared" si="46"/>
        <v>0</v>
      </c>
      <c r="AA144" s="17">
        <v>0</v>
      </c>
      <c r="AB144" s="17">
        <v>0</v>
      </c>
      <c r="AC144" s="15">
        <f t="shared" si="47"/>
        <v>0</v>
      </c>
      <c r="AD144" s="17">
        <v>0</v>
      </c>
      <c r="AE144" s="17">
        <v>0</v>
      </c>
      <c r="AF144" s="15">
        <f t="shared" si="48"/>
        <v>0</v>
      </c>
      <c r="AG144" s="17">
        <v>0</v>
      </c>
      <c r="AH144" s="17">
        <v>0</v>
      </c>
      <c r="AI144" s="15">
        <f t="shared" si="49"/>
        <v>0</v>
      </c>
      <c r="AJ144" s="17"/>
    </row>
    <row r="145" spans="1:36" hidden="1" x14ac:dyDescent="0.3">
      <c r="A145" s="15" t="s">
        <v>194</v>
      </c>
      <c r="B145" s="15">
        <v>1000</v>
      </c>
      <c r="C145" s="15"/>
      <c r="D145" s="15" t="s">
        <v>55</v>
      </c>
      <c r="E145" s="15">
        <f>'31-july-2026'!T145</f>
        <v>0</v>
      </c>
      <c r="F145" s="15">
        <f>'31-july-2026'!U145</f>
        <v>0</v>
      </c>
      <c r="G145" s="15">
        <f>'31-july-2026'!V145</f>
        <v>0</v>
      </c>
      <c r="H145" s="15">
        <f t="shared" si="40"/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5">
        <f t="shared" si="41"/>
        <v>0</v>
      </c>
      <c r="T145" s="15">
        <f t="shared" si="42"/>
        <v>0</v>
      </c>
      <c r="U145" s="15">
        <f t="shared" si="43"/>
        <v>0</v>
      </c>
      <c r="V145" s="15">
        <f t="shared" si="44"/>
        <v>0</v>
      </c>
      <c r="W145" s="18" t="str">
        <f t="shared" si="45"/>
        <v/>
      </c>
      <c r="X145" s="17">
        <v>0</v>
      </c>
      <c r="Y145" s="17">
        <v>0</v>
      </c>
      <c r="Z145" s="15">
        <f t="shared" si="46"/>
        <v>0</v>
      </c>
      <c r="AA145" s="17">
        <v>0</v>
      </c>
      <c r="AB145" s="17">
        <v>0</v>
      </c>
      <c r="AC145" s="15">
        <f t="shared" si="47"/>
        <v>0</v>
      </c>
      <c r="AD145" s="17">
        <v>0</v>
      </c>
      <c r="AE145" s="17">
        <v>0</v>
      </c>
      <c r="AF145" s="15">
        <f t="shared" si="48"/>
        <v>0</v>
      </c>
      <c r="AG145" s="17">
        <v>0</v>
      </c>
      <c r="AH145" s="17">
        <v>0</v>
      </c>
      <c r="AI145" s="15">
        <f t="shared" si="49"/>
        <v>0</v>
      </c>
      <c r="AJ145" s="17"/>
    </row>
    <row r="146" spans="1:36" x14ac:dyDescent="0.3">
      <c r="A146" s="15" t="s">
        <v>195</v>
      </c>
      <c r="B146" s="15">
        <v>1000</v>
      </c>
      <c r="C146" s="15" t="s">
        <v>54</v>
      </c>
      <c r="D146" s="15" t="s">
        <v>68</v>
      </c>
      <c r="E146" s="15">
        <f>'31-july-2026'!T146</f>
        <v>2</v>
      </c>
      <c r="F146" s="15">
        <f>'31-july-2026'!U146</f>
        <v>0</v>
      </c>
      <c r="G146" s="15">
        <f>'31-july-2026'!V146</f>
        <v>0</v>
      </c>
      <c r="H146" s="15">
        <f t="shared" si="40"/>
        <v>2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5">
        <f t="shared" si="41"/>
        <v>2</v>
      </c>
      <c r="T146" s="15">
        <f t="shared" si="42"/>
        <v>2</v>
      </c>
      <c r="U146" s="15">
        <f t="shared" si="43"/>
        <v>0</v>
      </c>
      <c r="V146" s="15">
        <f t="shared" si="44"/>
        <v>0</v>
      </c>
      <c r="W146" s="18" t="str">
        <f t="shared" si="45"/>
        <v/>
      </c>
      <c r="X146" s="17">
        <v>0</v>
      </c>
      <c r="Y146" s="17">
        <v>0</v>
      </c>
      <c r="Z146" s="15">
        <f t="shared" si="46"/>
        <v>0</v>
      </c>
      <c r="AA146" s="17">
        <v>0</v>
      </c>
      <c r="AB146" s="17">
        <v>0</v>
      </c>
      <c r="AC146" s="15">
        <f t="shared" si="47"/>
        <v>0</v>
      </c>
      <c r="AD146" s="17">
        <v>0</v>
      </c>
      <c r="AE146" s="17">
        <v>0</v>
      </c>
      <c r="AF146" s="15">
        <f t="shared" si="48"/>
        <v>0</v>
      </c>
      <c r="AG146" s="17">
        <v>0</v>
      </c>
      <c r="AH146" s="17">
        <v>0</v>
      </c>
      <c r="AI146" s="15">
        <f t="shared" si="49"/>
        <v>0</v>
      </c>
      <c r="AJ146" s="17"/>
    </row>
    <row r="147" spans="1:36" hidden="1" x14ac:dyDescent="0.3">
      <c r="A147" s="15" t="s">
        <v>196</v>
      </c>
      <c r="B147" s="15">
        <v>100</v>
      </c>
      <c r="C147" s="15" t="s">
        <v>54</v>
      </c>
      <c r="D147" s="15" t="s">
        <v>55</v>
      </c>
      <c r="E147" s="15">
        <f>'31-july-2026'!T147</f>
        <v>385</v>
      </c>
      <c r="F147" s="15">
        <f>'31-july-2026'!U147</f>
        <v>145</v>
      </c>
      <c r="G147" s="15">
        <f>'31-july-2026'!V147</f>
        <v>10</v>
      </c>
      <c r="H147" s="15">
        <f t="shared" si="40"/>
        <v>540</v>
      </c>
      <c r="I147" s="17">
        <v>3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5">
        <f t="shared" si="41"/>
        <v>537</v>
      </c>
      <c r="T147" s="15">
        <f t="shared" si="42"/>
        <v>382</v>
      </c>
      <c r="U147" s="15">
        <f t="shared" si="43"/>
        <v>145</v>
      </c>
      <c r="V147" s="15">
        <f t="shared" si="44"/>
        <v>10</v>
      </c>
      <c r="W147" s="18" t="str">
        <f t="shared" si="45"/>
        <v/>
      </c>
      <c r="X147" s="17">
        <v>0</v>
      </c>
      <c r="Y147" s="17">
        <v>0</v>
      </c>
      <c r="Z147" s="15">
        <f t="shared" si="46"/>
        <v>0</v>
      </c>
      <c r="AA147" s="17">
        <v>0</v>
      </c>
      <c r="AB147" s="17">
        <v>0</v>
      </c>
      <c r="AC147" s="15">
        <f t="shared" si="47"/>
        <v>0</v>
      </c>
      <c r="AD147" s="17">
        <v>0</v>
      </c>
      <c r="AE147" s="17">
        <v>0</v>
      </c>
      <c r="AF147" s="15">
        <f t="shared" si="48"/>
        <v>0</v>
      </c>
      <c r="AG147" s="17">
        <v>0</v>
      </c>
      <c r="AH147" s="17">
        <v>0</v>
      </c>
      <c r="AI147" s="15">
        <f t="shared" si="49"/>
        <v>0</v>
      </c>
      <c r="AJ147" s="17"/>
    </row>
    <row r="148" spans="1:36" hidden="1" x14ac:dyDescent="0.3">
      <c r="A148" s="15" t="s">
        <v>197</v>
      </c>
      <c r="B148" s="15">
        <v>100</v>
      </c>
      <c r="C148" s="15" t="s">
        <v>54</v>
      </c>
      <c r="D148" s="15" t="s">
        <v>55</v>
      </c>
      <c r="E148" s="15">
        <f>'31-july-2026'!T148</f>
        <v>0</v>
      </c>
      <c r="F148" s="15">
        <f>'31-july-2026'!U148</f>
        <v>0</v>
      </c>
      <c r="G148" s="15">
        <f>'31-july-2026'!V148</f>
        <v>0</v>
      </c>
      <c r="H148" s="15">
        <f t="shared" si="40"/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5">
        <f t="shared" si="41"/>
        <v>0</v>
      </c>
      <c r="T148" s="15">
        <f t="shared" si="42"/>
        <v>0</v>
      </c>
      <c r="U148" s="15">
        <f t="shared" si="43"/>
        <v>0</v>
      </c>
      <c r="V148" s="15">
        <f t="shared" si="44"/>
        <v>0</v>
      </c>
      <c r="W148" s="18" t="str">
        <f t="shared" si="45"/>
        <v/>
      </c>
      <c r="X148" s="17">
        <v>0</v>
      </c>
      <c r="Y148" s="17">
        <v>0</v>
      </c>
      <c r="Z148" s="15">
        <f t="shared" si="46"/>
        <v>0</v>
      </c>
      <c r="AA148" s="17">
        <v>0</v>
      </c>
      <c r="AB148" s="17">
        <v>0</v>
      </c>
      <c r="AC148" s="15">
        <f t="shared" si="47"/>
        <v>0</v>
      </c>
      <c r="AD148" s="17">
        <v>0</v>
      </c>
      <c r="AE148" s="17">
        <v>0</v>
      </c>
      <c r="AF148" s="15">
        <f t="shared" si="48"/>
        <v>0</v>
      </c>
      <c r="AG148" s="17">
        <v>0</v>
      </c>
      <c r="AH148" s="17">
        <v>0</v>
      </c>
      <c r="AI148" s="15">
        <f t="shared" si="49"/>
        <v>0</v>
      </c>
      <c r="AJ148" s="17"/>
    </row>
    <row r="149" spans="1:36" hidden="1" x14ac:dyDescent="0.3">
      <c r="A149" s="15" t="s">
        <v>198</v>
      </c>
      <c r="B149" s="15">
        <v>100</v>
      </c>
      <c r="C149" s="15" t="s">
        <v>54</v>
      </c>
      <c r="D149" s="15" t="s">
        <v>55</v>
      </c>
      <c r="E149" s="15">
        <f>'31-july-2026'!T149</f>
        <v>30</v>
      </c>
      <c r="F149" s="15">
        <f>'31-july-2026'!U149</f>
        <v>61</v>
      </c>
      <c r="G149" s="15">
        <f>'31-july-2026'!V149</f>
        <v>63</v>
      </c>
      <c r="H149" s="15">
        <f t="shared" si="40"/>
        <v>154</v>
      </c>
      <c r="I149" s="17">
        <v>6</v>
      </c>
      <c r="J149" s="17">
        <v>0</v>
      </c>
      <c r="K149" s="17">
        <v>14</v>
      </c>
      <c r="L149" s="17">
        <v>0</v>
      </c>
      <c r="M149" s="17">
        <v>0</v>
      </c>
      <c r="N149" s="17">
        <v>0</v>
      </c>
      <c r="O149" s="17">
        <v>0</v>
      </c>
      <c r="P149" s="17">
        <v>2</v>
      </c>
      <c r="Q149" s="17">
        <v>0</v>
      </c>
      <c r="R149" s="17">
        <v>0</v>
      </c>
      <c r="S149" s="15">
        <f t="shared" si="41"/>
        <v>136</v>
      </c>
      <c r="T149" s="15">
        <f t="shared" si="42"/>
        <v>24</v>
      </c>
      <c r="U149" s="15">
        <f t="shared" si="43"/>
        <v>63</v>
      </c>
      <c r="V149" s="15">
        <f t="shared" si="44"/>
        <v>49</v>
      </c>
      <c r="W149" s="18" t="str">
        <f t="shared" si="45"/>
        <v/>
      </c>
      <c r="X149" s="17">
        <v>0</v>
      </c>
      <c r="Y149" s="17">
        <v>0</v>
      </c>
      <c r="Z149" s="15">
        <f t="shared" si="46"/>
        <v>0</v>
      </c>
      <c r="AA149" s="17">
        <v>0</v>
      </c>
      <c r="AB149" s="17">
        <v>0</v>
      </c>
      <c r="AC149" s="15">
        <f t="shared" si="47"/>
        <v>0</v>
      </c>
      <c r="AD149" s="17">
        <v>0</v>
      </c>
      <c r="AE149" s="17">
        <v>0</v>
      </c>
      <c r="AF149" s="15">
        <f t="shared" si="48"/>
        <v>0</v>
      </c>
      <c r="AG149" s="17">
        <v>0</v>
      </c>
      <c r="AH149" s="17">
        <v>0</v>
      </c>
      <c r="AI149" s="15">
        <f t="shared" si="49"/>
        <v>0</v>
      </c>
      <c r="AJ149" s="17"/>
    </row>
    <row r="150" spans="1:36" hidden="1" x14ac:dyDescent="0.3">
      <c r="A150" s="15" t="s">
        <v>199</v>
      </c>
      <c r="B150" s="15">
        <v>500</v>
      </c>
      <c r="C150" s="15" t="s">
        <v>54</v>
      </c>
      <c r="D150" s="15" t="s">
        <v>55</v>
      </c>
      <c r="E150" s="15">
        <f>'31-july-2026'!T150</f>
        <v>4</v>
      </c>
      <c r="F150" s="15">
        <f>'31-july-2026'!U150</f>
        <v>1</v>
      </c>
      <c r="G150" s="15">
        <f>'31-july-2026'!V150</f>
        <v>4</v>
      </c>
      <c r="H150" s="15">
        <f t="shared" si="40"/>
        <v>9</v>
      </c>
      <c r="I150" s="17">
        <v>0</v>
      </c>
      <c r="J150" s="17">
        <v>0</v>
      </c>
      <c r="K150" s="17">
        <v>3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5">
        <f t="shared" si="41"/>
        <v>6</v>
      </c>
      <c r="T150" s="15">
        <f t="shared" si="42"/>
        <v>4</v>
      </c>
      <c r="U150" s="15">
        <f t="shared" si="43"/>
        <v>1</v>
      </c>
      <c r="V150" s="15">
        <f t="shared" si="44"/>
        <v>1</v>
      </c>
      <c r="W150" s="18" t="str">
        <f t="shared" si="45"/>
        <v/>
      </c>
      <c r="X150" s="17">
        <v>0</v>
      </c>
      <c r="Y150" s="17">
        <v>0</v>
      </c>
      <c r="Z150" s="15">
        <f t="shared" si="46"/>
        <v>0</v>
      </c>
      <c r="AA150" s="17">
        <v>0</v>
      </c>
      <c r="AB150" s="17">
        <v>0</v>
      </c>
      <c r="AC150" s="15">
        <f t="shared" si="47"/>
        <v>0</v>
      </c>
      <c r="AD150" s="17">
        <v>0</v>
      </c>
      <c r="AE150" s="17">
        <v>0</v>
      </c>
      <c r="AF150" s="15">
        <f t="shared" si="48"/>
        <v>0</v>
      </c>
      <c r="AG150" s="17">
        <v>0</v>
      </c>
      <c r="AH150" s="17">
        <v>0</v>
      </c>
      <c r="AI150" s="15">
        <f t="shared" si="49"/>
        <v>0</v>
      </c>
      <c r="AJ150" s="17"/>
    </row>
    <row r="151" spans="1:36" hidden="1" x14ac:dyDescent="0.3">
      <c r="A151" s="15" t="s">
        <v>200</v>
      </c>
      <c r="B151" s="15">
        <v>100</v>
      </c>
      <c r="C151" s="15" t="s">
        <v>54</v>
      </c>
      <c r="D151" s="15" t="s">
        <v>55</v>
      </c>
      <c r="E151" s="15">
        <f>'31-july-2026'!T151</f>
        <v>208</v>
      </c>
      <c r="F151" s="15">
        <f>'31-july-2026'!U151</f>
        <v>69</v>
      </c>
      <c r="G151" s="15">
        <f>'31-july-2026'!V151</f>
        <v>46</v>
      </c>
      <c r="H151" s="15">
        <f t="shared" si="40"/>
        <v>323</v>
      </c>
      <c r="I151" s="17">
        <v>1</v>
      </c>
      <c r="J151" s="17">
        <v>0</v>
      </c>
      <c r="K151" s="17">
        <v>20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5">
        <f t="shared" si="41"/>
        <v>302</v>
      </c>
      <c r="T151" s="15">
        <f t="shared" si="42"/>
        <v>207</v>
      </c>
      <c r="U151" s="15">
        <f t="shared" si="43"/>
        <v>69</v>
      </c>
      <c r="V151" s="15">
        <f t="shared" si="44"/>
        <v>26</v>
      </c>
      <c r="W151" s="18" t="str">
        <f t="shared" si="45"/>
        <v/>
      </c>
      <c r="X151" s="17">
        <v>0</v>
      </c>
      <c r="Y151" s="17">
        <v>0</v>
      </c>
      <c r="Z151" s="15">
        <f t="shared" si="46"/>
        <v>0</v>
      </c>
      <c r="AA151" s="17">
        <v>0</v>
      </c>
      <c r="AB151" s="17">
        <v>0</v>
      </c>
      <c r="AC151" s="15">
        <f t="shared" si="47"/>
        <v>0</v>
      </c>
      <c r="AD151" s="17">
        <v>0</v>
      </c>
      <c r="AE151" s="17">
        <v>0</v>
      </c>
      <c r="AF151" s="15">
        <f t="shared" si="48"/>
        <v>0</v>
      </c>
      <c r="AG151" s="17">
        <v>0</v>
      </c>
      <c r="AH151" s="17">
        <v>0</v>
      </c>
      <c r="AI151" s="15">
        <f t="shared" si="49"/>
        <v>0</v>
      </c>
      <c r="AJ151" s="17"/>
    </row>
    <row r="152" spans="1:36" hidden="1" x14ac:dyDescent="0.3">
      <c r="A152" s="15" t="s">
        <v>201</v>
      </c>
      <c r="B152" s="15">
        <v>100</v>
      </c>
      <c r="C152" s="15" t="s">
        <v>54</v>
      </c>
      <c r="D152" s="15" t="s">
        <v>55</v>
      </c>
      <c r="E152" s="15">
        <f>'31-july-2026'!T152</f>
        <v>105</v>
      </c>
      <c r="F152" s="15">
        <f>'31-july-2026'!U152</f>
        <v>109</v>
      </c>
      <c r="G152" s="15">
        <f>'31-july-2026'!V152</f>
        <v>67</v>
      </c>
      <c r="H152" s="15">
        <f t="shared" si="40"/>
        <v>281</v>
      </c>
      <c r="I152" s="17">
        <v>0</v>
      </c>
      <c r="J152" s="17">
        <v>0</v>
      </c>
      <c r="K152" s="17">
        <v>35</v>
      </c>
      <c r="L152" s="17">
        <v>100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5">
        <f t="shared" si="41"/>
        <v>146</v>
      </c>
      <c r="T152" s="15">
        <f t="shared" si="42"/>
        <v>5</v>
      </c>
      <c r="U152" s="15">
        <f t="shared" si="43"/>
        <v>109</v>
      </c>
      <c r="V152" s="15">
        <f t="shared" si="44"/>
        <v>32</v>
      </c>
      <c r="W152" s="18" t="str">
        <f t="shared" si="45"/>
        <v/>
      </c>
      <c r="X152" s="17">
        <v>0</v>
      </c>
      <c r="Y152" s="17">
        <v>0</v>
      </c>
      <c r="Z152" s="15">
        <f t="shared" si="46"/>
        <v>0</v>
      </c>
      <c r="AA152" s="17">
        <v>0</v>
      </c>
      <c r="AB152" s="17">
        <v>0</v>
      </c>
      <c r="AC152" s="15">
        <f t="shared" si="47"/>
        <v>0</v>
      </c>
      <c r="AD152" s="17">
        <v>0</v>
      </c>
      <c r="AE152" s="17">
        <v>0</v>
      </c>
      <c r="AF152" s="15">
        <f t="shared" si="48"/>
        <v>0</v>
      </c>
      <c r="AG152" s="17">
        <v>0</v>
      </c>
      <c r="AH152" s="17">
        <v>0</v>
      </c>
      <c r="AI152" s="15">
        <f t="shared" si="49"/>
        <v>0</v>
      </c>
      <c r="AJ152" s="17"/>
    </row>
    <row r="153" spans="1:36" hidden="1" x14ac:dyDescent="0.3">
      <c r="A153" s="15" t="s">
        <v>202</v>
      </c>
      <c r="B153" s="15">
        <v>100</v>
      </c>
      <c r="C153" s="15" t="s">
        <v>54</v>
      </c>
      <c r="D153" s="15" t="s">
        <v>55</v>
      </c>
      <c r="E153" s="15">
        <f>'31-july-2026'!T153</f>
        <v>13</v>
      </c>
      <c r="F153" s="15">
        <f>'31-july-2026'!U153</f>
        <v>0</v>
      </c>
      <c r="G153" s="15">
        <f>'31-july-2026'!V153</f>
        <v>0</v>
      </c>
      <c r="H153" s="15">
        <f t="shared" si="40"/>
        <v>13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5">
        <f t="shared" si="41"/>
        <v>13</v>
      </c>
      <c r="T153" s="15">
        <f t="shared" si="42"/>
        <v>13</v>
      </c>
      <c r="U153" s="15">
        <f t="shared" si="43"/>
        <v>0</v>
      </c>
      <c r="V153" s="15">
        <f t="shared" si="44"/>
        <v>0</v>
      </c>
      <c r="W153" s="18" t="str">
        <f t="shared" si="45"/>
        <v/>
      </c>
      <c r="X153" s="17">
        <v>0</v>
      </c>
      <c r="Y153" s="17">
        <v>0</v>
      </c>
      <c r="Z153" s="15">
        <f t="shared" si="46"/>
        <v>0</v>
      </c>
      <c r="AA153" s="17">
        <v>0</v>
      </c>
      <c r="AB153" s="17">
        <v>0</v>
      </c>
      <c r="AC153" s="15">
        <f t="shared" si="47"/>
        <v>0</v>
      </c>
      <c r="AD153" s="17">
        <v>0</v>
      </c>
      <c r="AE153" s="17">
        <v>0</v>
      </c>
      <c r="AF153" s="15">
        <f t="shared" si="48"/>
        <v>0</v>
      </c>
      <c r="AG153" s="17">
        <v>0</v>
      </c>
      <c r="AH153" s="17">
        <v>0</v>
      </c>
      <c r="AI153" s="15">
        <f t="shared" si="49"/>
        <v>0</v>
      </c>
      <c r="AJ153" s="17"/>
    </row>
    <row r="154" spans="1:36" hidden="1" x14ac:dyDescent="0.3">
      <c r="A154" s="15" t="s">
        <v>203</v>
      </c>
      <c r="B154" s="15">
        <v>100</v>
      </c>
      <c r="C154" s="15" t="s">
        <v>54</v>
      </c>
      <c r="D154" s="15" t="s">
        <v>55</v>
      </c>
      <c r="E154" s="15">
        <f>'31-july-2026'!T154</f>
        <v>13</v>
      </c>
      <c r="F154" s="15">
        <f>'31-july-2026'!U154</f>
        <v>0</v>
      </c>
      <c r="G154" s="15">
        <f>'31-july-2026'!V154</f>
        <v>0</v>
      </c>
      <c r="H154" s="15">
        <f t="shared" si="40"/>
        <v>13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5">
        <f t="shared" si="41"/>
        <v>13</v>
      </c>
      <c r="T154" s="15">
        <f t="shared" si="42"/>
        <v>13</v>
      </c>
      <c r="U154" s="15">
        <f t="shared" si="43"/>
        <v>0</v>
      </c>
      <c r="V154" s="15">
        <f t="shared" si="44"/>
        <v>0</v>
      </c>
      <c r="W154" s="18" t="str">
        <f t="shared" si="45"/>
        <v/>
      </c>
      <c r="X154" s="17">
        <v>0</v>
      </c>
      <c r="Y154" s="17">
        <v>0</v>
      </c>
      <c r="Z154" s="15">
        <f t="shared" si="46"/>
        <v>0</v>
      </c>
      <c r="AA154" s="17">
        <v>0</v>
      </c>
      <c r="AB154" s="17">
        <v>0</v>
      </c>
      <c r="AC154" s="15">
        <f t="shared" si="47"/>
        <v>0</v>
      </c>
      <c r="AD154" s="17">
        <v>0</v>
      </c>
      <c r="AE154" s="17">
        <v>0</v>
      </c>
      <c r="AF154" s="15">
        <f t="shared" si="48"/>
        <v>0</v>
      </c>
      <c r="AG154" s="17">
        <v>0</v>
      </c>
      <c r="AH154" s="17">
        <v>0</v>
      </c>
      <c r="AI154" s="15">
        <f t="shared" si="49"/>
        <v>0</v>
      </c>
      <c r="AJ154" s="17"/>
    </row>
    <row r="155" spans="1:36" hidden="1" x14ac:dyDescent="0.3">
      <c r="A155" s="15" t="s">
        <v>204</v>
      </c>
      <c r="B155" s="15">
        <v>10000</v>
      </c>
      <c r="C155" s="15" t="s">
        <v>54</v>
      </c>
      <c r="D155" s="15" t="s">
        <v>55</v>
      </c>
      <c r="E155" s="15">
        <v>0</v>
      </c>
      <c r="F155" s="15">
        <v>0</v>
      </c>
      <c r="G155" s="15">
        <v>0</v>
      </c>
      <c r="H155" s="15">
        <f t="shared" si="40"/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5">
        <f t="shared" si="41"/>
        <v>0</v>
      </c>
      <c r="T155" s="15">
        <f t="shared" si="42"/>
        <v>0</v>
      </c>
      <c r="U155" s="15">
        <f t="shared" si="43"/>
        <v>0</v>
      </c>
      <c r="V155" s="15">
        <f t="shared" si="44"/>
        <v>0</v>
      </c>
      <c r="W155" s="18" t="str">
        <f t="shared" si="45"/>
        <v/>
      </c>
      <c r="X155" s="17">
        <v>0</v>
      </c>
      <c r="Y155" s="17">
        <v>0</v>
      </c>
      <c r="Z155" s="15">
        <f t="shared" si="46"/>
        <v>0</v>
      </c>
      <c r="AA155" s="17">
        <v>0</v>
      </c>
      <c r="AB155" s="17">
        <v>0</v>
      </c>
      <c r="AC155" s="15">
        <f t="shared" si="47"/>
        <v>0</v>
      </c>
      <c r="AD155" s="17">
        <v>0</v>
      </c>
      <c r="AE155" s="17">
        <v>0</v>
      </c>
      <c r="AF155" s="15">
        <f t="shared" si="48"/>
        <v>0</v>
      </c>
      <c r="AG155" s="17">
        <v>0</v>
      </c>
      <c r="AH155" s="17">
        <v>0</v>
      </c>
      <c r="AI155" s="15">
        <f t="shared" si="49"/>
        <v>0</v>
      </c>
      <c r="AJ155" s="17"/>
    </row>
    <row r="156" spans="1:36" x14ac:dyDescent="0.3">
      <c r="A156" s="15" t="s">
        <v>205</v>
      </c>
      <c r="B156" s="15">
        <v>1000</v>
      </c>
      <c r="C156" s="15" t="s">
        <v>54</v>
      </c>
      <c r="D156" s="15" t="s">
        <v>57</v>
      </c>
      <c r="E156" s="15">
        <f>'31-july-2026'!T156</f>
        <v>5</v>
      </c>
      <c r="F156" s="15">
        <f>'31-july-2026'!U156</f>
        <v>0</v>
      </c>
      <c r="G156" s="15">
        <f>'31-july-2026'!V156</f>
        <v>0</v>
      </c>
      <c r="H156" s="15">
        <f t="shared" si="40"/>
        <v>5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5">
        <f t="shared" si="41"/>
        <v>5</v>
      </c>
      <c r="T156" s="15">
        <f t="shared" si="42"/>
        <v>5</v>
      </c>
      <c r="U156" s="15">
        <f t="shared" si="43"/>
        <v>0</v>
      </c>
      <c r="V156" s="15">
        <f t="shared" si="44"/>
        <v>0</v>
      </c>
      <c r="W156" s="18" t="str">
        <f t="shared" si="45"/>
        <v/>
      </c>
      <c r="X156" s="17">
        <v>0</v>
      </c>
      <c r="Y156" s="17">
        <v>0</v>
      </c>
      <c r="Z156" s="15">
        <f t="shared" si="46"/>
        <v>0</v>
      </c>
      <c r="AA156" s="17">
        <v>0</v>
      </c>
      <c r="AB156" s="17">
        <v>0</v>
      </c>
      <c r="AC156" s="15">
        <f t="shared" si="47"/>
        <v>0</v>
      </c>
      <c r="AD156" s="17">
        <v>0</v>
      </c>
      <c r="AE156" s="17">
        <v>0</v>
      </c>
      <c r="AF156" s="15">
        <f t="shared" si="48"/>
        <v>0</v>
      </c>
      <c r="AG156" s="17">
        <v>0</v>
      </c>
      <c r="AH156" s="17">
        <v>0</v>
      </c>
      <c r="AI156" s="15">
        <f t="shared" si="49"/>
        <v>0</v>
      </c>
      <c r="AJ156" s="17"/>
    </row>
    <row r="157" spans="1:36" x14ac:dyDescent="0.3">
      <c r="A157" s="15" t="s">
        <v>206</v>
      </c>
      <c r="B157" s="15">
        <v>1000</v>
      </c>
      <c r="C157" s="15" t="s">
        <v>54</v>
      </c>
      <c r="D157" s="15" t="s">
        <v>57</v>
      </c>
      <c r="E157" s="15">
        <f>'31-july-2026'!T157</f>
        <v>0</v>
      </c>
      <c r="F157" s="15">
        <f>'31-july-2026'!U157</f>
        <v>0</v>
      </c>
      <c r="G157" s="15">
        <f>'31-july-2026'!V157</f>
        <v>0</v>
      </c>
      <c r="H157" s="15">
        <f t="shared" si="40"/>
        <v>0</v>
      </c>
      <c r="I157" s="17">
        <v>2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5">
        <f t="shared" si="41"/>
        <v>-2</v>
      </c>
      <c r="T157" s="15">
        <f t="shared" si="42"/>
        <v>-2</v>
      </c>
      <c r="U157" s="15">
        <f t="shared" si="43"/>
        <v>0</v>
      </c>
      <c r="V157" s="15">
        <f t="shared" si="44"/>
        <v>0</v>
      </c>
      <c r="W157" s="18" t="str">
        <f t="shared" si="45"/>
        <v>NEGATIVE STOCK - CHECK ENTRIES</v>
      </c>
      <c r="X157" s="17">
        <v>0</v>
      </c>
      <c r="Y157" s="17">
        <v>0</v>
      </c>
      <c r="Z157" s="15">
        <f t="shared" si="46"/>
        <v>0</v>
      </c>
      <c r="AA157" s="17">
        <v>0</v>
      </c>
      <c r="AB157" s="17">
        <v>0</v>
      </c>
      <c r="AC157" s="15">
        <f t="shared" si="47"/>
        <v>0</v>
      </c>
      <c r="AD157" s="17">
        <v>0</v>
      </c>
      <c r="AE157" s="17">
        <v>0</v>
      </c>
      <c r="AF157" s="15">
        <f t="shared" si="48"/>
        <v>0</v>
      </c>
      <c r="AG157" s="17">
        <v>0</v>
      </c>
      <c r="AH157" s="17">
        <v>0</v>
      </c>
      <c r="AI157" s="15">
        <f t="shared" si="49"/>
        <v>0</v>
      </c>
      <c r="AJ157" s="17"/>
    </row>
    <row r="158" spans="1:36" x14ac:dyDescent="0.3">
      <c r="A158" s="15" t="s">
        <v>207</v>
      </c>
      <c r="B158" s="15">
        <v>1000</v>
      </c>
      <c r="C158" s="15" t="s">
        <v>54</v>
      </c>
      <c r="D158" s="15" t="s">
        <v>68</v>
      </c>
      <c r="E158" s="15">
        <f>'31-july-2026'!T158</f>
        <v>3</v>
      </c>
      <c r="F158" s="15">
        <f>'31-july-2026'!U158</f>
        <v>0</v>
      </c>
      <c r="G158" s="15">
        <f>'31-july-2026'!V158</f>
        <v>0</v>
      </c>
      <c r="H158" s="15">
        <f t="shared" si="40"/>
        <v>3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5">
        <f t="shared" si="41"/>
        <v>3</v>
      </c>
      <c r="T158" s="15">
        <f t="shared" si="42"/>
        <v>3</v>
      </c>
      <c r="U158" s="15">
        <f t="shared" si="43"/>
        <v>0</v>
      </c>
      <c r="V158" s="15">
        <f t="shared" si="44"/>
        <v>0</v>
      </c>
      <c r="W158" s="18" t="str">
        <f t="shared" si="45"/>
        <v/>
      </c>
      <c r="X158" s="17">
        <v>0</v>
      </c>
      <c r="Y158" s="17">
        <v>0</v>
      </c>
      <c r="Z158" s="15">
        <f t="shared" si="46"/>
        <v>0</v>
      </c>
      <c r="AA158" s="17">
        <v>0</v>
      </c>
      <c r="AB158" s="17">
        <v>0</v>
      </c>
      <c r="AC158" s="15">
        <f t="shared" si="47"/>
        <v>0</v>
      </c>
      <c r="AD158" s="17">
        <v>0</v>
      </c>
      <c r="AE158" s="17">
        <v>0</v>
      </c>
      <c r="AF158" s="15">
        <f t="shared" si="48"/>
        <v>0</v>
      </c>
      <c r="AG158" s="17">
        <v>0</v>
      </c>
      <c r="AH158" s="17">
        <v>0</v>
      </c>
      <c r="AI158" s="15">
        <f t="shared" si="49"/>
        <v>0</v>
      </c>
      <c r="AJ158" s="17"/>
    </row>
    <row r="159" spans="1:36" x14ac:dyDescent="0.3">
      <c r="A159" s="15" t="s">
        <v>208</v>
      </c>
      <c r="B159" s="15">
        <v>1000</v>
      </c>
      <c r="C159" s="15" t="s">
        <v>54</v>
      </c>
      <c r="D159" s="15" t="s">
        <v>68</v>
      </c>
      <c r="E159" s="15">
        <f>'31-july-2026'!T159</f>
        <v>9</v>
      </c>
      <c r="F159" s="15">
        <f>'31-july-2026'!U159</f>
        <v>0</v>
      </c>
      <c r="G159" s="15">
        <f>'31-july-2026'!V159</f>
        <v>0</v>
      </c>
      <c r="H159" s="15">
        <f t="shared" si="40"/>
        <v>9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5">
        <f t="shared" si="41"/>
        <v>9</v>
      </c>
      <c r="T159" s="15">
        <f t="shared" si="42"/>
        <v>9</v>
      </c>
      <c r="U159" s="15">
        <f t="shared" si="43"/>
        <v>0</v>
      </c>
      <c r="V159" s="15">
        <f t="shared" si="44"/>
        <v>0</v>
      </c>
      <c r="W159" s="18" t="str">
        <f t="shared" si="45"/>
        <v/>
      </c>
      <c r="X159" s="17">
        <v>0</v>
      </c>
      <c r="Y159" s="17">
        <v>0</v>
      </c>
      <c r="Z159" s="15">
        <f t="shared" si="46"/>
        <v>0</v>
      </c>
      <c r="AA159" s="17">
        <v>0</v>
      </c>
      <c r="AB159" s="17">
        <v>0</v>
      </c>
      <c r="AC159" s="15">
        <f t="shared" si="47"/>
        <v>0</v>
      </c>
      <c r="AD159" s="17">
        <v>0</v>
      </c>
      <c r="AE159" s="17">
        <v>0</v>
      </c>
      <c r="AF159" s="15">
        <f t="shared" si="48"/>
        <v>0</v>
      </c>
      <c r="AG159" s="17">
        <v>0</v>
      </c>
      <c r="AH159" s="17">
        <v>0</v>
      </c>
      <c r="AI159" s="15">
        <f t="shared" si="49"/>
        <v>0</v>
      </c>
      <c r="AJ159" s="17"/>
    </row>
    <row r="160" spans="1:36" x14ac:dyDescent="0.3">
      <c r="A160" s="15" t="s">
        <v>209</v>
      </c>
      <c r="B160" s="15">
        <v>100</v>
      </c>
      <c r="C160" s="15" t="s">
        <v>54</v>
      </c>
      <c r="D160" s="15" t="s">
        <v>57</v>
      </c>
      <c r="E160" s="15">
        <f>'31-july-2026'!T160</f>
        <v>1</v>
      </c>
      <c r="F160" s="15">
        <f>'31-july-2026'!U160</f>
        <v>0</v>
      </c>
      <c r="G160" s="15">
        <f>'31-july-2026'!V160</f>
        <v>0</v>
      </c>
      <c r="H160" s="15">
        <f t="shared" si="40"/>
        <v>1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5">
        <f t="shared" si="41"/>
        <v>1</v>
      </c>
      <c r="T160" s="15">
        <f t="shared" si="42"/>
        <v>1</v>
      </c>
      <c r="U160" s="15">
        <f t="shared" si="43"/>
        <v>0</v>
      </c>
      <c r="V160" s="15">
        <f t="shared" si="44"/>
        <v>0</v>
      </c>
      <c r="W160" s="18" t="str">
        <f t="shared" si="45"/>
        <v/>
      </c>
      <c r="X160" s="17">
        <v>0</v>
      </c>
      <c r="Y160" s="17">
        <v>0</v>
      </c>
      <c r="Z160" s="15">
        <f t="shared" si="46"/>
        <v>0</v>
      </c>
      <c r="AA160" s="17">
        <v>0</v>
      </c>
      <c r="AB160" s="17">
        <v>0</v>
      </c>
      <c r="AC160" s="15">
        <f t="shared" si="47"/>
        <v>0</v>
      </c>
      <c r="AD160" s="17">
        <v>0</v>
      </c>
      <c r="AE160" s="17">
        <v>0</v>
      </c>
      <c r="AF160" s="15">
        <f t="shared" si="48"/>
        <v>0</v>
      </c>
      <c r="AG160" s="17">
        <v>0</v>
      </c>
      <c r="AH160" s="17">
        <v>0</v>
      </c>
      <c r="AI160" s="15">
        <f t="shared" si="49"/>
        <v>0</v>
      </c>
      <c r="AJ160" s="17"/>
    </row>
    <row r="161" spans="1:36" x14ac:dyDescent="0.3">
      <c r="A161" s="15" t="s">
        <v>210</v>
      </c>
      <c r="B161" s="15">
        <v>1000</v>
      </c>
      <c r="C161" s="15" t="s">
        <v>54</v>
      </c>
      <c r="D161" s="15" t="s">
        <v>68</v>
      </c>
      <c r="E161" s="15">
        <f>'31-july-2026'!T161</f>
        <v>3</v>
      </c>
      <c r="F161" s="15">
        <f>'31-july-2026'!U161</f>
        <v>0</v>
      </c>
      <c r="G161" s="15">
        <f>'31-july-2026'!V161</f>
        <v>0</v>
      </c>
      <c r="H161" s="15">
        <f t="shared" si="40"/>
        <v>3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5">
        <f t="shared" si="41"/>
        <v>3</v>
      </c>
      <c r="T161" s="15">
        <f t="shared" si="42"/>
        <v>3</v>
      </c>
      <c r="U161" s="15">
        <f t="shared" si="43"/>
        <v>0</v>
      </c>
      <c r="V161" s="15">
        <f t="shared" si="44"/>
        <v>0</v>
      </c>
      <c r="W161" s="18" t="str">
        <f t="shared" si="45"/>
        <v/>
      </c>
      <c r="X161" s="17">
        <v>0</v>
      </c>
      <c r="Y161" s="17">
        <v>0</v>
      </c>
      <c r="Z161" s="15">
        <f t="shared" si="46"/>
        <v>0</v>
      </c>
      <c r="AA161" s="17">
        <v>0</v>
      </c>
      <c r="AB161" s="17">
        <v>0</v>
      </c>
      <c r="AC161" s="15">
        <f t="shared" si="47"/>
        <v>0</v>
      </c>
      <c r="AD161" s="17">
        <v>0</v>
      </c>
      <c r="AE161" s="17">
        <v>0</v>
      </c>
      <c r="AF161" s="15">
        <f t="shared" si="48"/>
        <v>0</v>
      </c>
      <c r="AG161" s="17">
        <v>0</v>
      </c>
      <c r="AH161" s="17">
        <v>0</v>
      </c>
      <c r="AI161" s="15">
        <f t="shared" si="49"/>
        <v>0</v>
      </c>
      <c r="AJ161" s="17"/>
    </row>
    <row r="162" spans="1:36" hidden="1" x14ac:dyDescent="0.3">
      <c r="A162" s="15" t="s">
        <v>211</v>
      </c>
      <c r="B162" s="15">
        <v>100</v>
      </c>
      <c r="C162" s="15" t="s">
        <v>54</v>
      </c>
      <c r="D162" s="15" t="s">
        <v>55</v>
      </c>
      <c r="E162" s="15">
        <f>'31-july-2026'!T162</f>
        <v>140</v>
      </c>
      <c r="F162" s="15">
        <f>'31-july-2026'!U162</f>
        <v>165</v>
      </c>
      <c r="G162" s="15">
        <f>'31-july-2026'!V162</f>
        <v>0</v>
      </c>
      <c r="H162" s="15">
        <f t="shared" si="40"/>
        <v>305</v>
      </c>
      <c r="I162" s="17">
        <v>2</v>
      </c>
      <c r="J162" s="17">
        <v>0</v>
      </c>
      <c r="K162" s="17">
        <v>0</v>
      </c>
      <c r="L162" s="17">
        <v>32</v>
      </c>
      <c r="M162" s="17">
        <v>10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5">
        <f t="shared" si="41"/>
        <v>261</v>
      </c>
      <c r="T162" s="15">
        <f t="shared" si="42"/>
        <v>106</v>
      </c>
      <c r="U162" s="15">
        <f t="shared" si="43"/>
        <v>155</v>
      </c>
      <c r="V162" s="15">
        <f t="shared" si="44"/>
        <v>0</v>
      </c>
      <c r="W162" s="18" t="str">
        <f t="shared" si="45"/>
        <v/>
      </c>
      <c r="X162" s="17">
        <v>0</v>
      </c>
      <c r="Y162" s="17">
        <v>0</v>
      </c>
      <c r="Z162" s="15">
        <f t="shared" si="46"/>
        <v>0</v>
      </c>
      <c r="AA162" s="17">
        <v>0</v>
      </c>
      <c r="AB162" s="17">
        <v>0</v>
      </c>
      <c r="AC162" s="15">
        <f t="shared" si="47"/>
        <v>0</v>
      </c>
      <c r="AD162" s="17">
        <v>0</v>
      </c>
      <c r="AE162" s="17">
        <v>0</v>
      </c>
      <c r="AF162" s="15">
        <f t="shared" si="48"/>
        <v>0</v>
      </c>
      <c r="AG162" s="17">
        <v>0</v>
      </c>
      <c r="AH162" s="17">
        <v>0</v>
      </c>
      <c r="AI162" s="15">
        <f t="shared" si="49"/>
        <v>0</v>
      </c>
      <c r="AJ162" s="17"/>
    </row>
    <row r="163" spans="1:36" hidden="1" x14ac:dyDescent="0.3">
      <c r="A163" s="15" t="s">
        <v>212</v>
      </c>
      <c r="B163" s="15">
        <v>100</v>
      </c>
      <c r="C163" s="15" t="s">
        <v>54</v>
      </c>
      <c r="D163" s="15" t="s">
        <v>55</v>
      </c>
      <c r="E163" s="15">
        <f>'31-july-2026'!T163</f>
        <v>11</v>
      </c>
      <c r="F163" s="15">
        <f>'31-july-2026'!U163</f>
        <v>6</v>
      </c>
      <c r="G163" s="15">
        <f>'31-july-2026'!V163</f>
        <v>3</v>
      </c>
      <c r="H163" s="15">
        <f t="shared" ref="H163:H194" si="50">E163+F163+G163</f>
        <v>20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5">
        <f t="shared" ref="S163:S194" si="51">H163+O163+P163+Q163+R163-(I163+J163+K163+L163+M163+N163)</f>
        <v>20</v>
      </c>
      <c r="T163" s="15">
        <f t="shared" ref="T163:T199" si="52">E163+O163-I163-L163</f>
        <v>11</v>
      </c>
      <c r="U163" s="15">
        <f t="shared" ref="U163:U199" si="53">F163+P163-J163-M163</f>
        <v>6</v>
      </c>
      <c r="V163" s="15">
        <f t="shared" ref="V163:V199" si="54">G163+Q163-K163-N163</f>
        <v>3</v>
      </c>
      <c r="W163" s="18" t="str">
        <f t="shared" ref="W163:W194" si="55">IF(MIN(T163,U163,V163)&lt;0,"NEGATIVE STOCK - CHECK ENTRIES","")</f>
        <v/>
      </c>
      <c r="X163" s="17">
        <v>0</v>
      </c>
      <c r="Y163" s="17">
        <v>0</v>
      </c>
      <c r="Z163" s="15">
        <f t="shared" ref="Z163:Z194" si="56">X163-Y163</f>
        <v>0</v>
      </c>
      <c r="AA163" s="17">
        <v>0</v>
      </c>
      <c r="AB163" s="17">
        <v>0</v>
      </c>
      <c r="AC163" s="15">
        <f t="shared" ref="AC163:AC194" si="57">AA163-AB163</f>
        <v>0</v>
      </c>
      <c r="AD163" s="17">
        <v>0</v>
      </c>
      <c r="AE163" s="17">
        <v>0</v>
      </c>
      <c r="AF163" s="15">
        <f t="shared" ref="AF163:AF194" si="58">AD163-AE163</f>
        <v>0</v>
      </c>
      <c r="AG163" s="17">
        <v>0</v>
      </c>
      <c r="AH163" s="17">
        <v>0</v>
      </c>
      <c r="AI163" s="15">
        <f t="shared" ref="AI163:AI194" si="59">AG163-AH163</f>
        <v>0</v>
      </c>
      <c r="AJ163" s="17"/>
    </row>
    <row r="164" spans="1:36" hidden="1" x14ac:dyDescent="0.3">
      <c r="A164" s="15" t="s">
        <v>213</v>
      </c>
      <c r="B164" s="15">
        <v>100</v>
      </c>
      <c r="C164" s="15" t="s">
        <v>54</v>
      </c>
      <c r="D164" s="15" t="s">
        <v>55</v>
      </c>
      <c r="E164" s="15">
        <f>'31-july-2026'!T164</f>
        <v>474</v>
      </c>
      <c r="F164" s="15">
        <f>'31-july-2026'!U164</f>
        <v>100</v>
      </c>
      <c r="G164" s="15">
        <f>'31-july-2026'!V164</f>
        <v>8</v>
      </c>
      <c r="H164" s="15">
        <f t="shared" si="50"/>
        <v>582</v>
      </c>
      <c r="I164" s="17">
        <v>35</v>
      </c>
      <c r="J164" s="17">
        <v>0</v>
      </c>
      <c r="K164" s="17">
        <v>0</v>
      </c>
      <c r="L164" s="17">
        <v>32</v>
      </c>
      <c r="M164" s="17">
        <v>10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5">
        <f t="shared" si="51"/>
        <v>505</v>
      </c>
      <c r="T164" s="15">
        <f t="shared" si="52"/>
        <v>407</v>
      </c>
      <c r="U164" s="15">
        <f t="shared" si="53"/>
        <v>90</v>
      </c>
      <c r="V164" s="15">
        <f t="shared" si="54"/>
        <v>8</v>
      </c>
      <c r="W164" s="18" t="str">
        <f t="shared" si="55"/>
        <v/>
      </c>
      <c r="X164" s="17">
        <v>0</v>
      </c>
      <c r="Y164" s="17">
        <v>0</v>
      </c>
      <c r="Z164" s="15">
        <f t="shared" si="56"/>
        <v>0</v>
      </c>
      <c r="AA164" s="17">
        <v>0</v>
      </c>
      <c r="AB164" s="17">
        <v>0</v>
      </c>
      <c r="AC164" s="15">
        <f t="shared" si="57"/>
        <v>0</v>
      </c>
      <c r="AD164" s="17">
        <v>0</v>
      </c>
      <c r="AE164" s="17">
        <v>0</v>
      </c>
      <c r="AF164" s="15">
        <f t="shared" si="58"/>
        <v>0</v>
      </c>
      <c r="AG164" s="17">
        <v>0</v>
      </c>
      <c r="AH164" s="17">
        <v>0</v>
      </c>
      <c r="AI164" s="15">
        <f t="shared" si="59"/>
        <v>0</v>
      </c>
      <c r="AJ164" s="17"/>
    </row>
    <row r="165" spans="1:36" hidden="1" x14ac:dyDescent="0.3">
      <c r="A165" s="15" t="s">
        <v>213</v>
      </c>
      <c r="B165" s="15">
        <v>1000</v>
      </c>
      <c r="C165" s="15" t="s">
        <v>54</v>
      </c>
      <c r="D165" s="15" t="s">
        <v>55</v>
      </c>
      <c r="E165" s="15">
        <f>'31-july-2026'!T165</f>
        <v>474</v>
      </c>
      <c r="F165" s="15">
        <f>'31-july-2026'!U165</f>
        <v>131</v>
      </c>
      <c r="G165" s="15">
        <f>'31-july-2026'!V165</f>
        <v>0</v>
      </c>
      <c r="H165" s="15">
        <f t="shared" si="50"/>
        <v>605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5">
        <f t="shared" si="51"/>
        <v>605</v>
      </c>
      <c r="T165" s="15">
        <f t="shared" si="52"/>
        <v>474</v>
      </c>
      <c r="U165" s="15">
        <f t="shared" si="53"/>
        <v>131</v>
      </c>
      <c r="V165" s="15">
        <f t="shared" si="54"/>
        <v>0</v>
      </c>
      <c r="W165" s="18" t="str">
        <f t="shared" si="55"/>
        <v/>
      </c>
      <c r="X165" s="17">
        <v>0</v>
      </c>
      <c r="Y165" s="17">
        <v>0</v>
      </c>
      <c r="Z165" s="15">
        <f t="shared" si="56"/>
        <v>0</v>
      </c>
      <c r="AA165" s="17">
        <v>0</v>
      </c>
      <c r="AB165" s="17">
        <v>0</v>
      </c>
      <c r="AC165" s="15">
        <f t="shared" si="57"/>
        <v>0</v>
      </c>
      <c r="AD165" s="17">
        <v>0</v>
      </c>
      <c r="AE165" s="17">
        <v>0</v>
      </c>
      <c r="AF165" s="15">
        <f t="shared" si="58"/>
        <v>0</v>
      </c>
      <c r="AG165" s="17">
        <v>0</v>
      </c>
      <c r="AH165" s="17">
        <v>0</v>
      </c>
      <c r="AI165" s="15">
        <f t="shared" si="59"/>
        <v>0</v>
      </c>
      <c r="AJ165" s="17"/>
    </row>
    <row r="166" spans="1:36" hidden="1" x14ac:dyDescent="0.3">
      <c r="A166" s="15" t="s">
        <v>213</v>
      </c>
      <c r="B166" s="15">
        <v>500</v>
      </c>
      <c r="C166" s="15" t="s">
        <v>54</v>
      </c>
      <c r="D166" s="15" t="s">
        <v>55</v>
      </c>
      <c r="E166" s="15">
        <f>'31-july-2026'!T166</f>
        <v>110</v>
      </c>
      <c r="F166" s="15">
        <f>'31-july-2026'!U166</f>
        <v>0</v>
      </c>
      <c r="G166" s="15">
        <f>'31-july-2026'!V166</f>
        <v>0</v>
      </c>
      <c r="H166" s="15">
        <f t="shared" si="50"/>
        <v>110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5">
        <f t="shared" si="51"/>
        <v>110</v>
      </c>
      <c r="T166" s="15">
        <f t="shared" si="52"/>
        <v>110</v>
      </c>
      <c r="U166" s="15">
        <f t="shared" si="53"/>
        <v>0</v>
      </c>
      <c r="V166" s="15">
        <f t="shared" si="54"/>
        <v>0</v>
      </c>
      <c r="W166" s="18" t="str">
        <f t="shared" si="55"/>
        <v/>
      </c>
      <c r="X166" s="17">
        <v>0</v>
      </c>
      <c r="Y166" s="17">
        <v>0</v>
      </c>
      <c r="Z166" s="15">
        <f t="shared" si="56"/>
        <v>0</v>
      </c>
      <c r="AA166" s="17">
        <v>0</v>
      </c>
      <c r="AB166" s="17">
        <v>0</v>
      </c>
      <c r="AC166" s="15">
        <f t="shared" si="57"/>
        <v>0</v>
      </c>
      <c r="AD166" s="17">
        <v>0</v>
      </c>
      <c r="AE166" s="17">
        <v>0</v>
      </c>
      <c r="AF166" s="15">
        <f t="shared" si="58"/>
        <v>0</v>
      </c>
      <c r="AG166" s="17">
        <v>0</v>
      </c>
      <c r="AH166" s="17">
        <v>0</v>
      </c>
      <c r="AI166" s="15">
        <f t="shared" si="59"/>
        <v>0</v>
      </c>
      <c r="AJ166" s="17"/>
    </row>
    <row r="167" spans="1:36" hidden="1" x14ac:dyDescent="0.3">
      <c r="A167" s="15" t="s">
        <v>214</v>
      </c>
      <c r="B167" s="15">
        <v>1000</v>
      </c>
      <c r="C167" s="15" t="s">
        <v>54</v>
      </c>
      <c r="D167" s="15" t="s">
        <v>55</v>
      </c>
      <c r="E167" s="15">
        <f>'31-july-2026'!T167</f>
        <v>23</v>
      </c>
      <c r="F167" s="15">
        <f>'31-july-2026'!U167</f>
        <v>0</v>
      </c>
      <c r="G167" s="15">
        <f>'31-july-2026'!V167</f>
        <v>2</v>
      </c>
      <c r="H167" s="15">
        <f t="shared" si="50"/>
        <v>25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5">
        <f t="shared" si="51"/>
        <v>25</v>
      </c>
      <c r="T167" s="15">
        <f t="shared" si="52"/>
        <v>23</v>
      </c>
      <c r="U167" s="15">
        <f t="shared" si="53"/>
        <v>0</v>
      </c>
      <c r="V167" s="15">
        <f t="shared" si="54"/>
        <v>2</v>
      </c>
      <c r="W167" s="18" t="str">
        <f t="shared" si="55"/>
        <v/>
      </c>
      <c r="X167" s="17">
        <v>0</v>
      </c>
      <c r="Y167" s="17">
        <v>0</v>
      </c>
      <c r="Z167" s="15">
        <f t="shared" si="56"/>
        <v>0</v>
      </c>
      <c r="AA167" s="17">
        <v>0</v>
      </c>
      <c r="AB167" s="17">
        <v>0</v>
      </c>
      <c r="AC167" s="15">
        <f t="shared" si="57"/>
        <v>0</v>
      </c>
      <c r="AD167" s="17">
        <v>0</v>
      </c>
      <c r="AE167" s="17">
        <v>0</v>
      </c>
      <c r="AF167" s="15">
        <f t="shared" si="58"/>
        <v>0</v>
      </c>
      <c r="AG167" s="17">
        <v>0</v>
      </c>
      <c r="AH167" s="17">
        <v>0</v>
      </c>
      <c r="AI167" s="15">
        <f t="shared" si="59"/>
        <v>0</v>
      </c>
      <c r="AJ167" s="17"/>
    </row>
    <row r="168" spans="1:36" hidden="1" x14ac:dyDescent="0.3">
      <c r="A168" s="15" t="s">
        <v>215</v>
      </c>
      <c r="B168" s="15">
        <v>100</v>
      </c>
      <c r="C168" s="15" t="s">
        <v>54</v>
      </c>
      <c r="D168" s="15" t="s">
        <v>55</v>
      </c>
      <c r="E168" s="15">
        <f>'31-july-2026'!T168</f>
        <v>363</v>
      </c>
      <c r="F168" s="15">
        <f>'31-july-2026'!U168</f>
        <v>642</v>
      </c>
      <c r="G168" s="15">
        <f>'31-july-2026'!V168</f>
        <v>0</v>
      </c>
      <c r="H168" s="15">
        <f t="shared" si="50"/>
        <v>1005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5">
        <f t="shared" si="51"/>
        <v>1005</v>
      </c>
      <c r="T168" s="15">
        <f t="shared" si="52"/>
        <v>363</v>
      </c>
      <c r="U168" s="15">
        <f t="shared" si="53"/>
        <v>642</v>
      </c>
      <c r="V168" s="15">
        <f t="shared" si="54"/>
        <v>0</v>
      </c>
      <c r="W168" s="18" t="str">
        <f t="shared" si="55"/>
        <v/>
      </c>
      <c r="X168" s="17">
        <v>0</v>
      </c>
      <c r="Y168" s="17">
        <v>0</v>
      </c>
      <c r="Z168" s="15">
        <f t="shared" si="56"/>
        <v>0</v>
      </c>
      <c r="AA168" s="17">
        <v>0</v>
      </c>
      <c r="AB168" s="17">
        <v>0</v>
      </c>
      <c r="AC168" s="15">
        <f t="shared" si="57"/>
        <v>0</v>
      </c>
      <c r="AD168" s="17">
        <v>0</v>
      </c>
      <c r="AE168" s="17">
        <v>0</v>
      </c>
      <c r="AF168" s="15">
        <f t="shared" si="58"/>
        <v>0</v>
      </c>
      <c r="AG168" s="17">
        <v>0</v>
      </c>
      <c r="AH168" s="17">
        <v>0</v>
      </c>
      <c r="AI168" s="15">
        <f t="shared" si="59"/>
        <v>0</v>
      </c>
      <c r="AJ168" s="17"/>
    </row>
    <row r="169" spans="1:36" hidden="1" x14ac:dyDescent="0.3">
      <c r="A169" s="15" t="s">
        <v>216</v>
      </c>
      <c r="B169" s="15">
        <v>100</v>
      </c>
      <c r="C169" s="15" t="s">
        <v>54</v>
      </c>
      <c r="D169" s="15" t="s">
        <v>55</v>
      </c>
      <c r="E169" s="15">
        <f>'31-july-2026'!T169</f>
        <v>0</v>
      </c>
      <c r="F169" s="15">
        <f>'31-july-2026'!U169</f>
        <v>9</v>
      </c>
      <c r="G169" s="15">
        <f>'31-july-2026'!V169</f>
        <v>0</v>
      </c>
      <c r="H169" s="15">
        <f t="shared" si="50"/>
        <v>9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5">
        <f t="shared" si="51"/>
        <v>9</v>
      </c>
      <c r="T169" s="15">
        <f t="shared" si="52"/>
        <v>0</v>
      </c>
      <c r="U169" s="15">
        <f t="shared" si="53"/>
        <v>9</v>
      </c>
      <c r="V169" s="15">
        <f t="shared" si="54"/>
        <v>0</v>
      </c>
      <c r="W169" s="18" t="str">
        <f t="shared" si="55"/>
        <v/>
      </c>
      <c r="X169" s="17">
        <v>0</v>
      </c>
      <c r="Y169" s="17">
        <v>0</v>
      </c>
      <c r="Z169" s="15">
        <f t="shared" si="56"/>
        <v>0</v>
      </c>
      <c r="AA169" s="17">
        <v>0</v>
      </c>
      <c r="AB169" s="17">
        <v>0</v>
      </c>
      <c r="AC169" s="15">
        <f t="shared" si="57"/>
        <v>0</v>
      </c>
      <c r="AD169" s="17">
        <v>0</v>
      </c>
      <c r="AE169" s="17">
        <v>0</v>
      </c>
      <c r="AF169" s="15">
        <f t="shared" si="58"/>
        <v>0</v>
      </c>
      <c r="AG169" s="17">
        <v>0</v>
      </c>
      <c r="AH169" s="17">
        <v>0</v>
      </c>
      <c r="AI169" s="15">
        <f t="shared" si="59"/>
        <v>0</v>
      </c>
      <c r="AJ169" s="17"/>
    </row>
    <row r="170" spans="1:36" hidden="1" x14ac:dyDescent="0.3">
      <c r="A170" s="15" t="s">
        <v>217</v>
      </c>
      <c r="B170" s="15">
        <v>100</v>
      </c>
      <c r="C170" s="15" t="s">
        <v>54</v>
      </c>
      <c r="D170" s="15" t="s">
        <v>55</v>
      </c>
      <c r="E170" s="15">
        <f>'31-july-2026'!T170</f>
        <v>10</v>
      </c>
      <c r="F170" s="15">
        <f>'31-july-2026'!U170</f>
        <v>5</v>
      </c>
      <c r="G170" s="15">
        <f>'31-july-2026'!V170</f>
        <v>0</v>
      </c>
      <c r="H170" s="15">
        <f t="shared" si="50"/>
        <v>15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5">
        <f t="shared" si="51"/>
        <v>15</v>
      </c>
      <c r="T170" s="15">
        <f t="shared" si="52"/>
        <v>10</v>
      </c>
      <c r="U170" s="15">
        <f t="shared" si="53"/>
        <v>5</v>
      </c>
      <c r="V170" s="15">
        <f t="shared" si="54"/>
        <v>0</v>
      </c>
      <c r="W170" s="18" t="str">
        <f t="shared" si="55"/>
        <v/>
      </c>
      <c r="X170" s="17">
        <v>0</v>
      </c>
      <c r="Y170" s="17">
        <v>0</v>
      </c>
      <c r="Z170" s="15">
        <f t="shared" si="56"/>
        <v>0</v>
      </c>
      <c r="AA170" s="17">
        <v>0</v>
      </c>
      <c r="AB170" s="17">
        <v>0</v>
      </c>
      <c r="AC170" s="15">
        <f t="shared" si="57"/>
        <v>0</v>
      </c>
      <c r="AD170" s="17">
        <v>0</v>
      </c>
      <c r="AE170" s="17">
        <v>0</v>
      </c>
      <c r="AF170" s="15">
        <f t="shared" si="58"/>
        <v>0</v>
      </c>
      <c r="AG170" s="17">
        <v>0</v>
      </c>
      <c r="AH170" s="17">
        <v>0</v>
      </c>
      <c r="AI170" s="15">
        <f t="shared" si="59"/>
        <v>0</v>
      </c>
      <c r="AJ170" s="17"/>
    </row>
    <row r="171" spans="1:36" hidden="1" x14ac:dyDescent="0.3">
      <c r="A171" s="15" t="s">
        <v>218</v>
      </c>
      <c r="B171" s="15">
        <v>100</v>
      </c>
      <c r="C171" s="15" t="s">
        <v>54</v>
      </c>
      <c r="D171" s="15" t="s">
        <v>55</v>
      </c>
      <c r="E171" s="15">
        <f>'31-july-2026'!T171</f>
        <v>262</v>
      </c>
      <c r="F171" s="15">
        <f>'31-july-2026'!U171</f>
        <v>47</v>
      </c>
      <c r="G171" s="15">
        <f>'31-july-2026'!V171</f>
        <v>0</v>
      </c>
      <c r="H171" s="15">
        <f t="shared" si="50"/>
        <v>309</v>
      </c>
      <c r="I171" s="17">
        <v>2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5">
        <f t="shared" si="51"/>
        <v>307</v>
      </c>
      <c r="T171" s="15">
        <f t="shared" si="52"/>
        <v>260</v>
      </c>
      <c r="U171" s="15">
        <f t="shared" si="53"/>
        <v>47</v>
      </c>
      <c r="V171" s="15">
        <f t="shared" si="54"/>
        <v>0</v>
      </c>
      <c r="W171" s="18" t="str">
        <f t="shared" si="55"/>
        <v/>
      </c>
      <c r="X171" s="17">
        <v>0</v>
      </c>
      <c r="Y171" s="17">
        <v>0</v>
      </c>
      <c r="Z171" s="15">
        <f t="shared" si="56"/>
        <v>0</v>
      </c>
      <c r="AA171" s="17">
        <v>0</v>
      </c>
      <c r="AB171" s="17">
        <v>0</v>
      </c>
      <c r="AC171" s="15">
        <f t="shared" si="57"/>
        <v>0</v>
      </c>
      <c r="AD171" s="17">
        <v>0</v>
      </c>
      <c r="AE171" s="17">
        <v>0</v>
      </c>
      <c r="AF171" s="15">
        <f t="shared" si="58"/>
        <v>0</v>
      </c>
      <c r="AG171" s="17">
        <v>0</v>
      </c>
      <c r="AH171" s="17">
        <v>0</v>
      </c>
      <c r="AI171" s="15">
        <f t="shared" si="59"/>
        <v>0</v>
      </c>
      <c r="AJ171" s="17"/>
    </row>
    <row r="172" spans="1:36" hidden="1" x14ac:dyDescent="0.3">
      <c r="A172" s="15" t="s">
        <v>219</v>
      </c>
      <c r="B172" s="15">
        <v>100</v>
      </c>
      <c r="C172" s="15" t="s">
        <v>54</v>
      </c>
      <c r="D172" s="15" t="s">
        <v>55</v>
      </c>
      <c r="E172" s="15">
        <f>'31-july-2026'!T172</f>
        <v>32</v>
      </c>
      <c r="F172" s="15">
        <f>'31-july-2026'!U172</f>
        <v>1</v>
      </c>
      <c r="G172" s="15">
        <f>'31-july-2026'!V172</f>
        <v>0</v>
      </c>
      <c r="H172" s="15">
        <f t="shared" si="50"/>
        <v>33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5">
        <f t="shared" si="51"/>
        <v>33</v>
      </c>
      <c r="T172" s="15">
        <f t="shared" si="52"/>
        <v>32</v>
      </c>
      <c r="U172" s="15">
        <f t="shared" si="53"/>
        <v>1</v>
      </c>
      <c r="V172" s="15">
        <f t="shared" si="54"/>
        <v>0</v>
      </c>
      <c r="W172" s="18" t="str">
        <f t="shared" si="55"/>
        <v/>
      </c>
      <c r="X172" s="17">
        <v>0</v>
      </c>
      <c r="Y172" s="17">
        <v>0</v>
      </c>
      <c r="Z172" s="15">
        <f t="shared" si="56"/>
        <v>0</v>
      </c>
      <c r="AA172" s="17">
        <v>0</v>
      </c>
      <c r="AB172" s="17">
        <v>0</v>
      </c>
      <c r="AC172" s="15">
        <f t="shared" si="57"/>
        <v>0</v>
      </c>
      <c r="AD172" s="17">
        <v>0</v>
      </c>
      <c r="AE172" s="17">
        <v>0</v>
      </c>
      <c r="AF172" s="15">
        <f t="shared" si="58"/>
        <v>0</v>
      </c>
      <c r="AG172" s="17">
        <v>0</v>
      </c>
      <c r="AH172" s="17">
        <v>0</v>
      </c>
      <c r="AI172" s="15">
        <f t="shared" si="59"/>
        <v>0</v>
      </c>
      <c r="AJ172" s="17"/>
    </row>
    <row r="173" spans="1:36" x14ac:dyDescent="0.3">
      <c r="A173" s="15" t="s">
        <v>220</v>
      </c>
      <c r="B173" s="15">
        <v>1000</v>
      </c>
      <c r="C173" s="15" t="s">
        <v>54</v>
      </c>
      <c r="D173" s="15" t="s">
        <v>57</v>
      </c>
      <c r="E173" s="15">
        <f>'31-july-2026'!T173</f>
        <v>5</v>
      </c>
      <c r="F173" s="15">
        <f>'31-july-2026'!U173</f>
        <v>0</v>
      </c>
      <c r="G173" s="15">
        <f>'31-july-2026'!V173</f>
        <v>0</v>
      </c>
      <c r="H173" s="15">
        <f t="shared" si="50"/>
        <v>5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5">
        <f t="shared" si="51"/>
        <v>5</v>
      </c>
      <c r="T173" s="15">
        <f t="shared" si="52"/>
        <v>5</v>
      </c>
      <c r="U173" s="15">
        <f t="shared" si="53"/>
        <v>0</v>
      </c>
      <c r="V173" s="15">
        <f t="shared" si="54"/>
        <v>0</v>
      </c>
      <c r="W173" s="18" t="str">
        <f t="shared" si="55"/>
        <v/>
      </c>
      <c r="X173" s="17">
        <v>0</v>
      </c>
      <c r="Y173" s="17">
        <v>0</v>
      </c>
      <c r="Z173" s="15">
        <f t="shared" si="56"/>
        <v>0</v>
      </c>
      <c r="AA173" s="17">
        <v>0</v>
      </c>
      <c r="AB173" s="17">
        <v>0</v>
      </c>
      <c r="AC173" s="15">
        <f t="shared" si="57"/>
        <v>0</v>
      </c>
      <c r="AD173" s="17">
        <v>0</v>
      </c>
      <c r="AE173" s="17">
        <v>0</v>
      </c>
      <c r="AF173" s="15">
        <f t="shared" si="58"/>
        <v>0</v>
      </c>
      <c r="AG173" s="17">
        <v>0</v>
      </c>
      <c r="AH173" s="17">
        <v>0</v>
      </c>
      <c r="AI173" s="15">
        <f t="shared" si="59"/>
        <v>0</v>
      </c>
      <c r="AJ173" s="17"/>
    </row>
    <row r="174" spans="1:36" x14ac:dyDescent="0.3">
      <c r="A174" s="15" t="s">
        <v>221</v>
      </c>
      <c r="B174" s="15">
        <v>1000</v>
      </c>
      <c r="C174" s="15" t="s">
        <v>54</v>
      </c>
      <c r="D174" s="15" t="s">
        <v>68</v>
      </c>
      <c r="E174" s="15">
        <f>'31-july-2026'!T174</f>
        <v>2</v>
      </c>
      <c r="F174" s="15">
        <f>'31-july-2026'!U174</f>
        <v>0</v>
      </c>
      <c r="G174" s="15">
        <f>'31-july-2026'!V174</f>
        <v>0</v>
      </c>
      <c r="H174" s="15">
        <f t="shared" si="50"/>
        <v>2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5">
        <f t="shared" si="51"/>
        <v>2</v>
      </c>
      <c r="T174" s="15">
        <f t="shared" si="52"/>
        <v>2</v>
      </c>
      <c r="U174" s="15">
        <f t="shared" si="53"/>
        <v>0</v>
      </c>
      <c r="V174" s="15">
        <f t="shared" si="54"/>
        <v>0</v>
      </c>
      <c r="W174" s="18" t="str">
        <f t="shared" si="55"/>
        <v/>
      </c>
      <c r="X174" s="17">
        <v>0</v>
      </c>
      <c r="Y174" s="17">
        <v>0</v>
      </c>
      <c r="Z174" s="15">
        <f t="shared" si="56"/>
        <v>0</v>
      </c>
      <c r="AA174" s="17">
        <v>0</v>
      </c>
      <c r="AB174" s="17">
        <v>0</v>
      </c>
      <c r="AC174" s="15">
        <f t="shared" si="57"/>
        <v>0</v>
      </c>
      <c r="AD174" s="17">
        <v>0</v>
      </c>
      <c r="AE174" s="17">
        <v>0</v>
      </c>
      <c r="AF174" s="15">
        <f t="shared" si="58"/>
        <v>0</v>
      </c>
      <c r="AG174" s="17">
        <v>0</v>
      </c>
      <c r="AH174" s="17">
        <v>0</v>
      </c>
      <c r="AI174" s="15">
        <f t="shared" si="59"/>
        <v>0</v>
      </c>
      <c r="AJ174" s="17"/>
    </row>
    <row r="175" spans="1:36" x14ac:dyDescent="0.3">
      <c r="A175" s="15" t="s">
        <v>222</v>
      </c>
      <c r="B175" s="15">
        <v>1000</v>
      </c>
      <c r="C175" s="15" t="s">
        <v>54</v>
      </c>
      <c r="D175" s="15" t="s">
        <v>68</v>
      </c>
      <c r="E175" s="15">
        <f>'31-july-2026'!T175</f>
        <v>2</v>
      </c>
      <c r="F175" s="15">
        <f>'31-july-2026'!U175</f>
        <v>0</v>
      </c>
      <c r="G175" s="15">
        <f>'31-july-2026'!V175</f>
        <v>0</v>
      </c>
      <c r="H175" s="15">
        <f t="shared" si="50"/>
        <v>2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5">
        <f t="shared" si="51"/>
        <v>2</v>
      </c>
      <c r="T175" s="15">
        <f t="shared" si="52"/>
        <v>2</v>
      </c>
      <c r="U175" s="15">
        <f t="shared" si="53"/>
        <v>0</v>
      </c>
      <c r="V175" s="15">
        <f t="shared" si="54"/>
        <v>0</v>
      </c>
      <c r="W175" s="18" t="str">
        <f t="shared" si="55"/>
        <v/>
      </c>
      <c r="X175" s="17">
        <v>0</v>
      </c>
      <c r="Y175" s="17">
        <v>0</v>
      </c>
      <c r="Z175" s="15">
        <f t="shared" si="56"/>
        <v>0</v>
      </c>
      <c r="AA175" s="17">
        <v>0</v>
      </c>
      <c r="AB175" s="17">
        <v>0</v>
      </c>
      <c r="AC175" s="15">
        <f t="shared" si="57"/>
        <v>0</v>
      </c>
      <c r="AD175" s="17">
        <v>0</v>
      </c>
      <c r="AE175" s="17">
        <v>0</v>
      </c>
      <c r="AF175" s="15">
        <f t="shared" si="58"/>
        <v>0</v>
      </c>
      <c r="AG175" s="17">
        <v>0</v>
      </c>
      <c r="AH175" s="17">
        <v>0</v>
      </c>
      <c r="AI175" s="15">
        <f t="shared" si="59"/>
        <v>0</v>
      </c>
      <c r="AJ175" s="17"/>
    </row>
    <row r="176" spans="1:36" x14ac:dyDescent="0.3">
      <c r="A176" s="15" t="s">
        <v>223</v>
      </c>
      <c r="B176" s="15">
        <v>100</v>
      </c>
      <c r="C176" s="15" t="s">
        <v>54</v>
      </c>
      <c r="D176" s="15" t="s">
        <v>57</v>
      </c>
      <c r="E176" s="15">
        <f>'31-july-2026'!T176</f>
        <v>1</v>
      </c>
      <c r="F176" s="15">
        <f>'31-july-2026'!U176</f>
        <v>0</v>
      </c>
      <c r="G176" s="15">
        <f>'31-july-2026'!V176</f>
        <v>0</v>
      </c>
      <c r="H176" s="15">
        <f t="shared" si="50"/>
        <v>1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5">
        <f t="shared" si="51"/>
        <v>1</v>
      </c>
      <c r="T176" s="15">
        <f t="shared" si="52"/>
        <v>1</v>
      </c>
      <c r="U176" s="15">
        <f t="shared" si="53"/>
        <v>0</v>
      </c>
      <c r="V176" s="15">
        <f t="shared" si="54"/>
        <v>0</v>
      </c>
      <c r="W176" s="18" t="str">
        <f t="shared" si="55"/>
        <v/>
      </c>
      <c r="X176" s="17">
        <v>0</v>
      </c>
      <c r="Y176" s="17">
        <v>0</v>
      </c>
      <c r="Z176" s="15">
        <f t="shared" si="56"/>
        <v>0</v>
      </c>
      <c r="AA176" s="17">
        <v>0</v>
      </c>
      <c r="AB176" s="17">
        <v>0</v>
      </c>
      <c r="AC176" s="15">
        <f t="shared" si="57"/>
        <v>0</v>
      </c>
      <c r="AD176" s="17">
        <v>0</v>
      </c>
      <c r="AE176" s="17">
        <v>0</v>
      </c>
      <c r="AF176" s="15">
        <f t="shared" si="58"/>
        <v>0</v>
      </c>
      <c r="AG176" s="17">
        <v>0</v>
      </c>
      <c r="AH176" s="17">
        <v>0</v>
      </c>
      <c r="AI176" s="15">
        <f t="shared" si="59"/>
        <v>0</v>
      </c>
      <c r="AJ176" s="17"/>
    </row>
    <row r="177" spans="1:36" hidden="1" x14ac:dyDescent="0.3">
      <c r="A177" s="15" t="s">
        <v>224</v>
      </c>
      <c r="B177" s="15" t="s">
        <v>225</v>
      </c>
      <c r="C177" s="15" t="s">
        <v>54</v>
      </c>
      <c r="D177" s="15" t="s">
        <v>55</v>
      </c>
      <c r="E177" s="15">
        <f>'31-july-2026'!T177</f>
        <v>0</v>
      </c>
      <c r="F177" s="15">
        <f>'31-july-2026'!U177</f>
        <v>4</v>
      </c>
      <c r="G177" s="15">
        <f>'31-july-2026'!V177</f>
        <v>0</v>
      </c>
      <c r="H177" s="15">
        <f t="shared" si="50"/>
        <v>4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5">
        <f t="shared" si="51"/>
        <v>4</v>
      </c>
      <c r="T177" s="15">
        <f t="shared" si="52"/>
        <v>0</v>
      </c>
      <c r="U177" s="15">
        <f t="shared" si="53"/>
        <v>4</v>
      </c>
      <c r="V177" s="15">
        <f t="shared" si="54"/>
        <v>0</v>
      </c>
      <c r="W177" s="18" t="str">
        <f t="shared" si="55"/>
        <v/>
      </c>
      <c r="X177" s="17">
        <v>0</v>
      </c>
      <c r="Y177" s="17">
        <v>0</v>
      </c>
      <c r="Z177" s="15">
        <f t="shared" si="56"/>
        <v>0</v>
      </c>
      <c r="AA177" s="17">
        <v>0</v>
      </c>
      <c r="AB177" s="17">
        <v>0</v>
      </c>
      <c r="AC177" s="15">
        <f t="shared" si="57"/>
        <v>0</v>
      </c>
      <c r="AD177" s="17">
        <v>0</v>
      </c>
      <c r="AE177" s="17">
        <v>0</v>
      </c>
      <c r="AF177" s="15">
        <f t="shared" si="58"/>
        <v>0</v>
      </c>
      <c r="AG177" s="17">
        <v>0</v>
      </c>
      <c r="AH177" s="17">
        <v>0</v>
      </c>
      <c r="AI177" s="15">
        <f t="shared" si="59"/>
        <v>0</v>
      </c>
      <c r="AJ177" s="17"/>
    </row>
    <row r="178" spans="1:36" x14ac:dyDescent="0.3">
      <c r="A178" s="15" t="s">
        <v>226</v>
      </c>
      <c r="B178" s="15">
        <v>100</v>
      </c>
      <c r="C178" s="15" t="s">
        <v>54</v>
      </c>
      <c r="D178" s="15" t="s">
        <v>68</v>
      </c>
      <c r="E178" s="15">
        <f>'31-july-2026'!T178</f>
        <v>2</v>
      </c>
      <c r="F178" s="15">
        <f>'31-july-2026'!U178</f>
        <v>0</v>
      </c>
      <c r="G178" s="15">
        <f>'31-july-2026'!V178</f>
        <v>0</v>
      </c>
      <c r="H178" s="15">
        <f t="shared" si="50"/>
        <v>2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5">
        <f t="shared" si="51"/>
        <v>2</v>
      </c>
      <c r="T178" s="15">
        <f t="shared" si="52"/>
        <v>2</v>
      </c>
      <c r="U178" s="15">
        <f t="shared" si="53"/>
        <v>0</v>
      </c>
      <c r="V178" s="15">
        <f t="shared" si="54"/>
        <v>0</v>
      </c>
      <c r="W178" s="18" t="str">
        <f t="shared" si="55"/>
        <v/>
      </c>
      <c r="X178" s="17">
        <v>0</v>
      </c>
      <c r="Y178" s="17">
        <v>0</v>
      </c>
      <c r="Z178" s="15">
        <f t="shared" si="56"/>
        <v>0</v>
      </c>
      <c r="AA178" s="17">
        <v>0</v>
      </c>
      <c r="AB178" s="17">
        <v>0</v>
      </c>
      <c r="AC178" s="15">
        <f t="shared" si="57"/>
        <v>0</v>
      </c>
      <c r="AD178" s="17">
        <v>0</v>
      </c>
      <c r="AE178" s="17">
        <v>0</v>
      </c>
      <c r="AF178" s="15">
        <f t="shared" si="58"/>
        <v>0</v>
      </c>
      <c r="AG178" s="17">
        <v>0</v>
      </c>
      <c r="AH178" s="17">
        <v>0</v>
      </c>
      <c r="AI178" s="15">
        <f t="shared" si="59"/>
        <v>0</v>
      </c>
      <c r="AJ178" s="17"/>
    </row>
    <row r="179" spans="1:36" hidden="1" x14ac:dyDescent="0.3">
      <c r="A179" s="15" t="s">
        <v>227</v>
      </c>
      <c r="B179" s="15">
        <v>100</v>
      </c>
      <c r="C179" s="15" t="s">
        <v>54</v>
      </c>
      <c r="D179" s="15" t="s">
        <v>55</v>
      </c>
      <c r="E179" s="15">
        <f>'31-july-2026'!T179</f>
        <v>81</v>
      </c>
      <c r="F179" s="15">
        <f>'31-july-2026'!U179</f>
        <v>0</v>
      </c>
      <c r="G179" s="15">
        <f>'31-july-2026'!V179</f>
        <v>0</v>
      </c>
      <c r="H179" s="15">
        <f t="shared" si="50"/>
        <v>81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5">
        <f t="shared" si="51"/>
        <v>81</v>
      </c>
      <c r="T179" s="15">
        <f t="shared" si="52"/>
        <v>81</v>
      </c>
      <c r="U179" s="15">
        <f t="shared" si="53"/>
        <v>0</v>
      </c>
      <c r="V179" s="15">
        <f t="shared" si="54"/>
        <v>0</v>
      </c>
      <c r="W179" s="18" t="str">
        <f t="shared" si="55"/>
        <v/>
      </c>
      <c r="X179" s="17">
        <v>0</v>
      </c>
      <c r="Y179" s="17">
        <v>0</v>
      </c>
      <c r="Z179" s="15">
        <f t="shared" si="56"/>
        <v>0</v>
      </c>
      <c r="AA179" s="17">
        <v>0</v>
      </c>
      <c r="AB179" s="17">
        <v>0</v>
      </c>
      <c r="AC179" s="15">
        <f t="shared" si="57"/>
        <v>0</v>
      </c>
      <c r="AD179" s="17">
        <v>0</v>
      </c>
      <c r="AE179" s="17">
        <v>0</v>
      </c>
      <c r="AF179" s="15">
        <f t="shared" si="58"/>
        <v>0</v>
      </c>
      <c r="AG179" s="17">
        <v>0</v>
      </c>
      <c r="AH179" s="17">
        <v>0</v>
      </c>
      <c r="AI179" s="15">
        <f t="shared" si="59"/>
        <v>0</v>
      </c>
      <c r="AJ179" s="17"/>
    </row>
    <row r="180" spans="1:36" x14ac:dyDescent="0.3">
      <c r="A180" s="15" t="s">
        <v>228</v>
      </c>
      <c r="B180" s="15">
        <v>1000</v>
      </c>
      <c r="C180" s="15" t="s">
        <v>54</v>
      </c>
      <c r="D180" s="15" t="s">
        <v>57</v>
      </c>
      <c r="E180" s="15">
        <f>'31-july-2026'!T180</f>
        <v>5</v>
      </c>
      <c r="F180" s="15">
        <f>'31-july-2026'!U180</f>
        <v>0</v>
      </c>
      <c r="G180" s="15">
        <f>'31-july-2026'!V180</f>
        <v>0</v>
      </c>
      <c r="H180" s="15">
        <f t="shared" si="50"/>
        <v>5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5">
        <f t="shared" si="51"/>
        <v>5</v>
      </c>
      <c r="T180" s="15">
        <f t="shared" si="52"/>
        <v>5</v>
      </c>
      <c r="U180" s="15">
        <f t="shared" si="53"/>
        <v>0</v>
      </c>
      <c r="V180" s="15">
        <f t="shared" si="54"/>
        <v>0</v>
      </c>
      <c r="W180" s="18" t="str">
        <f t="shared" si="55"/>
        <v/>
      </c>
      <c r="X180" s="17">
        <v>0</v>
      </c>
      <c r="Y180" s="17">
        <v>0</v>
      </c>
      <c r="Z180" s="15">
        <f t="shared" si="56"/>
        <v>0</v>
      </c>
      <c r="AA180" s="17">
        <v>0</v>
      </c>
      <c r="AB180" s="17">
        <v>0</v>
      </c>
      <c r="AC180" s="15">
        <f t="shared" si="57"/>
        <v>0</v>
      </c>
      <c r="AD180" s="17">
        <v>0</v>
      </c>
      <c r="AE180" s="17">
        <v>0</v>
      </c>
      <c r="AF180" s="15">
        <f t="shared" si="58"/>
        <v>0</v>
      </c>
      <c r="AG180" s="17">
        <v>0</v>
      </c>
      <c r="AH180" s="17">
        <v>0</v>
      </c>
      <c r="AI180" s="15">
        <f t="shared" si="59"/>
        <v>0</v>
      </c>
      <c r="AJ180" s="17"/>
    </row>
    <row r="181" spans="1:36" x14ac:dyDescent="0.3">
      <c r="A181" s="15" t="s">
        <v>229</v>
      </c>
      <c r="B181" s="15">
        <v>100</v>
      </c>
      <c r="C181" s="15" t="s">
        <v>54</v>
      </c>
      <c r="D181" s="15" t="s">
        <v>68</v>
      </c>
      <c r="E181" s="15">
        <f>'31-july-2026'!T181</f>
        <v>3</v>
      </c>
      <c r="F181" s="15">
        <f>'31-july-2026'!U181</f>
        <v>0</v>
      </c>
      <c r="G181" s="15">
        <f>'31-july-2026'!V181</f>
        <v>0</v>
      </c>
      <c r="H181" s="15">
        <f t="shared" si="50"/>
        <v>3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5">
        <f t="shared" si="51"/>
        <v>3</v>
      </c>
      <c r="T181" s="15">
        <f t="shared" si="52"/>
        <v>3</v>
      </c>
      <c r="U181" s="15">
        <f t="shared" si="53"/>
        <v>0</v>
      </c>
      <c r="V181" s="15">
        <f t="shared" si="54"/>
        <v>0</v>
      </c>
      <c r="W181" s="18" t="str">
        <f t="shared" si="55"/>
        <v/>
      </c>
      <c r="X181" s="17">
        <v>0</v>
      </c>
      <c r="Y181" s="17">
        <v>0</v>
      </c>
      <c r="Z181" s="15">
        <f t="shared" si="56"/>
        <v>0</v>
      </c>
      <c r="AA181" s="17">
        <v>0</v>
      </c>
      <c r="AB181" s="17">
        <v>0</v>
      </c>
      <c r="AC181" s="15">
        <f t="shared" si="57"/>
        <v>0</v>
      </c>
      <c r="AD181" s="17">
        <v>0</v>
      </c>
      <c r="AE181" s="17">
        <v>0</v>
      </c>
      <c r="AF181" s="15">
        <f t="shared" si="58"/>
        <v>0</v>
      </c>
      <c r="AG181" s="17">
        <v>0</v>
      </c>
      <c r="AH181" s="17">
        <v>0</v>
      </c>
      <c r="AI181" s="15">
        <f t="shared" si="59"/>
        <v>0</v>
      </c>
      <c r="AJ181" s="17"/>
    </row>
    <row r="182" spans="1:36" x14ac:dyDescent="0.3">
      <c r="A182" s="15" t="s">
        <v>230</v>
      </c>
      <c r="B182" s="15">
        <v>1000</v>
      </c>
      <c r="C182" s="15" t="s">
        <v>54</v>
      </c>
      <c r="D182" s="15" t="s">
        <v>68</v>
      </c>
      <c r="E182" s="15">
        <f>'31-july-2026'!T182</f>
        <v>2</v>
      </c>
      <c r="F182" s="15">
        <f>'31-july-2026'!U182</f>
        <v>0</v>
      </c>
      <c r="G182" s="15">
        <f>'31-july-2026'!V182</f>
        <v>0</v>
      </c>
      <c r="H182" s="15">
        <f t="shared" si="50"/>
        <v>2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5">
        <f t="shared" si="51"/>
        <v>2</v>
      </c>
      <c r="T182" s="15">
        <f t="shared" si="52"/>
        <v>2</v>
      </c>
      <c r="U182" s="15">
        <f t="shared" si="53"/>
        <v>0</v>
      </c>
      <c r="V182" s="15">
        <f t="shared" si="54"/>
        <v>0</v>
      </c>
      <c r="W182" s="18" t="str">
        <f t="shared" si="55"/>
        <v/>
      </c>
      <c r="X182" s="17">
        <v>0</v>
      </c>
      <c r="Y182" s="17">
        <v>0</v>
      </c>
      <c r="Z182" s="15">
        <f t="shared" si="56"/>
        <v>0</v>
      </c>
      <c r="AA182" s="17">
        <v>0</v>
      </c>
      <c r="AB182" s="17">
        <v>0</v>
      </c>
      <c r="AC182" s="15">
        <f t="shared" si="57"/>
        <v>0</v>
      </c>
      <c r="AD182" s="17">
        <v>0</v>
      </c>
      <c r="AE182" s="17">
        <v>0</v>
      </c>
      <c r="AF182" s="15">
        <f t="shared" si="58"/>
        <v>0</v>
      </c>
      <c r="AG182" s="17">
        <v>0</v>
      </c>
      <c r="AH182" s="17">
        <v>0</v>
      </c>
      <c r="AI182" s="15">
        <f t="shared" si="59"/>
        <v>0</v>
      </c>
      <c r="AJ182" s="17"/>
    </row>
    <row r="183" spans="1:36" x14ac:dyDescent="0.3">
      <c r="A183" s="15" t="s">
        <v>231</v>
      </c>
      <c r="B183" s="15">
        <v>100</v>
      </c>
      <c r="C183" s="15" t="s">
        <v>54</v>
      </c>
      <c r="D183" s="15" t="s">
        <v>57</v>
      </c>
      <c r="E183" s="15">
        <f>'31-july-2026'!T183</f>
        <v>1</v>
      </c>
      <c r="F183" s="15">
        <f>'31-july-2026'!U183</f>
        <v>0</v>
      </c>
      <c r="G183" s="15">
        <f>'31-july-2026'!V183</f>
        <v>0</v>
      </c>
      <c r="H183" s="15">
        <f t="shared" si="50"/>
        <v>1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5">
        <f t="shared" si="51"/>
        <v>1</v>
      </c>
      <c r="T183" s="15">
        <f t="shared" si="52"/>
        <v>1</v>
      </c>
      <c r="U183" s="15">
        <f t="shared" si="53"/>
        <v>0</v>
      </c>
      <c r="V183" s="15">
        <f t="shared" si="54"/>
        <v>0</v>
      </c>
      <c r="W183" s="18" t="str">
        <f t="shared" si="55"/>
        <v/>
      </c>
      <c r="X183" s="17">
        <v>0</v>
      </c>
      <c r="Y183" s="17">
        <v>0</v>
      </c>
      <c r="Z183" s="15">
        <f t="shared" si="56"/>
        <v>0</v>
      </c>
      <c r="AA183" s="17">
        <v>0</v>
      </c>
      <c r="AB183" s="17">
        <v>0</v>
      </c>
      <c r="AC183" s="15">
        <f t="shared" si="57"/>
        <v>0</v>
      </c>
      <c r="AD183" s="17">
        <v>0</v>
      </c>
      <c r="AE183" s="17">
        <v>0</v>
      </c>
      <c r="AF183" s="15">
        <f t="shared" si="58"/>
        <v>0</v>
      </c>
      <c r="AG183" s="17">
        <v>0</v>
      </c>
      <c r="AH183" s="17">
        <v>0</v>
      </c>
      <c r="AI183" s="15">
        <f t="shared" si="59"/>
        <v>0</v>
      </c>
      <c r="AJ183" s="17"/>
    </row>
    <row r="184" spans="1:36" x14ac:dyDescent="0.3">
      <c r="A184" s="15" t="s">
        <v>232</v>
      </c>
      <c r="B184" s="15">
        <v>100000</v>
      </c>
      <c r="C184" s="15" t="s">
        <v>54</v>
      </c>
      <c r="D184" s="15" t="s">
        <v>68</v>
      </c>
      <c r="E184" s="15">
        <f>'31-july-2026'!T184</f>
        <v>2</v>
      </c>
      <c r="F184" s="15">
        <f>'31-july-2026'!U184</f>
        <v>0</v>
      </c>
      <c r="G184" s="15">
        <f>'31-july-2026'!V184</f>
        <v>0</v>
      </c>
      <c r="H184" s="15">
        <f t="shared" si="50"/>
        <v>2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5">
        <f t="shared" si="51"/>
        <v>2</v>
      </c>
      <c r="T184" s="15">
        <f t="shared" si="52"/>
        <v>2</v>
      </c>
      <c r="U184" s="15">
        <f t="shared" si="53"/>
        <v>0</v>
      </c>
      <c r="V184" s="15">
        <f t="shared" si="54"/>
        <v>0</v>
      </c>
      <c r="W184" s="18" t="str">
        <f t="shared" si="55"/>
        <v/>
      </c>
      <c r="X184" s="17">
        <v>0</v>
      </c>
      <c r="Y184" s="17">
        <v>0</v>
      </c>
      <c r="Z184" s="15">
        <f t="shared" si="56"/>
        <v>0</v>
      </c>
      <c r="AA184" s="17">
        <v>0</v>
      </c>
      <c r="AB184" s="17">
        <v>0</v>
      </c>
      <c r="AC184" s="15">
        <f t="shared" si="57"/>
        <v>0</v>
      </c>
      <c r="AD184" s="17">
        <v>0</v>
      </c>
      <c r="AE184" s="17">
        <v>0</v>
      </c>
      <c r="AF184" s="15">
        <f t="shared" si="58"/>
        <v>0</v>
      </c>
      <c r="AG184" s="17">
        <v>0</v>
      </c>
      <c r="AH184" s="17">
        <v>0</v>
      </c>
      <c r="AI184" s="15">
        <f t="shared" si="59"/>
        <v>0</v>
      </c>
      <c r="AJ184" s="17"/>
    </row>
    <row r="185" spans="1:36" x14ac:dyDescent="0.3">
      <c r="A185" s="15" t="s">
        <v>233</v>
      </c>
      <c r="B185" s="15">
        <v>100</v>
      </c>
      <c r="C185" s="15" t="s">
        <v>54</v>
      </c>
      <c r="D185" s="15" t="s">
        <v>57</v>
      </c>
      <c r="E185" s="15">
        <f>'31-july-2026'!T185</f>
        <v>3</v>
      </c>
      <c r="F185" s="15">
        <f>'31-july-2026'!U185</f>
        <v>0</v>
      </c>
      <c r="G185" s="15">
        <f>'31-july-2026'!V185</f>
        <v>0</v>
      </c>
      <c r="H185" s="15">
        <f t="shared" si="50"/>
        <v>3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5">
        <f t="shared" si="51"/>
        <v>3</v>
      </c>
      <c r="T185" s="15">
        <f t="shared" si="52"/>
        <v>3</v>
      </c>
      <c r="U185" s="15">
        <f t="shared" si="53"/>
        <v>0</v>
      </c>
      <c r="V185" s="15">
        <f t="shared" si="54"/>
        <v>0</v>
      </c>
      <c r="W185" s="18" t="str">
        <f t="shared" si="55"/>
        <v/>
      </c>
      <c r="X185" s="17">
        <v>0</v>
      </c>
      <c r="Y185" s="17">
        <v>0</v>
      </c>
      <c r="Z185" s="15">
        <f t="shared" si="56"/>
        <v>0</v>
      </c>
      <c r="AA185" s="17">
        <v>0</v>
      </c>
      <c r="AB185" s="17">
        <v>0</v>
      </c>
      <c r="AC185" s="15">
        <f t="shared" si="57"/>
        <v>0</v>
      </c>
      <c r="AD185" s="17">
        <v>0</v>
      </c>
      <c r="AE185" s="17">
        <v>0</v>
      </c>
      <c r="AF185" s="15">
        <f t="shared" si="58"/>
        <v>0</v>
      </c>
      <c r="AG185" s="17">
        <v>0</v>
      </c>
      <c r="AH185" s="17">
        <v>0</v>
      </c>
      <c r="AI185" s="15">
        <f t="shared" si="59"/>
        <v>0</v>
      </c>
      <c r="AJ185" s="17"/>
    </row>
    <row r="186" spans="1:36" x14ac:dyDescent="0.3">
      <c r="A186" s="15" t="s">
        <v>234</v>
      </c>
      <c r="B186" s="15">
        <v>1000</v>
      </c>
      <c r="C186" s="15" t="s">
        <v>54</v>
      </c>
      <c r="D186" s="15" t="s">
        <v>68</v>
      </c>
      <c r="E186" s="15">
        <f>'31-july-2026'!T186</f>
        <v>2</v>
      </c>
      <c r="F186" s="15">
        <f>'31-july-2026'!U186</f>
        <v>0</v>
      </c>
      <c r="G186" s="15">
        <f>'31-july-2026'!V186</f>
        <v>0</v>
      </c>
      <c r="H186" s="15">
        <f t="shared" si="50"/>
        <v>2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5">
        <f t="shared" si="51"/>
        <v>2</v>
      </c>
      <c r="T186" s="15">
        <f t="shared" si="52"/>
        <v>2</v>
      </c>
      <c r="U186" s="15">
        <f t="shared" si="53"/>
        <v>0</v>
      </c>
      <c r="V186" s="15">
        <f t="shared" si="54"/>
        <v>0</v>
      </c>
      <c r="W186" s="18" t="str">
        <f t="shared" si="55"/>
        <v/>
      </c>
      <c r="X186" s="17">
        <v>0</v>
      </c>
      <c r="Y186" s="17">
        <v>0</v>
      </c>
      <c r="Z186" s="15">
        <f t="shared" si="56"/>
        <v>0</v>
      </c>
      <c r="AA186" s="17">
        <v>0</v>
      </c>
      <c r="AB186" s="17">
        <v>0</v>
      </c>
      <c r="AC186" s="15">
        <f t="shared" si="57"/>
        <v>0</v>
      </c>
      <c r="AD186" s="17">
        <v>0</v>
      </c>
      <c r="AE186" s="17">
        <v>0</v>
      </c>
      <c r="AF186" s="15">
        <f t="shared" si="58"/>
        <v>0</v>
      </c>
      <c r="AG186" s="17">
        <v>0</v>
      </c>
      <c r="AH186" s="17">
        <v>0</v>
      </c>
      <c r="AI186" s="15">
        <f t="shared" si="59"/>
        <v>0</v>
      </c>
      <c r="AJ186" s="17"/>
    </row>
    <row r="187" spans="1:36" x14ac:dyDescent="0.3">
      <c r="A187" s="15" t="s">
        <v>235</v>
      </c>
      <c r="B187" s="15">
        <v>100000</v>
      </c>
      <c r="C187" s="15" t="s">
        <v>54</v>
      </c>
      <c r="D187" s="15" t="s">
        <v>68</v>
      </c>
      <c r="E187" s="15">
        <f>'31-july-2026'!T187</f>
        <v>3</v>
      </c>
      <c r="F187" s="15">
        <f>'31-july-2026'!U187</f>
        <v>0</v>
      </c>
      <c r="G187" s="15">
        <f>'31-july-2026'!V187</f>
        <v>0</v>
      </c>
      <c r="H187" s="15">
        <f t="shared" si="50"/>
        <v>3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5">
        <f t="shared" si="51"/>
        <v>3</v>
      </c>
      <c r="T187" s="15">
        <f t="shared" si="52"/>
        <v>3</v>
      </c>
      <c r="U187" s="15">
        <f t="shared" si="53"/>
        <v>0</v>
      </c>
      <c r="V187" s="15">
        <f t="shared" si="54"/>
        <v>0</v>
      </c>
      <c r="W187" s="18" t="str">
        <f t="shared" si="55"/>
        <v/>
      </c>
      <c r="X187" s="17">
        <v>0</v>
      </c>
      <c r="Y187" s="17">
        <v>0</v>
      </c>
      <c r="Z187" s="15">
        <f t="shared" si="56"/>
        <v>0</v>
      </c>
      <c r="AA187" s="17">
        <v>0</v>
      </c>
      <c r="AB187" s="17">
        <v>0</v>
      </c>
      <c r="AC187" s="15">
        <f t="shared" si="57"/>
        <v>0</v>
      </c>
      <c r="AD187" s="17">
        <v>0</v>
      </c>
      <c r="AE187" s="17">
        <v>0</v>
      </c>
      <c r="AF187" s="15">
        <f t="shared" si="58"/>
        <v>0</v>
      </c>
      <c r="AG187" s="17">
        <v>0</v>
      </c>
      <c r="AH187" s="17">
        <v>0</v>
      </c>
      <c r="AI187" s="15">
        <f t="shared" si="59"/>
        <v>0</v>
      </c>
      <c r="AJ187" s="17"/>
    </row>
    <row r="188" spans="1:36" hidden="1" x14ac:dyDescent="0.3">
      <c r="A188" s="15" t="s">
        <v>236</v>
      </c>
      <c r="B188" s="15">
        <v>1000</v>
      </c>
      <c r="C188" s="15" t="s">
        <v>54</v>
      </c>
      <c r="D188" s="15" t="s">
        <v>55</v>
      </c>
      <c r="E188" s="15">
        <f>'31-july-2026'!T188</f>
        <v>12</v>
      </c>
      <c r="F188" s="15">
        <f>'31-july-2026'!U188</f>
        <v>0</v>
      </c>
      <c r="G188" s="15">
        <f>'31-july-2026'!V188</f>
        <v>0</v>
      </c>
      <c r="H188" s="15">
        <f t="shared" si="50"/>
        <v>12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5">
        <f t="shared" si="51"/>
        <v>12</v>
      </c>
      <c r="T188" s="15">
        <f t="shared" si="52"/>
        <v>12</v>
      </c>
      <c r="U188" s="15">
        <f t="shared" si="53"/>
        <v>0</v>
      </c>
      <c r="V188" s="15">
        <f t="shared" si="54"/>
        <v>0</v>
      </c>
      <c r="W188" s="18" t="str">
        <f t="shared" si="55"/>
        <v/>
      </c>
      <c r="X188" s="17">
        <v>0</v>
      </c>
      <c r="Y188" s="17">
        <v>0</v>
      </c>
      <c r="Z188" s="15">
        <f t="shared" si="56"/>
        <v>0</v>
      </c>
      <c r="AA188" s="17">
        <v>0</v>
      </c>
      <c r="AB188" s="17">
        <v>0</v>
      </c>
      <c r="AC188" s="15">
        <f t="shared" si="57"/>
        <v>0</v>
      </c>
      <c r="AD188" s="17">
        <v>0</v>
      </c>
      <c r="AE188" s="17">
        <v>0</v>
      </c>
      <c r="AF188" s="15">
        <f t="shared" si="58"/>
        <v>0</v>
      </c>
      <c r="AG188" s="17">
        <v>0</v>
      </c>
      <c r="AH188" s="17">
        <v>0</v>
      </c>
      <c r="AI188" s="15">
        <f t="shared" si="59"/>
        <v>0</v>
      </c>
      <c r="AJ188" s="17"/>
    </row>
    <row r="189" spans="1:36" hidden="1" x14ac:dyDescent="0.3">
      <c r="A189" s="15" t="s">
        <v>237</v>
      </c>
      <c r="B189" s="15">
        <v>1000</v>
      </c>
      <c r="C189" s="15" t="s">
        <v>54</v>
      </c>
      <c r="D189" s="15" t="s">
        <v>55</v>
      </c>
      <c r="E189" s="15">
        <f>'31-july-2026'!T189</f>
        <v>1</v>
      </c>
      <c r="F189" s="15">
        <f>'31-july-2026'!U189</f>
        <v>29</v>
      </c>
      <c r="G189" s="15">
        <f>'31-july-2026'!V189</f>
        <v>0</v>
      </c>
      <c r="H189" s="15">
        <f t="shared" si="50"/>
        <v>30</v>
      </c>
      <c r="I189" s="17">
        <v>0</v>
      </c>
      <c r="J189" s="17">
        <v>0</v>
      </c>
      <c r="K189" s="17">
        <v>0</v>
      </c>
      <c r="L189" s="17">
        <v>0</v>
      </c>
      <c r="M189" s="17">
        <v>1</v>
      </c>
      <c r="N189" s="17">
        <v>0</v>
      </c>
      <c r="O189" s="17">
        <v>0</v>
      </c>
      <c r="P189" s="17">
        <v>0</v>
      </c>
      <c r="Q189" s="17">
        <v>0</v>
      </c>
      <c r="R189" s="17">
        <v>1</v>
      </c>
      <c r="S189" s="15">
        <f t="shared" si="51"/>
        <v>30</v>
      </c>
      <c r="T189" s="15">
        <f t="shared" si="52"/>
        <v>1</v>
      </c>
      <c r="U189" s="15">
        <f t="shared" si="53"/>
        <v>28</v>
      </c>
      <c r="V189" s="15">
        <f t="shared" si="54"/>
        <v>0</v>
      </c>
      <c r="W189" s="18" t="str">
        <f t="shared" si="55"/>
        <v/>
      </c>
      <c r="X189" s="17">
        <v>0</v>
      </c>
      <c r="Y189" s="17">
        <v>0</v>
      </c>
      <c r="Z189" s="15">
        <f t="shared" si="56"/>
        <v>0</v>
      </c>
      <c r="AA189" s="17">
        <v>0</v>
      </c>
      <c r="AB189" s="17">
        <v>0</v>
      </c>
      <c r="AC189" s="15">
        <f t="shared" si="57"/>
        <v>0</v>
      </c>
      <c r="AD189" s="17">
        <v>0</v>
      </c>
      <c r="AE189" s="17">
        <v>0</v>
      </c>
      <c r="AF189" s="15">
        <f t="shared" si="58"/>
        <v>0</v>
      </c>
      <c r="AG189" s="17">
        <v>0</v>
      </c>
      <c r="AH189" s="17">
        <v>0</v>
      </c>
      <c r="AI189" s="15">
        <f t="shared" si="59"/>
        <v>0</v>
      </c>
      <c r="AJ189" s="17"/>
    </row>
    <row r="190" spans="1:36" hidden="1" x14ac:dyDescent="0.3">
      <c r="A190" s="15" t="s">
        <v>238</v>
      </c>
      <c r="B190" s="15">
        <v>1000</v>
      </c>
      <c r="C190" s="15" t="s">
        <v>54</v>
      </c>
      <c r="D190" s="15" t="s">
        <v>55</v>
      </c>
      <c r="E190" s="15">
        <f>'31-july-2026'!T190</f>
        <v>4</v>
      </c>
      <c r="F190" s="15">
        <f>'31-july-2026'!U190</f>
        <v>0</v>
      </c>
      <c r="G190" s="15">
        <f>'31-july-2026'!V190</f>
        <v>0</v>
      </c>
      <c r="H190" s="15">
        <f t="shared" si="50"/>
        <v>4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5">
        <f t="shared" si="51"/>
        <v>4</v>
      </c>
      <c r="T190" s="15">
        <f t="shared" si="52"/>
        <v>4</v>
      </c>
      <c r="U190" s="15">
        <f t="shared" si="53"/>
        <v>0</v>
      </c>
      <c r="V190" s="15">
        <f t="shared" si="54"/>
        <v>0</v>
      </c>
      <c r="W190" s="18" t="str">
        <f t="shared" si="55"/>
        <v/>
      </c>
      <c r="X190" s="17">
        <v>0</v>
      </c>
      <c r="Y190" s="17">
        <v>0</v>
      </c>
      <c r="Z190" s="15">
        <f t="shared" si="56"/>
        <v>0</v>
      </c>
      <c r="AA190" s="17">
        <v>0</v>
      </c>
      <c r="AB190" s="17">
        <v>0</v>
      </c>
      <c r="AC190" s="15">
        <f t="shared" si="57"/>
        <v>0</v>
      </c>
      <c r="AD190" s="17">
        <v>0</v>
      </c>
      <c r="AE190" s="17">
        <v>0</v>
      </c>
      <c r="AF190" s="15">
        <f t="shared" si="58"/>
        <v>0</v>
      </c>
      <c r="AG190" s="17">
        <v>0</v>
      </c>
      <c r="AH190" s="17">
        <v>0</v>
      </c>
      <c r="AI190" s="15">
        <f t="shared" si="59"/>
        <v>0</v>
      </c>
      <c r="AJ190" s="17"/>
    </row>
    <row r="191" spans="1:36" hidden="1" x14ac:dyDescent="0.3">
      <c r="A191" s="15" t="s">
        <v>239</v>
      </c>
      <c r="B191" s="15">
        <v>1000</v>
      </c>
      <c r="C191" s="15" t="s">
        <v>54</v>
      </c>
      <c r="D191" s="15" t="s">
        <v>55</v>
      </c>
      <c r="E191" s="15">
        <v>0</v>
      </c>
      <c r="F191" s="15">
        <v>0</v>
      </c>
      <c r="G191" s="15">
        <v>0</v>
      </c>
      <c r="H191" s="15">
        <f t="shared" si="50"/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5">
        <f t="shared" si="51"/>
        <v>0</v>
      </c>
      <c r="T191" s="15">
        <f t="shared" si="52"/>
        <v>0</v>
      </c>
      <c r="U191" s="15">
        <f t="shared" si="53"/>
        <v>0</v>
      </c>
      <c r="V191" s="15">
        <f t="shared" si="54"/>
        <v>0</v>
      </c>
      <c r="W191" s="18" t="str">
        <f t="shared" si="55"/>
        <v/>
      </c>
      <c r="X191" s="17">
        <v>0</v>
      </c>
      <c r="Y191" s="17">
        <v>0</v>
      </c>
      <c r="Z191" s="15">
        <f t="shared" si="56"/>
        <v>0</v>
      </c>
      <c r="AA191" s="17">
        <v>0</v>
      </c>
      <c r="AB191" s="17">
        <v>0</v>
      </c>
      <c r="AC191" s="15">
        <f t="shared" si="57"/>
        <v>0</v>
      </c>
      <c r="AD191" s="17">
        <v>0</v>
      </c>
      <c r="AE191" s="17">
        <v>0</v>
      </c>
      <c r="AF191" s="15">
        <f t="shared" si="58"/>
        <v>0</v>
      </c>
      <c r="AG191" s="17">
        <v>0</v>
      </c>
      <c r="AH191" s="17">
        <v>0</v>
      </c>
      <c r="AI191" s="15">
        <f t="shared" si="59"/>
        <v>0</v>
      </c>
      <c r="AJ191" s="17"/>
    </row>
    <row r="192" spans="1:36" hidden="1" x14ac:dyDescent="0.3">
      <c r="A192" s="15" t="s">
        <v>239</v>
      </c>
      <c r="B192" s="15">
        <v>2500</v>
      </c>
      <c r="C192" s="15" t="s">
        <v>54</v>
      </c>
      <c r="D192" s="15" t="s">
        <v>55</v>
      </c>
      <c r="E192" s="15">
        <f>'31-july-2026'!T192</f>
        <v>0</v>
      </c>
      <c r="F192" s="15">
        <f>'31-july-2026'!U192</f>
        <v>0</v>
      </c>
      <c r="G192" s="15">
        <f>'31-july-2026'!V192</f>
        <v>0</v>
      </c>
      <c r="H192" s="15">
        <f t="shared" si="50"/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5">
        <f t="shared" si="51"/>
        <v>0</v>
      </c>
      <c r="T192" s="15">
        <f t="shared" si="52"/>
        <v>0</v>
      </c>
      <c r="U192" s="15">
        <f t="shared" si="53"/>
        <v>0</v>
      </c>
      <c r="V192" s="15">
        <f t="shared" si="54"/>
        <v>0</v>
      </c>
      <c r="W192" s="18" t="str">
        <f t="shared" si="55"/>
        <v/>
      </c>
      <c r="X192" s="17">
        <v>0</v>
      </c>
      <c r="Y192" s="17">
        <v>0</v>
      </c>
      <c r="Z192" s="15">
        <f t="shared" si="56"/>
        <v>0</v>
      </c>
      <c r="AA192" s="17">
        <v>0</v>
      </c>
      <c r="AB192" s="17">
        <v>0</v>
      </c>
      <c r="AC192" s="15">
        <f t="shared" si="57"/>
        <v>0</v>
      </c>
      <c r="AD192" s="17">
        <v>0</v>
      </c>
      <c r="AE192" s="17">
        <v>0</v>
      </c>
      <c r="AF192" s="15">
        <f t="shared" si="58"/>
        <v>0</v>
      </c>
      <c r="AG192" s="17">
        <v>0</v>
      </c>
      <c r="AH192" s="17">
        <v>0</v>
      </c>
      <c r="AI192" s="15">
        <f t="shared" si="59"/>
        <v>0</v>
      </c>
      <c r="AJ192" s="17"/>
    </row>
    <row r="193" spans="1:36" hidden="1" x14ac:dyDescent="0.3">
      <c r="A193" s="15" t="s">
        <v>240</v>
      </c>
      <c r="B193" s="15">
        <v>100</v>
      </c>
      <c r="C193" s="15" t="s">
        <v>54</v>
      </c>
      <c r="D193" s="15" t="s">
        <v>55</v>
      </c>
      <c r="E193" s="15">
        <f>'31-july-2026'!T193</f>
        <v>34</v>
      </c>
      <c r="F193" s="15">
        <f>'31-july-2026'!U193</f>
        <v>0</v>
      </c>
      <c r="G193" s="15">
        <f>'31-july-2026'!V193</f>
        <v>0</v>
      </c>
      <c r="H193" s="15">
        <f t="shared" si="50"/>
        <v>34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5">
        <f t="shared" si="51"/>
        <v>34</v>
      </c>
      <c r="T193" s="15">
        <f t="shared" si="52"/>
        <v>34</v>
      </c>
      <c r="U193" s="15">
        <f t="shared" si="53"/>
        <v>0</v>
      </c>
      <c r="V193" s="15">
        <f t="shared" si="54"/>
        <v>0</v>
      </c>
      <c r="W193" s="18" t="str">
        <f t="shared" si="55"/>
        <v/>
      </c>
      <c r="X193" s="17">
        <v>0</v>
      </c>
      <c r="Y193" s="17">
        <v>0</v>
      </c>
      <c r="Z193" s="15">
        <f t="shared" si="56"/>
        <v>0</v>
      </c>
      <c r="AA193" s="17">
        <v>0</v>
      </c>
      <c r="AB193" s="17">
        <v>0</v>
      </c>
      <c r="AC193" s="15">
        <f t="shared" si="57"/>
        <v>0</v>
      </c>
      <c r="AD193" s="17">
        <v>0</v>
      </c>
      <c r="AE193" s="17">
        <v>0</v>
      </c>
      <c r="AF193" s="15">
        <f t="shared" si="58"/>
        <v>0</v>
      </c>
      <c r="AG193" s="17">
        <v>0</v>
      </c>
      <c r="AH193" s="17">
        <v>0</v>
      </c>
      <c r="AI193" s="15">
        <f t="shared" si="59"/>
        <v>0</v>
      </c>
      <c r="AJ193" s="17"/>
    </row>
    <row r="194" spans="1:36" hidden="1" x14ac:dyDescent="0.3">
      <c r="A194" s="15" t="s">
        <v>240</v>
      </c>
      <c r="B194" s="15">
        <v>1000</v>
      </c>
      <c r="C194" s="15" t="s">
        <v>54</v>
      </c>
      <c r="D194" s="15" t="s">
        <v>55</v>
      </c>
      <c r="E194" s="15">
        <f>'31-july-2026'!T194</f>
        <v>14</v>
      </c>
      <c r="F194" s="15">
        <f>'31-july-2026'!U194</f>
        <v>0</v>
      </c>
      <c r="G194" s="15">
        <f>'31-july-2026'!V194</f>
        <v>0</v>
      </c>
      <c r="H194" s="15">
        <f t="shared" si="50"/>
        <v>14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5">
        <f t="shared" si="51"/>
        <v>14</v>
      </c>
      <c r="T194" s="15">
        <f t="shared" si="52"/>
        <v>14</v>
      </c>
      <c r="U194" s="15">
        <f t="shared" si="53"/>
        <v>0</v>
      </c>
      <c r="V194" s="15">
        <f t="shared" si="54"/>
        <v>0</v>
      </c>
      <c r="W194" s="18" t="str">
        <f t="shared" si="55"/>
        <v/>
      </c>
      <c r="X194" s="17">
        <v>0</v>
      </c>
      <c r="Y194" s="17">
        <v>0</v>
      </c>
      <c r="Z194" s="15">
        <f t="shared" si="56"/>
        <v>0</v>
      </c>
      <c r="AA194" s="17">
        <v>0</v>
      </c>
      <c r="AB194" s="17">
        <v>0</v>
      </c>
      <c r="AC194" s="15">
        <f t="shared" si="57"/>
        <v>0</v>
      </c>
      <c r="AD194" s="17">
        <v>0</v>
      </c>
      <c r="AE194" s="17">
        <v>0</v>
      </c>
      <c r="AF194" s="15">
        <f t="shared" si="58"/>
        <v>0</v>
      </c>
      <c r="AG194" s="17">
        <v>0</v>
      </c>
      <c r="AH194" s="17">
        <v>0</v>
      </c>
      <c r="AI194" s="15">
        <f t="shared" si="59"/>
        <v>0</v>
      </c>
      <c r="AJ194" s="17"/>
    </row>
    <row r="195" spans="1:36" x14ac:dyDescent="0.3">
      <c r="A195" s="15" t="s">
        <v>241</v>
      </c>
      <c r="B195" s="15">
        <v>25000</v>
      </c>
      <c r="C195" s="15" t="s">
        <v>54</v>
      </c>
      <c r="D195" s="15" t="s">
        <v>68</v>
      </c>
      <c r="E195" s="15">
        <f>'31-july-2026'!T195</f>
        <v>0</v>
      </c>
      <c r="F195" s="15">
        <f>'31-july-2026'!U195</f>
        <v>0</v>
      </c>
      <c r="G195" s="15">
        <f>'31-july-2026'!V195</f>
        <v>0</v>
      </c>
      <c r="H195" s="15">
        <f t="shared" ref="H195:H199" si="60">E195+F195+G195</f>
        <v>0</v>
      </c>
      <c r="I195" s="17">
        <v>2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5">
        <f t="shared" ref="S195:S199" si="61">H195+O195+P195+Q195+R195-(I195+J195+K195+L195+M195+N195)</f>
        <v>-2</v>
      </c>
      <c r="T195" s="15">
        <f t="shared" si="52"/>
        <v>-2</v>
      </c>
      <c r="U195" s="15">
        <f t="shared" si="53"/>
        <v>0</v>
      </c>
      <c r="V195" s="15">
        <f t="shared" si="54"/>
        <v>0</v>
      </c>
      <c r="W195" s="18" t="str">
        <f t="shared" ref="W195:W199" si="62">IF(MIN(T195,U195,V195)&lt;0,"NEGATIVE STOCK - CHECK ENTRIES","")</f>
        <v>NEGATIVE STOCK - CHECK ENTRIES</v>
      </c>
      <c r="X195" s="17">
        <v>0</v>
      </c>
      <c r="Y195" s="17">
        <v>0</v>
      </c>
      <c r="Z195" s="15">
        <f t="shared" ref="Z195:Z199" si="63">X195-Y195</f>
        <v>0</v>
      </c>
      <c r="AA195" s="17">
        <v>0</v>
      </c>
      <c r="AB195" s="17">
        <v>0</v>
      </c>
      <c r="AC195" s="15">
        <f t="shared" ref="AC195:AC199" si="64">AA195-AB195</f>
        <v>0</v>
      </c>
      <c r="AD195" s="17">
        <v>0</v>
      </c>
      <c r="AE195" s="17">
        <v>0</v>
      </c>
      <c r="AF195" s="15">
        <f t="shared" ref="AF195:AF199" si="65">AD195-AE195</f>
        <v>0</v>
      </c>
      <c r="AG195" s="17">
        <v>0</v>
      </c>
      <c r="AH195" s="17">
        <v>0</v>
      </c>
      <c r="AI195" s="15">
        <f t="shared" ref="AI195:AI199" si="66">AG195-AH195</f>
        <v>0</v>
      </c>
      <c r="AJ195" s="17"/>
    </row>
    <row r="196" spans="1:36" x14ac:dyDescent="0.3">
      <c r="A196" s="15" t="s">
        <v>242</v>
      </c>
      <c r="B196" s="15">
        <v>100</v>
      </c>
      <c r="C196" s="15" t="s">
        <v>54</v>
      </c>
      <c r="D196" s="15" t="s">
        <v>68</v>
      </c>
      <c r="E196" s="15">
        <f>'31-july-2026'!T196</f>
        <v>6</v>
      </c>
      <c r="F196" s="15">
        <f>'31-july-2026'!U196</f>
        <v>0</v>
      </c>
      <c r="G196" s="15">
        <f>'31-july-2026'!V196</f>
        <v>0</v>
      </c>
      <c r="H196" s="15">
        <f t="shared" si="60"/>
        <v>6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5">
        <f t="shared" si="61"/>
        <v>6</v>
      </c>
      <c r="T196" s="15">
        <f t="shared" si="52"/>
        <v>6</v>
      </c>
      <c r="U196" s="15">
        <f t="shared" si="53"/>
        <v>0</v>
      </c>
      <c r="V196" s="15">
        <f t="shared" si="54"/>
        <v>0</v>
      </c>
      <c r="W196" s="18" t="str">
        <f t="shared" si="62"/>
        <v/>
      </c>
      <c r="X196" s="17">
        <v>0</v>
      </c>
      <c r="Y196" s="17">
        <v>0</v>
      </c>
      <c r="Z196" s="15">
        <f t="shared" si="63"/>
        <v>0</v>
      </c>
      <c r="AA196" s="17">
        <v>0</v>
      </c>
      <c r="AB196" s="17">
        <v>0</v>
      </c>
      <c r="AC196" s="15">
        <f t="shared" si="64"/>
        <v>0</v>
      </c>
      <c r="AD196" s="17">
        <v>0</v>
      </c>
      <c r="AE196" s="17">
        <v>0</v>
      </c>
      <c r="AF196" s="15">
        <f t="shared" si="65"/>
        <v>0</v>
      </c>
      <c r="AG196" s="17">
        <v>0</v>
      </c>
      <c r="AH196" s="17">
        <v>0</v>
      </c>
      <c r="AI196" s="15">
        <f t="shared" si="66"/>
        <v>0</v>
      </c>
      <c r="AJ196" s="17"/>
    </row>
    <row r="197" spans="1:36" x14ac:dyDescent="0.3">
      <c r="A197" s="15" t="s">
        <v>243</v>
      </c>
      <c r="B197" s="15">
        <v>100000</v>
      </c>
      <c r="C197" s="15" t="s">
        <v>54</v>
      </c>
      <c r="D197" s="15" t="s">
        <v>57</v>
      </c>
      <c r="E197" s="15">
        <f>'31-july-2026'!T197</f>
        <v>6</v>
      </c>
      <c r="F197" s="15">
        <f>'31-july-2026'!U197</f>
        <v>0</v>
      </c>
      <c r="G197" s="15">
        <f>'31-july-2026'!V197</f>
        <v>0</v>
      </c>
      <c r="H197" s="15">
        <f t="shared" si="60"/>
        <v>6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5">
        <f t="shared" si="61"/>
        <v>6</v>
      </c>
      <c r="T197" s="15">
        <f t="shared" si="52"/>
        <v>6</v>
      </c>
      <c r="U197" s="15">
        <f t="shared" si="53"/>
        <v>0</v>
      </c>
      <c r="V197" s="15">
        <f t="shared" si="54"/>
        <v>0</v>
      </c>
      <c r="W197" s="18" t="str">
        <f t="shared" si="62"/>
        <v/>
      </c>
      <c r="X197" s="17">
        <v>0</v>
      </c>
      <c r="Y197" s="17">
        <v>0</v>
      </c>
      <c r="Z197" s="15">
        <f t="shared" si="63"/>
        <v>0</v>
      </c>
      <c r="AA197" s="17">
        <v>0</v>
      </c>
      <c r="AB197" s="17">
        <v>0</v>
      </c>
      <c r="AC197" s="15">
        <f t="shared" si="64"/>
        <v>0</v>
      </c>
      <c r="AD197" s="17">
        <v>0</v>
      </c>
      <c r="AE197" s="17">
        <v>0</v>
      </c>
      <c r="AF197" s="15">
        <f t="shared" si="65"/>
        <v>0</v>
      </c>
      <c r="AG197" s="17">
        <v>0</v>
      </c>
      <c r="AH197" s="17">
        <v>0</v>
      </c>
      <c r="AI197" s="15">
        <f t="shared" si="66"/>
        <v>0</v>
      </c>
      <c r="AJ197" s="17"/>
    </row>
    <row r="198" spans="1:36" hidden="1" x14ac:dyDescent="0.3">
      <c r="A198" s="15" t="s">
        <v>244</v>
      </c>
      <c r="B198" s="15">
        <v>100000</v>
      </c>
      <c r="C198" s="15"/>
      <c r="D198" s="15" t="s">
        <v>55</v>
      </c>
      <c r="E198" s="15">
        <f>'31-july-2026'!T198</f>
        <v>0</v>
      </c>
      <c r="F198" s="15">
        <f>'31-july-2026'!U198</f>
        <v>0</v>
      </c>
      <c r="G198" s="15">
        <f>'31-july-2026'!V198</f>
        <v>0</v>
      </c>
      <c r="H198" s="15">
        <f t="shared" si="60"/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5">
        <f t="shared" si="61"/>
        <v>0</v>
      </c>
      <c r="T198" s="15">
        <f t="shared" si="52"/>
        <v>0</v>
      </c>
      <c r="U198" s="15">
        <f t="shared" si="53"/>
        <v>0</v>
      </c>
      <c r="V198" s="15">
        <f t="shared" si="54"/>
        <v>0</v>
      </c>
      <c r="W198" s="18" t="str">
        <f t="shared" si="62"/>
        <v/>
      </c>
      <c r="X198" s="17">
        <v>0</v>
      </c>
      <c r="Y198" s="17">
        <v>0</v>
      </c>
      <c r="Z198" s="15">
        <f t="shared" si="63"/>
        <v>0</v>
      </c>
      <c r="AA198" s="17">
        <v>0</v>
      </c>
      <c r="AB198" s="17">
        <v>0</v>
      </c>
      <c r="AC198" s="15">
        <f t="shared" si="64"/>
        <v>0</v>
      </c>
      <c r="AD198" s="17">
        <v>0</v>
      </c>
      <c r="AE198" s="17">
        <v>0</v>
      </c>
      <c r="AF198" s="15">
        <f t="shared" si="65"/>
        <v>0</v>
      </c>
      <c r="AG198" s="17">
        <v>0</v>
      </c>
      <c r="AH198" s="17">
        <v>0</v>
      </c>
      <c r="AI198" s="15">
        <f t="shared" si="66"/>
        <v>0</v>
      </c>
      <c r="AJ198" s="17"/>
    </row>
    <row r="199" spans="1:36" x14ac:dyDescent="0.3">
      <c r="A199" s="15" t="s">
        <v>245</v>
      </c>
      <c r="B199" s="15">
        <v>25000</v>
      </c>
      <c r="C199" s="15" t="s">
        <v>54</v>
      </c>
      <c r="D199" s="15" t="s">
        <v>57</v>
      </c>
      <c r="E199" s="15">
        <f>'31-july-2026'!T199</f>
        <v>2</v>
      </c>
      <c r="F199" s="15">
        <f>'31-july-2026'!U199</f>
        <v>0</v>
      </c>
      <c r="G199" s="15">
        <f>'31-july-2026'!V199</f>
        <v>0</v>
      </c>
      <c r="H199" s="15">
        <f t="shared" si="60"/>
        <v>2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5">
        <f t="shared" si="61"/>
        <v>2</v>
      </c>
      <c r="T199" s="15">
        <f t="shared" si="52"/>
        <v>2</v>
      </c>
      <c r="U199" s="15">
        <f t="shared" si="53"/>
        <v>0</v>
      </c>
      <c r="V199" s="15">
        <f t="shared" si="54"/>
        <v>0</v>
      </c>
      <c r="W199" s="18" t="str">
        <f t="shared" si="62"/>
        <v/>
      </c>
      <c r="X199" s="17">
        <v>0</v>
      </c>
      <c r="Y199" s="17">
        <v>0</v>
      </c>
      <c r="Z199" s="15">
        <f t="shared" si="63"/>
        <v>0</v>
      </c>
      <c r="AA199" s="17">
        <v>0</v>
      </c>
      <c r="AB199" s="17">
        <v>0</v>
      </c>
      <c r="AC199" s="15">
        <f t="shared" si="64"/>
        <v>0</v>
      </c>
      <c r="AD199" s="17">
        <v>0</v>
      </c>
      <c r="AE199" s="17">
        <v>0</v>
      </c>
      <c r="AF199" s="15">
        <f t="shared" si="65"/>
        <v>0</v>
      </c>
      <c r="AG199" s="17">
        <v>0</v>
      </c>
      <c r="AH199" s="17">
        <v>0</v>
      </c>
      <c r="AI199" s="15">
        <f t="shared" si="66"/>
        <v>0</v>
      </c>
      <c r="AJ199" s="17"/>
    </row>
  </sheetData>
  <autoFilter ref="A2:AJ199" xr:uid="{00000000-0001-0000-0900-000000000000}">
    <filterColumn colId="3">
      <filters>
        <filter val="CUSTOM&amp;TRIAL"/>
        <filter val="MASIFIO CUSTOM"/>
      </filters>
    </filterColumn>
  </autoFilter>
  <mergeCells count="5">
    <mergeCell ref="A1:D1"/>
    <mergeCell ref="E1:H1"/>
    <mergeCell ref="I1:R1"/>
    <mergeCell ref="S1:V1"/>
    <mergeCell ref="X1:AI1"/>
  </mergeCells>
  <conditionalFormatting sqref="T3:V199">
    <cfRule type="expression" dxfId="15" priority="3">
      <formula>T3&lt;0</formula>
    </cfRule>
  </conditionalFormatting>
  <conditionalFormatting sqref="W3:W199">
    <cfRule type="expression" dxfId="14" priority="2">
      <formula>W3&lt;&gt;""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AJ199"/>
  <sheetViews>
    <sheetView showGridLines="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L17" sqref="L17"/>
    </sheetView>
  </sheetViews>
  <sheetFormatPr defaultColWidth="8.6640625" defaultRowHeight="14.4" x14ac:dyDescent="0.3"/>
  <cols>
    <col min="1" max="1" width="30" customWidth="1"/>
    <col min="2" max="2" width="10" customWidth="1"/>
    <col min="3" max="3" width="12" customWidth="1"/>
    <col min="4" max="4" width="14" customWidth="1"/>
    <col min="5" max="35" width="11" customWidth="1"/>
    <col min="36" max="36" width="22" customWidth="1"/>
  </cols>
  <sheetData>
    <row r="1" spans="1:36" ht="19.5" customHeight="1" x14ac:dyDescent="0.3">
      <c r="A1" s="40" t="s">
        <v>246</v>
      </c>
      <c r="B1" s="40"/>
      <c r="C1" s="40"/>
      <c r="D1" s="40"/>
      <c r="E1" s="41" t="s">
        <v>247</v>
      </c>
      <c r="F1" s="41"/>
      <c r="G1" s="41"/>
      <c r="H1" s="41"/>
      <c r="I1" s="42" t="s">
        <v>248</v>
      </c>
      <c r="J1" s="42"/>
      <c r="K1" s="42"/>
      <c r="L1" s="42"/>
      <c r="M1" s="42"/>
      <c r="N1" s="42"/>
      <c r="O1" s="42"/>
      <c r="P1" s="42"/>
      <c r="Q1" s="42"/>
      <c r="R1" s="42"/>
      <c r="S1" s="41" t="s">
        <v>249</v>
      </c>
      <c r="T1" s="41"/>
      <c r="U1" s="41"/>
      <c r="V1" s="41"/>
      <c r="W1" s="3" t="s">
        <v>250</v>
      </c>
      <c r="X1" s="43" t="s">
        <v>251</v>
      </c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" t="s">
        <v>252</v>
      </c>
    </row>
    <row r="2" spans="1:36" ht="33.75" customHeight="1" x14ac:dyDescent="0.3">
      <c r="A2" s="4" t="s">
        <v>45</v>
      </c>
      <c r="B2" s="4" t="s">
        <v>46</v>
      </c>
      <c r="C2" s="4" t="s">
        <v>47</v>
      </c>
      <c r="D2" s="4" t="s">
        <v>48</v>
      </c>
      <c r="E2" s="3" t="s">
        <v>253</v>
      </c>
      <c r="F2" s="3" t="s">
        <v>254</v>
      </c>
      <c r="G2" s="3" t="s">
        <v>255</v>
      </c>
      <c r="H2" s="3" t="s">
        <v>256</v>
      </c>
      <c r="I2" s="2" t="s">
        <v>257</v>
      </c>
      <c r="J2" s="2" t="s">
        <v>258</v>
      </c>
      <c r="K2" s="2" t="s">
        <v>259</v>
      </c>
      <c r="L2" s="2" t="s">
        <v>260</v>
      </c>
      <c r="M2" s="2" t="s">
        <v>261</v>
      </c>
      <c r="N2" s="2" t="s">
        <v>262</v>
      </c>
      <c r="O2" s="2" t="s">
        <v>263</v>
      </c>
      <c r="P2" s="2" t="s">
        <v>264</v>
      </c>
      <c r="Q2" s="2" t="s">
        <v>265</v>
      </c>
      <c r="R2" s="2" t="s">
        <v>266</v>
      </c>
      <c r="S2" s="3" t="s">
        <v>267</v>
      </c>
      <c r="T2" s="3" t="s">
        <v>268</v>
      </c>
      <c r="U2" s="3" t="s">
        <v>269</v>
      </c>
      <c r="V2" s="3" t="s">
        <v>270</v>
      </c>
      <c r="W2" s="3" t="s">
        <v>271</v>
      </c>
      <c r="X2" s="1" t="s">
        <v>272</v>
      </c>
      <c r="Y2" s="1" t="s">
        <v>273</v>
      </c>
      <c r="Z2" s="1" t="s">
        <v>274</v>
      </c>
      <c r="AA2" s="1" t="s">
        <v>275</v>
      </c>
      <c r="AB2" s="1" t="s">
        <v>276</v>
      </c>
      <c r="AC2" s="1" t="s">
        <v>277</v>
      </c>
      <c r="AD2" s="1" t="s">
        <v>278</v>
      </c>
      <c r="AE2" s="1" t="s">
        <v>279</v>
      </c>
      <c r="AF2" s="1" t="s">
        <v>280</v>
      </c>
      <c r="AG2" s="1" t="s">
        <v>281</v>
      </c>
      <c r="AH2" s="1" t="s">
        <v>282</v>
      </c>
      <c r="AI2" s="1" t="s">
        <v>283</v>
      </c>
      <c r="AJ2" s="4" t="s">
        <v>284</v>
      </c>
    </row>
    <row r="3" spans="1:36" hidden="1" x14ac:dyDescent="0.3">
      <c r="A3" s="15" t="s">
        <v>53</v>
      </c>
      <c r="B3" s="15">
        <v>1000</v>
      </c>
      <c r="C3" s="15" t="s">
        <v>54</v>
      </c>
      <c r="D3" s="15" t="s">
        <v>55</v>
      </c>
      <c r="E3" s="15">
        <v>0</v>
      </c>
      <c r="F3" s="15">
        <v>0</v>
      </c>
      <c r="G3" s="15">
        <v>0</v>
      </c>
      <c r="H3" s="15">
        <f t="shared" ref="H3:H34" si="0">E3+F3+G3</f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5">
        <f t="shared" ref="S3:S34" si="1">H3+O3+P3+Q3+R3-(I3+J3+K3+L3+M3+N3)</f>
        <v>0</v>
      </c>
      <c r="T3" s="15">
        <f t="shared" ref="T3:T34" si="2">E3+O3-I3-L3</f>
        <v>0</v>
      </c>
      <c r="U3" s="15">
        <f t="shared" ref="U3:U34" si="3">F3+P3-J3-M3</f>
        <v>0</v>
      </c>
      <c r="V3" s="15">
        <f t="shared" ref="V3:V34" si="4">G3+Q3-K3-N3</f>
        <v>0</v>
      </c>
      <c r="W3" s="18" t="str">
        <f t="shared" ref="W3:W34" si="5">IF(MIN(T3,U3,V3)&lt;0,"NEGATIVE STOCK - CHECK ENTRIES","")</f>
        <v/>
      </c>
      <c r="X3" s="17">
        <v>0</v>
      </c>
      <c r="Y3" s="17">
        <v>0</v>
      </c>
      <c r="Z3" s="15">
        <f t="shared" ref="Z3:Z34" si="6">X3-Y3</f>
        <v>0</v>
      </c>
      <c r="AA3" s="17">
        <v>0</v>
      </c>
      <c r="AB3" s="17">
        <v>0</v>
      </c>
      <c r="AC3" s="15">
        <f t="shared" ref="AC3:AC34" si="7">AA3-AB3</f>
        <v>0</v>
      </c>
      <c r="AD3" s="17">
        <v>0</v>
      </c>
      <c r="AE3" s="17">
        <v>0</v>
      </c>
      <c r="AF3" s="15">
        <f t="shared" ref="AF3:AF34" si="8">AD3-AE3</f>
        <v>0</v>
      </c>
      <c r="AG3" s="17">
        <v>0</v>
      </c>
      <c r="AH3" s="17">
        <v>0</v>
      </c>
      <c r="AI3" s="15">
        <f t="shared" ref="AI3:AI34" si="9">AG3-AH3</f>
        <v>0</v>
      </c>
      <c r="AJ3" s="17"/>
    </row>
    <row r="4" spans="1:36" x14ac:dyDescent="0.3">
      <c r="A4" s="15" t="s">
        <v>56</v>
      </c>
      <c r="B4" s="15">
        <v>500</v>
      </c>
      <c r="C4" s="15" t="s">
        <v>54</v>
      </c>
      <c r="D4" s="15" t="s">
        <v>57</v>
      </c>
      <c r="E4" s="15">
        <f>'8-august-2026'!T4</f>
        <v>0</v>
      </c>
      <c r="F4" s="15">
        <f>'8-august-2026'!U4</f>
        <v>0</v>
      </c>
      <c r="G4" s="15">
        <f>'8-august-2026'!V4</f>
        <v>0</v>
      </c>
      <c r="H4" s="15">
        <f t="shared" si="0"/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5">
        <f t="shared" si="1"/>
        <v>0</v>
      </c>
      <c r="T4" s="15">
        <f t="shared" si="2"/>
        <v>0</v>
      </c>
      <c r="U4" s="15">
        <f t="shared" si="3"/>
        <v>0</v>
      </c>
      <c r="V4" s="15">
        <f t="shared" si="4"/>
        <v>0</v>
      </c>
      <c r="W4" s="18" t="str">
        <f t="shared" si="5"/>
        <v/>
      </c>
      <c r="X4" s="17">
        <v>0</v>
      </c>
      <c r="Y4" s="17">
        <v>0</v>
      </c>
      <c r="Z4" s="15">
        <f t="shared" si="6"/>
        <v>0</v>
      </c>
      <c r="AA4" s="17">
        <v>0</v>
      </c>
      <c r="AB4" s="17">
        <v>0</v>
      </c>
      <c r="AC4" s="15">
        <f t="shared" si="7"/>
        <v>0</v>
      </c>
      <c r="AD4" s="17">
        <v>0</v>
      </c>
      <c r="AE4" s="17">
        <v>0</v>
      </c>
      <c r="AF4" s="15">
        <f t="shared" si="8"/>
        <v>0</v>
      </c>
      <c r="AG4" s="17">
        <v>0</v>
      </c>
      <c r="AH4" s="17">
        <v>0</v>
      </c>
      <c r="AI4" s="15">
        <f t="shared" si="9"/>
        <v>0</v>
      </c>
      <c r="AJ4" s="17"/>
    </row>
    <row r="5" spans="1:36" hidden="1" x14ac:dyDescent="0.3">
      <c r="A5" s="15" t="s">
        <v>58</v>
      </c>
      <c r="B5" s="15">
        <v>100</v>
      </c>
      <c r="C5" s="15" t="s">
        <v>54</v>
      </c>
      <c r="D5" s="15" t="s">
        <v>55</v>
      </c>
      <c r="E5" s="15">
        <f>'8-august-2026'!T5</f>
        <v>33</v>
      </c>
      <c r="F5" s="15">
        <f>'8-august-2026'!U5</f>
        <v>343</v>
      </c>
      <c r="G5" s="15">
        <f>'8-august-2026'!V5</f>
        <v>0</v>
      </c>
      <c r="H5" s="15">
        <f t="shared" si="0"/>
        <v>376</v>
      </c>
      <c r="I5" s="17">
        <v>25</v>
      </c>
      <c r="J5" s="17">
        <v>190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5">
        <f t="shared" si="1"/>
        <v>161</v>
      </c>
      <c r="T5" s="15">
        <f t="shared" si="2"/>
        <v>8</v>
      </c>
      <c r="U5" s="15">
        <f t="shared" si="3"/>
        <v>153</v>
      </c>
      <c r="V5" s="15">
        <f t="shared" si="4"/>
        <v>0</v>
      </c>
      <c r="W5" s="18" t="str">
        <f t="shared" si="5"/>
        <v/>
      </c>
      <c r="X5" s="17">
        <v>0</v>
      </c>
      <c r="Y5" s="17">
        <v>0</v>
      </c>
      <c r="Z5" s="15">
        <f t="shared" si="6"/>
        <v>0</v>
      </c>
      <c r="AA5" s="17">
        <v>0</v>
      </c>
      <c r="AB5" s="17">
        <v>0</v>
      </c>
      <c r="AC5" s="15">
        <f t="shared" si="7"/>
        <v>0</v>
      </c>
      <c r="AD5" s="17">
        <v>0</v>
      </c>
      <c r="AE5" s="17">
        <v>0</v>
      </c>
      <c r="AF5" s="15">
        <f t="shared" si="8"/>
        <v>0</v>
      </c>
      <c r="AG5" s="17">
        <v>0</v>
      </c>
      <c r="AH5" s="17">
        <v>0</v>
      </c>
      <c r="AI5" s="15">
        <f t="shared" si="9"/>
        <v>0</v>
      </c>
      <c r="AJ5" s="17"/>
    </row>
    <row r="6" spans="1:36" hidden="1" x14ac:dyDescent="0.3">
      <c r="A6" s="15" t="s">
        <v>59</v>
      </c>
      <c r="B6" s="15">
        <v>100</v>
      </c>
      <c r="C6" s="15" t="s">
        <v>54</v>
      </c>
      <c r="D6" s="15" t="s">
        <v>55</v>
      </c>
      <c r="E6" s="15">
        <f>'8-august-2026'!T6</f>
        <v>0</v>
      </c>
      <c r="F6" s="15">
        <f>'8-august-2026'!U6</f>
        <v>30</v>
      </c>
      <c r="G6" s="15">
        <f>'8-august-2026'!V6</f>
        <v>40</v>
      </c>
      <c r="H6" s="15">
        <f t="shared" si="0"/>
        <v>70</v>
      </c>
      <c r="I6" s="17">
        <v>0</v>
      </c>
      <c r="J6" s="17">
        <v>30</v>
      </c>
      <c r="K6" s="17">
        <v>0</v>
      </c>
      <c r="L6" s="17">
        <v>0</v>
      </c>
      <c r="M6" s="17">
        <v>0</v>
      </c>
      <c r="N6" s="17">
        <v>40</v>
      </c>
      <c r="O6" s="17">
        <v>0</v>
      </c>
      <c r="P6" s="17">
        <v>0</v>
      </c>
      <c r="Q6" s="17">
        <v>0</v>
      </c>
      <c r="R6" s="17">
        <v>0</v>
      </c>
      <c r="S6" s="15">
        <f t="shared" si="1"/>
        <v>0</v>
      </c>
      <c r="T6" s="15">
        <f t="shared" si="2"/>
        <v>0</v>
      </c>
      <c r="U6" s="15">
        <f t="shared" si="3"/>
        <v>0</v>
      </c>
      <c r="V6" s="15">
        <f t="shared" si="4"/>
        <v>0</v>
      </c>
      <c r="W6" s="18" t="str">
        <f t="shared" si="5"/>
        <v/>
      </c>
      <c r="X6" s="17">
        <v>0</v>
      </c>
      <c r="Y6" s="17">
        <v>0</v>
      </c>
      <c r="Z6" s="15">
        <f t="shared" si="6"/>
        <v>0</v>
      </c>
      <c r="AA6" s="17">
        <v>0</v>
      </c>
      <c r="AB6" s="17">
        <v>0</v>
      </c>
      <c r="AC6" s="15">
        <f t="shared" si="7"/>
        <v>0</v>
      </c>
      <c r="AD6" s="17">
        <v>0</v>
      </c>
      <c r="AE6" s="17">
        <v>0</v>
      </c>
      <c r="AF6" s="15">
        <f t="shared" si="8"/>
        <v>0</v>
      </c>
      <c r="AG6" s="17">
        <v>0</v>
      </c>
      <c r="AH6" s="17">
        <v>0</v>
      </c>
      <c r="AI6" s="15">
        <f t="shared" si="9"/>
        <v>0</v>
      </c>
      <c r="AJ6" s="17"/>
    </row>
    <row r="7" spans="1:36" hidden="1" x14ac:dyDescent="0.3">
      <c r="A7" s="15" t="s">
        <v>60</v>
      </c>
      <c r="B7" s="15">
        <v>100</v>
      </c>
      <c r="C7" s="15" t="s">
        <v>54</v>
      </c>
      <c r="D7" s="15" t="s">
        <v>55</v>
      </c>
      <c r="E7" s="15">
        <f>'8-august-2026'!T7</f>
        <v>0</v>
      </c>
      <c r="F7" s="15">
        <f>'8-august-2026'!U7</f>
        <v>20</v>
      </c>
      <c r="G7" s="15">
        <f>'8-august-2026'!V7</f>
        <v>0</v>
      </c>
      <c r="H7" s="15">
        <f t="shared" si="0"/>
        <v>20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5">
        <f t="shared" si="1"/>
        <v>20</v>
      </c>
      <c r="T7" s="15">
        <f t="shared" si="2"/>
        <v>0</v>
      </c>
      <c r="U7" s="15">
        <f t="shared" si="3"/>
        <v>20</v>
      </c>
      <c r="V7" s="15">
        <f t="shared" si="4"/>
        <v>0</v>
      </c>
      <c r="W7" s="18" t="str">
        <f t="shared" si="5"/>
        <v/>
      </c>
      <c r="X7" s="17">
        <v>0</v>
      </c>
      <c r="Y7" s="17">
        <v>0</v>
      </c>
      <c r="Z7" s="15">
        <f t="shared" si="6"/>
        <v>0</v>
      </c>
      <c r="AA7" s="17">
        <v>0</v>
      </c>
      <c r="AB7" s="17">
        <v>0</v>
      </c>
      <c r="AC7" s="15">
        <f t="shared" si="7"/>
        <v>0</v>
      </c>
      <c r="AD7" s="17">
        <v>0</v>
      </c>
      <c r="AE7" s="17">
        <v>0</v>
      </c>
      <c r="AF7" s="15">
        <f t="shared" si="8"/>
        <v>0</v>
      </c>
      <c r="AG7" s="17">
        <v>0</v>
      </c>
      <c r="AH7" s="17">
        <v>0</v>
      </c>
      <c r="AI7" s="15">
        <f t="shared" si="9"/>
        <v>0</v>
      </c>
      <c r="AJ7" s="17"/>
    </row>
    <row r="8" spans="1:36" hidden="1" x14ac:dyDescent="0.3">
      <c r="A8" s="15" t="s">
        <v>61</v>
      </c>
      <c r="B8" s="15">
        <v>100</v>
      </c>
      <c r="C8" s="15" t="s">
        <v>54</v>
      </c>
      <c r="D8" s="15" t="s">
        <v>55</v>
      </c>
      <c r="E8" s="15">
        <f>'8-august-2026'!T8</f>
        <v>5</v>
      </c>
      <c r="F8" s="15">
        <f>'8-august-2026'!U8</f>
        <v>17</v>
      </c>
      <c r="G8" s="15">
        <f>'8-august-2026'!V8</f>
        <v>0</v>
      </c>
      <c r="H8" s="15">
        <f t="shared" si="0"/>
        <v>22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5">
        <f t="shared" si="1"/>
        <v>22</v>
      </c>
      <c r="T8" s="15">
        <f t="shared" si="2"/>
        <v>5</v>
      </c>
      <c r="U8" s="15">
        <f t="shared" si="3"/>
        <v>17</v>
      </c>
      <c r="V8" s="15">
        <f t="shared" si="4"/>
        <v>0</v>
      </c>
      <c r="W8" s="18" t="str">
        <f t="shared" si="5"/>
        <v/>
      </c>
      <c r="X8" s="17">
        <v>0</v>
      </c>
      <c r="Y8" s="17">
        <v>0</v>
      </c>
      <c r="Z8" s="15">
        <f t="shared" si="6"/>
        <v>0</v>
      </c>
      <c r="AA8" s="17">
        <v>0</v>
      </c>
      <c r="AB8" s="17">
        <v>0</v>
      </c>
      <c r="AC8" s="15">
        <f t="shared" si="7"/>
        <v>0</v>
      </c>
      <c r="AD8" s="17">
        <v>0</v>
      </c>
      <c r="AE8" s="17">
        <v>0</v>
      </c>
      <c r="AF8" s="15">
        <f t="shared" si="8"/>
        <v>0</v>
      </c>
      <c r="AG8" s="17">
        <v>0</v>
      </c>
      <c r="AH8" s="17">
        <v>0</v>
      </c>
      <c r="AI8" s="15">
        <f t="shared" si="9"/>
        <v>0</v>
      </c>
      <c r="AJ8" s="17"/>
    </row>
    <row r="9" spans="1:36" hidden="1" x14ac:dyDescent="0.3">
      <c r="A9" s="15" t="s">
        <v>62</v>
      </c>
      <c r="B9" s="15">
        <v>100</v>
      </c>
      <c r="C9" s="15" t="s">
        <v>54</v>
      </c>
      <c r="D9" s="15" t="s">
        <v>55</v>
      </c>
      <c r="E9" s="15">
        <f>'8-august-2026'!T9</f>
        <v>0</v>
      </c>
      <c r="F9" s="15">
        <f>'8-august-2026'!U9</f>
        <v>0</v>
      </c>
      <c r="G9" s="15">
        <f>'8-august-2026'!V9</f>
        <v>1</v>
      </c>
      <c r="H9" s="15">
        <f t="shared" si="0"/>
        <v>1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5">
        <f t="shared" si="1"/>
        <v>1</v>
      </c>
      <c r="T9" s="15">
        <f t="shared" si="2"/>
        <v>0</v>
      </c>
      <c r="U9" s="15">
        <f t="shared" si="3"/>
        <v>0</v>
      </c>
      <c r="V9" s="15">
        <f t="shared" si="4"/>
        <v>1</v>
      </c>
      <c r="W9" s="18" t="str">
        <f t="shared" si="5"/>
        <v/>
      </c>
      <c r="X9" s="17">
        <v>0</v>
      </c>
      <c r="Y9" s="17">
        <v>0</v>
      </c>
      <c r="Z9" s="15">
        <f t="shared" si="6"/>
        <v>0</v>
      </c>
      <c r="AA9" s="17">
        <v>0</v>
      </c>
      <c r="AB9" s="17">
        <v>0</v>
      </c>
      <c r="AC9" s="15">
        <f t="shared" si="7"/>
        <v>0</v>
      </c>
      <c r="AD9" s="17">
        <v>0</v>
      </c>
      <c r="AE9" s="17">
        <v>0</v>
      </c>
      <c r="AF9" s="15">
        <f t="shared" si="8"/>
        <v>0</v>
      </c>
      <c r="AG9" s="17">
        <v>0</v>
      </c>
      <c r="AH9" s="17">
        <v>0</v>
      </c>
      <c r="AI9" s="15">
        <f t="shared" si="9"/>
        <v>0</v>
      </c>
      <c r="AJ9" s="17"/>
    </row>
    <row r="10" spans="1:36" hidden="1" x14ac:dyDescent="0.3">
      <c r="A10" s="15" t="s">
        <v>62</v>
      </c>
      <c r="B10" s="15">
        <v>500</v>
      </c>
      <c r="C10" s="15" t="s">
        <v>54</v>
      </c>
      <c r="D10" s="15" t="s">
        <v>55</v>
      </c>
      <c r="E10" s="15">
        <f>'8-august-2026'!T10</f>
        <v>-2</v>
      </c>
      <c r="F10" s="15">
        <f>'8-august-2026'!U10</f>
        <v>0</v>
      </c>
      <c r="G10" s="15">
        <f>'8-august-2026'!V10</f>
        <v>0</v>
      </c>
      <c r="H10" s="15">
        <f t="shared" si="0"/>
        <v>-2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5">
        <f t="shared" si="1"/>
        <v>-2</v>
      </c>
      <c r="T10" s="15">
        <f t="shared" si="2"/>
        <v>-2</v>
      </c>
      <c r="U10" s="15">
        <f t="shared" si="3"/>
        <v>0</v>
      </c>
      <c r="V10" s="15">
        <f t="shared" si="4"/>
        <v>0</v>
      </c>
      <c r="W10" s="18" t="str">
        <f t="shared" si="5"/>
        <v>NEGATIVE STOCK - CHECK ENTRIES</v>
      </c>
      <c r="X10" s="17">
        <v>0</v>
      </c>
      <c r="Y10" s="17">
        <v>0</v>
      </c>
      <c r="Z10" s="15">
        <f t="shared" si="6"/>
        <v>0</v>
      </c>
      <c r="AA10" s="17">
        <v>0</v>
      </c>
      <c r="AB10" s="17">
        <v>0</v>
      </c>
      <c r="AC10" s="15">
        <f t="shared" si="7"/>
        <v>0</v>
      </c>
      <c r="AD10" s="17">
        <v>0</v>
      </c>
      <c r="AE10" s="17">
        <v>0</v>
      </c>
      <c r="AF10" s="15">
        <f t="shared" si="8"/>
        <v>0</v>
      </c>
      <c r="AG10" s="17">
        <v>0</v>
      </c>
      <c r="AH10" s="17">
        <v>0</v>
      </c>
      <c r="AI10" s="15">
        <f t="shared" si="9"/>
        <v>0</v>
      </c>
      <c r="AJ10" s="17"/>
    </row>
    <row r="11" spans="1:36" hidden="1" x14ac:dyDescent="0.3">
      <c r="A11" s="15" t="s">
        <v>63</v>
      </c>
      <c r="B11" s="15">
        <v>100</v>
      </c>
      <c r="C11" s="15" t="s">
        <v>54</v>
      </c>
      <c r="D11" s="15" t="s">
        <v>55</v>
      </c>
      <c r="E11" s="15">
        <f>'8-august-2026'!T11</f>
        <v>330</v>
      </c>
      <c r="F11" s="15">
        <f>'8-august-2026'!U11</f>
        <v>178</v>
      </c>
      <c r="G11" s="15">
        <f>'8-august-2026'!V11</f>
        <v>16</v>
      </c>
      <c r="H11" s="15">
        <f t="shared" si="0"/>
        <v>524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5">
        <f t="shared" si="1"/>
        <v>524</v>
      </c>
      <c r="T11" s="15">
        <f t="shared" si="2"/>
        <v>330</v>
      </c>
      <c r="U11" s="15">
        <f t="shared" si="3"/>
        <v>178</v>
      </c>
      <c r="V11" s="15">
        <f t="shared" si="4"/>
        <v>16</v>
      </c>
      <c r="W11" s="18" t="str">
        <f t="shared" si="5"/>
        <v/>
      </c>
      <c r="X11" s="17">
        <v>0</v>
      </c>
      <c r="Y11" s="17">
        <v>0</v>
      </c>
      <c r="Z11" s="15">
        <f t="shared" si="6"/>
        <v>0</v>
      </c>
      <c r="AA11" s="17">
        <v>0</v>
      </c>
      <c r="AB11" s="17">
        <v>0</v>
      </c>
      <c r="AC11" s="15">
        <f t="shared" si="7"/>
        <v>0</v>
      </c>
      <c r="AD11" s="17">
        <v>0</v>
      </c>
      <c r="AE11" s="17">
        <v>0</v>
      </c>
      <c r="AF11" s="15">
        <f t="shared" si="8"/>
        <v>0</v>
      </c>
      <c r="AG11" s="17">
        <v>0</v>
      </c>
      <c r="AH11" s="17">
        <v>0</v>
      </c>
      <c r="AI11" s="15">
        <f t="shared" si="9"/>
        <v>0</v>
      </c>
      <c r="AJ11" s="17"/>
    </row>
    <row r="12" spans="1:36" hidden="1" x14ac:dyDescent="0.3">
      <c r="A12" s="15" t="s">
        <v>64</v>
      </c>
      <c r="B12" s="15">
        <v>500</v>
      </c>
      <c r="C12" s="15" t="s">
        <v>54</v>
      </c>
      <c r="D12" s="15" t="s">
        <v>55</v>
      </c>
      <c r="E12" s="15">
        <f>'8-august-2026'!T12</f>
        <v>8</v>
      </c>
      <c r="F12" s="15">
        <f>'8-august-2026'!U12</f>
        <v>0</v>
      </c>
      <c r="G12" s="15">
        <f>'8-august-2026'!V12</f>
        <v>0</v>
      </c>
      <c r="H12" s="15">
        <f t="shared" si="0"/>
        <v>8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5">
        <f t="shared" si="1"/>
        <v>8</v>
      </c>
      <c r="T12" s="15">
        <f t="shared" si="2"/>
        <v>8</v>
      </c>
      <c r="U12" s="15">
        <f t="shared" si="3"/>
        <v>0</v>
      </c>
      <c r="V12" s="15">
        <f t="shared" si="4"/>
        <v>0</v>
      </c>
      <c r="W12" s="18" t="str">
        <f t="shared" si="5"/>
        <v/>
      </c>
      <c r="X12" s="17">
        <v>0</v>
      </c>
      <c r="Y12" s="17">
        <v>0</v>
      </c>
      <c r="Z12" s="15">
        <f t="shared" si="6"/>
        <v>0</v>
      </c>
      <c r="AA12" s="17">
        <v>0</v>
      </c>
      <c r="AB12" s="17">
        <v>0</v>
      </c>
      <c r="AC12" s="15">
        <f t="shared" si="7"/>
        <v>0</v>
      </c>
      <c r="AD12" s="17">
        <v>0</v>
      </c>
      <c r="AE12" s="17">
        <v>0</v>
      </c>
      <c r="AF12" s="15">
        <f t="shared" si="8"/>
        <v>0</v>
      </c>
      <c r="AG12" s="17">
        <v>0</v>
      </c>
      <c r="AH12" s="17">
        <v>0</v>
      </c>
      <c r="AI12" s="15">
        <f t="shared" si="9"/>
        <v>0</v>
      </c>
      <c r="AJ12" s="17"/>
    </row>
    <row r="13" spans="1:36" hidden="1" x14ac:dyDescent="0.3">
      <c r="A13" s="15" t="s">
        <v>65</v>
      </c>
      <c r="B13" s="15">
        <v>100</v>
      </c>
      <c r="C13" s="15" t="s">
        <v>54</v>
      </c>
      <c r="D13" s="15" t="s">
        <v>55</v>
      </c>
      <c r="E13" s="15">
        <f>'8-august-2026'!T13</f>
        <v>4540</v>
      </c>
      <c r="F13" s="15">
        <f>'8-august-2026'!U13</f>
        <v>731</v>
      </c>
      <c r="G13" s="15">
        <f>'8-august-2026'!V13</f>
        <v>404</v>
      </c>
      <c r="H13" s="15">
        <f t="shared" si="0"/>
        <v>5675</v>
      </c>
      <c r="I13" s="17">
        <v>0</v>
      </c>
      <c r="J13" s="17">
        <v>211</v>
      </c>
      <c r="K13" s="17">
        <v>211</v>
      </c>
      <c r="L13" s="17">
        <v>0</v>
      </c>
      <c r="M13" s="17">
        <v>129</v>
      </c>
      <c r="N13" s="17">
        <v>0</v>
      </c>
      <c r="O13" s="17">
        <v>0</v>
      </c>
      <c r="P13" s="17">
        <v>0</v>
      </c>
      <c r="Q13" s="17">
        <v>129</v>
      </c>
      <c r="R13" s="17">
        <v>0</v>
      </c>
      <c r="S13" s="15">
        <f t="shared" si="1"/>
        <v>5253</v>
      </c>
      <c r="T13" s="15">
        <f t="shared" si="2"/>
        <v>4540</v>
      </c>
      <c r="U13" s="15">
        <f t="shared" si="3"/>
        <v>391</v>
      </c>
      <c r="V13" s="15">
        <f t="shared" si="4"/>
        <v>322</v>
      </c>
      <c r="W13" s="18" t="str">
        <f t="shared" si="5"/>
        <v/>
      </c>
      <c r="X13" s="17">
        <v>0</v>
      </c>
      <c r="Y13" s="17">
        <v>0</v>
      </c>
      <c r="Z13" s="15">
        <f t="shared" si="6"/>
        <v>0</v>
      </c>
      <c r="AA13" s="17">
        <v>0</v>
      </c>
      <c r="AB13" s="17">
        <v>0</v>
      </c>
      <c r="AC13" s="15">
        <f t="shared" si="7"/>
        <v>0</v>
      </c>
      <c r="AD13" s="17">
        <v>0</v>
      </c>
      <c r="AE13" s="17">
        <v>0</v>
      </c>
      <c r="AF13" s="15">
        <f t="shared" si="8"/>
        <v>0</v>
      </c>
      <c r="AG13" s="17">
        <v>0</v>
      </c>
      <c r="AH13" s="17">
        <v>0</v>
      </c>
      <c r="AI13" s="15">
        <f t="shared" si="9"/>
        <v>0</v>
      </c>
      <c r="AJ13" s="17"/>
    </row>
    <row r="14" spans="1:36" hidden="1" x14ac:dyDescent="0.3">
      <c r="A14" s="15" t="s">
        <v>65</v>
      </c>
      <c r="B14" s="15">
        <v>500</v>
      </c>
      <c r="C14" s="15" t="s">
        <v>54</v>
      </c>
      <c r="D14" s="15" t="s">
        <v>55</v>
      </c>
      <c r="E14" s="15">
        <f>'8-august-2026'!T14</f>
        <v>0</v>
      </c>
      <c r="F14" s="15">
        <f>'8-august-2026'!U14</f>
        <v>0</v>
      </c>
      <c r="G14" s="15">
        <f>'8-august-2026'!V14</f>
        <v>21</v>
      </c>
      <c r="H14" s="15">
        <f t="shared" si="0"/>
        <v>21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5">
        <f t="shared" si="1"/>
        <v>21</v>
      </c>
      <c r="T14" s="15">
        <f t="shared" si="2"/>
        <v>0</v>
      </c>
      <c r="U14" s="15">
        <f t="shared" si="3"/>
        <v>0</v>
      </c>
      <c r="V14" s="15">
        <f t="shared" si="4"/>
        <v>21</v>
      </c>
      <c r="W14" s="18" t="str">
        <f t="shared" si="5"/>
        <v/>
      </c>
      <c r="X14" s="17">
        <v>0</v>
      </c>
      <c r="Y14" s="17">
        <v>0</v>
      </c>
      <c r="Z14" s="15">
        <f t="shared" si="6"/>
        <v>0</v>
      </c>
      <c r="AA14" s="17">
        <v>0</v>
      </c>
      <c r="AB14" s="17">
        <v>0</v>
      </c>
      <c r="AC14" s="15">
        <f t="shared" si="7"/>
        <v>0</v>
      </c>
      <c r="AD14" s="17">
        <v>0</v>
      </c>
      <c r="AE14" s="17">
        <v>0</v>
      </c>
      <c r="AF14" s="15">
        <f t="shared" si="8"/>
        <v>0</v>
      </c>
      <c r="AG14" s="17">
        <v>0</v>
      </c>
      <c r="AH14" s="17">
        <v>0</v>
      </c>
      <c r="AI14" s="15">
        <f t="shared" si="9"/>
        <v>0</v>
      </c>
      <c r="AJ14" s="17"/>
    </row>
    <row r="15" spans="1:36" hidden="1" x14ac:dyDescent="0.3">
      <c r="A15" s="15" t="s">
        <v>66</v>
      </c>
      <c r="B15" s="15">
        <v>100</v>
      </c>
      <c r="C15" s="15" t="s">
        <v>54</v>
      </c>
      <c r="D15" s="15" t="s">
        <v>55</v>
      </c>
      <c r="E15" s="15">
        <f>'8-august-2026'!T15</f>
        <v>58</v>
      </c>
      <c r="F15" s="15">
        <f>'8-august-2026'!U15</f>
        <v>41</v>
      </c>
      <c r="G15" s="15">
        <f>'8-august-2026'!V15</f>
        <v>14</v>
      </c>
      <c r="H15" s="15">
        <f t="shared" si="0"/>
        <v>113</v>
      </c>
      <c r="I15" s="17">
        <v>35</v>
      </c>
      <c r="J15" s="17">
        <v>1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5">
        <f t="shared" si="1"/>
        <v>77</v>
      </c>
      <c r="T15" s="15">
        <f t="shared" si="2"/>
        <v>23</v>
      </c>
      <c r="U15" s="15">
        <f t="shared" si="3"/>
        <v>40</v>
      </c>
      <c r="V15" s="15">
        <f t="shared" si="4"/>
        <v>14</v>
      </c>
      <c r="W15" s="18" t="str">
        <f t="shared" si="5"/>
        <v/>
      </c>
      <c r="X15" s="17">
        <v>0</v>
      </c>
      <c r="Y15" s="17">
        <v>0</v>
      </c>
      <c r="Z15" s="15">
        <f t="shared" si="6"/>
        <v>0</v>
      </c>
      <c r="AA15" s="17">
        <v>0</v>
      </c>
      <c r="AB15" s="17">
        <v>0</v>
      </c>
      <c r="AC15" s="15">
        <f t="shared" si="7"/>
        <v>0</v>
      </c>
      <c r="AD15" s="17">
        <v>0</v>
      </c>
      <c r="AE15" s="17">
        <v>0</v>
      </c>
      <c r="AF15" s="15">
        <f t="shared" si="8"/>
        <v>0</v>
      </c>
      <c r="AG15" s="17">
        <v>0</v>
      </c>
      <c r="AH15" s="17">
        <v>0</v>
      </c>
      <c r="AI15" s="15">
        <f t="shared" si="9"/>
        <v>0</v>
      </c>
      <c r="AJ15" s="17"/>
    </row>
    <row r="16" spans="1:36" hidden="1" x14ac:dyDescent="0.3">
      <c r="A16" s="15" t="s">
        <v>66</v>
      </c>
      <c r="B16" s="15">
        <v>1000</v>
      </c>
      <c r="C16" s="15" t="s">
        <v>54</v>
      </c>
      <c r="D16" s="15" t="s">
        <v>55</v>
      </c>
      <c r="E16" s="15">
        <f>'8-august-2026'!T16</f>
        <v>1</v>
      </c>
      <c r="F16" s="15">
        <f>'8-august-2026'!U16</f>
        <v>0</v>
      </c>
      <c r="G16" s="15">
        <f>'8-august-2026'!V16</f>
        <v>0</v>
      </c>
      <c r="H16" s="15">
        <f t="shared" si="0"/>
        <v>1</v>
      </c>
      <c r="I16" s="17">
        <v>1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5">
        <f t="shared" si="1"/>
        <v>0</v>
      </c>
      <c r="T16" s="15">
        <f t="shared" si="2"/>
        <v>0</v>
      </c>
      <c r="U16" s="15">
        <f t="shared" si="3"/>
        <v>0</v>
      </c>
      <c r="V16" s="15">
        <f t="shared" si="4"/>
        <v>0</v>
      </c>
      <c r="W16" s="18" t="str">
        <f t="shared" si="5"/>
        <v/>
      </c>
      <c r="X16" s="17">
        <v>0</v>
      </c>
      <c r="Y16" s="17">
        <v>0</v>
      </c>
      <c r="Z16" s="15">
        <f t="shared" si="6"/>
        <v>0</v>
      </c>
      <c r="AA16" s="17">
        <v>0</v>
      </c>
      <c r="AB16" s="17">
        <v>0</v>
      </c>
      <c r="AC16" s="15">
        <f t="shared" si="7"/>
        <v>0</v>
      </c>
      <c r="AD16" s="17">
        <v>0</v>
      </c>
      <c r="AE16" s="17">
        <v>0</v>
      </c>
      <c r="AF16" s="15">
        <f t="shared" si="8"/>
        <v>0</v>
      </c>
      <c r="AG16" s="17">
        <v>0</v>
      </c>
      <c r="AH16" s="17">
        <v>0</v>
      </c>
      <c r="AI16" s="15">
        <f t="shared" si="9"/>
        <v>0</v>
      </c>
      <c r="AJ16" s="17"/>
    </row>
    <row r="17" spans="1:36" x14ac:dyDescent="0.3">
      <c r="A17" s="15" t="s">
        <v>67</v>
      </c>
      <c r="B17" s="15">
        <v>1000</v>
      </c>
      <c r="C17" s="15" t="s">
        <v>54</v>
      </c>
      <c r="D17" s="15" t="s">
        <v>68</v>
      </c>
      <c r="E17" s="15">
        <f>'8-august-2026'!T17</f>
        <v>3</v>
      </c>
      <c r="F17" s="15">
        <f>'8-august-2026'!U17</f>
        <v>0</v>
      </c>
      <c r="G17" s="15">
        <f>'8-august-2026'!V17</f>
        <v>0</v>
      </c>
      <c r="H17" s="15">
        <f t="shared" si="0"/>
        <v>3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5">
        <f t="shared" si="1"/>
        <v>3</v>
      </c>
      <c r="T17" s="15">
        <f t="shared" si="2"/>
        <v>3</v>
      </c>
      <c r="U17" s="15">
        <f t="shared" si="3"/>
        <v>0</v>
      </c>
      <c r="V17" s="15">
        <f t="shared" si="4"/>
        <v>0</v>
      </c>
      <c r="W17" s="18" t="str">
        <f t="shared" si="5"/>
        <v/>
      </c>
      <c r="X17" s="17">
        <v>0</v>
      </c>
      <c r="Y17" s="17">
        <v>0</v>
      </c>
      <c r="Z17" s="15">
        <f t="shared" si="6"/>
        <v>0</v>
      </c>
      <c r="AA17" s="17">
        <v>0</v>
      </c>
      <c r="AB17" s="17">
        <v>0</v>
      </c>
      <c r="AC17" s="15">
        <f t="shared" si="7"/>
        <v>0</v>
      </c>
      <c r="AD17" s="17">
        <v>0</v>
      </c>
      <c r="AE17" s="17">
        <v>0</v>
      </c>
      <c r="AF17" s="15">
        <f t="shared" si="8"/>
        <v>0</v>
      </c>
      <c r="AG17" s="17">
        <v>0</v>
      </c>
      <c r="AH17" s="17">
        <v>0</v>
      </c>
      <c r="AI17" s="15">
        <f t="shared" si="9"/>
        <v>0</v>
      </c>
      <c r="AJ17" s="17"/>
    </row>
    <row r="18" spans="1:36" x14ac:dyDescent="0.3">
      <c r="A18" s="15" t="s">
        <v>69</v>
      </c>
      <c r="B18" s="15">
        <v>100000</v>
      </c>
      <c r="C18" s="15" t="s">
        <v>54</v>
      </c>
      <c r="D18" s="15" t="s">
        <v>68</v>
      </c>
      <c r="E18" s="15">
        <f>'8-august-2026'!T18</f>
        <v>2</v>
      </c>
      <c r="F18" s="15">
        <f>'8-august-2026'!U18</f>
        <v>0</v>
      </c>
      <c r="G18" s="15">
        <f>'8-august-2026'!V18</f>
        <v>0</v>
      </c>
      <c r="H18" s="15">
        <f t="shared" si="0"/>
        <v>2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5">
        <f t="shared" si="1"/>
        <v>2</v>
      </c>
      <c r="T18" s="15">
        <f t="shared" si="2"/>
        <v>2</v>
      </c>
      <c r="U18" s="15">
        <f t="shared" si="3"/>
        <v>0</v>
      </c>
      <c r="V18" s="15">
        <f t="shared" si="4"/>
        <v>0</v>
      </c>
      <c r="W18" s="18" t="str">
        <f t="shared" si="5"/>
        <v/>
      </c>
      <c r="X18" s="17">
        <v>0</v>
      </c>
      <c r="Y18" s="17">
        <v>0</v>
      </c>
      <c r="Z18" s="15">
        <f t="shared" si="6"/>
        <v>0</v>
      </c>
      <c r="AA18" s="17">
        <v>0</v>
      </c>
      <c r="AB18" s="17">
        <v>0</v>
      </c>
      <c r="AC18" s="15">
        <f t="shared" si="7"/>
        <v>0</v>
      </c>
      <c r="AD18" s="17">
        <v>0</v>
      </c>
      <c r="AE18" s="17">
        <v>0</v>
      </c>
      <c r="AF18" s="15">
        <f t="shared" si="8"/>
        <v>0</v>
      </c>
      <c r="AG18" s="17">
        <v>0</v>
      </c>
      <c r="AH18" s="17">
        <v>0</v>
      </c>
      <c r="AI18" s="15">
        <f t="shared" si="9"/>
        <v>0</v>
      </c>
      <c r="AJ18" s="17"/>
    </row>
    <row r="19" spans="1:36" hidden="1" x14ac:dyDescent="0.3">
      <c r="A19" s="15" t="s">
        <v>70</v>
      </c>
      <c r="B19" s="15">
        <v>1000</v>
      </c>
      <c r="C19" s="15" t="s">
        <v>54</v>
      </c>
      <c r="D19" s="15" t="s">
        <v>55</v>
      </c>
      <c r="E19" s="15">
        <f>'8-august-2026'!T19</f>
        <v>8</v>
      </c>
      <c r="F19" s="15">
        <f>'8-august-2026'!U19</f>
        <v>0</v>
      </c>
      <c r="G19" s="15">
        <f>'8-august-2026'!V19</f>
        <v>0</v>
      </c>
      <c r="H19" s="15">
        <f t="shared" si="0"/>
        <v>8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5">
        <f t="shared" si="1"/>
        <v>8</v>
      </c>
      <c r="T19" s="15">
        <f t="shared" si="2"/>
        <v>8</v>
      </c>
      <c r="U19" s="15">
        <f t="shared" si="3"/>
        <v>0</v>
      </c>
      <c r="V19" s="15">
        <f t="shared" si="4"/>
        <v>0</v>
      </c>
      <c r="W19" s="18" t="str">
        <f t="shared" si="5"/>
        <v/>
      </c>
      <c r="X19" s="17">
        <v>0</v>
      </c>
      <c r="Y19" s="17">
        <v>0</v>
      </c>
      <c r="Z19" s="15">
        <f t="shared" si="6"/>
        <v>0</v>
      </c>
      <c r="AA19" s="17">
        <v>0</v>
      </c>
      <c r="AB19" s="17">
        <v>0</v>
      </c>
      <c r="AC19" s="15">
        <f t="shared" si="7"/>
        <v>0</v>
      </c>
      <c r="AD19" s="17">
        <v>0</v>
      </c>
      <c r="AE19" s="17">
        <v>0</v>
      </c>
      <c r="AF19" s="15">
        <f t="shared" si="8"/>
        <v>0</v>
      </c>
      <c r="AG19" s="17">
        <v>0</v>
      </c>
      <c r="AH19" s="17">
        <v>0</v>
      </c>
      <c r="AI19" s="15">
        <f t="shared" si="9"/>
        <v>0</v>
      </c>
      <c r="AJ19" s="17"/>
    </row>
    <row r="20" spans="1:36" x14ac:dyDescent="0.3">
      <c r="A20" s="15" t="s">
        <v>70</v>
      </c>
      <c r="B20" s="15">
        <v>1000</v>
      </c>
      <c r="C20" s="15" t="s">
        <v>54</v>
      </c>
      <c r="D20" s="15" t="s">
        <v>57</v>
      </c>
      <c r="E20" s="15">
        <f>'8-august-2026'!T20</f>
        <v>1</v>
      </c>
      <c r="F20" s="15">
        <f>'8-august-2026'!U20</f>
        <v>0</v>
      </c>
      <c r="G20" s="15">
        <f>'8-august-2026'!V20</f>
        <v>0</v>
      </c>
      <c r="H20" s="15">
        <f t="shared" si="0"/>
        <v>1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5">
        <f t="shared" si="1"/>
        <v>1</v>
      </c>
      <c r="T20" s="15">
        <f t="shared" si="2"/>
        <v>1</v>
      </c>
      <c r="U20" s="15">
        <f t="shared" si="3"/>
        <v>0</v>
      </c>
      <c r="V20" s="15">
        <f t="shared" si="4"/>
        <v>0</v>
      </c>
      <c r="W20" s="18" t="str">
        <f t="shared" si="5"/>
        <v/>
      </c>
      <c r="X20" s="17">
        <v>0</v>
      </c>
      <c r="Y20" s="17">
        <v>0</v>
      </c>
      <c r="Z20" s="15">
        <f t="shared" si="6"/>
        <v>0</v>
      </c>
      <c r="AA20" s="17">
        <v>0</v>
      </c>
      <c r="AB20" s="17">
        <v>0</v>
      </c>
      <c r="AC20" s="15">
        <f t="shared" si="7"/>
        <v>0</v>
      </c>
      <c r="AD20" s="17">
        <v>0</v>
      </c>
      <c r="AE20" s="17">
        <v>0</v>
      </c>
      <c r="AF20" s="15">
        <f t="shared" si="8"/>
        <v>0</v>
      </c>
      <c r="AG20" s="17">
        <v>0</v>
      </c>
      <c r="AH20" s="17">
        <v>0</v>
      </c>
      <c r="AI20" s="15">
        <f t="shared" si="9"/>
        <v>0</v>
      </c>
      <c r="AJ20" s="17"/>
    </row>
    <row r="21" spans="1:36" hidden="1" x14ac:dyDescent="0.3">
      <c r="A21" s="15" t="s">
        <v>71</v>
      </c>
      <c r="B21" s="15">
        <v>100</v>
      </c>
      <c r="C21" s="15" t="s">
        <v>54</v>
      </c>
      <c r="D21" s="15" t="s">
        <v>55</v>
      </c>
      <c r="E21" s="15">
        <f>'8-august-2026'!T21</f>
        <v>4</v>
      </c>
      <c r="F21" s="15">
        <f>'8-august-2026'!U21</f>
        <v>0</v>
      </c>
      <c r="G21" s="15">
        <f>'8-august-2026'!V21</f>
        <v>0</v>
      </c>
      <c r="H21" s="15">
        <f t="shared" si="0"/>
        <v>4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5">
        <f t="shared" si="1"/>
        <v>4</v>
      </c>
      <c r="T21" s="15">
        <f t="shared" si="2"/>
        <v>4</v>
      </c>
      <c r="U21" s="15">
        <f t="shared" si="3"/>
        <v>0</v>
      </c>
      <c r="V21" s="15">
        <f t="shared" si="4"/>
        <v>0</v>
      </c>
      <c r="W21" s="18" t="str">
        <f t="shared" si="5"/>
        <v/>
      </c>
      <c r="X21" s="17">
        <v>0</v>
      </c>
      <c r="Y21" s="17">
        <v>0</v>
      </c>
      <c r="Z21" s="15">
        <f t="shared" si="6"/>
        <v>0</v>
      </c>
      <c r="AA21" s="17">
        <v>0</v>
      </c>
      <c r="AB21" s="17">
        <v>0</v>
      </c>
      <c r="AC21" s="15">
        <f t="shared" si="7"/>
        <v>0</v>
      </c>
      <c r="AD21" s="17">
        <v>0</v>
      </c>
      <c r="AE21" s="17">
        <v>0</v>
      </c>
      <c r="AF21" s="15">
        <f t="shared" si="8"/>
        <v>0</v>
      </c>
      <c r="AG21" s="17">
        <v>0</v>
      </c>
      <c r="AH21" s="17">
        <v>0</v>
      </c>
      <c r="AI21" s="15">
        <f t="shared" si="9"/>
        <v>0</v>
      </c>
      <c r="AJ21" s="17"/>
    </row>
    <row r="22" spans="1:36" hidden="1" x14ac:dyDescent="0.3">
      <c r="A22" s="15" t="s">
        <v>71</v>
      </c>
      <c r="B22" s="15">
        <v>1000</v>
      </c>
      <c r="C22" s="15" t="s">
        <v>54</v>
      </c>
      <c r="D22" s="15" t="s">
        <v>55</v>
      </c>
      <c r="E22" s="15">
        <f>'8-august-2026'!T22</f>
        <v>8</v>
      </c>
      <c r="F22" s="15">
        <f>'8-august-2026'!U22</f>
        <v>0</v>
      </c>
      <c r="G22" s="15">
        <f>'8-august-2026'!V22</f>
        <v>0</v>
      </c>
      <c r="H22" s="15">
        <f t="shared" si="0"/>
        <v>8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5">
        <f t="shared" si="1"/>
        <v>8</v>
      </c>
      <c r="T22" s="15">
        <f t="shared" si="2"/>
        <v>8</v>
      </c>
      <c r="U22" s="15">
        <f t="shared" si="3"/>
        <v>0</v>
      </c>
      <c r="V22" s="15">
        <f t="shared" si="4"/>
        <v>0</v>
      </c>
      <c r="W22" s="18" t="str">
        <f t="shared" si="5"/>
        <v/>
      </c>
      <c r="X22" s="17">
        <v>0</v>
      </c>
      <c r="Y22" s="17">
        <v>0</v>
      </c>
      <c r="Z22" s="15">
        <f t="shared" si="6"/>
        <v>0</v>
      </c>
      <c r="AA22" s="17">
        <v>0</v>
      </c>
      <c r="AB22" s="17">
        <v>0</v>
      </c>
      <c r="AC22" s="15">
        <f t="shared" si="7"/>
        <v>0</v>
      </c>
      <c r="AD22" s="17">
        <v>0</v>
      </c>
      <c r="AE22" s="17">
        <v>0</v>
      </c>
      <c r="AF22" s="15">
        <f t="shared" si="8"/>
        <v>0</v>
      </c>
      <c r="AG22" s="17">
        <v>0</v>
      </c>
      <c r="AH22" s="17">
        <v>0</v>
      </c>
      <c r="AI22" s="15">
        <f t="shared" si="9"/>
        <v>0</v>
      </c>
      <c r="AJ22" s="17"/>
    </row>
    <row r="23" spans="1:36" x14ac:dyDescent="0.3">
      <c r="A23" s="15" t="s">
        <v>72</v>
      </c>
      <c r="B23" s="15">
        <v>100</v>
      </c>
      <c r="C23" s="15" t="s">
        <v>54</v>
      </c>
      <c r="D23" s="15" t="s">
        <v>57</v>
      </c>
      <c r="E23" s="15">
        <f>'8-august-2026'!T23</f>
        <v>18</v>
      </c>
      <c r="F23" s="15">
        <f>'8-august-2026'!U23</f>
        <v>0</v>
      </c>
      <c r="G23" s="15">
        <f>'8-august-2026'!V23</f>
        <v>0</v>
      </c>
      <c r="H23" s="15">
        <f t="shared" si="0"/>
        <v>18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5">
        <f t="shared" si="1"/>
        <v>18</v>
      </c>
      <c r="T23" s="15">
        <f t="shared" si="2"/>
        <v>18</v>
      </c>
      <c r="U23" s="15">
        <f t="shared" si="3"/>
        <v>0</v>
      </c>
      <c r="V23" s="15">
        <f t="shared" si="4"/>
        <v>0</v>
      </c>
      <c r="W23" s="18" t="str">
        <f t="shared" si="5"/>
        <v/>
      </c>
      <c r="X23" s="17">
        <v>0</v>
      </c>
      <c r="Y23" s="17">
        <v>0</v>
      </c>
      <c r="Z23" s="15">
        <f t="shared" si="6"/>
        <v>0</v>
      </c>
      <c r="AA23" s="17">
        <v>0</v>
      </c>
      <c r="AB23" s="17">
        <v>0</v>
      </c>
      <c r="AC23" s="15">
        <f t="shared" si="7"/>
        <v>0</v>
      </c>
      <c r="AD23" s="17">
        <v>0</v>
      </c>
      <c r="AE23" s="17">
        <v>0</v>
      </c>
      <c r="AF23" s="15">
        <f t="shared" si="8"/>
        <v>0</v>
      </c>
      <c r="AG23" s="17">
        <v>0</v>
      </c>
      <c r="AH23" s="17">
        <v>0</v>
      </c>
      <c r="AI23" s="15">
        <f t="shared" si="9"/>
        <v>0</v>
      </c>
      <c r="AJ23" s="17"/>
    </row>
    <row r="24" spans="1:36" x14ac:dyDescent="0.3">
      <c r="A24" s="15" t="s">
        <v>72</v>
      </c>
      <c r="B24" s="15">
        <v>500</v>
      </c>
      <c r="C24" s="15" t="s">
        <v>54</v>
      </c>
      <c r="D24" s="15" t="s">
        <v>57</v>
      </c>
      <c r="E24" s="15">
        <f>'8-august-2026'!T24</f>
        <v>0</v>
      </c>
      <c r="F24" s="15">
        <f>'8-august-2026'!U24</f>
        <v>0</v>
      </c>
      <c r="G24" s="15">
        <f>'8-august-2026'!V24</f>
        <v>0</v>
      </c>
      <c r="H24" s="15">
        <f t="shared" si="0"/>
        <v>0</v>
      </c>
      <c r="I24" s="17">
        <v>0</v>
      </c>
      <c r="J24" s="17">
        <v>0</v>
      </c>
      <c r="K24" s="17">
        <v>0</v>
      </c>
      <c r="L24" s="17">
        <v>2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5">
        <f t="shared" si="1"/>
        <v>-2</v>
      </c>
      <c r="T24" s="15">
        <f t="shared" si="2"/>
        <v>-2</v>
      </c>
      <c r="U24" s="15">
        <f t="shared" si="3"/>
        <v>0</v>
      </c>
      <c r="V24" s="15">
        <f t="shared" si="4"/>
        <v>0</v>
      </c>
      <c r="W24" s="18" t="str">
        <f t="shared" si="5"/>
        <v>NEGATIVE STOCK - CHECK ENTRIES</v>
      </c>
      <c r="X24" s="17">
        <v>0</v>
      </c>
      <c r="Y24" s="17">
        <v>0</v>
      </c>
      <c r="Z24" s="15">
        <f t="shared" si="6"/>
        <v>0</v>
      </c>
      <c r="AA24" s="17">
        <v>0</v>
      </c>
      <c r="AB24" s="17">
        <v>0</v>
      </c>
      <c r="AC24" s="15">
        <f t="shared" si="7"/>
        <v>0</v>
      </c>
      <c r="AD24" s="17">
        <v>0</v>
      </c>
      <c r="AE24" s="17">
        <v>0</v>
      </c>
      <c r="AF24" s="15">
        <f t="shared" si="8"/>
        <v>0</v>
      </c>
      <c r="AG24" s="17">
        <v>0</v>
      </c>
      <c r="AH24" s="17">
        <v>0</v>
      </c>
      <c r="AI24" s="15">
        <f t="shared" si="9"/>
        <v>0</v>
      </c>
      <c r="AJ24" s="17"/>
    </row>
    <row r="25" spans="1:36" hidden="1" x14ac:dyDescent="0.3">
      <c r="A25" s="15" t="s">
        <v>73</v>
      </c>
      <c r="B25" s="15">
        <v>100</v>
      </c>
      <c r="C25" s="15" t="s">
        <v>54</v>
      </c>
      <c r="D25" s="15" t="s">
        <v>55</v>
      </c>
      <c r="E25" s="15">
        <f>'8-august-2026'!T25</f>
        <v>1</v>
      </c>
      <c r="F25" s="15">
        <f>'8-august-2026'!U25</f>
        <v>136</v>
      </c>
      <c r="G25" s="15">
        <f>'8-august-2026'!V25</f>
        <v>0</v>
      </c>
      <c r="H25" s="15">
        <f t="shared" si="0"/>
        <v>137</v>
      </c>
      <c r="I25" s="17">
        <v>0</v>
      </c>
      <c r="J25" s="17">
        <v>2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5">
        <f t="shared" si="1"/>
        <v>135</v>
      </c>
      <c r="T25" s="15">
        <f t="shared" si="2"/>
        <v>1</v>
      </c>
      <c r="U25" s="15">
        <f t="shared" si="3"/>
        <v>134</v>
      </c>
      <c r="V25" s="15">
        <f t="shared" si="4"/>
        <v>0</v>
      </c>
      <c r="W25" s="18" t="str">
        <f t="shared" si="5"/>
        <v/>
      </c>
      <c r="X25" s="17">
        <v>0</v>
      </c>
      <c r="Y25" s="17">
        <v>0</v>
      </c>
      <c r="Z25" s="15">
        <f t="shared" si="6"/>
        <v>0</v>
      </c>
      <c r="AA25" s="17">
        <v>0</v>
      </c>
      <c r="AB25" s="17">
        <v>0</v>
      </c>
      <c r="AC25" s="15">
        <f t="shared" si="7"/>
        <v>0</v>
      </c>
      <c r="AD25" s="17">
        <v>0</v>
      </c>
      <c r="AE25" s="17">
        <v>0</v>
      </c>
      <c r="AF25" s="15">
        <f t="shared" si="8"/>
        <v>0</v>
      </c>
      <c r="AG25" s="17">
        <v>0</v>
      </c>
      <c r="AH25" s="17">
        <v>0</v>
      </c>
      <c r="AI25" s="15">
        <f t="shared" si="9"/>
        <v>0</v>
      </c>
      <c r="AJ25" s="17"/>
    </row>
    <row r="26" spans="1:36" hidden="1" x14ac:dyDescent="0.3">
      <c r="A26" s="15" t="s">
        <v>74</v>
      </c>
      <c r="B26" s="15">
        <v>100</v>
      </c>
      <c r="C26" s="15" t="s">
        <v>54</v>
      </c>
      <c r="D26" s="15" t="s">
        <v>55</v>
      </c>
      <c r="E26" s="15">
        <f>'8-august-2026'!T26</f>
        <v>79</v>
      </c>
      <c r="F26" s="15">
        <f>'8-august-2026'!U26</f>
        <v>13</v>
      </c>
      <c r="G26" s="15">
        <f>'8-august-2026'!V26</f>
        <v>3</v>
      </c>
      <c r="H26" s="15">
        <f t="shared" si="0"/>
        <v>95</v>
      </c>
      <c r="I26" s="17">
        <v>1</v>
      </c>
      <c r="J26" s="17">
        <v>1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5">
        <f t="shared" si="1"/>
        <v>93</v>
      </c>
      <c r="T26" s="15">
        <f t="shared" si="2"/>
        <v>78</v>
      </c>
      <c r="U26" s="15">
        <f t="shared" si="3"/>
        <v>12</v>
      </c>
      <c r="V26" s="15">
        <f t="shared" si="4"/>
        <v>3</v>
      </c>
      <c r="W26" s="18" t="str">
        <f t="shared" si="5"/>
        <v/>
      </c>
      <c r="X26" s="17">
        <v>0</v>
      </c>
      <c r="Y26" s="17">
        <v>0</v>
      </c>
      <c r="Z26" s="15">
        <f t="shared" si="6"/>
        <v>0</v>
      </c>
      <c r="AA26" s="17">
        <v>0</v>
      </c>
      <c r="AB26" s="17">
        <v>0</v>
      </c>
      <c r="AC26" s="15">
        <f t="shared" si="7"/>
        <v>0</v>
      </c>
      <c r="AD26" s="17">
        <v>0</v>
      </c>
      <c r="AE26" s="17">
        <v>0</v>
      </c>
      <c r="AF26" s="15">
        <f t="shared" si="8"/>
        <v>0</v>
      </c>
      <c r="AG26" s="17">
        <v>0</v>
      </c>
      <c r="AH26" s="17">
        <v>0</v>
      </c>
      <c r="AI26" s="15">
        <f t="shared" si="9"/>
        <v>0</v>
      </c>
      <c r="AJ26" s="17"/>
    </row>
    <row r="27" spans="1:36" x14ac:dyDescent="0.3">
      <c r="A27" s="15" t="s">
        <v>75</v>
      </c>
      <c r="B27" s="15">
        <v>1000</v>
      </c>
      <c r="C27" s="15" t="s">
        <v>54</v>
      </c>
      <c r="D27" s="15" t="s">
        <v>68</v>
      </c>
      <c r="E27" s="15">
        <f>'8-august-2026'!T27</f>
        <v>0</v>
      </c>
      <c r="F27" s="15">
        <f>'8-august-2026'!U27</f>
        <v>0</v>
      </c>
      <c r="G27" s="15">
        <f>'8-august-2026'!V27</f>
        <v>0</v>
      </c>
      <c r="H27" s="15">
        <f t="shared" si="0"/>
        <v>0</v>
      </c>
      <c r="I27" s="17">
        <v>1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5">
        <f t="shared" si="1"/>
        <v>-1</v>
      </c>
      <c r="T27" s="15">
        <f t="shared" si="2"/>
        <v>-1</v>
      </c>
      <c r="U27" s="15">
        <f t="shared" si="3"/>
        <v>0</v>
      </c>
      <c r="V27" s="15">
        <f t="shared" si="4"/>
        <v>0</v>
      </c>
      <c r="W27" s="18" t="str">
        <f t="shared" si="5"/>
        <v>NEGATIVE STOCK - CHECK ENTRIES</v>
      </c>
      <c r="X27" s="17">
        <v>0</v>
      </c>
      <c r="Y27" s="17">
        <v>0</v>
      </c>
      <c r="Z27" s="15">
        <f t="shared" si="6"/>
        <v>0</v>
      </c>
      <c r="AA27" s="17">
        <v>0</v>
      </c>
      <c r="AB27" s="17">
        <v>0</v>
      </c>
      <c r="AC27" s="15">
        <f t="shared" si="7"/>
        <v>0</v>
      </c>
      <c r="AD27" s="17">
        <v>0</v>
      </c>
      <c r="AE27" s="17">
        <v>0</v>
      </c>
      <c r="AF27" s="15">
        <f t="shared" si="8"/>
        <v>0</v>
      </c>
      <c r="AG27" s="17">
        <v>0</v>
      </c>
      <c r="AH27" s="17">
        <v>0</v>
      </c>
      <c r="AI27" s="15">
        <f t="shared" si="9"/>
        <v>0</v>
      </c>
      <c r="AJ27" s="17"/>
    </row>
    <row r="28" spans="1:36" x14ac:dyDescent="0.3">
      <c r="A28" s="15" t="s">
        <v>76</v>
      </c>
      <c r="B28" s="15">
        <v>100</v>
      </c>
      <c r="C28" s="15" t="s">
        <v>54</v>
      </c>
      <c r="D28" s="15" t="s">
        <v>68</v>
      </c>
      <c r="E28" s="15">
        <f>'8-august-2026'!T28</f>
        <v>6</v>
      </c>
      <c r="F28" s="15">
        <f>'8-august-2026'!U28</f>
        <v>0</v>
      </c>
      <c r="G28" s="15">
        <f>'8-august-2026'!V28</f>
        <v>0</v>
      </c>
      <c r="H28" s="15">
        <f t="shared" si="0"/>
        <v>6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5">
        <f t="shared" si="1"/>
        <v>6</v>
      </c>
      <c r="T28" s="15">
        <f t="shared" si="2"/>
        <v>6</v>
      </c>
      <c r="U28" s="15">
        <f t="shared" si="3"/>
        <v>0</v>
      </c>
      <c r="V28" s="15">
        <f t="shared" si="4"/>
        <v>0</v>
      </c>
      <c r="W28" s="18" t="str">
        <f t="shared" si="5"/>
        <v/>
      </c>
      <c r="X28" s="17">
        <v>0</v>
      </c>
      <c r="Y28" s="17">
        <v>0</v>
      </c>
      <c r="Z28" s="15">
        <f t="shared" si="6"/>
        <v>0</v>
      </c>
      <c r="AA28" s="17">
        <v>0</v>
      </c>
      <c r="AB28" s="17">
        <v>0</v>
      </c>
      <c r="AC28" s="15">
        <f t="shared" si="7"/>
        <v>0</v>
      </c>
      <c r="AD28" s="17">
        <v>0</v>
      </c>
      <c r="AE28" s="17">
        <v>0</v>
      </c>
      <c r="AF28" s="15">
        <f t="shared" si="8"/>
        <v>0</v>
      </c>
      <c r="AG28" s="17">
        <v>0</v>
      </c>
      <c r="AH28" s="17">
        <v>0</v>
      </c>
      <c r="AI28" s="15">
        <f t="shared" si="9"/>
        <v>0</v>
      </c>
      <c r="AJ28" s="17"/>
    </row>
    <row r="29" spans="1:36" hidden="1" x14ac:dyDescent="0.3">
      <c r="A29" s="15" t="s">
        <v>77</v>
      </c>
      <c r="B29" s="15">
        <v>100</v>
      </c>
      <c r="C29" s="15" t="s">
        <v>54</v>
      </c>
      <c r="D29" s="15" t="s">
        <v>55</v>
      </c>
      <c r="E29" s="15">
        <f>'8-august-2026'!T29</f>
        <v>0</v>
      </c>
      <c r="F29" s="15">
        <f>'8-august-2026'!U29</f>
        <v>0</v>
      </c>
      <c r="G29" s="15">
        <f>'8-august-2026'!V29</f>
        <v>0</v>
      </c>
      <c r="H29" s="15">
        <f t="shared" si="0"/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5">
        <f t="shared" si="1"/>
        <v>0</v>
      </c>
      <c r="T29" s="15">
        <f t="shared" si="2"/>
        <v>0</v>
      </c>
      <c r="U29" s="15">
        <f t="shared" si="3"/>
        <v>0</v>
      </c>
      <c r="V29" s="15">
        <f t="shared" si="4"/>
        <v>0</v>
      </c>
      <c r="W29" s="18" t="str">
        <f t="shared" si="5"/>
        <v/>
      </c>
      <c r="X29" s="17">
        <v>0</v>
      </c>
      <c r="Y29" s="17">
        <v>0</v>
      </c>
      <c r="Z29" s="15">
        <f t="shared" si="6"/>
        <v>0</v>
      </c>
      <c r="AA29" s="17">
        <v>0</v>
      </c>
      <c r="AB29" s="17">
        <v>0</v>
      </c>
      <c r="AC29" s="15">
        <f t="shared" si="7"/>
        <v>0</v>
      </c>
      <c r="AD29" s="17">
        <v>0</v>
      </c>
      <c r="AE29" s="17">
        <v>0</v>
      </c>
      <c r="AF29" s="15">
        <f t="shared" si="8"/>
        <v>0</v>
      </c>
      <c r="AG29" s="17">
        <v>0</v>
      </c>
      <c r="AH29" s="17">
        <v>0</v>
      </c>
      <c r="AI29" s="15">
        <f t="shared" si="9"/>
        <v>0</v>
      </c>
      <c r="AJ29" s="17"/>
    </row>
    <row r="30" spans="1:36" hidden="1" x14ac:dyDescent="0.3">
      <c r="A30" s="15" t="s">
        <v>78</v>
      </c>
      <c r="B30" s="15">
        <v>1000</v>
      </c>
      <c r="C30" s="15" t="s">
        <v>54</v>
      </c>
      <c r="D30" s="15" t="s">
        <v>55</v>
      </c>
      <c r="E30" s="15">
        <f>'8-august-2026'!T30</f>
        <v>6</v>
      </c>
      <c r="F30" s="15">
        <f>'8-august-2026'!U30</f>
        <v>12</v>
      </c>
      <c r="G30" s="15">
        <f>'8-august-2026'!V30</f>
        <v>10</v>
      </c>
      <c r="H30" s="15">
        <f t="shared" si="0"/>
        <v>28</v>
      </c>
      <c r="I30" s="17">
        <v>2</v>
      </c>
      <c r="J30" s="17">
        <v>8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5">
        <f t="shared" si="1"/>
        <v>18</v>
      </c>
      <c r="T30" s="15">
        <f t="shared" si="2"/>
        <v>4</v>
      </c>
      <c r="U30" s="15">
        <f t="shared" si="3"/>
        <v>4</v>
      </c>
      <c r="V30" s="15">
        <f t="shared" si="4"/>
        <v>10</v>
      </c>
      <c r="W30" s="18" t="str">
        <f t="shared" si="5"/>
        <v/>
      </c>
      <c r="X30" s="17">
        <v>0</v>
      </c>
      <c r="Y30" s="17">
        <v>0</v>
      </c>
      <c r="Z30" s="15">
        <f t="shared" si="6"/>
        <v>0</v>
      </c>
      <c r="AA30" s="17">
        <v>0</v>
      </c>
      <c r="AB30" s="17">
        <v>0</v>
      </c>
      <c r="AC30" s="15">
        <f t="shared" si="7"/>
        <v>0</v>
      </c>
      <c r="AD30" s="17">
        <v>0</v>
      </c>
      <c r="AE30" s="17">
        <v>0</v>
      </c>
      <c r="AF30" s="15">
        <f t="shared" si="8"/>
        <v>0</v>
      </c>
      <c r="AG30" s="17">
        <v>0</v>
      </c>
      <c r="AH30" s="17">
        <v>0</v>
      </c>
      <c r="AI30" s="15">
        <f t="shared" si="9"/>
        <v>0</v>
      </c>
      <c r="AJ30" s="17"/>
    </row>
    <row r="31" spans="1:36" hidden="1" x14ac:dyDescent="0.3">
      <c r="A31" s="15" t="s">
        <v>79</v>
      </c>
      <c r="B31" s="15">
        <v>1000</v>
      </c>
      <c r="C31" s="15" t="s">
        <v>54</v>
      </c>
      <c r="D31" s="15" t="s">
        <v>55</v>
      </c>
      <c r="E31" s="15">
        <f>'8-august-2026'!T31</f>
        <v>24</v>
      </c>
      <c r="F31" s="15">
        <f>'8-august-2026'!U31</f>
        <v>5</v>
      </c>
      <c r="G31" s="15">
        <f>'8-august-2026'!V31</f>
        <v>0</v>
      </c>
      <c r="H31" s="15">
        <f t="shared" si="0"/>
        <v>29</v>
      </c>
      <c r="I31" s="17">
        <v>0</v>
      </c>
      <c r="J31" s="17">
        <v>3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5">
        <f t="shared" si="1"/>
        <v>26</v>
      </c>
      <c r="T31" s="15">
        <f t="shared" si="2"/>
        <v>24</v>
      </c>
      <c r="U31" s="15">
        <f t="shared" si="3"/>
        <v>2</v>
      </c>
      <c r="V31" s="15">
        <f t="shared" si="4"/>
        <v>0</v>
      </c>
      <c r="W31" s="18" t="str">
        <f t="shared" si="5"/>
        <v/>
      </c>
      <c r="X31" s="17">
        <v>0</v>
      </c>
      <c r="Y31" s="17">
        <v>0</v>
      </c>
      <c r="Z31" s="15">
        <f t="shared" si="6"/>
        <v>0</v>
      </c>
      <c r="AA31" s="17">
        <v>0</v>
      </c>
      <c r="AB31" s="17">
        <v>0</v>
      </c>
      <c r="AC31" s="15">
        <f t="shared" si="7"/>
        <v>0</v>
      </c>
      <c r="AD31" s="17">
        <v>0</v>
      </c>
      <c r="AE31" s="17">
        <v>0</v>
      </c>
      <c r="AF31" s="15">
        <f t="shared" si="8"/>
        <v>0</v>
      </c>
      <c r="AG31" s="17">
        <v>0</v>
      </c>
      <c r="AH31" s="17">
        <v>0</v>
      </c>
      <c r="AI31" s="15">
        <f t="shared" si="9"/>
        <v>0</v>
      </c>
      <c r="AJ31" s="17"/>
    </row>
    <row r="32" spans="1:36" hidden="1" x14ac:dyDescent="0.3">
      <c r="A32" s="15" t="s">
        <v>80</v>
      </c>
      <c r="B32" s="15">
        <v>25000</v>
      </c>
      <c r="C32" s="15" t="s">
        <v>54</v>
      </c>
      <c r="D32" s="15" t="s">
        <v>55</v>
      </c>
      <c r="E32" s="15">
        <f>'8-august-2026'!T32</f>
        <v>4</v>
      </c>
      <c r="F32" s="15">
        <f>'8-august-2026'!U32</f>
        <v>0</v>
      </c>
      <c r="G32" s="15">
        <f>'8-august-2026'!V32</f>
        <v>0</v>
      </c>
      <c r="H32" s="15">
        <f t="shared" si="0"/>
        <v>4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5">
        <f t="shared" si="1"/>
        <v>4</v>
      </c>
      <c r="T32" s="15">
        <f t="shared" si="2"/>
        <v>4</v>
      </c>
      <c r="U32" s="15">
        <f t="shared" si="3"/>
        <v>0</v>
      </c>
      <c r="V32" s="15">
        <f t="shared" si="4"/>
        <v>0</v>
      </c>
      <c r="W32" s="18" t="str">
        <f t="shared" si="5"/>
        <v/>
      </c>
      <c r="X32" s="17">
        <v>0</v>
      </c>
      <c r="Y32" s="17">
        <v>0</v>
      </c>
      <c r="Z32" s="15">
        <f t="shared" si="6"/>
        <v>0</v>
      </c>
      <c r="AA32" s="17">
        <v>0</v>
      </c>
      <c r="AB32" s="17">
        <v>0</v>
      </c>
      <c r="AC32" s="15">
        <f t="shared" si="7"/>
        <v>0</v>
      </c>
      <c r="AD32" s="17">
        <v>0</v>
      </c>
      <c r="AE32" s="17">
        <v>0</v>
      </c>
      <c r="AF32" s="15">
        <f t="shared" si="8"/>
        <v>0</v>
      </c>
      <c r="AG32" s="17">
        <v>0</v>
      </c>
      <c r="AH32" s="17">
        <v>0</v>
      </c>
      <c r="AI32" s="15">
        <f t="shared" si="9"/>
        <v>0</v>
      </c>
      <c r="AJ32" s="17"/>
    </row>
    <row r="33" spans="1:36" hidden="1" x14ac:dyDescent="0.3">
      <c r="A33" s="15" t="s">
        <v>81</v>
      </c>
      <c r="B33" s="15">
        <v>25000</v>
      </c>
      <c r="C33" s="15" t="s">
        <v>54</v>
      </c>
      <c r="D33" s="15" t="s">
        <v>55</v>
      </c>
      <c r="E33" s="15">
        <f>'8-august-2026'!T33</f>
        <v>2</v>
      </c>
      <c r="F33" s="15">
        <f>'8-august-2026'!U33</f>
        <v>3</v>
      </c>
      <c r="G33" s="15">
        <f>'8-august-2026'!V33</f>
        <v>0</v>
      </c>
      <c r="H33" s="15">
        <f t="shared" si="0"/>
        <v>5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5">
        <f t="shared" si="1"/>
        <v>5</v>
      </c>
      <c r="T33" s="15">
        <f t="shared" si="2"/>
        <v>2</v>
      </c>
      <c r="U33" s="15">
        <f t="shared" si="3"/>
        <v>3</v>
      </c>
      <c r="V33" s="15">
        <f t="shared" si="4"/>
        <v>0</v>
      </c>
      <c r="W33" s="18" t="str">
        <f t="shared" si="5"/>
        <v/>
      </c>
      <c r="X33" s="17">
        <v>0</v>
      </c>
      <c r="Y33" s="17">
        <v>0</v>
      </c>
      <c r="Z33" s="15">
        <f t="shared" si="6"/>
        <v>0</v>
      </c>
      <c r="AA33" s="17">
        <v>0</v>
      </c>
      <c r="AB33" s="17">
        <v>0</v>
      </c>
      <c r="AC33" s="15">
        <f t="shared" si="7"/>
        <v>0</v>
      </c>
      <c r="AD33" s="17">
        <v>0</v>
      </c>
      <c r="AE33" s="17">
        <v>0</v>
      </c>
      <c r="AF33" s="15">
        <f t="shared" si="8"/>
        <v>0</v>
      </c>
      <c r="AG33" s="17">
        <v>0</v>
      </c>
      <c r="AH33" s="17">
        <v>0</v>
      </c>
      <c r="AI33" s="15">
        <f t="shared" si="9"/>
        <v>0</v>
      </c>
      <c r="AJ33" s="17"/>
    </row>
    <row r="34" spans="1:36" x14ac:dyDescent="0.3">
      <c r="A34" s="15" t="s">
        <v>82</v>
      </c>
      <c r="B34" s="15">
        <v>1000</v>
      </c>
      <c r="C34" s="15" t="s">
        <v>54</v>
      </c>
      <c r="D34" s="15" t="s">
        <v>68</v>
      </c>
      <c r="E34" s="15">
        <f>'8-august-2026'!T34</f>
        <v>2</v>
      </c>
      <c r="F34" s="15">
        <f>'8-august-2026'!U34</f>
        <v>0</v>
      </c>
      <c r="G34" s="15">
        <f>'8-august-2026'!V34</f>
        <v>0</v>
      </c>
      <c r="H34" s="15">
        <f t="shared" si="0"/>
        <v>2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5">
        <f t="shared" si="1"/>
        <v>2</v>
      </c>
      <c r="T34" s="15">
        <f t="shared" si="2"/>
        <v>2</v>
      </c>
      <c r="U34" s="15">
        <f t="shared" si="3"/>
        <v>0</v>
      </c>
      <c r="V34" s="15">
        <f t="shared" si="4"/>
        <v>0</v>
      </c>
      <c r="W34" s="18" t="str">
        <f t="shared" si="5"/>
        <v/>
      </c>
      <c r="X34" s="17">
        <v>0</v>
      </c>
      <c r="Y34" s="17">
        <v>0</v>
      </c>
      <c r="Z34" s="15">
        <f t="shared" si="6"/>
        <v>0</v>
      </c>
      <c r="AA34" s="17">
        <v>0</v>
      </c>
      <c r="AB34" s="17">
        <v>0</v>
      </c>
      <c r="AC34" s="15">
        <f t="shared" si="7"/>
        <v>0</v>
      </c>
      <c r="AD34" s="17">
        <v>0</v>
      </c>
      <c r="AE34" s="17">
        <v>0</v>
      </c>
      <c r="AF34" s="15">
        <f t="shared" si="8"/>
        <v>0</v>
      </c>
      <c r="AG34" s="17">
        <v>0</v>
      </c>
      <c r="AH34" s="17">
        <v>0</v>
      </c>
      <c r="AI34" s="15">
        <f t="shared" si="9"/>
        <v>0</v>
      </c>
      <c r="AJ34" s="17"/>
    </row>
    <row r="35" spans="1:36" x14ac:dyDescent="0.3">
      <c r="A35" s="15" t="s">
        <v>83</v>
      </c>
      <c r="B35" s="15">
        <v>100</v>
      </c>
      <c r="C35" s="15" t="s">
        <v>54</v>
      </c>
      <c r="D35" s="15" t="s">
        <v>57</v>
      </c>
      <c r="E35" s="15">
        <f>'8-august-2026'!T35</f>
        <v>2</v>
      </c>
      <c r="F35" s="15">
        <f>'8-august-2026'!U35</f>
        <v>0</v>
      </c>
      <c r="G35" s="15">
        <f>'8-august-2026'!V35</f>
        <v>0</v>
      </c>
      <c r="H35" s="15">
        <f t="shared" ref="H35:H66" si="10">E35+F35+G35</f>
        <v>2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5">
        <f t="shared" ref="S35:S66" si="11">H35+O35+P35+Q35+R35-(I35+J35+K35+L35+M35+N35)</f>
        <v>2</v>
      </c>
      <c r="T35" s="15">
        <f t="shared" ref="T35:T66" si="12">E35+O35-I35-L35</f>
        <v>2</v>
      </c>
      <c r="U35" s="15">
        <f t="shared" ref="U35:U66" si="13">F35+P35-J35-M35</f>
        <v>0</v>
      </c>
      <c r="V35" s="15">
        <f t="shared" ref="V35:V66" si="14">G35+Q35-K35-N35</f>
        <v>0</v>
      </c>
      <c r="W35" s="18" t="str">
        <f t="shared" ref="W35:W66" si="15">IF(MIN(T35,U35,V35)&lt;0,"NEGATIVE STOCK - CHECK ENTRIES","")</f>
        <v/>
      </c>
      <c r="X35" s="17">
        <v>0</v>
      </c>
      <c r="Y35" s="17">
        <v>0</v>
      </c>
      <c r="Z35" s="15">
        <f t="shared" ref="Z35:Z66" si="16">X35-Y35</f>
        <v>0</v>
      </c>
      <c r="AA35" s="17">
        <v>0</v>
      </c>
      <c r="AB35" s="17">
        <v>0</v>
      </c>
      <c r="AC35" s="15">
        <f t="shared" ref="AC35:AC66" si="17">AA35-AB35</f>
        <v>0</v>
      </c>
      <c r="AD35" s="17">
        <v>0</v>
      </c>
      <c r="AE35" s="17">
        <v>0</v>
      </c>
      <c r="AF35" s="15">
        <f t="shared" ref="AF35:AF66" si="18">AD35-AE35</f>
        <v>0</v>
      </c>
      <c r="AG35" s="17">
        <v>0</v>
      </c>
      <c r="AH35" s="17">
        <v>0</v>
      </c>
      <c r="AI35" s="15">
        <f t="shared" ref="AI35:AI66" si="19">AG35-AH35</f>
        <v>0</v>
      </c>
      <c r="AJ35" s="17"/>
    </row>
    <row r="36" spans="1:36" hidden="1" x14ac:dyDescent="0.3">
      <c r="A36" s="15" t="s">
        <v>84</v>
      </c>
      <c r="B36" s="15">
        <v>1000</v>
      </c>
      <c r="C36" s="15" t="s">
        <v>54</v>
      </c>
      <c r="D36" s="15" t="s">
        <v>55</v>
      </c>
      <c r="E36" s="15">
        <f>'8-august-2026'!T36</f>
        <v>12</v>
      </c>
      <c r="F36" s="15">
        <f>'8-august-2026'!U36</f>
        <v>0</v>
      </c>
      <c r="G36" s="15">
        <f>'8-august-2026'!V36</f>
        <v>1</v>
      </c>
      <c r="H36" s="15">
        <f t="shared" si="10"/>
        <v>13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5">
        <f t="shared" si="11"/>
        <v>13</v>
      </c>
      <c r="T36" s="15">
        <f t="shared" si="12"/>
        <v>12</v>
      </c>
      <c r="U36" s="15">
        <f t="shared" si="13"/>
        <v>0</v>
      </c>
      <c r="V36" s="15">
        <f t="shared" si="14"/>
        <v>1</v>
      </c>
      <c r="W36" s="18" t="str">
        <f t="shared" si="15"/>
        <v/>
      </c>
      <c r="X36" s="17">
        <v>0</v>
      </c>
      <c r="Y36" s="17">
        <v>0</v>
      </c>
      <c r="Z36" s="15">
        <f t="shared" si="16"/>
        <v>0</v>
      </c>
      <c r="AA36" s="17">
        <v>0</v>
      </c>
      <c r="AB36" s="17">
        <v>0</v>
      </c>
      <c r="AC36" s="15">
        <f t="shared" si="17"/>
        <v>0</v>
      </c>
      <c r="AD36" s="17">
        <v>0</v>
      </c>
      <c r="AE36" s="17">
        <v>0</v>
      </c>
      <c r="AF36" s="15">
        <f t="shared" si="18"/>
        <v>0</v>
      </c>
      <c r="AG36" s="17">
        <v>0</v>
      </c>
      <c r="AH36" s="17">
        <v>0</v>
      </c>
      <c r="AI36" s="15">
        <f t="shared" si="19"/>
        <v>0</v>
      </c>
      <c r="AJ36" s="17"/>
    </row>
    <row r="37" spans="1:36" x14ac:dyDescent="0.3">
      <c r="A37" s="15" t="s">
        <v>85</v>
      </c>
      <c r="B37" s="15">
        <v>1000</v>
      </c>
      <c r="C37" s="15" t="s">
        <v>54</v>
      </c>
      <c r="D37" s="15" t="s">
        <v>68</v>
      </c>
      <c r="E37" s="15">
        <f>'8-august-2026'!T37</f>
        <v>5</v>
      </c>
      <c r="F37" s="15">
        <f>'8-august-2026'!U37</f>
        <v>0</v>
      </c>
      <c r="G37" s="15">
        <f>'8-august-2026'!V37</f>
        <v>0</v>
      </c>
      <c r="H37" s="15">
        <f t="shared" si="10"/>
        <v>5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5">
        <f t="shared" si="11"/>
        <v>5</v>
      </c>
      <c r="T37" s="15">
        <f t="shared" si="12"/>
        <v>5</v>
      </c>
      <c r="U37" s="15">
        <f t="shared" si="13"/>
        <v>0</v>
      </c>
      <c r="V37" s="15">
        <f t="shared" si="14"/>
        <v>0</v>
      </c>
      <c r="W37" s="18" t="str">
        <f t="shared" si="15"/>
        <v/>
      </c>
      <c r="X37" s="17">
        <v>0</v>
      </c>
      <c r="Y37" s="17">
        <v>0</v>
      </c>
      <c r="Z37" s="15">
        <f t="shared" si="16"/>
        <v>0</v>
      </c>
      <c r="AA37" s="17">
        <v>0</v>
      </c>
      <c r="AB37" s="17">
        <v>0</v>
      </c>
      <c r="AC37" s="15">
        <f t="shared" si="17"/>
        <v>0</v>
      </c>
      <c r="AD37" s="17">
        <v>0</v>
      </c>
      <c r="AE37" s="17">
        <v>0</v>
      </c>
      <c r="AF37" s="15">
        <f t="shared" si="18"/>
        <v>0</v>
      </c>
      <c r="AG37" s="17">
        <v>0</v>
      </c>
      <c r="AH37" s="17">
        <v>0</v>
      </c>
      <c r="AI37" s="15">
        <f t="shared" si="19"/>
        <v>0</v>
      </c>
      <c r="AJ37" s="17"/>
    </row>
    <row r="38" spans="1:36" x14ac:dyDescent="0.3">
      <c r="A38" s="15" t="s">
        <v>86</v>
      </c>
      <c r="B38" s="15">
        <v>100</v>
      </c>
      <c r="C38" s="15" t="s">
        <v>54</v>
      </c>
      <c r="D38" s="15" t="s">
        <v>57</v>
      </c>
      <c r="E38" s="15">
        <f>'8-august-2026'!T38</f>
        <v>1</v>
      </c>
      <c r="F38" s="15">
        <f>'8-august-2026'!U38</f>
        <v>0</v>
      </c>
      <c r="G38" s="15">
        <f>'8-august-2026'!V38</f>
        <v>0</v>
      </c>
      <c r="H38" s="15">
        <f t="shared" si="10"/>
        <v>1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5">
        <f t="shared" si="11"/>
        <v>1</v>
      </c>
      <c r="T38" s="15">
        <f t="shared" si="12"/>
        <v>1</v>
      </c>
      <c r="U38" s="15">
        <f t="shared" si="13"/>
        <v>0</v>
      </c>
      <c r="V38" s="15">
        <f t="shared" si="14"/>
        <v>0</v>
      </c>
      <c r="W38" s="18" t="str">
        <f t="shared" si="15"/>
        <v/>
      </c>
      <c r="X38" s="17">
        <v>0</v>
      </c>
      <c r="Y38" s="17">
        <v>0</v>
      </c>
      <c r="Z38" s="15">
        <f t="shared" si="16"/>
        <v>0</v>
      </c>
      <c r="AA38" s="17">
        <v>0</v>
      </c>
      <c r="AB38" s="17">
        <v>0</v>
      </c>
      <c r="AC38" s="15">
        <f t="shared" si="17"/>
        <v>0</v>
      </c>
      <c r="AD38" s="17">
        <v>0</v>
      </c>
      <c r="AE38" s="17">
        <v>0</v>
      </c>
      <c r="AF38" s="15">
        <f t="shared" si="18"/>
        <v>0</v>
      </c>
      <c r="AG38" s="17">
        <v>0</v>
      </c>
      <c r="AH38" s="17">
        <v>0</v>
      </c>
      <c r="AI38" s="15">
        <f t="shared" si="19"/>
        <v>0</v>
      </c>
      <c r="AJ38" s="17"/>
    </row>
    <row r="39" spans="1:36" x14ac:dyDescent="0.3">
      <c r="A39" s="15" t="s">
        <v>87</v>
      </c>
      <c r="B39" s="15">
        <v>100000</v>
      </c>
      <c r="C39" s="15" t="s">
        <v>54</v>
      </c>
      <c r="D39" s="15" t="s">
        <v>68</v>
      </c>
      <c r="E39" s="15">
        <f>'8-august-2026'!T39</f>
        <v>2</v>
      </c>
      <c r="F39" s="15">
        <f>'8-august-2026'!U39</f>
        <v>0</v>
      </c>
      <c r="G39" s="15">
        <f>'8-august-2026'!V39</f>
        <v>0</v>
      </c>
      <c r="H39" s="15">
        <f t="shared" si="10"/>
        <v>2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5">
        <f t="shared" si="11"/>
        <v>2</v>
      </c>
      <c r="T39" s="15">
        <f t="shared" si="12"/>
        <v>2</v>
      </c>
      <c r="U39" s="15">
        <f t="shared" si="13"/>
        <v>0</v>
      </c>
      <c r="V39" s="15">
        <f t="shared" si="14"/>
        <v>0</v>
      </c>
      <c r="W39" s="18" t="str">
        <f t="shared" si="15"/>
        <v/>
      </c>
      <c r="X39" s="17">
        <v>0</v>
      </c>
      <c r="Y39" s="17">
        <v>0</v>
      </c>
      <c r="Z39" s="15">
        <f t="shared" si="16"/>
        <v>0</v>
      </c>
      <c r="AA39" s="17">
        <v>0</v>
      </c>
      <c r="AB39" s="17">
        <v>0</v>
      </c>
      <c r="AC39" s="15">
        <f t="shared" si="17"/>
        <v>0</v>
      </c>
      <c r="AD39" s="17">
        <v>0</v>
      </c>
      <c r="AE39" s="17">
        <v>0</v>
      </c>
      <c r="AF39" s="15">
        <f t="shared" si="18"/>
        <v>0</v>
      </c>
      <c r="AG39" s="17">
        <v>0</v>
      </c>
      <c r="AH39" s="17">
        <v>0</v>
      </c>
      <c r="AI39" s="15">
        <f t="shared" si="19"/>
        <v>0</v>
      </c>
      <c r="AJ39" s="17"/>
    </row>
    <row r="40" spans="1:36" x14ac:dyDescent="0.3">
      <c r="A40" s="15" t="s">
        <v>88</v>
      </c>
      <c r="B40" s="15">
        <v>100000</v>
      </c>
      <c r="C40" s="15" t="s">
        <v>54</v>
      </c>
      <c r="D40" s="15" t="s">
        <v>68</v>
      </c>
      <c r="E40" s="15">
        <f>'8-august-2026'!T40</f>
        <v>1</v>
      </c>
      <c r="F40" s="15">
        <f>'8-august-2026'!U40</f>
        <v>0</v>
      </c>
      <c r="G40" s="15">
        <f>'8-august-2026'!V40</f>
        <v>0</v>
      </c>
      <c r="H40" s="15">
        <f t="shared" si="10"/>
        <v>1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5">
        <f t="shared" si="11"/>
        <v>1</v>
      </c>
      <c r="T40" s="15">
        <f t="shared" si="12"/>
        <v>1</v>
      </c>
      <c r="U40" s="15">
        <f t="shared" si="13"/>
        <v>0</v>
      </c>
      <c r="V40" s="15">
        <f t="shared" si="14"/>
        <v>0</v>
      </c>
      <c r="W40" s="18" t="str">
        <f t="shared" si="15"/>
        <v/>
      </c>
      <c r="X40" s="17">
        <v>0</v>
      </c>
      <c r="Y40" s="17">
        <v>0</v>
      </c>
      <c r="Z40" s="15">
        <f t="shared" si="16"/>
        <v>0</v>
      </c>
      <c r="AA40" s="17">
        <v>0</v>
      </c>
      <c r="AB40" s="17">
        <v>0</v>
      </c>
      <c r="AC40" s="15">
        <f t="shared" si="17"/>
        <v>0</v>
      </c>
      <c r="AD40" s="17">
        <v>0</v>
      </c>
      <c r="AE40" s="17">
        <v>0</v>
      </c>
      <c r="AF40" s="15">
        <f t="shared" si="18"/>
        <v>0</v>
      </c>
      <c r="AG40" s="17">
        <v>0</v>
      </c>
      <c r="AH40" s="17">
        <v>0</v>
      </c>
      <c r="AI40" s="15">
        <f t="shared" si="19"/>
        <v>0</v>
      </c>
      <c r="AJ40" s="17"/>
    </row>
    <row r="41" spans="1:36" hidden="1" x14ac:dyDescent="0.3">
      <c r="A41" s="15" t="s">
        <v>89</v>
      </c>
      <c r="B41" s="15">
        <v>100</v>
      </c>
      <c r="C41" s="15" t="s">
        <v>54</v>
      </c>
      <c r="D41" s="15" t="s">
        <v>55</v>
      </c>
      <c r="E41" s="15">
        <f>'8-august-2026'!T41</f>
        <v>9</v>
      </c>
      <c r="F41" s="15">
        <f>'8-august-2026'!U41</f>
        <v>0</v>
      </c>
      <c r="G41" s="15">
        <f>'8-august-2026'!V41</f>
        <v>0</v>
      </c>
      <c r="H41" s="15">
        <f t="shared" si="10"/>
        <v>9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5">
        <f t="shared" si="11"/>
        <v>9</v>
      </c>
      <c r="T41" s="15">
        <f t="shared" si="12"/>
        <v>9</v>
      </c>
      <c r="U41" s="15">
        <f t="shared" si="13"/>
        <v>0</v>
      </c>
      <c r="V41" s="15">
        <f t="shared" si="14"/>
        <v>0</v>
      </c>
      <c r="W41" s="18" t="str">
        <f t="shared" si="15"/>
        <v/>
      </c>
      <c r="X41" s="17">
        <v>0</v>
      </c>
      <c r="Y41" s="17">
        <v>0</v>
      </c>
      <c r="Z41" s="15">
        <f t="shared" si="16"/>
        <v>0</v>
      </c>
      <c r="AA41" s="17">
        <v>0</v>
      </c>
      <c r="AB41" s="17">
        <v>0</v>
      </c>
      <c r="AC41" s="15">
        <f t="shared" si="17"/>
        <v>0</v>
      </c>
      <c r="AD41" s="17">
        <v>0</v>
      </c>
      <c r="AE41" s="17">
        <v>0</v>
      </c>
      <c r="AF41" s="15">
        <f t="shared" si="18"/>
        <v>0</v>
      </c>
      <c r="AG41" s="17">
        <v>0</v>
      </c>
      <c r="AH41" s="17">
        <v>0</v>
      </c>
      <c r="AI41" s="15">
        <f t="shared" si="19"/>
        <v>0</v>
      </c>
      <c r="AJ41" s="17"/>
    </row>
    <row r="42" spans="1:36" x14ac:dyDescent="0.3">
      <c r="A42" s="15" t="s">
        <v>90</v>
      </c>
      <c r="B42" s="15">
        <v>100</v>
      </c>
      <c r="C42" s="15" t="s">
        <v>54</v>
      </c>
      <c r="D42" s="15" t="s">
        <v>57</v>
      </c>
      <c r="E42" s="15">
        <f>'8-august-2026'!T42</f>
        <v>10</v>
      </c>
      <c r="F42" s="15">
        <f>'8-august-2026'!U42</f>
        <v>0</v>
      </c>
      <c r="G42" s="15">
        <f>'8-august-2026'!V42</f>
        <v>0</v>
      </c>
      <c r="H42" s="15">
        <f t="shared" si="10"/>
        <v>10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5">
        <f t="shared" si="11"/>
        <v>10</v>
      </c>
      <c r="T42" s="15">
        <f t="shared" si="12"/>
        <v>10</v>
      </c>
      <c r="U42" s="15">
        <f t="shared" si="13"/>
        <v>0</v>
      </c>
      <c r="V42" s="15">
        <f t="shared" si="14"/>
        <v>0</v>
      </c>
      <c r="W42" s="18" t="str">
        <f t="shared" si="15"/>
        <v/>
      </c>
      <c r="X42" s="17">
        <v>0</v>
      </c>
      <c r="Y42" s="17">
        <v>0</v>
      </c>
      <c r="Z42" s="15">
        <f t="shared" si="16"/>
        <v>0</v>
      </c>
      <c r="AA42" s="17">
        <v>0</v>
      </c>
      <c r="AB42" s="17">
        <v>0</v>
      </c>
      <c r="AC42" s="15">
        <f t="shared" si="17"/>
        <v>0</v>
      </c>
      <c r="AD42" s="17">
        <v>0</v>
      </c>
      <c r="AE42" s="17">
        <v>0</v>
      </c>
      <c r="AF42" s="15">
        <f t="shared" si="18"/>
        <v>0</v>
      </c>
      <c r="AG42" s="17">
        <v>0</v>
      </c>
      <c r="AH42" s="17">
        <v>0</v>
      </c>
      <c r="AI42" s="15">
        <f t="shared" si="19"/>
        <v>0</v>
      </c>
      <c r="AJ42" s="17"/>
    </row>
    <row r="43" spans="1:36" hidden="1" x14ac:dyDescent="0.3">
      <c r="A43" s="15" t="s">
        <v>91</v>
      </c>
      <c r="B43" s="15">
        <v>1000</v>
      </c>
      <c r="C43" s="15" t="s">
        <v>54</v>
      </c>
      <c r="D43" s="15" t="s">
        <v>55</v>
      </c>
      <c r="E43" s="15">
        <f>'8-august-2026'!T43</f>
        <v>51</v>
      </c>
      <c r="F43" s="15">
        <f>'8-august-2026'!U43</f>
        <v>119</v>
      </c>
      <c r="G43" s="15">
        <f>'8-august-2026'!V43</f>
        <v>0</v>
      </c>
      <c r="H43" s="15">
        <f t="shared" si="10"/>
        <v>170</v>
      </c>
      <c r="I43" s="17">
        <v>0</v>
      </c>
      <c r="J43" s="17">
        <v>18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5">
        <f t="shared" si="11"/>
        <v>152</v>
      </c>
      <c r="T43" s="15">
        <f t="shared" si="12"/>
        <v>51</v>
      </c>
      <c r="U43" s="15">
        <f t="shared" si="13"/>
        <v>101</v>
      </c>
      <c r="V43" s="15">
        <f t="shared" si="14"/>
        <v>0</v>
      </c>
      <c r="W43" s="18" t="str">
        <f t="shared" si="15"/>
        <v/>
      </c>
      <c r="X43" s="17">
        <v>0</v>
      </c>
      <c r="Y43" s="17">
        <v>0</v>
      </c>
      <c r="Z43" s="15">
        <f t="shared" si="16"/>
        <v>0</v>
      </c>
      <c r="AA43" s="17">
        <v>0</v>
      </c>
      <c r="AB43" s="17">
        <v>0</v>
      </c>
      <c r="AC43" s="15">
        <f t="shared" si="17"/>
        <v>0</v>
      </c>
      <c r="AD43" s="17">
        <v>0</v>
      </c>
      <c r="AE43" s="17">
        <v>0</v>
      </c>
      <c r="AF43" s="15">
        <f t="shared" si="18"/>
        <v>0</v>
      </c>
      <c r="AG43" s="17">
        <v>0</v>
      </c>
      <c r="AH43" s="17">
        <v>0</v>
      </c>
      <c r="AI43" s="15">
        <f t="shared" si="19"/>
        <v>0</v>
      </c>
      <c r="AJ43" s="17"/>
    </row>
    <row r="44" spans="1:36" x14ac:dyDescent="0.3">
      <c r="A44" s="15" t="s">
        <v>92</v>
      </c>
      <c r="B44" s="15">
        <v>100</v>
      </c>
      <c r="C44" s="15" t="s">
        <v>54</v>
      </c>
      <c r="D44" s="15" t="s">
        <v>68</v>
      </c>
      <c r="E44" s="15">
        <f>'8-august-2026'!T44</f>
        <v>4</v>
      </c>
      <c r="F44" s="15">
        <f>'8-august-2026'!U44</f>
        <v>0</v>
      </c>
      <c r="G44" s="15">
        <f>'8-august-2026'!V44</f>
        <v>0</v>
      </c>
      <c r="H44" s="15">
        <f t="shared" si="10"/>
        <v>4</v>
      </c>
      <c r="I44" s="17">
        <v>1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5">
        <f t="shared" si="11"/>
        <v>3</v>
      </c>
      <c r="T44" s="15">
        <f t="shared" si="12"/>
        <v>3</v>
      </c>
      <c r="U44" s="15">
        <f t="shared" si="13"/>
        <v>0</v>
      </c>
      <c r="V44" s="15">
        <f t="shared" si="14"/>
        <v>0</v>
      </c>
      <c r="W44" s="18" t="str">
        <f t="shared" si="15"/>
        <v/>
      </c>
      <c r="X44" s="17">
        <v>0</v>
      </c>
      <c r="Y44" s="17">
        <v>0</v>
      </c>
      <c r="Z44" s="15">
        <f t="shared" si="16"/>
        <v>0</v>
      </c>
      <c r="AA44" s="17">
        <v>0</v>
      </c>
      <c r="AB44" s="17">
        <v>0</v>
      </c>
      <c r="AC44" s="15">
        <f t="shared" si="17"/>
        <v>0</v>
      </c>
      <c r="AD44" s="17">
        <v>0</v>
      </c>
      <c r="AE44" s="17">
        <v>0</v>
      </c>
      <c r="AF44" s="15">
        <f t="shared" si="18"/>
        <v>0</v>
      </c>
      <c r="AG44" s="17">
        <v>0</v>
      </c>
      <c r="AH44" s="17">
        <v>0</v>
      </c>
      <c r="AI44" s="15">
        <f t="shared" si="19"/>
        <v>0</v>
      </c>
      <c r="AJ44" s="17"/>
    </row>
    <row r="45" spans="1:36" x14ac:dyDescent="0.3">
      <c r="A45" s="15" t="s">
        <v>93</v>
      </c>
      <c r="B45" s="15">
        <v>100000</v>
      </c>
      <c r="C45" s="15" t="s">
        <v>54</v>
      </c>
      <c r="D45" s="15" t="s">
        <v>68</v>
      </c>
      <c r="E45" s="15">
        <f>'8-august-2026'!T45</f>
        <v>2</v>
      </c>
      <c r="F45" s="15">
        <f>'8-august-2026'!U45</f>
        <v>0</v>
      </c>
      <c r="G45" s="15">
        <f>'8-august-2026'!V45</f>
        <v>0</v>
      </c>
      <c r="H45" s="15">
        <f t="shared" si="10"/>
        <v>2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5">
        <f t="shared" si="11"/>
        <v>2</v>
      </c>
      <c r="T45" s="15">
        <f t="shared" si="12"/>
        <v>2</v>
      </c>
      <c r="U45" s="15">
        <f t="shared" si="13"/>
        <v>0</v>
      </c>
      <c r="V45" s="15">
        <f t="shared" si="14"/>
        <v>0</v>
      </c>
      <c r="W45" s="18" t="str">
        <f t="shared" si="15"/>
        <v/>
      </c>
      <c r="X45" s="17">
        <v>0</v>
      </c>
      <c r="Y45" s="17">
        <v>0</v>
      </c>
      <c r="Z45" s="15">
        <f t="shared" si="16"/>
        <v>0</v>
      </c>
      <c r="AA45" s="17">
        <v>0</v>
      </c>
      <c r="AB45" s="17">
        <v>0</v>
      </c>
      <c r="AC45" s="15">
        <f t="shared" si="17"/>
        <v>0</v>
      </c>
      <c r="AD45" s="17">
        <v>0</v>
      </c>
      <c r="AE45" s="17">
        <v>0</v>
      </c>
      <c r="AF45" s="15">
        <f t="shared" si="18"/>
        <v>0</v>
      </c>
      <c r="AG45" s="17">
        <v>0</v>
      </c>
      <c r="AH45" s="17">
        <v>0</v>
      </c>
      <c r="AI45" s="15">
        <f t="shared" si="19"/>
        <v>0</v>
      </c>
      <c r="AJ45" s="17"/>
    </row>
    <row r="46" spans="1:36" hidden="1" x14ac:dyDescent="0.3">
      <c r="A46" s="15" t="s">
        <v>94</v>
      </c>
      <c r="B46" s="15">
        <v>100</v>
      </c>
      <c r="C46" s="15" t="s">
        <v>54</v>
      </c>
      <c r="D46" s="15" t="s">
        <v>55</v>
      </c>
      <c r="E46" s="15">
        <f>'8-august-2026'!T46</f>
        <v>5</v>
      </c>
      <c r="F46" s="15">
        <f>'8-august-2026'!U46</f>
        <v>0</v>
      </c>
      <c r="G46" s="15">
        <f>'8-august-2026'!V46</f>
        <v>0</v>
      </c>
      <c r="H46" s="15">
        <f t="shared" si="10"/>
        <v>5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5">
        <f t="shared" si="11"/>
        <v>5</v>
      </c>
      <c r="T46" s="15">
        <f t="shared" si="12"/>
        <v>5</v>
      </c>
      <c r="U46" s="15">
        <f t="shared" si="13"/>
        <v>0</v>
      </c>
      <c r="V46" s="15">
        <f t="shared" si="14"/>
        <v>0</v>
      </c>
      <c r="W46" s="18" t="str">
        <f t="shared" si="15"/>
        <v/>
      </c>
      <c r="X46" s="17">
        <v>0</v>
      </c>
      <c r="Y46" s="17">
        <v>0</v>
      </c>
      <c r="Z46" s="15">
        <f t="shared" si="16"/>
        <v>0</v>
      </c>
      <c r="AA46" s="17">
        <v>0</v>
      </c>
      <c r="AB46" s="17">
        <v>0</v>
      </c>
      <c r="AC46" s="15">
        <f t="shared" si="17"/>
        <v>0</v>
      </c>
      <c r="AD46" s="17">
        <v>0</v>
      </c>
      <c r="AE46" s="17">
        <v>0</v>
      </c>
      <c r="AF46" s="15">
        <f t="shared" si="18"/>
        <v>0</v>
      </c>
      <c r="AG46" s="17">
        <v>0</v>
      </c>
      <c r="AH46" s="17">
        <v>0</v>
      </c>
      <c r="AI46" s="15">
        <f t="shared" si="19"/>
        <v>0</v>
      </c>
      <c r="AJ46" s="17"/>
    </row>
    <row r="47" spans="1:36" x14ac:dyDescent="0.3">
      <c r="A47" s="15" t="s">
        <v>94</v>
      </c>
      <c r="B47" s="15">
        <v>100</v>
      </c>
      <c r="C47" s="15" t="s">
        <v>54</v>
      </c>
      <c r="D47" s="15" t="s">
        <v>57</v>
      </c>
      <c r="E47" s="15">
        <f>'8-august-2026'!T47</f>
        <v>1</v>
      </c>
      <c r="F47" s="15">
        <f>'8-august-2026'!U47</f>
        <v>0</v>
      </c>
      <c r="G47" s="15">
        <f>'8-august-2026'!V47</f>
        <v>0</v>
      </c>
      <c r="H47" s="15">
        <f t="shared" si="10"/>
        <v>1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5">
        <f t="shared" si="11"/>
        <v>1</v>
      </c>
      <c r="T47" s="15">
        <f t="shared" si="12"/>
        <v>1</v>
      </c>
      <c r="U47" s="15">
        <f t="shared" si="13"/>
        <v>0</v>
      </c>
      <c r="V47" s="15">
        <f t="shared" si="14"/>
        <v>0</v>
      </c>
      <c r="W47" s="18" t="str">
        <f t="shared" si="15"/>
        <v/>
      </c>
      <c r="X47" s="17">
        <v>0</v>
      </c>
      <c r="Y47" s="17">
        <v>0</v>
      </c>
      <c r="Z47" s="15">
        <f t="shared" si="16"/>
        <v>0</v>
      </c>
      <c r="AA47" s="17">
        <v>0</v>
      </c>
      <c r="AB47" s="17">
        <v>0</v>
      </c>
      <c r="AC47" s="15">
        <f t="shared" si="17"/>
        <v>0</v>
      </c>
      <c r="AD47" s="17">
        <v>0</v>
      </c>
      <c r="AE47" s="17">
        <v>0</v>
      </c>
      <c r="AF47" s="15">
        <f t="shared" si="18"/>
        <v>0</v>
      </c>
      <c r="AG47" s="17">
        <v>0</v>
      </c>
      <c r="AH47" s="17">
        <v>0</v>
      </c>
      <c r="AI47" s="15">
        <f t="shared" si="19"/>
        <v>0</v>
      </c>
      <c r="AJ47" s="17"/>
    </row>
    <row r="48" spans="1:36" x14ac:dyDescent="0.3">
      <c r="A48" s="15" t="s">
        <v>95</v>
      </c>
      <c r="B48" s="15">
        <v>100</v>
      </c>
      <c r="C48" s="15" t="s">
        <v>54</v>
      </c>
      <c r="D48" s="15" t="s">
        <v>57</v>
      </c>
      <c r="E48" s="15">
        <f>'8-august-2026'!T48</f>
        <v>1</v>
      </c>
      <c r="F48" s="15">
        <f>'8-august-2026'!U48</f>
        <v>0</v>
      </c>
      <c r="G48" s="15">
        <f>'8-august-2026'!V48</f>
        <v>0</v>
      </c>
      <c r="H48" s="15">
        <f t="shared" si="10"/>
        <v>1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5">
        <f t="shared" si="11"/>
        <v>1</v>
      </c>
      <c r="T48" s="15">
        <f t="shared" si="12"/>
        <v>1</v>
      </c>
      <c r="U48" s="15">
        <f t="shared" si="13"/>
        <v>0</v>
      </c>
      <c r="V48" s="15">
        <f t="shared" si="14"/>
        <v>0</v>
      </c>
      <c r="W48" s="18" t="str">
        <f t="shared" si="15"/>
        <v/>
      </c>
      <c r="X48" s="17">
        <v>0</v>
      </c>
      <c r="Y48" s="17">
        <v>0</v>
      </c>
      <c r="Z48" s="15">
        <f t="shared" si="16"/>
        <v>0</v>
      </c>
      <c r="AA48" s="17">
        <v>0</v>
      </c>
      <c r="AB48" s="17">
        <v>0</v>
      </c>
      <c r="AC48" s="15">
        <f t="shared" si="17"/>
        <v>0</v>
      </c>
      <c r="AD48" s="17">
        <v>0</v>
      </c>
      <c r="AE48" s="17">
        <v>0</v>
      </c>
      <c r="AF48" s="15">
        <f t="shared" si="18"/>
        <v>0</v>
      </c>
      <c r="AG48" s="17">
        <v>0</v>
      </c>
      <c r="AH48" s="17">
        <v>0</v>
      </c>
      <c r="AI48" s="15">
        <f t="shared" si="19"/>
        <v>0</v>
      </c>
      <c r="AJ48" s="17"/>
    </row>
    <row r="49" spans="1:36" hidden="1" x14ac:dyDescent="0.3">
      <c r="A49" s="15" t="s">
        <v>96</v>
      </c>
      <c r="B49" s="15">
        <v>1000</v>
      </c>
      <c r="C49" s="15"/>
      <c r="D49" s="15" t="s">
        <v>55</v>
      </c>
      <c r="E49" s="15">
        <f>'8-august-2026'!T49</f>
        <v>0</v>
      </c>
      <c r="F49" s="15">
        <f>'8-august-2026'!U49</f>
        <v>0</v>
      </c>
      <c r="G49" s="15">
        <f>'8-august-2026'!V49</f>
        <v>0</v>
      </c>
      <c r="H49" s="15">
        <f t="shared" si="10"/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5">
        <f t="shared" si="11"/>
        <v>0</v>
      </c>
      <c r="T49" s="15">
        <f t="shared" si="12"/>
        <v>0</v>
      </c>
      <c r="U49" s="15">
        <f t="shared" si="13"/>
        <v>0</v>
      </c>
      <c r="V49" s="15">
        <f t="shared" si="14"/>
        <v>0</v>
      </c>
      <c r="W49" s="18" t="str">
        <f t="shared" si="15"/>
        <v/>
      </c>
      <c r="X49" s="17">
        <v>0</v>
      </c>
      <c r="Y49" s="17">
        <v>0</v>
      </c>
      <c r="Z49" s="15">
        <f t="shared" si="16"/>
        <v>0</v>
      </c>
      <c r="AA49" s="17">
        <v>0</v>
      </c>
      <c r="AB49" s="17">
        <v>0</v>
      </c>
      <c r="AC49" s="15">
        <f t="shared" si="17"/>
        <v>0</v>
      </c>
      <c r="AD49" s="17">
        <v>0</v>
      </c>
      <c r="AE49" s="17">
        <v>0</v>
      </c>
      <c r="AF49" s="15">
        <f t="shared" si="18"/>
        <v>0</v>
      </c>
      <c r="AG49" s="17">
        <v>0</v>
      </c>
      <c r="AH49" s="17">
        <v>0</v>
      </c>
      <c r="AI49" s="15">
        <f t="shared" si="19"/>
        <v>0</v>
      </c>
      <c r="AJ49" s="17"/>
    </row>
    <row r="50" spans="1:36" hidden="1" x14ac:dyDescent="0.3">
      <c r="A50" s="15" t="s">
        <v>97</v>
      </c>
      <c r="B50" s="15">
        <v>1000</v>
      </c>
      <c r="C50" s="15" t="s">
        <v>54</v>
      </c>
      <c r="D50" s="15" t="s">
        <v>55</v>
      </c>
      <c r="E50" s="15">
        <f>'8-august-2026'!T50</f>
        <v>32</v>
      </c>
      <c r="F50" s="15">
        <f>'8-august-2026'!U50</f>
        <v>27</v>
      </c>
      <c r="G50" s="15">
        <f>'8-august-2026'!V50</f>
        <v>0</v>
      </c>
      <c r="H50" s="15">
        <f t="shared" si="10"/>
        <v>59</v>
      </c>
      <c r="I50" s="17">
        <v>3</v>
      </c>
      <c r="J50" s="17">
        <v>9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5">
        <f t="shared" si="11"/>
        <v>47</v>
      </c>
      <c r="T50" s="15">
        <f t="shared" si="12"/>
        <v>29</v>
      </c>
      <c r="U50" s="15">
        <f t="shared" si="13"/>
        <v>18</v>
      </c>
      <c r="V50" s="15">
        <f t="shared" si="14"/>
        <v>0</v>
      </c>
      <c r="W50" s="18" t="str">
        <f t="shared" si="15"/>
        <v/>
      </c>
      <c r="X50" s="17">
        <v>0</v>
      </c>
      <c r="Y50" s="17">
        <v>0</v>
      </c>
      <c r="Z50" s="15">
        <f t="shared" si="16"/>
        <v>0</v>
      </c>
      <c r="AA50" s="17">
        <v>0</v>
      </c>
      <c r="AB50" s="17">
        <v>0</v>
      </c>
      <c r="AC50" s="15">
        <f t="shared" si="17"/>
        <v>0</v>
      </c>
      <c r="AD50" s="17">
        <v>0</v>
      </c>
      <c r="AE50" s="17">
        <v>0</v>
      </c>
      <c r="AF50" s="15">
        <f t="shared" si="18"/>
        <v>0</v>
      </c>
      <c r="AG50" s="17">
        <v>0</v>
      </c>
      <c r="AH50" s="17">
        <v>0</v>
      </c>
      <c r="AI50" s="15">
        <f t="shared" si="19"/>
        <v>0</v>
      </c>
      <c r="AJ50" s="17"/>
    </row>
    <row r="51" spans="1:36" hidden="1" x14ac:dyDescent="0.3">
      <c r="A51" s="15" t="s">
        <v>98</v>
      </c>
      <c r="B51" s="15">
        <v>1000</v>
      </c>
      <c r="C51" s="15" t="s">
        <v>54</v>
      </c>
      <c r="D51" s="15" t="s">
        <v>55</v>
      </c>
      <c r="E51" s="15">
        <f>'8-august-2026'!T51</f>
        <v>3</v>
      </c>
      <c r="F51" s="15">
        <f>'8-august-2026'!U51</f>
        <v>17</v>
      </c>
      <c r="G51" s="15">
        <f>'8-august-2026'!V51</f>
        <v>0</v>
      </c>
      <c r="H51" s="15">
        <f t="shared" si="10"/>
        <v>20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5">
        <f t="shared" si="11"/>
        <v>20</v>
      </c>
      <c r="T51" s="15">
        <f t="shared" si="12"/>
        <v>3</v>
      </c>
      <c r="U51" s="15">
        <f t="shared" si="13"/>
        <v>17</v>
      </c>
      <c r="V51" s="15">
        <f t="shared" si="14"/>
        <v>0</v>
      </c>
      <c r="W51" s="18" t="str">
        <f t="shared" si="15"/>
        <v/>
      </c>
      <c r="X51" s="17">
        <v>0</v>
      </c>
      <c r="Y51" s="17">
        <v>0</v>
      </c>
      <c r="Z51" s="15">
        <f t="shared" si="16"/>
        <v>0</v>
      </c>
      <c r="AA51" s="17">
        <v>0</v>
      </c>
      <c r="AB51" s="17">
        <v>0</v>
      </c>
      <c r="AC51" s="15">
        <f t="shared" si="17"/>
        <v>0</v>
      </c>
      <c r="AD51" s="17">
        <v>0</v>
      </c>
      <c r="AE51" s="17">
        <v>0</v>
      </c>
      <c r="AF51" s="15">
        <f t="shared" si="18"/>
        <v>0</v>
      </c>
      <c r="AG51" s="17">
        <v>0</v>
      </c>
      <c r="AH51" s="17">
        <v>0</v>
      </c>
      <c r="AI51" s="15">
        <f t="shared" si="19"/>
        <v>0</v>
      </c>
      <c r="AJ51" s="17"/>
    </row>
    <row r="52" spans="1:36" hidden="1" x14ac:dyDescent="0.3">
      <c r="A52" s="15" t="s">
        <v>99</v>
      </c>
      <c r="B52" s="15">
        <v>1000</v>
      </c>
      <c r="C52" s="15" t="s">
        <v>54</v>
      </c>
      <c r="D52" s="15" t="s">
        <v>55</v>
      </c>
      <c r="E52" s="15">
        <f>'8-august-2026'!T52</f>
        <v>2</v>
      </c>
      <c r="F52" s="15">
        <f>'8-august-2026'!U52</f>
        <v>1</v>
      </c>
      <c r="G52" s="15">
        <f>'8-august-2026'!V52</f>
        <v>0</v>
      </c>
      <c r="H52" s="15">
        <f t="shared" si="10"/>
        <v>3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5">
        <f t="shared" si="11"/>
        <v>3</v>
      </c>
      <c r="T52" s="15">
        <f t="shared" si="12"/>
        <v>2</v>
      </c>
      <c r="U52" s="15">
        <f t="shared" si="13"/>
        <v>1</v>
      </c>
      <c r="V52" s="15">
        <f t="shared" si="14"/>
        <v>0</v>
      </c>
      <c r="W52" s="18" t="str">
        <f t="shared" si="15"/>
        <v/>
      </c>
      <c r="X52" s="17">
        <v>0</v>
      </c>
      <c r="Y52" s="17">
        <v>0</v>
      </c>
      <c r="Z52" s="15">
        <f t="shared" si="16"/>
        <v>0</v>
      </c>
      <c r="AA52" s="17">
        <v>0</v>
      </c>
      <c r="AB52" s="17">
        <v>0</v>
      </c>
      <c r="AC52" s="15">
        <f t="shared" si="17"/>
        <v>0</v>
      </c>
      <c r="AD52" s="17">
        <v>0</v>
      </c>
      <c r="AE52" s="17">
        <v>0</v>
      </c>
      <c r="AF52" s="15">
        <f t="shared" si="18"/>
        <v>0</v>
      </c>
      <c r="AG52" s="17">
        <v>0</v>
      </c>
      <c r="AH52" s="17">
        <v>0</v>
      </c>
      <c r="AI52" s="15">
        <f t="shared" si="19"/>
        <v>0</v>
      </c>
      <c r="AJ52" s="17"/>
    </row>
    <row r="53" spans="1:36" x14ac:dyDescent="0.3">
      <c r="A53" s="15" t="s">
        <v>100</v>
      </c>
      <c r="B53" s="15">
        <v>100</v>
      </c>
      <c r="C53" s="15" t="s">
        <v>54</v>
      </c>
      <c r="D53" s="15" t="s">
        <v>68</v>
      </c>
      <c r="E53" s="15">
        <f>'8-august-2026'!T53</f>
        <v>3</v>
      </c>
      <c r="F53" s="15">
        <f>'8-august-2026'!U53</f>
        <v>0</v>
      </c>
      <c r="G53" s="15">
        <f>'8-august-2026'!V53</f>
        <v>0</v>
      </c>
      <c r="H53" s="15">
        <f t="shared" si="10"/>
        <v>3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5">
        <f t="shared" si="11"/>
        <v>3</v>
      </c>
      <c r="T53" s="15">
        <f t="shared" si="12"/>
        <v>3</v>
      </c>
      <c r="U53" s="15">
        <f t="shared" si="13"/>
        <v>0</v>
      </c>
      <c r="V53" s="15">
        <f t="shared" si="14"/>
        <v>0</v>
      </c>
      <c r="W53" s="18" t="str">
        <f t="shared" si="15"/>
        <v/>
      </c>
      <c r="X53" s="17">
        <v>0</v>
      </c>
      <c r="Y53" s="17">
        <v>0</v>
      </c>
      <c r="Z53" s="15">
        <f t="shared" si="16"/>
        <v>0</v>
      </c>
      <c r="AA53" s="17">
        <v>0</v>
      </c>
      <c r="AB53" s="17">
        <v>0</v>
      </c>
      <c r="AC53" s="15">
        <f t="shared" si="17"/>
        <v>0</v>
      </c>
      <c r="AD53" s="17">
        <v>0</v>
      </c>
      <c r="AE53" s="17">
        <v>0</v>
      </c>
      <c r="AF53" s="15">
        <f t="shared" si="18"/>
        <v>0</v>
      </c>
      <c r="AG53" s="17">
        <v>0</v>
      </c>
      <c r="AH53" s="17">
        <v>0</v>
      </c>
      <c r="AI53" s="15">
        <f t="shared" si="19"/>
        <v>0</v>
      </c>
      <c r="AJ53" s="17"/>
    </row>
    <row r="54" spans="1:36" x14ac:dyDescent="0.3">
      <c r="A54" s="15" t="s">
        <v>101</v>
      </c>
      <c r="B54" s="15">
        <v>1000</v>
      </c>
      <c r="C54" s="15" t="s">
        <v>54</v>
      </c>
      <c r="D54" s="15" t="s">
        <v>68</v>
      </c>
      <c r="E54" s="15">
        <f>'8-august-2026'!T54</f>
        <v>7</v>
      </c>
      <c r="F54" s="15">
        <f>'8-august-2026'!U54</f>
        <v>0</v>
      </c>
      <c r="G54" s="15">
        <f>'8-august-2026'!V54</f>
        <v>0</v>
      </c>
      <c r="H54" s="15">
        <f t="shared" si="10"/>
        <v>7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5">
        <f t="shared" si="11"/>
        <v>7</v>
      </c>
      <c r="T54" s="15">
        <f t="shared" si="12"/>
        <v>7</v>
      </c>
      <c r="U54" s="15">
        <f t="shared" si="13"/>
        <v>0</v>
      </c>
      <c r="V54" s="15">
        <f t="shared" si="14"/>
        <v>0</v>
      </c>
      <c r="W54" s="18" t="str">
        <f t="shared" si="15"/>
        <v/>
      </c>
      <c r="X54" s="17">
        <v>0</v>
      </c>
      <c r="Y54" s="17">
        <v>0</v>
      </c>
      <c r="Z54" s="15">
        <f t="shared" si="16"/>
        <v>0</v>
      </c>
      <c r="AA54" s="17">
        <v>0</v>
      </c>
      <c r="AB54" s="17">
        <v>0</v>
      </c>
      <c r="AC54" s="15">
        <f t="shared" si="17"/>
        <v>0</v>
      </c>
      <c r="AD54" s="17">
        <v>0</v>
      </c>
      <c r="AE54" s="17">
        <v>0</v>
      </c>
      <c r="AF54" s="15">
        <f t="shared" si="18"/>
        <v>0</v>
      </c>
      <c r="AG54" s="17">
        <v>0</v>
      </c>
      <c r="AH54" s="17">
        <v>0</v>
      </c>
      <c r="AI54" s="15">
        <f t="shared" si="19"/>
        <v>0</v>
      </c>
      <c r="AJ54" s="17"/>
    </row>
    <row r="55" spans="1:36" x14ac:dyDescent="0.3">
      <c r="A55" s="15" t="s">
        <v>102</v>
      </c>
      <c r="B55" s="15">
        <v>5000</v>
      </c>
      <c r="C55" s="15" t="s">
        <v>54</v>
      </c>
      <c r="D55" s="15" t="s">
        <v>57</v>
      </c>
      <c r="E55" s="15">
        <f>'8-august-2026'!T55</f>
        <v>1</v>
      </c>
      <c r="F55" s="15">
        <f>'8-august-2026'!U55</f>
        <v>0</v>
      </c>
      <c r="G55" s="15">
        <f>'8-august-2026'!V55</f>
        <v>0</v>
      </c>
      <c r="H55" s="15">
        <f t="shared" si="10"/>
        <v>1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5">
        <f t="shared" si="11"/>
        <v>1</v>
      </c>
      <c r="T55" s="15">
        <f t="shared" si="12"/>
        <v>1</v>
      </c>
      <c r="U55" s="15">
        <f t="shared" si="13"/>
        <v>0</v>
      </c>
      <c r="V55" s="15">
        <f t="shared" si="14"/>
        <v>0</v>
      </c>
      <c r="W55" s="18" t="str">
        <f t="shared" si="15"/>
        <v/>
      </c>
      <c r="X55" s="17">
        <v>0</v>
      </c>
      <c r="Y55" s="17">
        <v>0</v>
      </c>
      <c r="Z55" s="15">
        <f t="shared" si="16"/>
        <v>0</v>
      </c>
      <c r="AA55" s="17">
        <v>0</v>
      </c>
      <c r="AB55" s="17">
        <v>0</v>
      </c>
      <c r="AC55" s="15">
        <f t="shared" si="17"/>
        <v>0</v>
      </c>
      <c r="AD55" s="17">
        <v>0</v>
      </c>
      <c r="AE55" s="17">
        <v>0</v>
      </c>
      <c r="AF55" s="15">
        <f t="shared" si="18"/>
        <v>0</v>
      </c>
      <c r="AG55" s="17">
        <v>0</v>
      </c>
      <c r="AH55" s="17">
        <v>0</v>
      </c>
      <c r="AI55" s="15">
        <f t="shared" si="19"/>
        <v>0</v>
      </c>
      <c r="AJ55" s="17"/>
    </row>
    <row r="56" spans="1:36" x14ac:dyDescent="0.3">
      <c r="A56" s="15" t="s">
        <v>103</v>
      </c>
      <c r="B56" s="15">
        <v>1000</v>
      </c>
      <c r="C56" s="15" t="s">
        <v>54</v>
      </c>
      <c r="D56" s="15" t="s">
        <v>68</v>
      </c>
      <c r="E56" s="15">
        <f>'8-august-2026'!T56</f>
        <v>1</v>
      </c>
      <c r="F56" s="15">
        <f>'8-august-2026'!U56</f>
        <v>0</v>
      </c>
      <c r="G56" s="15">
        <f>'8-august-2026'!V56</f>
        <v>0</v>
      </c>
      <c r="H56" s="15">
        <f t="shared" si="10"/>
        <v>1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5">
        <f t="shared" si="11"/>
        <v>1</v>
      </c>
      <c r="T56" s="15">
        <f t="shared" si="12"/>
        <v>1</v>
      </c>
      <c r="U56" s="15">
        <f t="shared" si="13"/>
        <v>0</v>
      </c>
      <c r="V56" s="15">
        <f t="shared" si="14"/>
        <v>0</v>
      </c>
      <c r="W56" s="18" t="str">
        <f t="shared" si="15"/>
        <v/>
      </c>
      <c r="X56" s="17">
        <v>0</v>
      </c>
      <c r="Y56" s="17">
        <v>0</v>
      </c>
      <c r="Z56" s="15">
        <f t="shared" si="16"/>
        <v>0</v>
      </c>
      <c r="AA56" s="17">
        <v>0</v>
      </c>
      <c r="AB56" s="17">
        <v>0</v>
      </c>
      <c r="AC56" s="15">
        <f t="shared" si="17"/>
        <v>0</v>
      </c>
      <c r="AD56" s="17">
        <v>0</v>
      </c>
      <c r="AE56" s="17">
        <v>0</v>
      </c>
      <c r="AF56" s="15">
        <f t="shared" si="18"/>
        <v>0</v>
      </c>
      <c r="AG56" s="17">
        <v>0</v>
      </c>
      <c r="AH56" s="17">
        <v>0</v>
      </c>
      <c r="AI56" s="15">
        <f t="shared" si="19"/>
        <v>0</v>
      </c>
      <c r="AJ56" s="17"/>
    </row>
    <row r="57" spans="1:36" hidden="1" x14ac:dyDescent="0.3">
      <c r="A57" s="15" t="s">
        <v>104</v>
      </c>
      <c r="B57" s="15">
        <v>1000</v>
      </c>
      <c r="C57" s="15" t="s">
        <v>54</v>
      </c>
      <c r="D57" s="15" t="s">
        <v>55</v>
      </c>
      <c r="E57" s="15">
        <f>'8-august-2026'!T57</f>
        <v>0</v>
      </c>
      <c r="F57" s="15">
        <f>'8-august-2026'!U57</f>
        <v>2</v>
      </c>
      <c r="G57" s="15">
        <f>'8-august-2026'!V57</f>
        <v>0</v>
      </c>
      <c r="H57" s="15">
        <f t="shared" si="10"/>
        <v>2</v>
      </c>
      <c r="I57" s="17">
        <v>0</v>
      </c>
      <c r="J57" s="17">
        <v>1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5">
        <f t="shared" si="11"/>
        <v>1</v>
      </c>
      <c r="T57" s="15">
        <f t="shared" si="12"/>
        <v>0</v>
      </c>
      <c r="U57" s="15">
        <f t="shared" si="13"/>
        <v>1</v>
      </c>
      <c r="V57" s="15">
        <f t="shared" si="14"/>
        <v>0</v>
      </c>
      <c r="W57" s="18" t="str">
        <f t="shared" si="15"/>
        <v/>
      </c>
      <c r="X57" s="17">
        <v>0</v>
      </c>
      <c r="Y57" s="17">
        <v>0</v>
      </c>
      <c r="Z57" s="15">
        <f t="shared" si="16"/>
        <v>0</v>
      </c>
      <c r="AA57" s="17">
        <v>0</v>
      </c>
      <c r="AB57" s="17">
        <v>0</v>
      </c>
      <c r="AC57" s="15">
        <f t="shared" si="17"/>
        <v>0</v>
      </c>
      <c r="AD57" s="17">
        <v>0</v>
      </c>
      <c r="AE57" s="17">
        <v>0</v>
      </c>
      <c r="AF57" s="15">
        <f t="shared" si="18"/>
        <v>0</v>
      </c>
      <c r="AG57" s="17">
        <v>0</v>
      </c>
      <c r="AH57" s="17">
        <v>0</v>
      </c>
      <c r="AI57" s="15">
        <f t="shared" si="19"/>
        <v>0</v>
      </c>
      <c r="AJ57" s="17"/>
    </row>
    <row r="58" spans="1:36" x14ac:dyDescent="0.3">
      <c r="A58" s="15" t="s">
        <v>105</v>
      </c>
      <c r="B58" s="15">
        <v>100000</v>
      </c>
      <c r="C58" s="15" t="s">
        <v>54</v>
      </c>
      <c r="D58" s="15" t="s">
        <v>68</v>
      </c>
      <c r="E58" s="15">
        <f>'8-august-2026'!T58</f>
        <v>2</v>
      </c>
      <c r="F58" s="15">
        <f>'8-august-2026'!U58</f>
        <v>0</v>
      </c>
      <c r="G58" s="15">
        <f>'8-august-2026'!V58</f>
        <v>0</v>
      </c>
      <c r="H58" s="15">
        <f t="shared" si="10"/>
        <v>2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5">
        <f t="shared" si="11"/>
        <v>2</v>
      </c>
      <c r="T58" s="15">
        <f t="shared" si="12"/>
        <v>2</v>
      </c>
      <c r="U58" s="15">
        <f t="shared" si="13"/>
        <v>0</v>
      </c>
      <c r="V58" s="15">
        <f t="shared" si="14"/>
        <v>0</v>
      </c>
      <c r="W58" s="18" t="str">
        <f t="shared" si="15"/>
        <v/>
      </c>
      <c r="X58" s="17">
        <v>0</v>
      </c>
      <c r="Y58" s="17">
        <v>0</v>
      </c>
      <c r="Z58" s="15">
        <f t="shared" si="16"/>
        <v>0</v>
      </c>
      <c r="AA58" s="17">
        <v>0</v>
      </c>
      <c r="AB58" s="17">
        <v>0</v>
      </c>
      <c r="AC58" s="15">
        <f t="shared" si="17"/>
        <v>0</v>
      </c>
      <c r="AD58" s="17">
        <v>0</v>
      </c>
      <c r="AE58" s="17">
        <v>0</v>
      </c>
      <c r="AF58" s="15">
        <f t="shared" si="18"/>
        <v>0</v>
      </c>
      <c r="AG58" s="17">
        <v>0</v>
      </c>
      <c r="AH58" s="17">
        <v>0</v>
      </c>
      <c r="AI58" s="15">
        <f t="shared" si="19"/>
        <v>0</v>
      </c>
      <c r="AJ58" s="17"/>
    </row>
    <row r="59" spans="1:36" hidden="1" x14ac:dyDescent="0.3">
      <c r="A59" s="15" t="s">
        <v>106</v>
      </c>
      <c r="B59" s="15">
        <v>100</v>
      </c>
      <c r="C59" s="15" t="s">
        <v>54</v>
      </c>
      <c r="D59" s="15" t="s">
        <v>55</v>
      </c>
      <c r="E59" s="15">
        <f>'8-august-2026'!T59</f>
        <v>6</v>
      </c>
      <c r="F59" s="15">
        <f>'8-august-2026'!U59</f>
        <v>0</v>
      </c>
      <c r="G59" s="15">
        <f>'8-august-2026'!V59</f>
        <v>0</v>
      </c>
      <c r="H59" s="15">
        <f t="shared" si="10"/>
        <v>6</v>
      </c>
      <c r="I59" s="17">
        <v>1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5">
        <f t="shared" si="11"/>
        <v>5</v>
      </c>
      <c r="T59" s="15">
        <f t="shared" si="12"/>
        <v>5</v>
      </c>
      <c r="U59" s="15">
        <f t="shared" si="13"/>
        <v>0</v>
      </c>
      <c r="V59" s="15">
        <f t="shared" si="14"/>
        <v>0</v>
      </c>
      <c r="W59" s="18" t="str">
        <f t="shared" si="15"/>
        <v/>
      </c>
      <c r="X59" s="17">
        <v>0</v>
      </c>
      <c r="Y59" s="17">
        <v>0</v>
      </c>
      <c r="Z59" s="15">
        <f t="shared" si="16"/>
        <v>0</v>
      </c>
      <c r="AA59" s="17">
        <v>0</v>
      </c>
      <c r="AB59" s="17">
        <v>0</v>
      </c>
      <c r="AC59" s="15">
        <f t="shared" si="17"/>
        <v>0</v>
      </c>
      <c r="AD59" s="17">
        <v>0</v>
      </c>
      <c r="AE59" s="17">
        <v>0</v>
      </c>
      <c r="AF59" s="15">
        <f t="shared" si="18"/>
        <v>0</v>
      </c>
      <c r="AG59" s="17">
        <v>0</v>
      </c>
      <c r="AH59" s="17">
        <v>0</v>
      </c>
      <c r="AI59" s="15">
        <f t="shared" si="19"/>
        <v>0</v>
      </c>
      <c r="AJ59" s="17"/>
    </row>
    <row r="60" spans="1:36" x14ac:dyDescent="0.3">
      <c r="A60" s="15" t="s">
        <v>107</v>
      </c>
      <c r="B60" s="15">
        <v>100000</v>
      </c>
      <c r="C60" s="15" t="s">
        <v>54</v>
      </c>
      <c r="D60" s="15" t="s">
        <v>68</v>
      </c>
      <c r="E60" s="15">
        <f>'8-august-2026'!T60</f>
        <v>5</v>
      </c>
      <c r="F60" s="15">
        <f>'8-august-2026'!U60</f>
        <v>0</v>
      </c>
      <c r="G60" s="15">
        <f>'8-august-2026'!V60</f>
        <v>0</v>
      </c>
      <c r="H60" s="15">
        <f t="shared" si="10"/>
        <v>5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5">
        <f t="shared" si="11"/>
        <v>5</v>
      </c>
      <c r="T60" s="15">
        <f t="shared" si="12"/>
        <v>5</v>
      </c>
      <c r="U60" s="15">
        <f t="shared" si="13"/>
        <v>0</v>
      </c>
      <c r="V60" s="15">
        <f t="shared" si="14"/>
        <v>0</v>
      </c>
      <c r="W60" s="18" t="str">
        <f t="shared" si="15"/>
        <v/>
      </c>
      <c r="X60" s="17">
        <v>0</v>
      </c>
      <c r="Y60" s="17">
        <v>0</v>
      </c>
      <c r="Z60" s="15">
        <f t="shared" si="16"/>
        <v>0</v>
      </c>
      <c r="AA60" s="17">
        <v>0</v>
      </c>
      <c r="AB60" s="17">
        <v>0</v>
      </c>
      <c r="AC60" s="15">
        <f t="shared" si="17"/>
        <v>0</v>
      </c>
      <c r="AD60" s="17">
        <v>0</v>
      </c>
      <c r="AE60" s="17">
        <v>0</v>
      </c>
      <c r="AF60" s="15">
        <f t="shared" si="18"/>
        <v>0</v>
      </c>
      <c r="AG60" s="17">
        <v>0</v>
      </c>
      <c r="AH60" s="17">
        <v>0</v>
      </c>
      <c r="AI60" s="15">
        <f t="shared" si="19"/>
        <v>0</v>
      </c>
      <c r="AJ60" s="17"/>
    </row>
    <row r="61" spans="1:36" x14ac:dyDescent="0.3">
      <c r="A61" s="15" t="s">
        <v>108</v>
      </c>
      <c r="B61" s="15">
        <v>100</v>
      </c>
      <c r="C61" s="15" t="s">
        <v>54</v>
      </c>
      <c r="D61" s="15" t="s">
        <v>68</v>
      </c>
      <c r="E61" s="15">
        <f>'8-august-2026'!T61</f>
        <v>3</v>
      </c>
      <c r="F61" s="15">
        <f>'8-august-2026'!U61</f>
        <v>0</v>
      </c>
      <c r="G61" s="15">
        <f>'8-august-2026'!V61</f>
        <v>0</v>
      </c>
      <c r="H61" s="15">
        <f t="shared" si="10"/>
        <v>3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5">
        <f t="shared" si="11"/>
        <v>3</v>
      </c>
      <c r="T61" s="15">
        <f t="shared" si="12"/>
        <v>3</v>
      </c>
      <c r="U61" s="15">
        <f t="shared" si="13"/>
        <v>0</v>
      </c>
      <c r="V61" s="15">
        <f t="shared" si="14"/>
        <v>0</v>
      </c>
      <c r="W61" s="18" t="str">
        <f t="shared" si="15"/>
        <v/>
      </c>
      <c r="X61" s="17">
        <v>0</v>
      </c>
      <c r="Y61" s="17">
        <v>0</v>
      </c>
      <c r="Z61" s="15">
        <f t="shared" si="16"/>
        <v>0</v>
      </c>
      <c r="AA61" s="17">
        <v>0</v>
      </c>
      <c r="AB61" s="17">
        <v>0</v>
      </c>
      <c r="AC61" s="15">
        <f t="shared" si="17"/>
        <v>0</v>
      </c>
      <c r="AD61" s="17">
        <v>0</v>
      </c>
      <c r="AE61" s="17">
        <v>0</v>
      </c>
      <c r="AF61" s="15">
        <f t="shared" si="18"/>
        <v>0</v>
      </c>
      <c r="AG61" s="17">
        <v>0</v>
      </c>
      <c r="AH61" s="17">
        <v>0</v>
      </c>
      <c r="AI61" s="15">
        <f t="shared" si="19"/>
        <v>0</v>
      </c>
      <c r="AJ61" s="17"/>
    </row>
    <row r="62" spans="1:36" hidden="1" x14ac:dyDescent="0.3">
      <c r="A62" s="15" t="s">
        <v>109</v>
      </c>
      <c r="B62" s="15">
        <v>0</v>
      </c>
      <c r="C62" s="15" t="s">
        <v>110</v>
      </c>
      <c r="D62" s="15" t="s">
        <v>55</v>
      </c>
      <c r="E62" s="17">
        <v>2</v>
      </c>
      <c r="F62" s="17">
        <v>0</v>
      </c>
      <c r="G62" s="17">
        <v>0</v>
      </c>
      <c r="H62" s="15">
        <f t="shared" si="10"/>
        <v>2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5">
        <f t="shared" si="11"/>
        <v>2</v>
      </c>
      <c r="T62" s="15">
        <f t="shared" si="12"/>
        <v>2</v>
      </c>
      <c r="U62" s="15">
        <f t="shared" si="13"/>
        <v>0</v>
      </c>
      <c r="V62" s="15">
        <f t="shared" si="14"/>
        <v>0</v>
      </c>
      <c r="W62" s="18" t="str">
        <f t="shared" si="15"/>
        <v/>
      </c>
      <c r="X62" s="17">
        <v>0</v>
      </c>
      <c r="Y62" s="17">
        <v>0</v>
      </c>
      <c r="Z62" s="15">
        <f t="shared" si="16"/>
        <v>0</v>
      </c>
      <c r="AA62" s="17">
        <v>0</v>
      </c>
      <c r="AB62" s="17">
        <v>0</v>
      </c>
      <c r="AC62" s="15">
        <f t="shared" si="17"/>
        <v>0</v>
      </c>
      <c r="AD62" s="17">
        <v>0</v>
      </c>
      <c r="AE62" s="17">
        <v>0</v>
      </c>
      <c r="AF62" s="15">
        <f t="shared" si="18"/>
        <v>0</v>
      </c>
      <c r="AG62" s="17">
        <v>0</v>
      </c>
      <c r="AH62" s="17">
        <v>0</v>
      </c>
      <c r="AI62" s="15">
        <f t="shared" si="19"/>
        <v>0</v>
      </c>
      <c r="AJ62" s="17"/>
    </row>
    <row r="63" spans="1:36" x14ac:dyDescent="0.3">
      <c r="A63" s="15" t="s">
        <v>111</v>
      </c>
      <c r="B63" s="15">
        <v>1000</v>
      </c>
      <c r="C63" s="15" t="s">
        <v>54</v>
      </c>
      <c r="D63" s="15" t="s">
        <v>68</v>
      </c>
      <c r="E63" s="15">
        <f>'8-august-2026'!T63</f>
        <v>3</v>
      </c>
      <c r="F63" s="15">
        <f>'8-august-2026'!U63</f>
        <v>0</v>
      </c>
      <c r="G63" s="15">
        <f>'8-august-2026'!V63</f>
        <v>0</v>
      </c>
      <c r="H63" s="15">
        <f t="shared" si="10"/>
        <v>3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5">
        <f t="shared" si="11"/>
        <v>3</v>
      </c>
      <c r="T63" s="15">
        <f t="shared" si="12"/>
        <v>3</v>
      </c>
      <c r="U63" s="15">
        <f t="shared" si="13"/>
        <v>0</v>
      </c>
      <c r="V63" s="15">
        <f t="shared" si="14"/>
        <v>0</v>
      </c>
      <c r="W63" s="18" t="str">
        <f t="shared" si="15"/>
        <v/>
      </c>
      <c r="X63" s="17">
        <v>0</v>
      </c>
      <c r="Y63" s="17">
        <v>0</v>
      </c>
      <c r="Z63" s="15">
        <f t="shared" si="16"/>
        <v>0</v>
      </c>
      <c r="AA63" s="17">
        <v>0</v>
      </c>
      <c r="AB63" s="17">
        <v>0</v>
      </c>
      <c r="AC63" s="15">
        <f t="shared" si="17"/>
        <v>0</v>
      </c>
      <c r="AD63" s="17">
        <v>0</v>
      </c>
      <c r="AE63" s="17">
        <v>0</v>
      </c>
      <c r="AF63" s="15">
        <f t="shared" si="18"/>
        <v>0</v>
      </c>
      <c r="AG63" s="17">
        <v>0</v>
      </c>
      <c r="AH63" s="17">
        <v>0</v>
      </c>
      <c r="AI63" s="15">
        <f t="shared" si="19"/>
        <v>0</v>
      </c>
      <c r="AJ63" s="17"/>
    </row>
    <row r="64" spans="1:36" x14ac:dyDescent="0.3">
      <c r="A64" s="15" t="s">
        <v>112</v>
      </c>
      <c r="B64" s="15">
        <v>1000</v>
      </c>
      <c r="C64" s="15" t="s">
        <v>54</v>
      </c>
      <c r="D64" s="15" t="s">
        <v>68</v>
      </c>
      <c r="E64" s="15">
        <f>'8-august-2026'!T64</f>
        <v>2</v>
      </c>
      <c r="F64" s="15">
        <f>'8-august-2026'!U64</f>
        <v>0</v>
      </c>
      <c r="G64" s="15">
        <f>'8-august-2026'!V64</f>
        <v>0</v>
      </c>
      <c r="H64" s="15">
        <f t="shared" si="10"/>
        <v>2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5">
        <f t="shared" si="11"/>
        <v>2</v>
      </c>
      <c r="T64" s="15">
        <f t="shared" si="12"/>
        <v>2</v>
      </c>
      <c r="U64" s="15">
        <f t="shared" si="13"/>
        <v>0</v>
      </c>
      <c r="V64" s="15">
        <f t="shared" si="14"/>
        <v>0</v>
      </c>
      <c r="W64" s="18" t="str">
        <f t="shared" si="15"/>
        <v/>
      </c>
      <c r="X64" s="17">
        <v>0</v>
      </c>
      <c r="Y64" s="17">
        <v>0</v>
      </c>
      <c r="Z64" s="15">
        <f t="shared" si="16"/>
        <v>0</v>
      </c>
      <c r="AA64" s="17">
        <v>0</v>
      </c>
      <c r="AB64" s="17">
        <v>0</v>
      </c>
      <c r="AC64" s="15">
        <f t="shared" si="17"/>
        <v>0</v>
      </c>
      <c r="AD64" s="17">
        <v>0</v>
      </c>
      <c r="AE64" s="17">
        <v>0</v>
      </c>
      <c r="AF64" s="15">
        <f t="shared" si="18"/>
        <v>0</v>
      </c>
      <c r="AG64" s="17">
        <v>0</v>
      </c>
      <c r="AH64" s="17">
        <v>0</v>
      </c>
      <c r="AI64" s="15">
        <f t="shared" si="19"/>
        <v>0</v>
      </c>
      <c r="AJ64" s="17"/>
    </row>
    <row r="65" spans="1:36" x14ac:dyDescent="0.3">
      <c r="A65" s="15" t="s">
        <v>113</v>
      </c>
      <c r="B65" s="15">
        <v>1000</v>
      </c>
      <c r="C65" s="15" t="s">
        <v>54</v>
      </c>
      <c r="D65" s="15" t="s">
        <v>68</v>
      </c>
      <c r="E65" s="15">
        <f>'8-august-2026'!T65</f>
        <v>4</v>
      </c>
      <c r="F65" s="15">
        <f>'8-august-2026'!U65</f>
        <v>0</v>
      </c>
      <c r="G65" s="15">
        <f>'8-august-2026'!V65</f>
        <v>0</v>
      </c>
      <c r="H65" s="15">
        <f t="shared" si="10"/>
        <v>4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5">
        <f t="shared" si="11"/>
        <v>4</v>
      </c>
      <c r="T65" s="15">
        <f t="shared" si="12"/>
        <v>4</v>
      </c>
      <c r="U65" s="15">
        <f t="shared" si="13"/>
        <v>0</v>
      </c>
      <c r="V65" s="15">
        <f t="shared" si="14"/>
        <v>0</v>
      </c>
      <c r="W65" s="18" t="str">
        <f t="shared" si="15"/>
        <v/>
      </c>
      <c r="X65" s="17">
        <v>0</v>
      </c>
      <c r="Y65" s="17">
        <v>0</v>
      </c>
      <c r="Z65" s="15">
        <f t="shared" si="16"/>
        <v>0</v>
      </c>
      <c r="AA65" s="17">
        <v>0</v>
      </c>
      <c r="AB65" s="17">
        <v>0</v>
      </c>
      <c r="AC65" s="15">
        <f t="shared" si="17"/>
        <v>0</v>
      </c>
      <c r="AD65" s="17">
        <v>0</v>
      </c>
      <c r="AE65" s="17">
        <v>0</v>
      </c>
      <c r="AF65" s="15">
        <f t="shared" si="18"/>
        <v>0</v>
      </c>
      <c r="AG65" s="17">
        <v>0</v>
      </c>
      <c r="AH65" s="17">
        <v>0</v>
      </c>
      <c r="AI65" s="15">
        <f t="shared" si="19"/>
        <v>0</v>
      </c>
      <c r="AJ65" s="17"/>
    </row>
    <row r="66" spans="1:36" x14ac:dyDescent="0.3">
      <c r="A66" s="15" t="s">
        <v>114</v>
      </c>
      <c r="B66" s="15">
        <v>100</v>
      </c>
      <c r="C66" s="15" t="s">
        <v>54</v>
      </c>
      <c r="D66" s="15" t="s">
        <v>57</v>
      </c>
      <c r="E66" s="15">
        <f>'8-august-2026'!T66</f>
        <v>4</v>
      </c>
      <c r="F66" s="15">
        <f>'8-august-2026'!U66</f>
        <v>0</v>
      </c>
      <c r="G66" s="15">
        <f>'8-august-2026'!V66</f>
        <v>0</v>
      </c>
      <c r="H66" s="15">
        <f t="shared" si="10"/>
        <v>4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5">
        <f t="shared" si="11"/>
        <v>4</v>
      </c>
      <c r="T66" s="15">
        <f t="shared" si="12"/>
        <v>4</v>
      </c>
      <c r="U66" s="15">
        <f t="shared" si="13"/>
        <v>0</v>
      </c>
      <c r="V66" s="15">
        <f t="shared" si="14"/>
        <v>0</v>
      </c>
      <c r="W66" s="18" t="str">
        <f t="shared" si="15"/>
        <v/>
      </c>
      <c r="X66" s="17">
        <v>0</v>
      </c>
      <c r="Y66" s="17">
        <v>0</v>
      </c>
      <c r="Z66" s="15">
        <f t="shared" si="16"/>
        <v>0</v>
      </c>
      <c r="AA66" s="17">
        <v>0</v>
      </c>
      <c r="AB66" s="17">
        <v>0</v>
      </c>
      <c r="AC66" s="15">
        <f t="shared" si="17"/>
        <v>0</v>
      </c>
      <c r="AD66" s="17">
        <v>0</v>
      </c>
      <c r="AE66" s="17">
        <v>0</v>
      </c>
      <c r="AF66" s="15">
        <f t="shared" si="18"/>
        <v>0</v>
      </c>
      <c r="AG66" s="17">
        <v>0</v>
      </c>
      <c r="AH66" s="17">
        <v>0</v>
      </c>
      <c r="AI66" s="15">
        <f t="shared" si="19"/>
        <v>0</v>
      </c>
      <c r="AJ66" s="17"/>
    </row>
    <row r="67" spans="1:36" hidden="1" x14ac:dyDescent="0.3">
      <c r="A67" s="15" t="s">
        <v>115</v>
      </c>
      <c r="B67" s="15">
        <v>1000</v>
      </c>
      <c r="C67" s="15" t="s">
        <v>54</v>
      </c>
      <c r="D67" s="15" t="s">
        <v>55</v>
      </c>
      <c r="E67" s="15">
        <f>'8-august-2026'!T67</f>
        <v>1</v>
      </c>
      <c r="F67" s="15">
        <f>'8-august-2026'!U67</f>
        <v>0</v>
      </c>
      <c r="G67" s="15">
        <f>'8-august-2026'!V67</f>
        <v>0</v>
      </c>
      <c r="H67" s="15">
        <f t="shared" ref="H67:H98" si="20">E67+F67+G67</f>
        <v>1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5">
        <f t="shared" ref="S67:S98" si="21">H67+O67+P67+Q67+R67-(I67+J67+K67+L67+M67+N67)</f>
        <v>1</v>
      </c>
      <c r="T67" s="15">
        <f t="shared" ref="T67:T98" si="22">E67+O67-I67-L67</f>
        <v>1</v>
      </c>
      <c r="U67" s="15">
        <f t="shared" ref="U67:U98" si="23">F67+P67-J67-M67</f>
        <v>0</v>
      </c>
      <c r="V67" s="15">
        <f t="shared" ref="V67:V98" si="24">G67+Q67-K67-N67</f>
        <v>0</v>
      </c>
      <c r="W67" s="18" t="str">
        <f t="shared" ref="W67:W98" si="25">IF(MIN(T67,U67,V67)&lt;0,"NEGATIVE STOCK - CHECK ENTRIES","")</f>
        <v/>
      </c>
      <c r="X67" s="17">
        <v>0</v>
      </c>
      <c r="Y67" s="17">
        <v>0</v>
      </c>
      <c r="Z67" s="15">
        <f t="shared" ref="Z67:Z98" si="26">X67-Y67</f>
        <v>0</v>
      </c>
      <c r="AA67" s="17">
        <v>0</v>
      </c>
      <c r="AB67" s="17">
        <v>0</v>
      </c>
      <c r="AC67" s="15">
        <f t="shared" ref="AC67:AC98" si="27">AA67-AB67</f>
        <v>0</v>
      </c>
      <c r="AD67" s="17">
        <v>0</v>
      </c>
      <c r="AE67" s="17">
        <v>0</v>
      </c>
      <c r="AF67" s="15">
        <f t="shared" ref="AF67:AF98" si="28">AD67-AE67</f>
        <v>0</v>
      </c>
      <c r="AG67" s="17">
        <v>0</v>
      </c>
      <c r="AH67" s="17">
        <v>0</v>
      </c>
      <c r="AI67" s="15">
        <f t="shared" ref="AI67:AI98" si="29">AG67-AH67</f>
        <v>0</v>
      </c>
      <c r="AJ67" s="17"/>
    </row>
    <row r="68" spans="1:36" x14ac:dyDescent="0.3">
      <c r="A68" s="15" t="s">
        <v>116</v>
      </c>
      <c r="B68" s="15">
        <v>5000</v>
      </c>
      <c r="C68" s="15" t="s">
        <v>54</v>
      </c>
      <c r="D68" s="15" t="s">
        <v>68</v>
      </c>
      <c r="E68" s="15">
        <f>'8-august-2026'!T68</f>
        <v>1</v>
      </c>
      <c r="F68" s="15">
        <f>'8-august-2026'!U68</f>
        <v>0</v>
      </c>
      <c r="G68" s="15">
        <f>'8-august-2026'!V68</f>
        <v>0</v>
      </c>
      <c r="H68" s="15">
        <f t="shared" si="20"/>
        <v>1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5">
        <f t="shared" si="21"/>
        <v>1</v>
      </c>
      <c r="T68" s="15">
        <f t="shared" si="22"/>
        <v>1</v>
      </c>
      <c r="U68" s="15">
        <f t="shared" si="23"/>
        <v>0</v>
      </c>
      <c r="V68" s="15">
        <f t="shared" si="24"/>
        <v>0</v>
      </c>
      <c r="W68" s="18" t="str">
        <f t="shared" si="25"/>
        <v/>
      </c>
      <c r="X68" s="17">
        <v>0</v>
      </c>
      <c r="Y68" s="17">
        <v>0</v>
      </c>
      <c r="Z68" s="15">
        <f t="shared" si="26"/>
        <v>0</v>
      </c>
      <c r="AA68" s="17">
        <v>0</v>
      </c>
      <c r="AB68" s="17">
        <v>0</v>
      </c>
      <c r="AC68" s="15">
        <f t="shared" si="27"/>
        <v>0</v>
      </c>
      <c r="AD68" s="17">
        <v>0</v>
      </c>
      <c r="AE68" s="17">
        <v>0</v>
      </c>
      <c r="AF68" s="15">
        <f t="shared" si="28"/>
        <v>0</v>
      </c>
      <c r="AG68" s="17">
        <v>0</v>
      </c>
      <c r="AH68" s="17">
        <v>0</v>
      </c>
      <c r="AI68" s="15">
        <f t="shared" si="29"/>
        <v>0</v>
      </c>
      <c r="AJ68" s="17"/>
    </row>
    <row r="69" spans="1:36" x14ac:dyDescent="0.3">
      <c r="A69" s="15" t="s">
        <v>117</v>
      </c>
      <c r="B69" s="15">
        <v>100</v>
      </c>
      <c r="C69" s="15" t="s">
        <v>54</v>
      </c>
      <c r="D69" s="15" t="s">
        <v>57</v>
      </c>
      <c r="E69" s="15">
        <f>'8-august-2026'!T69</f>
        <v>10</v>
      </c>
      <c r="F69" s="15">
        <f>'8-august-2026'!U69</f>
        <v>0</v>
      </c>
      <c r="G69" s="15">
        <f>'8-august-2026'!V69</f>
        <v>0</v>
      </c>
      <c r="H69" s="15">
        <f t="shared" si="20"/>
        <v>10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5">
        <f t="shared" si="21"/>
        <v>10</v>
      </c>
      <c r="T69" s="15">
        <f t="shared" si="22"/>
        <v>10</v>
      </c>
      <c r="U69" s="15">
        <f t="shared" si="23"/>
        <v>0</v>
      </c>
      <c r="V69" s="15">
        <f t="shared" si="24"/>
        <v>0</v>
      </c>
      <c r="W69" s="18" t="str">
        <f t="shared" si="25"/>
        <v/>
      </c>
      <c r="X69" s="17">
        <v>0</v>
      </c>
      <c r="Y69" s="17">
        <v>0</v>
      </c>
      <c r="Z69" s="15">
        <f t="shared" si="26"/>
        <v>0</v>
      </c>
      <c r="AA69" s="17">
        <v>0</v>
      </c>
      <c r="AB69" s="17">
        <v>0</v>
      </c>
      <c r="AC69" s="15">
        <f t="shared" si="27"/>
        <v>0</v>
      </c>
      <c r="AD69" s="17">
        <v>0</v>
      </c>
      <c r="AE69" s="17">
        <v>0</v>
      </c>
      <c r="AF69" s="15">
        <f t="shared" si="28"/>
        <v>0</v>
      </c>
      <c r="AG69" s="17">
        <v>0</v>
      </c>
      <c r="AH69" s="17">
        <v>0</v>
      </c>
      <c r="AI69" s="15">
        <f t="shared" si="29"/>
        <v>0</v>
      </c>
      <c r="AJ69" s="17"/>
    </row>
    <row r="70" spans="1:36" x14ac:dyDescent="0.3">
      <c r="A70" s="15" t="s">
        <v>118</v>
      </c>
      <c r="B70" s="15">
        <v>5000</v>
      </c>
      <c r="C70" s="15" t="s">
        <v>54</v>
      </c>
      <c r="D70" s="15" t="s">
        <v>68</v>
      </c>
      <c r="E70" s="15">
        <f>'8-august-2026'!T70</f>
        <v>3</v>
      </c>
      <c r="F70" s="15">
        <f>'8-august-2026'!U70</f>
        <v>0</v>
      </c>
      <c r="G70" s="15">
        <f>'8-august-2026'!V70</f>
        <v>0</v>
      </c>
      <c r="H70" s="15">
        <f t="shared" si="20"/>
        <v>3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5">
        <f t="shared" si="21"/>
        <v>3</v>
      </c>
      <c r="T70" s="15">
        <f t="shared" si="22"/>
        <v>3</v>
      </c>
      <c r="U70" s="15">
        <f t="shared" si="23"/>
        <v>0</v>
      </c>
      <c r="V70" s="15">
        <f t="shared" si="24"/>
        <v>0</v>
      </c>
      <c r="W70" s="18" t="str">
        <f t="shared" si="25"/>
        <v/>
      </c>
      <c r="X70" s="17">
        <v>0</v>
      </c>
      <c r="Y70" s="17">
        <v>0</v>
      </c>
      <c r="Z70" s="15">
        <f t="shared" si="26"/>
        <v>0</v>
      </c>
      <c r="AA70" s="17">
        <v>0</v>
      </c>
      <c r="AB70" s="17">
        <v>0</v>
      </c>
      <c r="AC70" s="15">
        <f t="shared" si="27"/>
        <v>0</v>
      </c>
      <c r="AD70" s="17">
        <v>0</v>
      </c>
      <c r="AE70" s="17">
        <v>0</v>
      </c>
      <c r="AF70" s="15">
        <f t="shared" si="28"/>
        <v>0</v>
      </c>
      <c r="AG70" s="17">
        <v>0</v>
      </c>
      <c r="AH70" s="17">
        <v>0</v>
      </c>
      <c r="AI70" s="15">
        <f t="shared" si="29"/>
        <v>0</v>
      </c>
      <c r="AJ70" s="17"/>
    </row>
    <row r="71" spans="1:36" x14ac:dyDescent="0.3">
      <c r="A71" s="15" t="s">
        <v>119</v>
      </c>
      <c r="B71" s="15">
        <v>100</v>
      </c>
      <c r="C71" s="15" t="s">
        <v>54</v>
      </c>
      <c r="D71" s="15" t="s">
        <v>68</v>
      </c>
      <c r="E71" s="15">
        <f>'8-august-2026'!T71</f>
        <v>-2</v>
      </c>
      <c r="F71" s="15">
        <f>'8-august-2026'!U71</f>
        <v>0</v>
      </c>
      <c r="G71" s="15">
        <f>'8-august-2026'!V71</f>
        <v>0</v>
      </c>
      <c r="H71" s="15">
        <f t="shared" si="20"/>
        <v>-2</v>
      </c>
      <c r="I71" s="17">
        <v>2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5">
        <f t="shared" si="21"/>
        <v>-4</v>
      </c>
      <c r="T71" s="15">
        <f t="shared" si="22"/>
        <v>-4</v>
      </c>
      <c r="U71" s="15">
        <f t="shared" si="23"/>
        <v>0</v>
      </c>
      <c r="V71" s="15">
        <f t="shared" si="24"/>
        <v>0</v>
      </c>
      <c r="W71" s="18" t="str">
        <f t="shared" si="25"/>
        <v>NEGATIVE STOCK - CHECK ENTRIES</v>
      </c>
      <c r="X71" s="17">
        <v>0</v>
      </c>
      <c r="Y71" s="17">
        <v>0</v>
      </c>
      <c r="Z71" s="15">
        <f t="shared" si="26"/>
        <v>0</v>
      </c>
      <c r="AA71" s="17">
        <v>0</v>
      </c>
      <c r="AB71" s="17">
        <v>0</v>
      </c>
      <c r="AC71" s="15">
        <f t="shared" si="27"/>
        <v>0</v>
      </c>
      <c r="AD71" s="17">
        <v>0</v>
      </c>
      <c r="AE71" s="17">
        <v>0</v>
      </c>
      <c r="AF71" s="15">
        <f t="shared" si="28"/>
        <v>0</v>
      </c>
      <c r="AG71" s="17">
        <v>0</v>
      </c>
      <c r="AH71" s="17">
        <v>0</v>
      </c>
      <c r="AI71" s="15">
        <f t="shared" si="29"/>
        <v>0</v>
      </c>
      <c r="AJ71" s="17"/>
    </row>
    <row r="72" spans="1:36" x14ac:dyDescent="0.3">
      <c r="A72" s="15" t="s">
        <v>120</v>
      </c>
      <c r="B72" s="15">
        <v>100</v>
      </c>
      <c r="C72" s="15" t="s">
        <v>54</v>
      </c>
      <c r="D72" s="15" t="s">
        <v>57</v>
      </c>
      <c r="E72" s="15">
        <f>'8-august-2026'!T72</f>
        <v>2</v>
      </c>
      <c r="F72" s="15">
        <f>'8-august-2026'!U72</f>
        <v>0</v>
      </c>
      <c r="G72" s="15">
        <f>'8-august-2026'!V72</f>
        <v>0</v>
      </c>
      <c r="H72" s="15">
        <f t="shared" si="20"/>
        <v>2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5">
        <f t="shared" si="21"/>
        <v>2</v>
      </c>
      <c r="T72" s="15">
        <f t="shared" si="22"/>
        <v>2</v>
      </c>
      <c r="U72" s="15">
        <f t="shared" si="23"/>
        <v>0</v>
      </c>
      <c r="V72" s="15">
        <f t="shared" si="24"/>
        <v>0</v>
      </c>
      <c r="W72" s="18" t="str">
        <f t="shared" si="25"/>
        <v/>
      </c>
      <c r="X72" s="17">
        <v>0</v>
      </c>
      <c r="Y72" s="17">
        <v>0</v>
      </c>
      <c r="Z72" s="15">
        <f t="shared" si="26"/>
        <v>0</v>
      </c>
      <c r="AA72" s="17">
        <v>0</v>
      </c>
      <c r="AB72" s="17">
        <v>0</v>
      </c>
      <c r="AC72" s="15">
        <f t="shared" si="27"/>
        <v>0</v>
      </c>
      <c r="AD72" s="17">
        <v>0</v>
      </c>
      <c r="AE72" s="17">
        <v>0</v>
      </c>
      <c r="AF72" s="15">
        <f t="shared" si="28"/>
        <v>0</v>
      </c>
      <c r="AG72" s="17">
        <v>0</v>
      </c>
      <c r="AH72" s="17">
        <v>0</v>
      </c>
      <c r="AI72" s="15">
        <f t="shared" si="29"/>
        <v>0</v>
      </c>
      <c r="AJ72" s="17"/>
    </row>
    <row r="73" spans="1:36" x14ac:dyDescent="0.3">
      <c r="A73" s="15" t="s">
        <v>121</v>
      </c>
      <c r="B73" s="15">
        <v>100</v>
      </c>
      <c r="C73" s="15" t="s">
        <v>54</v>
      </c>
      <c r="D73" s="15" t="s">
        <v>68</v>
      </c>
      <c r="E73" s="15">
        <f>'8-august-2026'!T73</f>
        <v>5</v>
      </c>
      <c r="F73" s="15">
        <f>'8-august-2026'!U73</f>
        <v>0</v>
      </c>
      <c r="G73" s="15">
        <f>'8-august-2026'!V73</f>
        <v>0</v>
      </c>
      <c r="H73" s="15">
        <f t="shared" si="20"/>
        <v>5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5">
        <f t="shared" si="21"/>
        <v>5</v>
      </c>
      <c r="T73" s="15">
        <f t="shared" si="22"/>
        <v>5</v>
      </c>
      <c r="U73" s="15">
        <f t="shared" si="23"/>
        <v>0</v>
      </c>
      <c r="V73" s="15">
        <f t="shared" si="24"/>
        <v>0</v>
      </c>
      <c r="W73" s="18" t="str">
        <f t="shared" si="25"/>
        <v/>
      </c>
      <c r="X73" s="17">
        <v>0</v>
      </c>
      <c r="Y73" s="17">
        <v>0</v>
      </c>
      <c r="Z73" s="15">
        <f t="shared" si="26"/>
        <v>0</v>
      </c>
      <c r="AA73" s="17">
        <v>0</v>
      </c>
      <c r="AB73" s="17">
        <v>0</v>
      </c>
      <c r="AC73" s="15">
        <f t="shared" si="27"/>
        <v>0</v>
      </c>
      <c r="AD73" s="17">
        <v>0</v>
      </c>
      <c r="AE73" s="17">
        <v>0</v>
      </c>
      <c r="AF73" s="15">
        <f t="shared" si="28"/>
        <v>0</v>
      </c>
      <c r="AG73" s="17">
        <v>0</v>
      </c>
      <c r="AH73" s="17">
        <v>0</v>
      </c>
      <c r="AI73" s="15">
        <f t="shared" si="29"/>
        <v>0</v>
      </c>
      <c r="AJ73" s="17"/>
    </row>
    <row r="74" spans="1:36" x14ac:dyDescent="0.3">
      <c r="A74" s="15" t="s">
        <v>122</v>
      </c>
      <c r="B74" s="15">
        <v>1000</v>
      </c>
      <c r="C74" s="15" t="s">
        <v>54</v>
      </c>
      <c r="D74" s="15" t="s">
        <v>68</v>
      </c>
      <c r="E74" s="15">
        <f>'8-august-2026'!T74</f>
        <v>2</v>
      </c>
      <c r="F74" s="15">
        <f>'8-august-2026'!U74</f>
        <v>0</v>
      </c>
      <c r="G74" s="15">
        <f>'8-august-2026'!V74</f>
        <v>0</v>
      </c>
      <c r="H74" s="15">
        <f t="shared" si="20"/>
        <v>2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5">
        <f t="shared" si="21"/>
        <v>2</v>
      </c>
      <c r="T74" s="15">
        <f t="shared" si="22"/>
        <v>2</v>
      </c>
      <c r="U74" s="15">
        <f t="shared" si="23"/>
        <v>0</v>
      </c>
      <c r="V74" s="15">
        <f t="shared" si="24"/>
        <v>0</v>
      </c>
      <c r="W74" s="18" t="str">
        <f t="shared" si="25"/>
        <v/>
      </c>
      <c r="X74" s="17">
        <v>0</v>
      </c>
      <c r="Y74" s="17">
        <v>0</v>
      </c>
      <c r="Z74" s="15">
        <f t="shared" si="26"/>
        <v>0</v>
      </c>
      <c r="AA74" s="17">
        <v>0</v>
      </c>
      <c r="AB74" s="17">
        <v>0</v>
      </c>
      <c r="AC74" s="15">
        <f t="shared" si="27"/>
        <v>0</v>
      </c>
      <c r="AD74" s="17">
        <v>0</v>
      </c>
      <c r="AE74" s="17">
        <v>0</v>
      </c>
      <c r="AF74" s="15">
        <f t="shared" si="28"/>
        <v>0</v>
      </c>
      <c r="AG74" s="17">
        <v>0</v>
      </c>
      <c r="AH74" s="17">
        <v>0</v>
      </c>
      <c r="AI74" s="15">
        <f t="shared" si="29"/>
        <v>0</v>
      </c>
      <c r="AJ74" s="17"/>
    </row>
    <row r="75" spans="1:36" hidden="1" x14ac:dyDescent="0.3">
      <c r="A75" s="15" t="s">
        <v>123</v>
      </c>
      <c r="B75" s="15" t="s">
        <v>124</v>
      </c>
      <c r="C75" s="15" t="s">
        <v>123</v>
      </c>
      <c r="D75" s="15" t="s">
        <v>55</v>
      </c>
      <c r="E75" s="15">
        <f>'8-august-2026'!T75</f>
        <v>1</v>
      </c>
      <c r="F75" s="15">
        <f>'8-august-2026'!U75</f>
        <v>0</v>
      </c>
      <c r="G75" s="15">
        <f>'8-august-2026'!V75</f>
        <v>0</v>
      </c>
      <c r="H75" s="15">
        <f t="shared" si="20"/>
        <v>1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5">
        <f t="shared" si="21"/>
        <v>1</v>
      </c>
      <c r="T75" s="15">
        <f t="shared" si="22"/>
        <v>1</v>
      </c>
      <c r="U75" s="15">
        <f t="shared" si="23"/>
        <v>0</v>
      </c>
      <c r="V75" s="15">
        <f t="shared" si="24"/>
        <v>0</v>
      </c>
      <c r="W75" s="18" t="str">
        <f t="shared" si="25"/>
        <v/>
      </c>
      <c r="X75" s="17">
        <v>0</v>
      </c>
      <c r="Y75" s="17">
        <v>0</v>
      </c>
      <c r="Z75" s="15">
        <f t="shared" si="26"/>
        <v>0</v>
      </c>
      <c r="AA75" s="17">
        <v>0</v>
      </c>
      <c r="AB75" s="17">
        <v>0</v>
      </c>
      <c r="AC75" s="15">
        <f t="shared" si="27"/>
        <v>0</v>
      </c>
      <c r="AD75" s="17">
        <v>0</v>
      </c>
      <c r="AE75" s="17">
        <v>0</v>
      </c>
      <c r="AF75" s="15">
        <f t="shared" si="28"/>
        <v>0</v>
      </c>
      <c r="AG75" s="17">
        <v>0</v>
      </c>
      <c r="AH75" s="17">
        <v>0</v>
      </c>
      <c r="AI75" s="15">
        <f t="shared" si="29"/>
        <v>0</v>
      </c>
      <c r="AJ75" s="17"/>
    </row>
    <row r="76" spans="1:36" x14ac:dyDescent="0.3">
      <c r="A76" s="15" t="s">
        <v>125</v>
      </c>
      <c r="B76" s="15">
        <v>1000</v>
      </c>
      <c r="C76" s="15" t="s">
        <v>54</v>
      </c>
      <c r="D76" s="15" t="s">
        <v>68</v>
      </c>
      <c r="E76" s="15">
        <f>'8-august-2026'!T76</f>
        <v>4</v>
      </c>
      <c r="F76" s="15">
        <f>'8-august-2026'!U76</f>
        <v>0</v>
      </c>
      <c r="G76" s="15">
        <f>'8-august-2026'!V76</f>
        <v>0</v>
      </c>
      <c r="H76" s="15">
        <f t="shared" si="20"/>
        <v>4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5">
        <f t="shared" si="21"/>
        <v>4</v>
      </c>
      <c r="T76" s="15">
        <f t="shared" si="22"/>
        <v>4</v>
      </c>
      <c r="U76" s="15">
        <f t="shared" si="23"/>
        <v>0</v>
      </c>
      <c r="V76" s="15">
        <f t="shared" si="24"/>
        <v>0</v>
      </c>
      <c r="W76" s="18" t="str">
        <f t="shared" si="25"/>
        <v/>
      </c>
      <c r="X76" s="17">
        <v>0</v>
      </c>
      <c r="Y76" s="17">
        <v>0</v>
      </c>
      <c r="Z76" s="15">
        <f t="shared" si="26"/>
        <v>0</v>
      </c>
      <c r="AA76" s="17">
        <v>0</v>
      </c>
      <c r="AB76" s="17">
        <v>0</v>
      </c>
      <c r="AC76" s="15">
        <f t="shared" si="27"/>
        <v>0</v>
      </c>
      <c r="AD76" s="17">
        <v>0</v>
      </c>
      <c r="AE76" s="17">
        <v>0</v>
      </c>
      <c r="AF76" s="15">
        <f t="shared" si="28"/>
        <v>0</v>
      </c>
      <c r="AG76" s="17">
        <v>0</v>
      </c>
      <c r="AH76" s="17">
        <v>0</v>
      </c>
      <c r="AI76" s="15">
        <f t="shared" si="29"/>
        <v>0</v>
      </c>
      <c r="AJ76" s="17"/>
    </row>
    <row r="77" spans="1:36" x14ac:dyDescent="0.3">
      <c r="A77" s="15" t="s">
        <v>126</v>
      </c>
      <c r="B77" s="15">
        <v>1000</v>
      </c>
      <c r="C77" s="15" t="s">
        <v>54</v>
      </c>
      <c r="D77" s="15" t="s">
        <v>68</v>
      </c>
      <c r="E77" s="15">
        <f>'8-august-2026'!T77</f>
        <v>2</v>
      </c>
      <c r="F77" s="15">
        <f>'8-august-2026'!U77</f>
        <v>0</v>
      </c>
      <c r="G77" s="15">
        <f>'8-august-2026'!V77</f>
        <v>0</v>
      </c>
      <c r="H77" s="15">
        <f t="shared" si="20"/>
        <v>2</v>
      </c>
      <c r="I77" s="17">
        <v>1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5">
        <f t="shared" si="21"/>
        <v>1</v>
      </c>
      <c r="T77" s="15">
        <f t="shared" si="22"/>
        <v>1</v>
      </c>
      <c r="U77" s="15">
        <f t="shared" si="23"/>
        <v>0</v>
      </c>
      <c r="V77" s="15">
        <f t="shared" si="24"/>
        <v>0</v>
      </c>
      <c r="W77" s="18" t="str">
        <f t="shared" si="25"/>
        <v/>
      </c>
      <c r="X77" s="17">
        <v>0</v>
      </c>
      <c r="Y77" s="17">
        <v>0</v>
      </c>
      <c r="Z77" s="15">
        <f t="shared" si="26"/>
        <v>0</v>
      </c>
      <c r="AA77" s="17">
        <v>0</v>
      </c>
      <c r="AB77" s="17">
        <v>0</v>
      </c>
      <c r="AC77" s="15">
        <f t="shared" si="27"/>
        <v>0</v>
      </c>
      <c r="AD77" s="17">
        <v>0</v>
      </c>
      <c r="AE77" s="17">
        <v>0</v>
      </c>
      <c r="AF77" s="15">
        <f t="shared" si="28"/>
        <v>0</v>
      </c>
      <c r="AG77" s="17">
        <v>0</v>
      </c>
      <c r="AH77" s="17">
        <v>0</v>
      </c>
      <c r="AI77" s="15">
        <f t="shared" si="29"/>
        <v>0</v>
      </c>
      <c r="AJ77" s="17"/>
    </row>
    <row r="78" spans="1:36" hidden="1" x14ac:dyDescent="0.3">
      <c r="A78" s="15" t="s">
        <v>127</v>
      </c>
      <c r="B78" s="15">
        <v>0</v>
      </c>
      <c r="C78" s="15" t="s">
        <v>128</v>
      </c>
      <c r="D78" s="15" t="s">
        <v>55</v>
      </c>
      <c r="E78" s="15">
        <f>'8-august-2026'!T78</f>
        <v>107</v>
      </c>
      <c r="F78" s="15">
        <f>'8-august-2026'!U78</f>
        <v>6</v>
      </c>
      <c r="G78" s="15">
        <f>'8-august-2026'!V78</f>
        <v>0</v>
      </c>
      <c r="H78" s="15">
        <f t="shared" si="20"/>
        <v>113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5">
        <f t="shared" si="21"/>
        <v>113</v>
      </c>
      <c r="T78" s="15">
        <f t="shared" si="22"/>
        <v>107</v>
      </c>
      <c r="U78" s="15">
        <f t="shared" si="23"/>
        <v>6</v>
      </c>
      <c r="V78" s="15">
        <f t="shared" si="24"/>
        <v>0</v>
      </c>
      <c r="W78" s="18" t="str">
        <f t="shared" si="25"/>
        <v/>
      </c>
      <c r="X78" s="17">
        <v>0</v>
      </c>
      <c r="Y78" s="17">
        <v>0</v>
      </c>
      <c r="Z78" s="15">
        <f t="shared" si="26"/>
        <v>0</v>
      </c>
      <c r="AA78" s="17">
        <v>0</v>
      </c>
      <c r="AB78" s="17">
        <v>0</v>
      </c>
      <c r="AC78" s="15">
        <f t="shared" si="27"/>
        <v>0</v>
      </c>
      <c r="AD78" s="17">
        <v>0</v>
      </c>
      <c r="AE78" s="17">
        <v>0</v>
      </c>
      <c r="AF78" s="15">
        <f t="shared" si="28"/>
        <v>0</v>
      </c>
      <c r="AG78" s="17">
        <v>0</v>
      </c>
      <c r="AH78" s="17">
        <v>0</v>
      </c>
      <c r="AI78" s="15">
        <f t="shared" si="29"/>
        <v>0</v>
      </c>
      <c r="AJ78" s="17"/>
    </row>
    <row r="79" spans="1:36" hidden="1" x14ac:dyDescent="0.3">
      <c r="A79" s="15" t="s">
        <v>129</v>
      </c>
      <c r="B79" s="15">
        <v>0</v>
      </c>
      <c r="C79" s="15" t="s">
        <v>128</v>
      </c>
      <c r="D79" s="15" t="s">
        <v>55</v>
      </c>
      <c r="E79" s="15">
        <f>'8-august-2026'!T79</f>
        <v>44</v>
      </c>
      <c r="F79" s="15">
        <f>'8-august-2026'!U79</f>
        <v>4</v>
      </c>
      <c r="G79" s="15">
        <f>'8-august-2026'!V79</f>
        <v>55</v>
      </c>
      <c r="H79" s="15">
        <f t="shared" si="20"/>
        <v>103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5">
        <f t="shared" si="21"/>
        <v>103</v>
      </c>
      <c r="T79" s="15">
        <f t="shared" si="22"/>
        <v>44</v>
      </c>
      <c r="U79" s="15">
        <f t="shared" si="23"/>
        <v>4</v>
      </c>
      <c r="V79" s="15">
        <f t="shared" si="24"/>
        <v>55</v>
      </c>
      <c r="W79" s="18" t="str">
        <f t="shared" si="25"/>
        <v/>
      </c>
      <c r="X79" s="17">
        <v>0</v>
      </c>
      <c r="Y79" s="17">
        <v>0</v>
      </c>
      <c r="Z79" s="15">
        <f t="shared" si="26"/>
        <v>0</v>
      </c>
      <c r="AA79" s="17">
        <v>0</v>
      </c>
      <c r="AB79" s="17">
        <v>0</v>
      </c>
      <c r="AC79" s="15">
        <f t="shared" si="27"/>
        <v>0</v>
      </c>
      <c r="AD79" s="17">
        <v>0</v>
      </c>
      <c r="AE79" s="17">
        <v>0</v>
      </c>
      <c r="AF79" s="15">
        <f t="shared" si="28"/>
        <v>0</v>
      </c>
      <c r="AG79" s="17">
        <v>0</v>
      </c>
      <c r="AH79" s="17">
        <v>0</v>
      </c>
      <c r="AI79" s="15">
        <f t="shared" si="29"/>
        <v>0</v>
      </c>
      <c r="AJ79" s="17"/>
    </row>
    <row r="80" spans="1:36" hidden="1" x14ac:dyDescent="0.3">
      <c r="A80" s="15" t="s">
        <v>130</v>
      </c>
      <c r="B80" s="15">
        <v>100</v>
      </c>
      <c r="C80" s="15" t="s">
        <v>54</v>
      </c>
      <c r="D80" s="15" t="s">
        <v>55</v>
      </c>
      <c r="E80" s="15">
        <f>'8-august-2026'!T80</f>
        <v>48</v>
      </c>
      <c r="F80" s="15">
        <f>'8-august-2026'!U80</f>
        <v>113</v>
      </c>
      <c r="G80" s="15">
        <f>'8-august-2026'!V80</f>
        <v>104</v>
      </c>
      <c r="H80" s="15">
        <f t="shared" si="20"/>
        <v>265</v>
      </c>
      <c r="I80" s="17">
        <v>0</v>
      </c>
      <c r="J80" s="17">
        <v>2</v>
      </c>
      <c r="K80" s="17">
        <v>0</v>
      </c>
      <c r="L80" s="17">
        <v>0</v>
      </c>
      <c r="M80" s="17">
        <v>0</v>
      </c>
      <c r="N80" s="17">
        <v>75</v>
      </c>
      <c r="O80" s="17">
        <v>75</v>
      </c>
      <c r="P80" s="17">
        <v>0</v>
      </c>
      <c r="Q80" s="17">
        <v>0</v>
      </c>
      <c r="R80" s="17">
        <v>0</v>
      </c>
      <c r="S80" s="15">
        <f t="shared" si="21"/>
        <v>263</v>
      </c>
      <c r="T80" s="15">
        <f t="shared" si="22"/>
        <v>123</v>
      </c>
      <c r="U80" s="15">
        <f t="shared" si="23"/>
        <v>111</v>
      </c>
      <c r="V80" s="15">
        <f t="shared" si="24"/>
        <v>29</v>
      </c>
      <c r="W80" s="18" t="str">
        <f t="shared" si="25"/>
        <v/>
      </c>
      <c r="X80" s="17">
        <v>0</v>
      </c>
      <c r="Y80" s="17">
        <v>0</v>
      </c>
      <c r="Z80" s="15">
        <f t="shared" si="26"/>
        <v>0</v>
      </c>
      <c r="AA80" s="17">
        <v>0</v>
      </c>
      <c r="AB80" s="17">
        <v>0</v>
      </c>
      <c r="AC80" s="15">
        <f t="shared" si="27"/>
        <v>0</v>
      </c>
      <c r="AD80" s="17">
        <v>0</v>
      </c>
      <c r="AE80" s="17">
        <v>0</v>
      </c>
      <c r="AF80" s="15">
        <f t="shared" si="28"/>
        <v>0</v>
      </c>
      <c r="AG80" s="17">
        <v>0</v>
      </c>
      <c r="AH80" s="17">
        <v>0</v>
      </c>
      <c r="AI80" s="15">
        <f t="shared" si="29"/>
        <v>0</v>
      </c>
      <c r="AJ80" s="17"/>
    </row>
    <row r="81" spans="1:36" hidden="1" x14ac:dyDescent="0.3">
      <c r="A81" s="15" t="s">
        <v>131</v>
      </c>
      <c r="B81" s="15">
        <v>500</v>
      </c>
      <c r="C81" s="15" t="s">
        <v>54</v>
      </c>
      <c r="D81" s="15" t="s">
        <v>55</v>
      </c>
      <c r="E81" s="15">
        <f>'8-august-2026'!T81</f>
        <v>6</v>
      </c>
      <c r="F81" s="15">
        <f>'8-august-2026'!U81</f>
        <v>0</v>
      </c>
      <c r="G81" s="15">
        <f>'8-august-2026'!V81</f>
        <v>0</v>
      </c>
      <c r="H81" s="15">
        <f t="shared" si="20"/>
        <v>6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5">
        <f t="shared" si="21"/>
        <v>6</v>
      </c>
      <c r="T81" s="15">
        <f t="shared" si="22"/>
        <v>6</v>
      </c>
      <c r="U81" s="15">
        <f t="shared" si="23"/>
        <v>0</v>
      </c>
      <c r="V81" s="15">
        <f t="shared" si="24"/>
        <v>0</v>
      </c>
      <c r="W81" s="18" t="str">
        <f t="shared" si="25"/>
        <v/>
      </c>
      <c r="X81" s="17">
        <v>0</v>
      </c>
      <c r="Y81" s="17">
        <v>0</v>
      </c>
      <c r="Z81" s="15">
        <f t="shared" si="26"/>
        <v>0</v>
      </c>
      <c r="AA81" s="17">
        <v>0</v>
      </c>
      <c r="AB81" s="17">
        <v>0</v>
      </c>
      <c r="AC81" s="15">
        <f t="shared" si="27"/>
        <v>0</v>
      </c>
      <c r="AD81" s="17">
        <v>0</v>
      </c>
      <c r="AE81" s="17">
        <v>0</v>
      </c>
      <c r="AF81" s="15">
        <f t="shared" si="28"/>
        <v>0</v>
      </c>
      <c r="AG81" s="17">
        <v>0</v>
      </c>
      <c r="AH81" s="17">
        <v>0</v>
      </c>
      <c r="AI81" s="15">
        <f t="shared" si="29"/>
        <v>0</v>
      </c>
      <c r="AJ81" s="17"/>
    </row>
    <row r="82" spans="1:36" hidden="1" x14ac:dyDescent="0.3">
      <c r="A82" s="15" t="s">
        <v>132</v>
      </c>
      <c r="B82" s="15">
        <v>100</v>
      </c>
      <c r="C82" s="15" t="s">
        <v>54</v>
      </c>
      <c r="D82" s="15" t="s">
        <v>55</v>
      </c>
      <c r="E82" s="15">
        <f>'8-august-2026'!T82</f>
        <v>100</v>
      </c>
      <c r="F82" s="15">
        <f>'8-august-2026'!U82</f>
        <v>279</v>
      </c>
      <c r="G82" s="15">
        <f>'8-august-2026'!V82</f>
        <v>11</v>
      </c>
      <c r="H82" s="15">
        <f t="shared" si="20"/>
        <v>390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10</v>
      </c>
      <c r="O82" s="17">
        <v>0</v>
      </c>
      <c r="P82" s="17">
        <v>0</v>
      </c>
      <c r="Q82" s="17">
        <v>0</v>
      </c>
      <c r="R82" s="17">
        <v>0</v>
      </c>
      <c r="S82" s="15">
        <f t="shared" si="21"/>
        <v>380</v>
      </c>
      <c r="T82" s="15">
        <f t="shared" si="22"/>
        <v>100</v>
      </c>
      <c r="U82" s="15">
        <f t="shared" si="23"/>
        <v>279</v>
      </c>
      <c r="V82" s="15">
        <f t="shared" si="24"/>
        <v>1</v>
      </c>
      <c r="W82" s="18" t="str">
        <f t="shared" si="25"/>
        <v/>
      </c>
      <c r="X82" s="17">
        <v>0</v>
      </c>
      <c r="Y82" s="17">
        <v>0</v>
      </c>
      <c r="Z82" s="15">
        <f t="shared" si="26"/>
        <v>0</v>
      </c>
      <c r="AA82" s="17">
        <v>0</v>
      </c>
      <c r="AB82" s="17">
        <v>0</v>
      </c>
      <c r="AC82" s="15">
        <f t="shared" si="27"/>
        <v>0</v>
      </c>
      <c r="AD82" s="17">
        <v>0</v>
      </c>
      <c r="AE82" s="17">
        <v>0</v>
      </c>
      <c r="AF82" s="15">
        <f t="shared" si="28"/>
        <v>0</v>
      </c>
      <c r="AG82" s="17">
        <v>0</v>
      </c>
      <c r="AH82" s="17">
        <v>0</v>
      </c>
      <c r="AI82" s="15">
        <f t="shared" si="29"/>
        <v>0</v>
      </c>
      <c r="AJ82" s="17"/>
    </row>
    <row r="83" spans="1:36" hidden="1" x14ac:dyDescent="0.3">
      <c r="A83" s="15" t="s">
        <v>133</v>
      </c>
      <c r="B83" s="15">
        <v>1000</v>
      </c>
      <c r="C83" s="15" t="s">
        <v>54</v>
      </c>
      <c r="D83" s="15" t="s">
        <v>55</v>
      </c>
      <c r="E83" s="15">
        <f>'8-august-2026'!T83</f>
        <v>1</v>
      </c>
      <c r="F83" s="15">
        <f>'8-august-2026'!U83</f>
        <v>9</v>
      </c>
      <c r="G83" s="15">
        <f>'8-august-2026'!V83</f>
        <v>0</v>
      </c>
      <c r="H83" s="15">
        <f t="shared" si="20"/>
        <v>10</v>
      </c>
      <c r="I83" s="17">
        <v>2</v>
      </c>
      <c r="J83" s="17">
        <v>9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5">
        <f t="shared" si="21"/>
        <v>-1</v>
      </c>
      <c r="T83" s="15">
        <f t="shared" si="22"/>
        <v>-1</v>
      </c>
      <c r="U83" s="15">
        <f t="shared" si="23"/>
        <v>0</v>
      </c>
      <c r="V83" s="15">
        <f t="shared" si="24"/>
        <v>0</v>
      </c>
      <c r="W83" s="18" t="str">
        <f t="shared" si="25"/>
        <v>NEGATIVE STOCK - CHECK ENTRIES</v>
      </c>
      <c r="X83" s="17">
        <v>0</v>
      </c>
      <c r="Y83" s="17">
        <v>0</v>
      </c>
      <c r="Z83" s="15">
        <f t="shared" si="26"/>
        <v>0</v>
      </c>
      <c r="AA83" s="17">
        <v>0</v>
      </c>
      <c r="AB83" s="17">
        <v>0</v>
      </c>
      <c r="AC83" s="15">
        <f t="shared" si="27"/>
        <v>0</v>
      </c>
      <c r="AD83" s="17">
        <v>0</v>
      </c>
      <c r="AE83" s="17">
        <v>0</v>
      </c>
      <c r="AF83" s="15">
        <f t="shared" si="28"/>
        <v>0</v>
      </c>
      <c r="AG83" s="17">
        <v>0</v>
      </c>
      <c r="AH83" s="17">
        <v>0</v>
      </c>
      <c r="AI83" s="15">
        <f t="shared" si="29"/>
        <v>0</v>
      </c>
      <c r="AJ83" s="17"/>
    </row>
    <row r="84" spans="1:36" x14ac:dyDescent="0.3">
      <c r="A84" s="15" t="s">
        <v>134</v>
      </c>
      <c r="B84" s="15">
        <v>100</v>
      </c>
      <c r="C84" s="15" t="s">
        <v>54</v>
      </c>
      <c r="D84" s="15" t="s">
        <v>57</v>
      </c>
      <c r="E84" s="15">
        <f>'8-august-2026'!T84</f>
        <v>3</v>
      </c>
      <c r="F84" s="15">
        <f>'8-august-2026'!U84</f>
        <v>0</v>
      </c>
      <c r="G84" s="15">
        <f>'8-august-2026'!V84</f>
        <v>0</v>
      </c>
      <c r="H84" s="15">
        <f t="shared" si="20"/>
        <v>3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5">
        <f t="shared" si="21"/>
        <v>3</v>
      </c>
      <c r="T84" s="15">
        <f t="shared" si="22"/>
        <v>3</v>
      </c>
      <c r="U84" s="15">
        <f t="shared" si="23"/>
        <v>0</v>
      </c>
      <c r="V84" s="15">
        <f t="shared" si="24"/>
        <v>0</v>
      </c>
      <c r="W84" s="18" t="str">
        <f t="shared" si="25"/>
        <v/>
      </c>
      <c r="X84" s="17">
        <v>0</v>
      </c>
      <c r="Y84" s="17">
        <v>0</v>
      </c>
      <c r="Z84" s="15">
        <f t="shared" si="26"/>
        <v>0</v>
      </c>
      <c r="AA84" s="17">
        <v>0</v>
      </c>
      <c r="AB84" s="17">
        <v>0</v>
      </c>
      <c r="AC84" s="15">
        <f t="shared" si="27"/>
        <v>0</v>
      </c>
      <c r="AD84" s="17">
        <v>0</v>
      </c>
      <c r="AE84" s="17">
        <v>0</v>
      </c>
      <c r="AF84" s="15">
        <f t="shared" si="28"/>
        <v>0</v>
      </c>
      <c r="AG84" s="17">
        <v>0</v>
      </c>
      <c r="AH84" s="17">
        <v>0</v>
      </c>
      <c r="AI84" s="15">
        <f t="shared" si="29"/>
        <v>0</v>
      </c>
      <c r="AJ84" s="17"/>
    </row>
    <row r="85" spans="1:36" x14ac:dyDescent="0.3">
      <c r="A85" s="15" t="s">
        <v>135</v>
      </c>
      <c r="B85" s="15">
        <v>100</v>
      </c>
      <c r="C85" s="15" t="s">
        <v>54</v>
      </c>
      <c r="D85" s="15" t="s">
        <v>57</v>
      </c>
      <c r="E85" s="15">
        <f>'8-august-2026'!T85</f>
        <v>4</v>
      </c>
      <c r="F85" s="15">
        <f>'8-august-2026'!U85</f>
        <v>0</v>
      </c>
      <c r="G85" s="15">
        <f>'8-august-2026'!V85</f>
        <v>0</v>
      </c>
      <c r="H85" s="15">
        <f t="shared" si="20"/>
        <v>4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5">
        <f t="shared" si="21"/>
        <v>4</v>
      </c>
      <c r="T85" s="15">
        <f t="shared" si="22"/>
        <v>4</v>
      </c>
      <c r="U85" s="15">
        <f t="shared" si="23"/>
        <v>0</v>
      </c>
      <c r="V85" s="15">
        <f t="shared" si="24"/>
        <v>0</v>
      </c>
      <c r="W85" s="18" t="str">
        <f t="shared" si="25"/>
        <v/>
      </c>
      <c r="X85" s="17">
        <v>0</v>
      </c>
      <c r="Y85" s="17">
        <v>0</v>
      </c>
      <c r="Z85" s="15">
        <f t="shared" si="26"/>
        <v>0</v>
      </c>
      <c r="AA85" s="17">
        <v>0</v>
      </c>
      <c r="AB85" s="17">
        <v>0</v>
      </c>
      <c r="AC85" s="15">
        <f t="shared" si="27"/>
        <v>0</v>
      </c>
      <c r="AD85" s="17">
        <v>0</v>
      </c>
      <c r="AE85" s="17">
        <v>0</v>
      </c>
      <c r="AF85" s="15">
        <f t="shared" si="28"/>
        <v>0</v>
      </c>
      <c r="AG85" s="17">
        <v>0</v>
      </c>
      <c r="AH85" s="17">
        <v>0</v>
      </c>
      <c r="AI85" s="15">
        <f t="shared" si="29"/>
        <v>0</v>
      </c>
      <c r="AJ85" s="17"/>
    </row>
    <row r="86" spans="1:36" x14ac:dyDescent="0.3">
      <c r="A86" s="15" t="s">
        <v>135</v>
      </c>
      <c r="B86" s="15">
        <v>1000</v>
      </c>
      <c r="C86" s="15" t="s">
        <v>54</v>
      </c>
      <c r="D86" s="15" t="s">
        <v>57</v>
      </c>
      <c r="E86" s="15">
        <f>'8-august-2026'!T86</f>
        <v>1</v>
      </c>
      <c r="F86" s="15">
        <f>'8-august-2026'!U86</f>
        <v>0</v>
      </c>
      <c r="G86" s="15">
        <f>'8-august-2026'!V86</f>
        <v>0</v>
      </c>
      <c r="H86" s="15">
        <f t="shared" si="20"/>
        <v>1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5">
        <f t="shared" si="21"/>
        <v>1</v>
      </c>
      <c r="T86" s="15">
        <f t="shared" si="22"/>
        <v>1</v>
      </c>
      <c r="U86" s="15">
        <f t="shared" si="23"/>
        <v>0</v>
      </c>
      <c r="V86" s="15">
        <f t="shared" si="24"/>
        <v>0</v>
      </c>
      <c r="W86" s="18" t="str">
        <f t="shared" si="25"/>
        <v/>
      </c>
      <c r="X86" s="17">
        <v>0</v>
      </c>
      <c r="Y86" s="17">
        <v>0</v>
      </c>
      <c r="Z86" s="15">
        <f t="shared" si="26"/>
        <v>0</v>
      </c>
      <c r="AA86" s="17">
        <v>0</v>
      </c>
      <c r="AB86" s="17">
        <v>0</v>
      </c>
      <c r="AC86" s="15">
        <f t="shared" si="27"/>
        <v>0</v>
      </c>
      <c r="AD86" s="17">
        <v>0</v>
      </c>
      <c r="AE86" s="17">
        <v>0</v>
      </c>
      <c r="AF86" s="15">
        <f t="shared" si="28"/>
        <v>0</v>
      </c>
      <c r="AG86" s="17">
        <v>0</v>
      </c>
      <c r="AH86" s="17">
        <v>0</v>
      </c>
      <c r="AI86" s="15">
        <f t="shared" si="29"/>
        <v>0</v>
      </c>
      <c r="AJ86" s="17"/>
    </row>
    <row r="87" spans="1:36" x14ac:dyDescent="0.3">
      <c r="A87" s="15" t="s">
        <v>136</v>
      </c>
      <c r="B87" s="15">
        <v>100000</v>
      </c>
      <c r="C87" s="15" t="s">
        <v>54</v>
      </c>
      <c r="D87" s="15" t="s">
        <v>68</v>
      </c>
      <c r="E87" s="15">
        <f>'8-august-2026'!T87</f>
        <v>1</v>
      </c>
      <c r="F87" s="15">
        <f>'8-august-2026'!U87</f>
        <v>0</v>
      </c>
      <c r="G87" s="15">
        <f>'8-august-2026'!V87</f>
        <v>0</v>
      </c>
      <c r="H87" s="15">
        <f t="shared" si="20"/>
        <v>1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5">
        <f t="shared" si="21"/>
        <v>1</v>
      </c>
      <c r="T87" s="15">
        <f t="shared" si="22"/>
        <v>1</v>
      </c>
      <c r="U87" s="15">
        <f t="shared" si="23"/>
        <v>0</v>
      </c>
      <c r="V87" s="15">
        <f t="shared" si="24"/>
        <v>0</v>
      </c>
      <c r="W87" s="18" t="str">
        <f t="shared" si="25"/>
        <v/>
      </c>
      <c r="X87" s="17">
        <v>0</v>
      </c>
      <c r="Y87" s="17">
        <v>0</v>
      </c>
      <c r="Z87" s="15">
        <f t="shared" si="26"/>
        <v>0</v>
      </c>
      <c r="AA87" s="17">
        <v>0</v>
      </c>
      <c r="AB87" s="17">
        <v>0</v>
      </c>
      <c r="AC87" s="15">
        <f t="shared" si="27"/>
        <v>0</v>
      </c>
      <c r="AD87" s="17">
        <v>0</v>
      </c>
      <c r="AE87" s="17">
        <v>0</v>
      </c>
      <c r="AF87" s="15">
        <f t="shared" si="28"/>
        <v>0</v>
      </c>
      <c r="AG87" s="17">
        <v>0</v>
      </c>
      <c r="AH87" s="17">
        <v>0</v>
      </c>
      <c r="AI87" s="15">
        <f t="shared" si="29"/>
        <v>0</v>
      </c>
      <c r="AJ87" s="17"/>
    </row>
    <row r="88" spans="1:36" x14ac:dyDescent="0.3">
      <c r="A88" s="15" t="s">
        <v>137</v>
      </c>
      <c r="B88" s="15">
        <v>1000</v>
      </c>
      <c r="C88" s="15" t="s">
        <v>54</v>
      </c>
      <c r="D88" s="15" t="s">
        <v>68</v>
      </c>
      <c r="E88" s="15">
        <f>'8-august-2026'!T88</f>
        <v>5</v>
      </c>
      <c r="F88" s="15">
        <f>'8-august-2026'!U88</f>
        <v>0</v>
      </c>
      <c r="G88" s="15">
        <f>'8-august-2026'!V88</f>
        <v>0</v>
      </c>
      <c r="H88" s="15">
        <f t="shared" si="20"/>
        <v>5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5">
        <f t="shared" si="21"/>
        <v>5</v>
      </c>
      <c r="T88" s="15">
        <f t="shared" si="22"/>
        <v>5</v>
      </c>
      <c r="U88" s="15">
        <f t="shared" si="23"/>
        <v>0</v>
      </c>
      <c r="V88" s="15">
        <f t="shared" si="24"/>
        <v>0</v>
      </c>
      <c r="W88" s="18" t="str">
        <f t="shared" si="25"/>
        <v/>
      </c>
      <c r="X88" s="17">
        <v>0</v>
      </c>
      <c r="Y88" s="17">
        <v>0</v>
      </c>
      <c r="Z88" s="15">
        <f t="shared" si="26"/>
        <v>0</v>
      </c>
      <c r="AA88" s="17">
        <v>0</v>
      </c>
      <c r="AB88" s="17">
        <v>0</v>
      </c>
      <c r="AC88" s="15">
        <f t="shared" si="27"/>
        <v>0</v>
      </c>
      <c r="AD88" s="17">
        <v>0</v>
      </c>
      <c r="AE88" s="17">
        <v>0</v>
      </c>
      <c r="AF88" s="15">
        <f t="shared" si="28"/>
        <v>0</v>
      </c>
      <c r="AG88" s="17">
        <v>0</v>
      </c>
      <c r="AH88" s="17">
        <v>0</v>
      </c>
      <c r="AI88" s="15">
        <f t="shared" si="29"/>
        <v>0</v>
      </c>
      <c r="AJ88" s="17"/>
    </row>
    <row r="89" spans="1:36" x14ac:dyDescent="0.3">
      <c r="A89" s="15" t="s">
        <v>138</v>
      </c>
      <c r="B89" s="15">
        <v>100</v>
      </c>
      <c r="C89" s="15" t="s">
        <v>54</v>
      </c>
      <c r="D89" s="15" t="s">
        <v>57</v>
      </c>
      <c r="E89" s="15">
        <f>'8-august-2026'!T89</f>
        <v>-4</v>
      </c>
      <c r="F89" s="15">
        <f>'8-august-2026'!U89</f>
        <v>0</v>
      </c>
      <c r="G89" s="15">
        <f>'8-august-2026'!V89</f>
        <v>0</v>
      </c>
      <c r="H89" s="15">
        <f t="shared" si="20"/>
        <v>-4</v>
      </c>
      <c r="I89" s="17">
        <v>2</v>
      </c>
      <c r="J89" s="17">
        <v>0</v>
      </c>
      <c r="K89" s="17">
        <v>0</v>
      </c>
      <c r="L89" s="17">
        <v>2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5">
        <f t="shared" si="21"/>
        <v>-8</v>
      </c>
      <c r="T89" s="15">
        <f t="shared" si="22"/>
        <v>-8</v>
      </c>
      <c r="U89" s="15">
        <f t="shared" si="23"/>
        <v>0</v>
      </c>
      <c r="V89" s="15">
        <f t="shared" si="24"/>
        <v>0</v>
      </c>
      <c r="W89" s="18" t="str">
        <f t="shared" si="25"/>
        <v>NEGATIVE STOCK - CHECK ENTRIES</v>
      </c>
      <c r="X89" s="17">
        <v>0</v>
      </c>
      <c r="Y89" s="17">
        <v>0</v>
      </c>
      <c r="Z89" s="15">
        <f t="shared" si="26"/>
        <v>0</v>
      </c>
      <c r="AA89" s="17">
        <v>0</v>
      </c>
      <c r="AB89" s="17">
        <v>0</v>
      </c>
      <c r="AC89" s="15">
        <f t="shared" si="27"/>
        <v>0</v>
      </c>
      <c r="AD89" s="17">
        <v>0</v>
      </c>
      <c r="AE89" s="17">
        <v>0</v>
      </c>
      <c r="AF89" s="15">
        <f t="shared" si="28"/>
        <v>0</v>
      </c>
      <c r="AG89" s="17">
        <v>0</v>
      </c>
      <c r="AH89" s="17">
        <v>0</v>
      </c>
      <c r="AI89" s="15">
        <f t="shared" si="29"/>
        <v>0</v>
      </c>
      <c r="AJ89" s="17"/>
    </row>
    <row r="90" spans="1:36" x14ac:dyDescent="0.3">
      <c r="A90" s="15" t="s">
        <v>139</v>
      </c>
      <c r="B90" s="15">
        <v>100</v>
      </c>
      <c r="C90" s="15" t="s">
        <v>54</v>
      </c>
      <c r="D90" s="15" t="s">
        <v>68</v>
      </c>
      <c r="E90" s="15">
        <f>'8-august-2026'!T90</f>
        <v>8</v>
      </c>
      <c r="F90" s="15">
        <f>'8-august-2026'!U90</f>
        <v>0</v>
      </c>
      <c r="G90" s="15">
        <f>'8-august-2026'!V90</f>
        <v>0</v>
      </c>
      <c r="H90" s="15">
        <f t="shared" si="20"/>
        <v>8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5">
        <f t="shared" si="21"/>
        <v>8</v>
      </c>
      <c r="T90" s="15">
        <f t="shared" si="22"/>
        <v>8</v>
      </c>
      <c r="U90" s="15">
        <f t="shared" si="23"/>
        <v>0</v>
      </c>
      <c r="V90" s="15">
        <f t="shared" si="24"/>
        <v>0</v>
      </c>
      <c r="W90" s="18" t="str">
        <f t="shared" si="25"/>
        <v/>
      </c>
      <c r="X90" s="17">
        <v>0</v>
      </c>
      <c r="Y90" s="17">
        <v>0</v>
      </c>
      <c r="Z90" s="15">
        <f t="shared" si="26"/>
        <v>0</v>
      </c>
      <c r="AA90" s="17">
        <v>0</v>
      </c>
      <c r="AB90" s="17">
        <v>0</v>
      </c>
      <c r="AC90" s="15">
        <f t="shared" si="27"/>
        <v>0</v>
      </c>
      <c r="AD90" s="17">
        <v>0</v>
      </c>
      <c r="AE90" s="17">
        <v>0</v>
      </c>
      <c r="AF90" s="15">
        <f t="shared" si="28"/>
        <v>0</v>
      </c>
      <c r="AG90" s="17">
        <v>0</v>
      </c>
      <c r="AH90" s="17">
        <v>0</v>
      </c>
      <c r="AI90" s="15">
        <f t="shared" si="29"/>
        <v>0</v>
      </c>
      <c r="AJ90" s="17"/>
    </row>
    <row r="91" spans="1:36" x14ac:dyDescent="0.3">
      <c r="A91" s="15" t="s">
        <v>140</v>
      </c>
      <c r="B91" s="15">
        <v>1000</v>
      </c>
      <c r="C91" s="15" t="s">
        <v>54</v>
      </c>
      <c r="D91" s="15" t="s">
        <v>68</v>
      </c>
      <c r="E91" s="15">
        <f>'8-august-2026'!T91</f>
        <v>7</v>
      </c>
      <c r="F91" s="15">
        <f>'8-august-2026'!U91</f>
        <v>0</v>
      </c>
      <c r="G91" s="15">
        <f>'8-august-2026'!V91</f>
        <v>0</v>
      </c>
      <c r="H91" s="15">
        <f t="shared" si="20"/>
        <v>7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5">
        <f t="shared" si="21"/>
        <v>7</v>
      </c>
      <c r="T91" s="15">
        <f t="shared" si="22"/>
        <v>7</v>
      </c>
      <c r="U91" s="15">
        <f t="shared" si="23"/>
        <v>0</v>
      </c>
      <c r="V91" s="15">
        <f t="shared" si="24"/>
        <v>0</v>
      </c>
      <c r="W91" s="18" t="str">
        <f t="shared" si="25"/>
        <v/>
      </c>
      <c r="X91" s="17">
        <v>0</v>
      </c>
      <c r="Y91" s="17">
        <v>0</v>
      </c>
      <c r="Z91" s="15">
        <f t="shared" si="26"/>
        <v>0</v>
      </c>
      <c r="AA91" s="17">
        <v>0</v>
      </c>
      <c r="AB91" s="17">
        <v>0</v>
      </c>
      <c r="AC91" s="15">
        <f t="shared" si="27"/>
        <v>0</v>
      </c>
      <c r="AD91" s="17">
        <v>0</v>
      </c>
      <c r="AE91" s="17">
        <v>0</v>
      </c>
      <c r="AF91" s="15">
        <f t="shared" si="28"/>
        <v>0</v>
      </c>
      <c r="AG91" s="17">
        <v>0</v>
      </c>
      <c r="AH91" s="17">
        <v>0</v>
      </c>
      <c r="AI91" s="15">
        <f t="shared" si="29"/>
        <v>0</v>
      </c>
      <c r="AJ91" s="17"/>
    </row>
    <row r="92" spans="1:36" hidden="1" x14ac:dyDescent="0.3">
      <c r="A92" s="15" t="s">
        <v>141</v>
      </c>
      <c r="B92" s="15">
        <v>1000</v>
      </c>
      <c r="C92" s="15" t="s">
        <v>54</v>
      </c>
      <c r="D92" s="15" t="s">
        <v>55</v>
      </c>
      <c r="E92" s="15">
        <f>'8-august-2026'!T92</f>
        <v>4</v>
      </c>
      <c r="F92" s="15">
        <f>'8-august-2026'!U92</f>
        <v>0</v>
      </c>
      <c r="G92" s="15">
        <f>'8-august-2026'!V92</f>
        <v>0</v>
      </c>
      <c r="H92" s="15">
        <f t="shared" si="20"/>
        <v>4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5">
        <f t="shared" si="21"/>
        <v>4</v>
      </c>
      <c r="T92" s="15">
        <f t="shared" si="22"/>
        <v>4</v>
      </c>
      <c r="U92" s="15">
        <f t="shared" si="23"/>
        <v>0</v>
      </c>
      <c r="V92" s="15">
        <f t="shared" si="24"/>
        <v>0</v>
      </c>
      <c r="W92" s="18" t="str">
        <f t="shared" si="25"/>
        <v/>
      </c>
      <c r="X92" s="17">
        <v>0</v>
      </c>
      <c r="Y92" s="17">
        <v>0</v>
      </c>
      <c r="Z92" s="15">
        <f t="shared" si="26"/>
        <v>0</v>
      </c>
      <c r="AA92" s="17">
        <v>0</v>
      </c>
      <c r="AB92" s="17">
        <v>0</v>
      </c>
      <c r="AC92" s="15">
        <f t="shared" si="27"/>
        <v>0</v>
      </c>
      <c r="AD92" s="17">
        <v>0</v>
      </c>
      <c r="AE92" s="17">
        <v>0</v>
      </c>
      <c r="AF92" s="15">
        <f t="shared" si="28"/>
        <v>0</v>
      </c>
      <c r="AG92" s="17">
        <v>0</v>
      </c>
      <c r="AH92" s="17">
        <v>0</v>
      </c>
      <c r="AI92" s="15">
        <f t="shared" si="29"/>
        <v>0</v>
      </c>
      <c r="AJ92" s="17"/>
    </row>
    <row r="93" spans="1:36" hidden="1" x14ac:dyDescent="0.3">
      <c r="A93" s="15" t="s">
        <v>142</v>
      </c>
      <c r="B93" s="15">
        <v>100</v>
      </c>
      <c r="C93" s="15" t="s">
        <v>54</v>
      </c>
      <c r="D93" s="15" t="s">
        <v>55</v>
      </c>
      <c r="E93" s="15">
        <f>'8-august-2026'!T93</f>
        <v>1</v>
      </c>
      <c r="F93" s="15">
        <f>'8-august-2026'!U93</f>
        <v>0</v>
      </c>
      <c r="G93" s="15">
        <f>'8-august-2026'!V93</f>
        <v>0</v>
      </c>
      <c r="H93" s="15">
        <f t="shared" si="20"/>
        <v>1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5">
        <f t="shared" si="21"/>
        <v>1</v>
      </c>
      <c r="T93" s="15">
        <f t="shared" si="22"/>
        <v>1</v>
      </c>
      <c r="U93" s="15">
        <f t="shared" si="23"/>
        <v>0</v>
      </c>
      <c r="V93" s="15">
        <f t="shared" si="24"/>
        <v>0</v>
      </c>
      <c r="W93" s="18" t="str">
        <f t="shared" si="25"/>
        <v/>
      </c>
      <c r="X93" s="17">
        <v>0</v>
      </c>
      <c r="Y93" s="17">
        <v>0</v>
      </c>
      <c r="Z93" s="15">
        <f t="shared" si="26"/>
        <v>0</v>
      </c>
      <c r="AA93" s="17">
        <v>0</v>
      </c>
      <c r="AB93" s="17">
        <v>0</v>
      </c>
      <c r="AC93" s="15">
        <f t="shared" si="27"/>
        <v>0</v>
      </c>
      <c r="AD93" s="17">
        <v>0</v>
      </c>
      <c r="AE93" s="17">
        <v>0</v>
      </c>
      <c r="AF93" s="15">
        <f t="shared" si="28"/>
        <v>0</v>
      </c>
      <c r="AG93" s="17">
        <v>0</v>
      </c>
      <c r="AH93" s="17">
        <v>0</v>
      </c>
      <c r="AI93" s="15">
        <f t="shared" si="29"/>
        <v>0</v>
      </c>
      <c r="AJ93" s="17"/>
    </row>
    <row r="94" spans="1:36" x14ac:dyDescent="0.3">
      <c r="A94" s="15" t="s">
        <v>143</v>
      </c>
      <c r="B94" s="15">
        <v>1000</v>
      </c>
      <c r="C94" s="15" t="s">
        <v>54</v>
      </c>
      <c r="D94" s="15" t="s">
        <v>57</v>
      </c>
      <c r="E94" s="15">
        <f>'8-august-2026'!T94</f>
        <v>1</v>
      </c>
      <c r="F94" s="15">
        <f>'8-august-2026'!U94</f>
        <v>0</v>
      </c>
      <c r="G94" s="15">
        <f>'8-august-2026'!V94</f>
        <v>0</v>
      </c>
      <c r="H94" s="15">
        <f t="shared" si="20"/>
        <v>1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5">
        <f t="shared" si="21"/>
        <v>1</v>
      </c>
      <c r="T94" s="15">
        <f t="shared" si="22"/>
        <v>1</v>
      </c>
      <c r="U94" s="15">
        <f t="shared" si="23"/>
        <v>0</v>
      </c>
      <c r="V94" s="15">
        <f t="shared" si="24"/>
        <v>0</v>
      </c>
      <c r="W94" s="18" t="str">
        <f t="shared" si="25"/>
        <v/>
      </c>
      <c r="X94" s="17">
        <v>0</v>
      </c>
      <c r="Y94" s="17">
        <v>0</v>
      </c>
      <c r="Z94" s="15">
        <f t="shared" si="26"/>
        <v>0</v>
      </c>
      <c r="AA94" s="17">
        <v>0</v>
      </c>
      <c r="AB94" s="17">
        <v>0</v>
      </c>
      <c r="AC94" s="15">
        <f t="shared" si="27"/>
        <v>0</v>
      </c>
      <c r="AD94" s="17">
        <v>0</v>
      </c>
      <c r="AE94" s="17">
        <v>0</v>
      </c>
      <c r="AF94" s="15">
        <f t="shared" si="28"/>
        <v>0</v>
      </c>
      <c r="AG94" s="17">
        <v>0</v>
      </c>
      <c r="AH94" s="17">
        <v>0</v>
      </c>
      <c r="AI94" s="15">
        <f t="shared" si="29"/>
        <v>0</v>
      </c>
      <c r="AJ94" s="17"/>
    </row>
    <row r="95" spans="1:36" x14ac:dyDescent="0.3">
      <c r="A95" s="15" t="s">
        <v>144</v>
      </c>
      <c r="B95" s="15">
        <v>1000</v>
      </c>
      <c r="C95" s="15" t="s">
        <v>54</v>
      </c>
      <c r="D95" s="15" t="s">
        <v>68</v>
      </c>
      <c r="E95" s="15">
        <f>'8-august-2026'!T95</f>
        <v>1</v>
      </c>
      <c r="F95" s="15">
        <f>'8-august-2026'!U95</f>
        <v>0</v>
      </c>
      <c r="G95" s="15">
        <f>'8-august-2026'!V95</f>
        <v>0</v>
      </c>
      <c r="H95" s="15">
        <f t="shared" si="20"/>
        <v>1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5">
        <f t="shared" si="21"/>
        <v>1</v>
      </c>
      <c r="T95" s="15">
        <f t="shared" si="22"/>
        <v>1</v>
      </c>
      <c r="U95" s="15">
        <f t="shared" si="23"/>
        <v>0</v>
      </c>
      <c r="V95" s="15">
        <f t="shared" si="24"/>
        <v>0</v>
      </c>
      <c r="W95" s="18" t="str">
        <f t="shared" si="25"/>
        <v/>
      </c>
      <c r="X95" s="17">
        <v>0</v>
      </c>
      <c r="Y95" s="17">
        <v>0</v>
      </c>
      <c r="Z95" s="15">
        <f t="shared" si="26"/>
        <v>0</v>
      </c>
      <c r="AA95" s="17">
        <v>0</v>
      </c>
      <c r="AB95" s="17">
        <v>0</v>
      </c>
      <c r="AC95" s="15">
        <f t="shared" si="27"/>
        <v>0</v>
      </c>
      <c r="AD95" s="17">
        <v>0</v>
      </c>
      <c r="AE95" s="17">
        <v>0</v>
      </c>
      <c r="AF95" s="15">
        <f t="shared" si="28"/>
        <v>0</v>
      </c>
      <c r="AG95" s="17">
        <v>0</v>
      </c>
      <c r="AH95" s="17">
        <v>0</v>
      </c>
      <c r="AI95" s="15">
        <f t="shared" si="29"/>
        <v>0</v>
      </c>
      <c r="AJ95" s="17"/>
    </row>
    <row r="96" spans="1:36" x14ac:dyDescent="0.3">
      <c r="A96" s="15" t="s">
        <v>145</v>
      </c>
      <c r="B96" s="15">
        <v>1000</v>
      </c>
      <c r="C96" s="15" t="s">
        <v>54</v>
      </c>
      <c r="D96" s="15" t="s">
        <v>68</v>
      </c>
      <c r="E96" s="15">
        <f>'8-august-2026'!T96</f>
        <v>5</v>
      </c>
      <c r="F96" s="15">
        <f>'8-august-2026'!U96</f>
        <v>0</v>
      </c>
      <c r="G96" s="15">
        <f>'8-august-2026'!V96</f>
        <v>0</v>
      </c>
      <c r="H96" s="15">
        <f t="shared" si="20"/>
        <v>5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5">
        <f t="shared" si="21"/>
        <v>5</v>
      </c>
      <c r="T96" s="15">
        <f t="shared" si="22"/>
        <v>5</v>
      </c>
      <c r="U96" s="15">
        <f t="shared" si="23"/>
        <v>0</v>
      </c>
      <c r="V96" s="15">
        <f t="shared" si="24"/>
        <v>0</v>
      </c>
      <c r="W96" s="18" t="str">
        <f t="shared" si="25"/>
        <v/>
      </c>
      <c r="X96" s="17">
        <v>0</v>
      </c>
      <c r="Y96" s="17">
        <v>0</v>
      </c>
      <c r="Z96" s="15">
        <f t="shared" si="26"/>
        <v>0</v>
      </c>
      <c r="AA96" s="17">
        <v>0</v>
      </c>
      <c r="AB96" s="17">
        <v>0</v>
      </c>
      <c r="AC96" s="15">
        <f t="shared" si="27"/>
        <v>0</v>
      </c>
      <c r="AD96" s="17">
        <v>0</v>
      </c>
      <c r="AE96" s="17">
        <v>0</v>
      </c>
      <c r="AF96" s="15">
        <f t="shared" si="28"/>
        <v>0</v>
      </c>
      <c r="AG96" s="17">
        <v>0</v>
      </c>
      <c r="AH96" s="17">
        <v>0</v>
      </c>
      <c r="AI96" s="15">
        <f t="shared" si="29"/>
        <v>0</v>
      </c>
      <c r="AJ96" s="17"/>
    </row>
    <row r="97" spans="1:36" x14ac:dyDescent="0.3">
      <c r="A97" s="15" t="s">
        <v>146</v>
      </c>
      <c r="B97" s="15">
        <v>1000</v>
      </c>
      <c r="C97" s="15" t="s">
        <v>54</v>
      </c>
      <c r="D97" s="15" t="s">
        <v>68</v>
      </c>
      <c r="E97" s="15">
        <f>'8-august-2026'!T97</f>
        <v>2</v>
      </c>
      <c r="F97" s="15">
        <f>'8-august-2026'!U97</f>
        <v>0</v>
      </c>
      <c r="G97" s="15">
        <f>'8-august-2026'!V97</f>
        <v>0</v>
      </c>
      <c r="H97" s="15">
        <f t="shared" si="20"/>
        <v>2</v>
      </c>
      <c r="I97" s="17">
        <v>1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5">
        <f t="shared" si="21"/>
        <v>1</v>
      </c>
      <c r="T97" s="15">
        <f t="shared" si="22"/>
        <v>1</v>
      </c>
      <c r="U97" s="15">
        <f t="shared" si="23"/>
        <v>0</v>
      </c>
      <c r="V97" s="15">
        <f t="shared" si="24"/>
        <v>0</v>
      </c>
      <c r="W97" s="18" t="str">
        <f t="shared" si="25"/>
        <v/>
      </c>
      <c r="X97" s="17">
        <v>0</v>
      </c>
      <c r="Y97" s="17">
        <v>0</v>
      </c>
      <c r="Z97" s="15">
        <f t="shared" si="26"/>
        <v>0</v>
      </c>
      <c r="AA97" s="17">
        <v>0</v>
      </c>
      <c r="AB97" s="17">
        <v>0</v>
      </c>
      <c r="AC97" s="15">
        <f t="shared" si="27"/>
        <v>0</v>
      </c>
      <c r="AD97" s="17">
        <v>0</v>
      </c>
      <c r="AE97" s="17">
        <v>0</v>
      </c>
      <c r="AF97" s="15">
        <f t="shared" si="28"/>
        <v>0</v>
      </c>
      <c r="AG97" s="17">
        <v>0</v>
      </c>
      <c r="AH97" s="17">
        <v>0</v>
      </c>
      <c r="AI97" s="15">
        <f t="shared" si="29"/>
        <v>0</v>
      </c>
      <c r="AJ97" s="17"/>
    </row>
    <row r="98" spans="1:36" hidden="1" x14ac:dyDescent="0.3">
      <c r="A98" s="15" t="s">
        <v>147</v>
      </c>
      <c r="B98" s="15">
        <v>1000</v>
      </c>
      <c r="C98" s="15" t="s">
        <v>54</v>
      </c>
      <c r="D98" s="15" t="s">
        <v>55</v>
      </c>
      <c r="E98" s="15">
        <f>'8-august-2026'!T98</f>
        <v>29</v>
      </c>
      <c r="F98" s="15">
        <f>'8-august-2026'!U98</f>
        <v>1</v>
      </c>
      <c r="G98" s="15">
        <f>'8-august-2026'!V98</f>
        <v>0</v>
      </c>
      <c r="H98" s="15">
        <f t="shared" si="20"/>
        <v>30</v>
      </c>
      <c r="I98" s="17">
        <v>1</v>
      </c>
      <c r="J98" s="17">
        <v>1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5">
        <f t="shared" si="21"/>
        <v>28</v>
      </c>
      <c r="T98" s="15">
        <f t="shared" si="22"/>
        <v>28</v>
      </c>
      <c r="U98" s="15">
        <f t="shared" si="23"/>
        <v>0</v>
      </c>
      <c r="V98" s="15">
        <f t="shared" si="24"/>
        <v>0</v>
      </c>
      <c r="W98" s="18" t="str">
        <f t="shared" si="25"/>
        <v/>
      </c>
      <c r="X98" s="17">
        <v>0</v>
      </c>
      <c r="Y98" s="17">
        <v>0</v>
      </c>
      <c r="Z98" s="15">
        <f t="shared" si="26"/>
        <v>0</v>
      </c>
      <c r="AA98" s="17">
        <v>0</v>
      </c>
      <c r="AB98" s="17">
        <v>0</v>
      </c>
      <c r="AC98" s="15">
        <f t="shared" si="27"/>
        <v>0</v>
      </c>
      <c r="AD98" s="17">
        <v>0</v>
      </c>
      <c r="AE98" s="17">
        <v>0</v>
      </c>
      <c r="AF98" s="15">
        <f t="shared" si="28"/>
        <v>0</v>
      </c>
      <c r="AG98" s="17">
        <v>0</v>
      </c>
      <c r="AH98" s="17">
        <v>0</v>
      </c>
      <c r="AI98" s="15">
        <f t="shared" si="29"/>
        <v>0</v>
      </c>
      <c r="AJ98" s="17"/>
    </row>
    <row r="99" spans="1:36" x14ac:dyDescent="0.3">
      <c r="A99" s="15" t="s">
        <v>148</v>
      </c>
      <c r="B99" s="15">
        <v>100</v>
      </c>
      <c r="C99" s="15" t="s">
        <v>54</v>
      </c>
      <c r="D99" s="15" t="s">
        <v>57</v>
      </c>
      <c r="E99" s="15">
        <f>'8-august-2026'!T99</f>
        <v>2</v>
      </c>
      <c r="F99" s="15">
        <f>'8-august-2026'!U99</f>
        <v>0</v>
      </c>
      <c r="G99" s="15">
        <f>'8-august-2026'!V99</f>
        <v>0</v>
      </c>
      <c r="H99" s="15">
        <f t="shared" ref="H99:H130" si="30">E99+F99+G99</f>
        <v>2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5">
        <f t="shared" ref="S99:S130" si="31">H99+O99+P99+Q99+R99-(I99+J99+K99+L99+M99+N99)</f>
        <v>2</v>
      </c>
      <c r="T99" s="15">
        <f t="shared" ref="T99:T130" si="32">E99+O99-I99-L99</f>
        <v>2</v>
      </c>
      <c r="U99" s="15">
        <f t="shared" ref="U99:U130" si="33">F99+P99-J99-M99</f>
        <v>0</v>
      </c>
      <c r="V99" s="15">
        <f t="shared" ref="V99:V130" si="34">G99+Q99-K99-N99</f>
        <v>0</v>
      </c>
      <c r="W99" s="18" t="str">
        <f t="shared" ref="W99:W130" si="35">IF(MIN(T99,U99,V99)&lt;0,"NEGATIVE STOCK - CHECK ENTRIES","")</f>
        <v/>
      </c>
      <c r="X99" s="17">
        <v>0</v>
      </c>
      <c r="Y99" s="17">
        <v>0</v>
      </c>
      <c r="Z99" s="15">
        <f t="shared" ref="Z99:Z130" si="36">X99-Y99</f>
        <v>0</v>
      </c>
      <c r="AA99" s="17">
        <v>0</v>
      </c>
      <c r="AB99" s="17">
        <v>0</v>
      </c>
      <c r="AC99" s="15">
        <f t="shared" ref="AC99:AC130" si="37">AA99-AB99</f>
        <v>0</v>
      </c>
      <c r="AD99" s="17">
        <v>0</v>
      </c>
      <c r="AE99" s="17">
        <v>0</v>
      </c>
      <c r="AF99" s="15">
        <f t="shared" ref="AF99:AF130" si="38">AD99-AE99</f>
        <v>0</v>
      </c>
      <c r="AG99" s="17">
        <v>0</v>
      </c>
      <c r="AH99" s="17">
        <v>0</v>
      </c>
      <c r="AI99" s="15">
        <f t="shared" ref="AI99:AI130" si="39">AG99-AH99</f>
        <v>0</v>
      </c>
      <c r="AJ99" s="17"/>
    </row>
    <row r="100" spans="1:36" hidden="1" x14ac:dyDescent="0.3">
      <c r="A100" s="15" t="s">
        <v>149</v>
      </c>
      <c r="B100" s="15">
        <v>250</v>
      </c>
      <c r="C100" s="15" t="s">
        <v>54</v>
      </c>
      <c r="D100" s="15" t="s">
        <v>55</v>
      </c>
      <c r="E100" s="15">
        <v>0</v>
      </c>
      <c r="F100" s="15">
        <v>0</v>
      </c>
      <c r="G100" s="15">
        <v>0</v>
      </c>
      <c r="H100" s="15">
        <f t="shared" si="30"/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5">
        <f t="shared" si="31"/>
        <v>0</v>
      </c>
      <c r="T100" s="15">
        <f t="shared" si="32"/>
        <v>0</v>
      </c>
      <c r="U100" s="15">
        <f t="shared" si="33"/>
        <v>0</v>
      </c>
      <c r="V100" s="15">
        <f t="shared" si="34"/>
        <v>0</v>
      </c>
      <c r="W100" s="18" t="str">
        <f t="shared" si="35"/>
        <v/>
      </c>
      <c r="X100" s="17">
        <v>0</v>
      </c>
      <c r="Y100" s="17">
        <v>0</v>
      </c>
      <c r="Z100" s="15">
        <f t="shared" si="36"/>
        <v>0</v>
      </c>
      <c r="AA100" s="17">
        <v>0</v>
      </c>
      <c r="AB100" s="17">
        <v>0</v>
      </c>
      <c r="AC100" s="15">
        <f t="shared" si="37"/>
        <v>0</v>
      </c>
      <c r="AD100" s="17">
        <v>0</v>
      </c>
      <c r="AE100" s="17">
        <v>0</v>
      </c>
      <c r="AF100" s="15">
        <f t="shared" si="38"/>
        <v>0</v>
      </c>
      <c r="AG100" s="17">
        <v>0</v>
      </c>
      <c r="AH100" s="17">
        <v>0</v>
      </c>
      <c r="AI100" s="15">
        <f t="shared" si="39"/>
        <v>0</v>
      </c>
      <c r="AJ100" s="17"/>
    </row>
    <row r="101" spans="1:36" x14ac:dyDescent="0.3">
      <c r="A101" s="15" t="s">
        <v>150</v>
      </c>
      <c r="B101" s="15">
        <v>10000</v>
      </c>
      <c r="C101" s="15" t="s">
        <v>54</v>
      </c>
      <c r="D101" s="15" t="s">
        <v>68</v>
      </c>
      <c r="E101" s="15">
        <f>'8-august-2026'!T101</f>
        <v>1</v>
      </c>
      <c r="F101" s="15">
        <f>'8-august-2026'!U101</f>
        <v>0</v>
      </c>
      <c r="G101" s="15">
        <f>'8-august-2026'!V101</f>
        <v>0</v>
      </c>
      <c r="H101" s="15">
        <f t="shared" si="30"/>
        <v>1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5">
        <f t="shared" si="31"/>
        <v>1</v>
      </c>
      <c r="T101" s="15">
        <f t="shared" si="32"/>
        <v>1</v>
      </c>
      <c r="U101" s="15">
        <f t="shared" si="33"/>
        <v>0</v>
      </c>
      <c r="V101" s="15">
        <f t="shared" si="34"/>
        <v>0</v>
      </c>
      <c r="W101" s="18" t="str">
        <f t="shared" si="35"/>
        <v/>
      </c>
      <c r="X101" s="17">
        <v>0</v>
      </c>
      <c r="Y101" s="17">
        <v>0</v>
      </c>
      <c r="Z101" s="15">
        <f t="shared" si="36"/>
        <v>0</v>
      </c>
      <c r="AA101" s="17">
        <v>0</v>
      </c>
      <c r="AB101" s="17">
        <v>0</v>
      </c>
      <c r="AC101" s="15">
        <f t="shared" si="37"/>
        <v>0</v>
      </c>
      <c r="AD101" s="17">
        <v>0</v>
      </c>
      <c r="AE101" s="17">
        <v>0</v>
      </c>
      <c r="AF101" s="15">
        <f t="shared" si="38"/>
        <v>0</v>
      </c>
      <c r="AG101" s="17">
        <v>0</v>
      </c>
      <c r="AH101" s="17">
        <v>0</v>
      </c>
      <c r="AI101" s="15">
        <f t="shared" si="39"/>
        <v>0</v>
      </c>
      <c r="AJ101" s="17"/>
    </row>
    <row r="102" spans="1:36" x14ac:dyDescent="0.3">
      <c r="A102" s="15" t="s">
        <v>151</v>
      </c>
      <c r="B102" s="15">
        <v>100000</v>
      </c>
      <c r="C102" s="15" t="s">
        <v>54</v>
      </c>
      <c r="D102" s="15" t="s">
        <v>68</v>
      </c>
      <c r="E102" s="15">
        <f>'8-august-2026'!T102</f>
        <v>2</v>
      </c>
      <c r="F102" s="15">
        <f>'8-august-2026'!U102</f>
        <v>0</v>
      </c>
      <c r="G102" s="15">
        <f>'8-august-2026'!V102</f>
        <v>0</v>
      </c>
      <c r="H102" s="15">
        <f t="shared" si="30"/>
        <v>2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5">
        <f t="shared" si="31"/>
        <v>2</v>
      </c>
      <c r="T102" s="15">
        <f t="shared" si="32"/>
        <v>2</v>
      </c>
      <c r="U102" s="15">
        <f t="shared" si="33"/>
        <v>0</v>
      </c>
      <c r="V102" s="15">
        <f t="shared" si="34"/>
        <v>0</v>
      </c>
      <c r="W102" s="18" t="str">
        <f t="shared" si="35"/>
        <v/>
      </c>
      <c r="X102" s="17">
        <v>0</v>
      </c>
      <c r="Y102" s="17">
        <v>0</v>
      </c>
      <c r="Z102" s="15">
        <f t="shared" si="36"/>
        <v>0</v>
      </c>
      <c r="AA102" s="17">
        <v>0</v>
      </c>
      <c r="AB102" s="17">
        <v>0</v>
      </c>
      <c r="AC102" s="15">
        <f t="shared" si="37"/>
        <v>0</v>
      </c>
      <c r="AD102" s="17">
        <v>0</v>
      </c>
      <c r="AE102" s="17">
        <v>0</v>
      </c>
      <c r="AF102" s="15">
        <f t="shared" si="38"/>
        <v>0</v>
      </c>
      <c r="AG102" s="17">
        <v>0</v>
      </c>
      <c r="AH102" s="17">
        <v>0</v>
      </c>
      <c r="AI102" s="15">
        <f t="shared" si="39"/>
        <v>0</v>
      </c>
      <c r="AJ102" s="17"/>
    </row>
    <row r="103" spans="1:36" x14ac:dyDescent="0.3">
      <c r="A103" s="15" t="s">
        <v>152</v>
      </c>
      <c r="B103" s="15">
        <v>500</v>
      </c>
      <c r="C103" s="15" t="s">
        <v>54</v>
      </c>
      <c r="D103" s="15" t="s">
        <v>57</v>
      </c>
      <c r="E103" s="15">
        <f>'8-august-2026'!T103</f>
        <v>1</v>
      </c>
      <c r="F103" s="15">
        <f>'8-august-2026'!U103</f>
        <v>0</v>
      </c>
      <c r="G103" s="15">
        <f>'8-august-2026'!V103</f>
        <v>0</v>
      </c>
      <c r="H103" s="15">
        <f t="shared" si="30"/>
        <v>1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5">
        <f t="shared" si="31"/>
        <v>1</v>
      </c>
      <c r="T103" s="15">
        <f t="shared" si="32"/>
        <v>1</v>
      </c>
      <c r="U103" s="15">
        <f t="shared" si="33"/>
        <v>0</v>
      </c>
      <c r="V103" s="15">
        <f t="shared" si="34"/>
        <v>0</v>
      </c>
      <c r="W103" s="18" t="str">
        <f t="shared" si="35"/>
        <v/>
      </c>
      <c r="X103" s="17">
        <v>0</v>
      </c>
      <c r="Y103" s="17">
        <v>0</v>
      </c>
      <c r="Z103" s="15">
        <f t="shared" si="36"/>
        <v>0</v>
      </c>
      <c r="AA103" s="17">
        <v>0</v>
      </c>
      <c r="AB103" s="17">
        <v>0</v>
      </c>
      <c r="AC103" s="15">
        <f t="shared" si="37"/>
        <v>0</v>
      </c>
      <c r="AD103" s="17">
        <v>0</v>
      </c>
      <c r="AE103" s="17">
        <v>0</v>
      </c>
      <c r="AF103" s="15">
        <f t="shared" si="38"/>
        <v>0</v>
      </c>
      <c r="AG103" s="17">
        <v>0</v>
      </c>
      <c r="AH103" s="17">
        <v>0</v>
      </c>
      <c r="AI103" s="15">
        <f t="shared" si="39"/>
        <v>0</v>
      </c>
      <c r="AJ103" s="17"/>
    </row>
    <row r="104" spans="1:36" x14ac:dyDescent="0.3">
      <c r="A104" s="15" t="s">
        <v>153</v>
      </c>
      <c r="B104" s="15">
        <v>100</v>
      </c>
      <c r="C104" s="15" t="s">
        <v>54</v>
      </c>
      <c r="D104" s="15" t="s">
        <v>68</v>
      </c>
      <c r="E104" s="15">
        <f>'8-august-2026'!T104</f>
        <v>0</v>
      </c>
      <c r="F104" s="15">
        <f>'8-august-2026'!U104</f>
        <v>0</v>
      </c>
      <c r="G104" s="15">
        <f>'8-august-2026'!V104</f>
        <v>0</v>
      </c>
      <c r="H104" s="15">
        <f t="shared" si="30"/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5">
        <f t="shared" si="31"/>
        <v>0</v>
      </c>
      <c r="T104" s="15">
        <f t="shared" si="32"/>
        <v>0</v>
      </c>
      <c r="U104" s="15">
        <f t="shared" si="33"/>
        <v>0</v>
      </c>
      <c r="V104" s="15">
        <f t="shared" si="34"/>
        <v>0</v>
      </c>
      <c r="W104" s="18" t="str">
        <f t="shared" si="35"/>
        <v/>
      </c>
      <c r="X104" s="17">
        <v>0</v>
      </c>
      <c r="Y104" s="17">
        <v>0</v>
      </c>
      <c r="Z104" s="15">
        <f t="shared" si="36"/>
        <v>0</v>
      </c>
      <c r="AA104" s="17">
        <v>0</v>
      </c>
      <c r="AB104" s="17">
        <v>0</v>
      </c>
      <c r="AC104" s="15">
        <f t="shared" si="37"/>
        <v>0</v>
      </c>
      <c r="AD104" s="17">
        <v>0</v>
      </c>
      <c r="AE104" s="17">
        <v>0</v>
      </c>
      <c r="AF104" s="15">
        <f t="shared" si="38"/>
        <v>0</v>
      </c>
      <c r="AG104" s="17">
        <v>0</v>
      </c>
      <c r="AH104" s="17">
        <v>0</v>
      </c>
      <c r="AI104" s="15">
        <f t="shared" si="39"/>
        <v>0</v>
      </c>
      <c r="AJ104" s="17"/>
    </row>
    <row r="105" spans="1:36" hidden="1" x14ac:dyDescent="0.3">
      <c r="A105" s="15" t="s">
        <v>154</v>
      </c>
      <c r="B105" s="15">
        <v>100</v>
      </c>
      <c r="C105" s="15" t="s">
        <v>54</v>
      </c>
      <c r="D105" s="15" t="s">
        <v>55</v>
      </c>
      <c r="E105" s="15">
        <f>'8-august-2026'!T105</f>
        <v>67</v>
      </c>
      <c r="F105" s="15">
        <f>'8-august-2026'!U105</f>
        <v>0</v>
      </c>
      <c r="G105" s="15">
        <f>'8-august-2026'!V105</f>
        <v>0</v>
      </c>
      <c r="H105" s="15">
        <f t="shared" si="30"/>
        <v>67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5">
        <f t="shared" si="31"/>
        <v>67</v>
      </c>
      <c r="T105" s="15">
        <f t="shared" si="32"/>
        <v>67</v>
      </c>
      <c r="U105" s="15">
        <f t="shared" si="33"/>
        <v>0</v>
      </c>
      <c r="V105" s="15">
        <f t="shared" si="34"/>
        <v>0</v>
      </c>
      <c r="W105" s="18" t="str">
        <f t="shared" si="35"/>
        <v/>
      </c>
      <c r="X105" s="17">
        <v>0</v>
      </c>
      <c r="Y105" s="17">
        <v>0</v>
      </c>
      <c r="Z105" s="15">
        <f t="shared" si="36"/>
        <v>0</v>
      </c>
      <c r="AA105" s="17">
        <v>0</v>
      </c>
      <c r="AB105" s="17">
        <v>0</v>
      </c>
      <c r="AC105" s="15">
        <f t="shared" si="37"/>
        <v>0</v>
      </c>
      <c r="AD105" s="17">
        <v>0</v>
      </c>
      <c r="AE105" s="17">
        <v>0</v>
      </c>
      <c r="AF105" s="15">
        <f t="shared" si="38"/>
        <v>0</v>
      </c>
      <c r="AG105" s="17">
        <v>0</v>
      </c>
      <c r="AH105" s="17">
        <v>0</v>
      </c>
      <c r="AI105" s="15">
        <f t="shared" si="39"/>
        <v>0</v>
      </c>
      <c r="AJ105" s="17"/>
    </row>
    <row r="106" spans="1:36" x14ac:dyDescent="0.3">
      <c r="A106" s="15" t="s">
        <v>155</v>
      </c>
      <c r="B106" s="15">
        <v>100</v>
      </c>
      <c r="C106" s="15" t="s">
        <v>54</v>
      </c>
      <c r="D106" s="15" t="s">
        <v>68</v>
      </c>
      <c r="E106" s="15">
        <f>'8-august-2026'!T106</f>
        <v>1</v>
      </c>
      <c r="F106" s="15">
        <f>'8-august-2026'!U106</f>
        <v>0</v>
      </c>
      <c r="G106" s="15">
        <f>'8-august-2026'!V106</f>
        <v>0</v>
      </c>
      <c r="H106" s="15">
        <f t="shared" si="30"/>
        <v>1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5">
        <f t="shared" si="31"/>
        <v>1</v>
      </c>
      <c r="T106" s="15">
        <f t="shared" si="32"/>
        <v>1</v>
      </c>
      <c r="U106" s="15">
        <f t="shared" si="33"/>
        <v>0</v>
      </c>
      <c r="V106" s="15">
        <f t="shared" si="34"/>
        <v>0</v>
      </c>
      <c r="W106" s="18" t="str">
        <f t="shared" si="35"/>
        <v/>
      </c>
      <c r="X106" s="17">
        <v>0</v>
      </c>
      <c r="Y106" s="17">
        <v>0</v>
      </c>
      <c r="Z106" s="15">
        <f t="shared" si="36"/>
        <v>0</v>
      </c>
      <c r="AA106" s="17">
        <v>0</v>
      </c>
      <c r="AB106" s="17">
        <v>0</v>
      </c>
      <c r="AC106" s="15">
        <f t="shared" si="37"/>
        <v>0</v>
      </c>
      <c r="AD106" s="17">
        <v>0</v>
      </c>
      <c r="AE106" s="17">
        <v>0</v>
      </c>
      <c r="AF106" s="15">
        <f t="shared" si="38"/>
        <v>0</v>
      </c>
      <c r="AG106" s="17">
        <v>0</v>
      </c>
      <c r="AH106" s="17">
        <v>0</v>
      </c>
      <c r="AI106" s="15">
        <f t="shared" si="39"/>
        <v>0</v>
      </c>
      <c r="AJ106" s="17"/>
    </row>
    <row r="107" spans="1:36" x14ac:dyDescent="0.3">
      <c r="A107" s="15" t="s">
        <v>156</v>
      </c>
      <c r="B107" s="15">
        <v>2500</v>
      </c>
      <c r="C107" s="15" t="s">
        <v>54</v>
      </c>
      <c r="D107" s="15" t="s">
        <v>68</v>
      </c>
      <c r="E107" s="15">
        <f>'8-august-2026'!T107</f>
        <v>-1</v>
      </c>
      <c r="F107" s="15">
        <f>'8-august-2026'!U107</f>
        <v>0</v>
      </c>
      <c r="G107" s="15">
        <f>'8-august-2026'!V107</f>
        <v>0</v>
      </c>
      <c r="H107" s="15">
        <f t="shared" si="30"/>
        <v>-1</v>
      </c>
      <c r="I107" s="17">
        <v>1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5">
        <f t="shared" si="31"/>
        <v>-2</v>
      </c>
      <c r="T107" s="15">
        <f t="shared" si="32"/>
        <v>-2</v>
      </c>
      <c r="U107" s="15">
        <f t="shared" si="33"/>
        <v>0</v>
      </c>
      <c r="V107" s="15">
        <f t="shared" si="34"/>
        <v>0</v>
      </c>
      <c r="W107" s="18" t="str">
        <f t="shared" si="35"/>
        <v>NEGATIVE STOCK - CHECK ENTRIES</v>
      </c>
      <c r="X107" s="17">
        <v>0</v>
      </c>
      <c r="Y107" s="17">
        <v>0</v>
      </c>
      <c r="Z107" s="15">
        <f t="shared" si="36"/>
        <v>0</v>
      </c>
      <c r="AA107" s="17">
        <v>0</v>
      </c>
      <c r="AB107" s="17">
        <v>0</v>
      </c>
      <c r="AC107" s="15">
        <f t="shared" si="37"/>
        <v>0</v>
      </c>
      <c r="AD107" s="17">
        <v>0</v>
      </c>
      <c r="AE107" s="17">
        <v>0</v>
      </c>
      <c r="AF107" s="15">
        <f t="shared" si="38"/>
        <v>0</v>
      </c>
      <c r="AG107" s="17">
        <v>0</v>
      </c>
      <c r="AH107" s="17">
        <v>0</v>
      </c>
      <c r="AI107" s="15">
        <f t="shared" si="39"/>
        <v>0</v>
      </c>
      <c r="AJ107" s="17"/>
    </row>
    <row r="108" spans="1:36" x14ac:dyDescent="0.3">
      <c r="A108" s="15" t="s">
        <v>157</v>
      </c>
      <c r="B108" s="15">
        <v>100</v>
      </c>
      <c r="C108" s="15" t="s">
        <v>54</v>
      </c>
      <c r="D108" s="15" t="s">
        <v>57</v>
      </c>
      <c r="E108" s="15">
        <f>'8-august-2026'!T108</f>
        <v>2</v>
      </c>
      <c r="F108" s="15">
        <f>'8-august-2026'!U108</f>
        <v>0</v>
      </c>
      <c r="G108" s="15">
        <f>'8-august-2026'!V108</f>
        <v>0</v>
      </c>
      <c r="H108" s="15">
        <f t="shared" si="30"/>
        <v>2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5">
        <f t="shared" si="31"/>
        <v>2</v>
      </c>
      <c r="T108" s="15">
        <f t="shared" si="32"/>
        <v>2</v>
      </c>
      <c r="U108" s="15">
        <f t="shared" si="33"/>
        <v>0</v>
      </c>
      <c r="V108" s="15">
        <f t="shared" si="34"/>
        <v>0</v>
      </c>
      <c r="W108" s="18" t="str">
        <f t="shared" si="35"/>
        <v/>
      </c>
      <c r="X108" s="17">
        <v>0</v>
      </c>
      <c r="Y108" s="17">
        <v>0</v>
      </c>
      <c r="Z108" s="15">
        <f t="shared" si="36"/>
        <v>0</v>
      </c>
      <c r="AA108" s="17">
        <v>0</v>
      </c>
      <c r="AB108" s="17">
        <v>0</v>
      </c>
      <c r="AC108" s="15">
        <f t="shared" si="37"/>
        <v>0</v>
      </c>
      <c r="AD108" s="17">
        <v>0</v>
      </c>
      <c r="AE108" s="17">
        <v>0</v>
      </c>
      <c r="AF108" s="15">
        <f t="shared" si="38"/>
        <v>0</v>
      </c>
      <c r="AG108" s="17">
        <v>0</v>
      </c>
      <c r="AH108" s="17">
        <v>0</v>
      </c>
      <c r="AI108" s="15">
        <f t="shared" si="39"/>
        <v>0</v>
      </c>
      <c r="AJ108" s="17"/>
    </row>
    <row r="109" spans="1:36" hidden="1" x14ac:dyDescent="0.3">
      <c r="A109" s="15" t="s">
        <v>158</v>
      </c>
      <c r="B109" s="15">
        <v>100</v>
      </c>
      <c r="C109" s="15" t="s">
        <v>54</v>
      </c>
      <c r="D109" s="15" t="s">
        <v>55</v>
      </c>
      <c r="E109" s="15">
        <f>'8-august-2026'!T109</f>
        <v>27</v>
      </c>
      <c r="F109" s="15">
        <f>'8-august-2026'!U109</f>
        <v>0</v>
      </c>
      <c r="G109" s="15">
        <f>'8-august-2026'!V109</f>
        <v>0</v>
      </c>
      <c r="H109" s="15">
        <f t="shared" si="30"/>
        <v>27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5">
        <f t="shared" si="31"/>
        <v>27</v>
      </c>
      <c r="T109" s="15">
        <f t="shared" si="32"/>
        <v>27</v>
      </c>
      <c r="U109" s="15">
        <f t="shared" si="33"/>
        <v>0</v>
      </c>
      <c r="V109" s="15">
        <f t="shared" si="34"/>
        <v>0</v>
      </c>
      <c r="W109" s="18" t="str">
        <f t="shared" si="35"/>
        <v/>
      </c>
      <c r="X109" s="17">
        <v>0</v>
      </c>
      <c r="Y109" s="17">
        <v>0</v>
      </c>
      <c r="Z109" s="15">
        <f t="shared" si="36"/>
        <v>0</v>
      </c>
      <c r="AA109" s="17">
        <v>0</v>
      </c>
      <c r="AB109" s="17">
        <v>0</v>
      </c>
      <c r="AC109" s="15">
        <f t="shared" si="37"/>
        <v>0</v>
      </c>
      <c r="AD109" s="17">
        <v>0</v>
      </c>
      <c r="AE109" s="17">
        <v>0</v>
      </c>
      <c r="AF109" s="15">
        <f t="shared" si="38"/>
        <v>0</v>
      </c>
      <c r="AG109" s="17">
        <v>0</v>
      </c>
      <c r="AH109" s="17">
        <v>0</v>
      </c>
      <c r="AI109" s="15">
        <f t="shared" si="39"/>
        <v>0</v>
      </c>
      <c r="AJ109" s="17"/>
    </row>
    <row r="110" spans="1:36" hidden="1" x14ac:dyDescent="0.3">
      <c r="A110" s="15" t="s">
        <v>159</v>
      </c>
      <c r="B110" s="15">
        <v>100</v>
      </c>
      <c r="C110" s="15" t="s">
        <v>54</v>
      </c>
      <c r="D110" s="15" t="s">
        <v>55</v>
      </c>
      <c r="E110" s="15">
        <f>'8-august-2026'!T110</f>
        <v>99</v>
      </c>
      <c r="F110" s="15">
        <f>'8-august-2026'!U110</f>
        <v>0</v>
      </c>
      <c r="G110" s="15">
        <f>'8-august-2026'!V110</f>
        <v>0</v>
      </c>
      <c r="H110" s="15">
        <f t="shared" si="30"/>
        <v>99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5">
        <f t="shared" si="31"/>
        <v>99</v>
      </c>
      <c r="T110" s="15">
        <f t="shared" si="32"/>
        <v>99</v>
      </c>
      <c r="U110" s="15">
        <f t="shared" si="33"/>
        <v>0</v>
      </c>
      <c r="V110" s="15">
        <f t="shared" si="34"/>
        <v>0</v>
      </c>
      <c r="W110" s="18" t="str">
        <f t="shared" si="35"/>
        <v/>
      </c>
      <c r="X110" s="17">
        <v>0</v>
      </c>
      <c r="Y110" s="17">
        <v>0</v>
      </c>
      <c r="Z110" s="15">
        <f t="shared" si="36"/>
        <v>0</v>
      </c>
      <c r="AA110" s="17">
        <v>0</v>
      </c>
      <c r="AB110" s="17">
        <v>0</v>
      </c>
      <c r="AC110" s="15">
        <f t="shared" si="37"/>
        <v>0</v>
      </c>
      <c r="AD110" s="17">
        <v>0</v>
      </c>
      <c r="AE110" s="17">
        <v>0</v>
      </c>
      <c r="AF110" s="15">
        <f t="shared" si="38"/>
        <v>0</v>
      </c>
      <c r="AG110" s="17">
        <v>0</v>
      </c>
      <c r="AH110" s="17">
        <v>0</v>
      </c>
      <c r="AI110" s="15">
        <f t="shared" si="39"/>
        <v>0</v>
      </c>
      <c r="AJ110" s="17"/>
    </row>
    <row r="111" spans="1:36" hidden="1" x14ac:dyDescent="0.3">
      <c r="A111" s="15" t="s">
        <v>160</v>
      </c>
      <c r="B111" s="15">
        <v>100</v>
      </c>
      <c r="C111" s="15" t="s">
        <v>54</v>
      </c>
      <c r="D111" s="15" t="s">
        <v>55</v>
      </c>
      <c r="E111" s="15">
        <f>'8-august-2026'!T111</f>
        <v>121</v>
      </c>
      <c r="F111" s="15">
        <f>'8-august-2026'!U111</f>
        <v>4</v>
      </c>
      <c r="G111" s="15">
        <f>'8-august-2026'!V111</f>
        <v>5</v>
      </c>
      <c r="H111" s="15">
        <f t="shared" si="30"/>
        <v>130</v>
      </c>
      <c r="I111" s="17">
        <v>5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5">
        <f t="shared" si="31"/>
        <v>125</v>
      </c>
      <c r="T111" s="15">
        <f t="shared" si="32"/>
        <v>116</v>
      </c>
      <c r="U111" s="15">
        <f t="shared" si="33"/>
        <v>4</v>
      </c>
      <c r="V111" s="15">
        <f t="shared" si="34"/>
        <v>5</v>
      </c>
      <c r="W111" s="18" t="str">
        <f t="shared" si="35"/>
        <v/>
      </c>
      <c r="X111" s="17">
        <v>0</v>
      </c>
      <c r="Y111" s="17">
        <v>0</v>
      </c>
      <c r="Z111" s="15">
        <f t="shared" si="36"/>
        <v>0</v>
      </c>
      <c r="AA111" s="17">
        <v>0</v>
      </c>
      <c r="AB111" s="17">
        <v>0</v>
      </c>
      <c r="AC111" s="15">
        <f t="shared" si="37"/>
        <v>0</v>
      </c>
      <c r="AD111" s="17">
        <v>0</v>
      </c>
      <c r="AE111" s="17">
        <v>0</v>
      </c>
      <c r="AF111" s="15">
        <f t="shared" si="38"/>
        <v>0</v>
      </c>
      <c r="AG111" s="17">
        <v>0</v>
      </c>
      <c r="AH111" s="17">
        <v>0</v>
      </c>
      <c r="AI111" s="15">
        <f t="shared" si="39"/>
        <v>0</v>
      </c>
      <c r="AJ111" s="17"/>
    </row>
    <row r="112" spans="1:36" hidden="1" x14ac:dyDescent="0.3">
      <c r="A112" s="15" t="s">
        <v>161</v>
      </c>
      <c r="B112" s="15">
        <v>100</v>
      </c>
      <c r="C112" s="15" t="s">
        <v>54</v>
      </c>
      <c r="D112" s="15" t="s">
        <v>55</v>
      </c>
      <c r="E112" s="15">
        <f>'8-august-2026'!T112</f>
        <v>159</v>
      </c>
      <c r="F112" s="15">
        <f>'8-august-2026'!U112</f>
        <v>60</v>
      </c>
      <c r="G112" s="15">
        <f>'8-august-2026'!V112</f>
        <v>3</v>
      </c>
      <c r="H112" s="15">
        <f t="shared" si="30"/>
        <v>222</v>
      </c>
      <c r="I112" s="17">
        <v>0</v>
      </c>
      <c r="J112" s="17">
        <v>2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5">
        <f t="shared" si="31"/>
        <v>220</v>
      </c>
      <c r="T112" s="15">
        <f t="shared" si="32"/>
        <v>159</v>
      </c>
      <c r="U112" s="15">
        <f t="shared" si="33"/>
        <v>58</v>
      </c>
      <c r="V112" s="15">
        <f t="shared" si="34"/>
        <v>3</v>
      </c>
      <c r="W112" s="18" t="str">
        <f t="shared" si="35"/>
        <v/>
      </c>
      <c r="X112" s="17">
        <v>0</v>
      </c>
      <c r="Y112" s="17">
        <v>0</v>
      </c>
      <c r="Z112" s="15">
        <f t="shared" si="36"/>
        <v>0</v>
      </c>
      <c r="AA112" s="17">
        <v>0</v>
      </c>
      <c r="AB112" s="17">
        <v>0</v>
      </c>
      <c r="AC112" s="15">
        <f t="shared" si="37"/>
        <v>0</v>
      </c>
      <c r="AD112" s="17">
        <v>0</v>
      </c>
      <c r="AE112" s="17">
        <v>0</v>
      </c>
      <c r="AF112" s="15">
        <f t="shared" si="38"/>
        <v>0</v>
      </c>
      <c r="AG112" s="17">
        <v>0</v>
      </c>
      <c r="AH112" s="17">
        <v>0</v>
      </c>
      <c r="AI112" s="15">
        <f t="shared" si="39"/>
        <v>0</v>
      </c>
      <c r="AJ112" s="17"/>
    </row>
    <row r="113" spans="1:36" hidden="1" x14ac:dyDescent="0.3">
      <c r="A113" s="15" t="s">
        <v>162</v>
      </c>
      <c r="B113" s="15">
        <v>1000</v>
      </c>
      <c r="C113" s="15" t="s">
        <v>54</v>
      </c>
      <c r="D113" s="15" t="s">
        <v>55</v>
      </c>
      <c r="E113" s="15">
        <f>'8-august-2026'!T113</f>
        <v>0</v>
      </c>
      <c r="F113" s="15">
        <f>'8-august-2026'!U113</f>
        <v>7</v>
      </c>
      <c r="G113" s="15">
        <f>'8-august-2026'!V113</f>
        <v>0</v>
      </c>
      <c r="H113" s="15">
        <f t="shared" si="30"/>
        <v>7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5">
        <f t="shared" si="31"/>
        <v>7</v>
      </c>
      <c r="T113" s="15">
        <f t="shared" si="32"/>
        <v>0</v>
      </c>
      <c r="U113" s="15">
        <f t="shared" si="33"/>
        <v>7</v>
      </c>
      <c r="V113" s="15">
        <f t="shared" si="34"/>
        <v>0</v>
      </c>
      <c r="W113" s="18" t="str">
        <f t="shared" si="35"/>
        <v/>
      </c>
      <c r="X113" s="17">
        <v>0</v>
      </c>
      <c r="Y113" s="17">
        <v>0</v>
      </c>
      <c r="Z113" s="15">
        <f t="shared" si="36"/>
        <v>0</v>
      </c>
      <c r="AA113" s="17">
        <v>0</v>
      </c>
      <c r="AB113" s="17">
        <v>0</v>
      </c>
      <c r="AC113" s="15">
        <f t="shared" si="37"/>
        <v>0</v>
      </c>
      <c r="AD113" s="17">
        <v>0</v>
      </c>
      <c r="AE113" s="17">
        <v>0</v>
      </c>
      <c r="AF113" s="15">
        <f t="shared" si="38"/>
        <v>0</v>
      </c>
      <c r="AG113" s="17">
        <v>0</v>
      </c>
      <c r="AH113" s="17">
        <v>0</v>
      </c>
      <c r="AI113" s="15">
        <f t="shared" si="39"/>
        <v>0</v>
      </c>
      <c r="AJ113" s="17"/>
    </row>
    <row r="114" spans="1:36" hidden="1" x14ac:dyDescent="0.3">
      <c r="A114" s="15" t="s">
        <v>163</v>
      </c>
      <c r="B114" s="15">
        <v>500</v>
      </c>
      <c r="C114" s="15" t="s">
        <v>54</v>
      </c>
      <c r="D114" s="15" t="s">
        <v>55</v>
      </c>
      <c r="E114" s="15">
        <f>'8-august-2026'!T114</f>
        <v>0</v>
      </c>
      <c r="F114" s="15">
        <f>'8-august-2026'!U114</f>
        <v>2</v>
      </c>
      <c r="G114" s="15">
        <f>'8-august-2026'!V114</f>
        <v>0</v>
      </c>
      <c r="H114" s="15">
        <f t="shared" si="30"/>
        <v>2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5">
        <f t="shared" si="31"/>
        <v>2</v>
      </c>
      <c r="T114" s="15">
        <f t="shared" si="32"/>
        <v>0</v>
      </c>
      <c r="U114" s="15">
        <f t="shared" si="33"/>
        <v>2</v>
      </c>
      <c r="V114" s="15">
        <f t="shared" si="34"/>
        <v>0</v>
      </c>
      <c r="W114" s="18" t="str">
        <f t="shared" si="35"/>
        <v/>
      </c>
      <c r="X114" s="17">
        <v>0</v>
      </c>
      <c r="Y114" s="17">
        <v>0</v>
      </c>
      <c r="Z114" s="15">
        <f t="shared" si="36"/>
        <v>0</v>
      </c>
      <c r="AA114" s="17">
        <v>0</v>
      </c>
      <c r="AB114" s="17">
        <v>0</v>
      </c>
      <c r="AC114" s="15">
        <f t="shared" si="37"/>
        <v>0</v>
      </c>
      <c r="AD114" s="17">
        <v>0</v>
      </c>
      <c r="AE114" s="17">
        <v>0</v>
      </c>
      <c r="AF114" s="15">
        <f t="shared" si="38"/>
        <v>0</v>
      </c>
      <c r="AG114" s="17">
        <v>0</v>
      </c>
      <c r="AH114" s="17">
        <v>0</v>
      </c>
      <c r="AI114" s="15">
        <f t="shared" si="39"/>
        <v>0</v>
      </c>
      <c r="AJ114" s="17"/>
    </row>
    <row r="115" spans="1:36" x14ac:dyDescent="0.3">
      <c r="A115" s="15" t="s">
        <v>164</v>
      </c>
      <c r="B115" s="15">
        <v>100</v>
      </c>
      <c r="C115" s="15" t="s">
        <v>54</v>
      </c>
      <c r="D115" s="15" t="s">
        <v>68</v>
      </c>
      <c r="E115" s="15">
        <f>'8-august-2026'!T115</f>
        <v>2</v>
      </c>
      <c r="F115" s="15">
        <f>'8-august-2026'!U115</f>
        <v>0</v>
      </c>
      <c r="G115" s="15">
        <f>'8-august-2026'!V115</f>
        <v>0</v>
      </c>
      <c r="H115" s="15">
        <f t="shared" si="30"/>
        <v>2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5">
        <f t="shared" si="31"/>
        <v>2</v>
      </c>
      <c r="T115" s="15">
        <f t="shared" si="32"/>
        <v>2</v>
      </c>
      <c r="U115" s="15">
        <f t="shared" si="33"/>
        <v>0</v>
      </c>
      <c r="V115" s="15">
        <f t="shared" si="34"/>
        <v>0</v>
      </c>
      <c r="W115" s="18" t="str">
        <f t="shared" si="35"/>
        <v/>
      </c>
      <c r="X115" s="17">
        <v>0</v>
      </c>
      <c r="Y115" s="17">
        <v>0</v>
      </c>
      <c r="Z115" s="15">
        <f t="shared" si="36"/>
        <v>0</v>
      </c>
      <c r="AA115" s="17">
        <v>0</v>
      </c>
      <c r="AB115" s="17">
        <v>0</v>
      </c>
      <c r="AC115" s="15">
        <f t="shared" si="37"/>
        <v>0</v>
      </c>
      <c r="AD115" s="17">
        <v>0</v>
      </c>
      <c r="AE115" s="17">
        <v>0</v>
      </c>
      <c r="AF115" s="15">
        <f t="shared" si="38"/>
        <v>0</v>
      </c>
      <c r="AG115" s="17">
        <v>0</v>
      </c>
      <c r="AH115" s="17">
        <v>0</v>
      </c>
      <c r="AI115" s="15">
        <f t="shared" si="39"/>
        <v>0</v>
      </c>
      <c r="AJ115" s="17"/>
    </row>
    <row r="116" spans="1:36" x14ac:dyDescent="0.3">
      <c r="A116" s="15" t="s">
        <v>165</v>
      </c>
      <c r="B116" s="15">
        <v>100000</v>
      </c>
      <c r="C116" s="15" t="s">
        <v>54</v>
      </c>
      <c r="D116" s="15" t="s">
        <v>68</v>
      </c>
      <c r="E116" s="15">
        <f>'8-august-2026'!T116</f>
        <v>2</v>
      </c>
      <c r="F116" s="15">
        <f>'8-august-2026'!U116</f>
        <v>0</v>
      </c>
      <c r="G116" s="15">
        <f>'8-august-2026'!V116</f>
        <v>0</v>
      </c>
      <c r="H116" s="15">
        <f t="shared" si="30"/>
        <v>2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5">
        <f t="shared" si="31"/>
        <v>2</v>
      </c>
      <c r="T116" s="15">
        <f t="shared" si="32"/>
        <v>2</v>
      </c>
      <c r="U116" s="15">
        <f t="shared" si="33"/>
        <v>0</v>
      </c>
      <c r="V116" s="15">
        <f t="shared" si="34"/>
        <v>0</v>
      </c>
      <c r="W116" s="18" t="str">
        <f t="shared" si="35"/>
        <v/>
      </c>
      <c r="X116" s="17">
        <v>0</v>
      </c>
      <c r="Y116" s="17">
        <v>0</v>
      </c>
      <c r="Z116" s="15">
        <f t="shared" si="36"/>
        <v>0</v>
      </c>
      <c r="AA116" s="17">
        <v>0</v>
      </c>
      <c r="AB116" s="17">
        <v>0</v>
      </c>
      <c r="AC116" s="15">
        <f t="shared" si="37"/>
        <v>0</v>
      </c>
      <c r="AD116" s="17">
        <v>0</v>
      </c>
      <c r="AE116" s="17">
        <v>0</v>
      </c>
      <c r="AF116" s="15">
        <f t="shared" si="38"/>
        <v>0</v>
      </c>
      <c r="AG116" s="17">
        <v>0</v>
      </c>
      <c r="AH116" s="17">
        <v>0</v>
      </c>
      <c r="AI116" s="15">
        <f t="shared" si="39"/>
        <v>0</v>
      </c>
      <c r="AJ116" s="17"/>
    </row>
    <row r="117" spans="1:36" x14ac:dyDescent="0.3">
      <c r="A117" s="15" t="s">
        <v>165</v>
      </c>
      <c r="B117" s="15">
        <v>25000</v>
      </c>
      <c r="C117" s="15" t="s">
        <v>54</v>
      </c>
      <c r="D117" s="15" t="s">
        <v>68</v>
      </c>
      <c r="E117" s="15">
        <f>'8-august-2026'!T117</f>
        <v>-1</v>
      </c>
      <c r="F117" s="15">
        <f>'8-august-2026'!U117</f>
        <v>0</v>
      </c>
      <c r="G117" s="15">
        <f>'8-august-2026'!V117</f>
        <v>0</v>
      </c>
      <c r="H117" s="15">
        <f t="shared" si="30"/>
        <v>-1</v>
      </c>
      <c r="I117" s="17">
        <v>1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5">
        <f t="shared" si="31"/>
        <v>-2</v>
      </c>
      <c r="T117" s="15">
        <f t="shared" si="32"/>
        <v>-2</v>
      </c>
      <c r="U117" s="15">
        <f t="shared" si="33"/>
        <v>0</v>
      </c>
      <c r="V117" s="15">
        <f t="shared" si="34"/>
        <v>0</v>
      </c>
      <c r="W117" s="18" t="str">
        <f t="shared" si="35"/>
        <v>NEGATIVE STOCK - CHECK ENTRIES</v>
      </c>
      <c r="X117" s="17">
        <v>0</v>
      </c>
      <c r="Y117" s="17">
        <v>0</v>
      </c>
      <c r="Z117" s="15">
        <f t="shared" si="36"/>
        <v>0</v>
      </c>
      <c r="AA117" s="17">
        <v>0</v>
      </c>
      <c r="AB117" s="17">
        <v>0</v>
      </c>
      <c r="AC117" s="15">
        <f t="shared" si="37"/>
        <v>0</v>
      </c>
      <c r="AD117" s="17">
        <v>0</v>
      </c>
      <c r="AE117" s="17">
        <v>0</v>
      </c>
      <c r="AF117" s="15">
        <f t="shared" si="38"/>
        <v>0</v>
      </c>
      <c r="AG117" s="17">
        <v>0</v>
      </c>
      <c r="AH117" s="17">
        <v>0</v>
      </c>
      <c r="AI117" s="15">
        <f t="shared" si="39"/>
        <v>0</v>
      </c>
      <c r="AJ117" s="17"/>
    </row>
    <row r="118" spans="1:36" x14ac:dyDescent="0.3">
      <c r="A118" s="15" t="s">
        <v>166</v>
      </c>
      <c r="B118" s="15">
        <v>100000</v>
      </c>
      <c r="C118" s="15" t="s">
        <v>54</v>
      </c>
      <c r="D118" s="15" t="s">
        <v>68</v>
      </c>
      <c r="E118" s="15">
        <f>'8-august-2026'!T118</f>
        <v>2</v>
      </c>
      <c r="F118" s="15">
        <f>'8-august-2026'!U118</f>
        <v>0</v>
      </c>
      <c r="G118" s="15">
        <f>'8-august-2026'!V118</f>
        <v>0</v>
      </c>
      <c r="H118" s="15">
        <f t="shared" si="30"/>
        <v>2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5">
        <f t="shared" si="31"/>
        <v>2</v>
      </c>
      <c r="T118" s="15">
        <f t="shared" si="32"/>
        <v>2</v>
      </c>
      <c r="U118" s="15">
        <f t="shared" si="33"/>
        <v>0</v>
      </c>
      <c r="V118" s="15">
        <f t="shared" si="34"/>
        <v>0</v>
      </c>
      <c r="W118" s="18" t="str">
        <f t="shared" si="35"/>
        <v/>
      </c>
      <c r="X118" s="17">
        <v>0</v>
      </c>
      <c r="Y118" s="17">
        <v>0</v>
      </c>
      <c r="Z118" s="15">
        <f t="shared" si="36"/>
        <v>0</v>
      </c>
      <c r="AA118" s="17">
        <v>0</v>
      </c>
      <c r="AB118" s="17">
        <v>0</v>
      </c>
      <c r="AC118" s="15">
        <f t="shared" si="37"/>
        <v>0</v>
      </c>
      <c r="AD118" s="17">
        <v>0</v>
      </c>
      <c r="AE118" s="17">
        <v>0</v>
      </c>
      <c r="AF118" s="15">
        <f t="shared" si="38"/>
        <v>0</v>
      </c>
      <c r="AG118" s="17">
        <v>0</v>
      </c>
      <c r="AH118" s="17">
        <v>0</v>
      </c>
      <c r="AI118" s="15">
        <f t="shared" si="39"/>
        <v>0</v>
      </c>
      <c r="AJ118" s="17"/>
    </row>
    <row r="119" spans="1:36" hidden="1" x14ac:dyDescent="0.3">
      <c r="A119" s="15" t="s">
        <v>167</v>
      </c>
      <c r="B119" s="15">
        <v>100</v>
      </c>
      <c r="C119" s="15" t="s">
        <v>54</v>
      </c>
      <c r="D119" s="15" t="s">
        <v>55</v>
      </c>
      <c r="E119" s="15">
        <f>'8-august-2026'!T119</f>
        <v>94</v>
      </c>
      <c r="F119" s="15">
        <f>'8-august-2026'!U119</f>
        <v>0</v>
      </c>
      <c r="G119" s="15">
        <f>'8-august-2026'!V119</f>
        <v>5</v>
      </c>
      <c r="H119" s="15">
        <f t="shared" si="30"/>
        <v>99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5">
        <f t="shared" si="31"/>
        <v>99</v>
      </c>
      <c r="T119" s="15">
        <f t="shared" si="32"/>
        <v>94</v>
      </c>
      <c r="U119" s="15">
        <f t="shared" si="33"/>
        <v>0</v>
      </c>
      <c r="V119" s="15">
        <f t="shared" si="34"/>
        <v>5</v>
      </c>
      <c r="W119" s="18" t="str">
        <f t="shared" si="35"/>
        <v/>
      </c>
      <c r="X119" s="17">
        <v>0</v>
      </c>
      <c r="Y119" s="17">
        <v>0</v>
      </c>
      <c r="Z119" s="15">
        <f t="shared" si="36"/>
        <v>0</v>
      </c>
      <c r="AA119" s="17">
        <v>0</v>
      </c>
      <c r="AB119" s="17">
        <v>0</v>
      </c>
      <c r="AC119" s="15">
        <f t="shared" si="37"/>
        <v>0</v>
      </c>
      <c r="AD119" s="17">
        <v>0</v>
      </c>
      <c r="AE119" s="17">
        <v>0</v>
      </c>
      <c r="AF119" s="15">
        <f t="shared" si="38"/>
        <v>0</v>
      </c>
      <c r="AG119" s="17">
        <v>0</v>
      </c>
      <c r="AH119" s="17">
        <v>0</v>
      </c>
      <c r="AI119" s="15">
        <f t="shared" si="39"/>
        <v>0</v>
      </c>
      <c r="AJ119" s="17"/>
    </row>
    <row r="120" spans="1:36" x14ac:dyDescent="0.3">
      <c r="A120" s="15" t="s">
        <v>168</v>
      </c>
      <c r="B120" s="15">
        <v>100</v>
      </c>
      <c r="C120" s="15" t="s">
        <v>54</v>
      </c>
      <c r="D120" s="15" t="s">
        <v>68</v>
      </c>
      <c r="E120" s="15">
        <f>'8-august-2026'!T120</f>
        <v>1</v>
      </c>
      <c r="F120" s="15">
        <f>'8-august-2026'!U120</f>
        <v>0</v>
      </c>
      <c r="G120" s="15">
        <f>'8-august-2026'!V120</f>
        <v>0</v>
      </c>
      <c r="H120" s="15">
        <f t="shared" si="30"/>
        <v>1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5">
        <f t="shared" si="31"/>
        <v>1</v>
      </c>
      <c r="T120" s="15">
        <f t="shared" si="32"/>
        <v>1</v>
      </c>
      <c r="U120" s="15">
        <f t="shared" si="33"/>
        <v>0</v>
      </c>
      <c r="V120" s="15">
        <f t="shared" si="34"/>
        <v>0</v>
      </c>
      <c r="W120" s="18" t="str">
        <f t="shared" si="35"/>
        <v/>
      </c>
      <c r="X120" s="17">
        <v>0</v>
      </c>
      <c r="Y120" s="17">
        <v>0</v>
      </c>
      <c r="Z120" s="15">
        <f t="shared" si="36"/>
        <v>0</v>
      </c>
      <c r="AA120" s="17">
        <v>0</v>
      </c>
      <c r="AB120" s="17">
        <v>0</v>
      </c>
      <c r="AC120" s="15">
        <f t="shared" si="37"/>
        <v>0</v>
      </c>
      <c r="AD120" s="17">
        <v>0</v>
      </c>
      <c r="AE120" s="17">
        <v>0</v>
      </c>
      <c r="AF120" s="15">
        <f t="shared" si="38"/>
        <v>0</v>
      </c>
      <c r="AG120" s="17">
        <v>0</v>
      </c>
      <c r="AH120" s="17">
        <v>0</v>
      </c>
      <c r="AI120" s="15">
        <f t="shared" si="39"/>
        <v>0</v>
      </c>
      <c r="AJ120" s="17"/>
    </row>
    <row r="121" spans="1:36" x14ac:dyDescent="0.3">
      <c r="A121" s="15" t="s">
        <v>169</v>
      </c>
      <c r="B121" s="15">
        <v>1000</v>
      </c>
      <c r="C121" s="15" t="s">
        <v>54</v>
      </c>
      <c r="D121" s="15" t="s">
        <v>68</v>
      </c>
      <c r="E121" s="15">
        <f>'8-august-2026'!T121</f>
        <v>2</v>
      </c>
      <c r="F121" s="15">
        <f>'8-august-2026'!U121</f>
        <v>0</v>
      </c>
      <c r="G121" s="15">
        <f>'8-august-2026'!V121</f>
        <v>0</v>
      </c>
      <c r="H121" s="15">
        <f t="shared" si="30"/>
        <v>2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5">
        <f t="shared" si="31"/>
        <v>2</v>
      </c>
      <c r="T121" s="15">
        <f t="shared" si="32"/>
        <v>2</v>
      </c>
      <c r="U121" s="15">
        <f t="shared" si="33"/>
        <v>0</v>
      </c>
      <c r="V121" s="15">
        <f t="shared" si="34"/>
        <v>0</v>
      </c>
      <c r="W121" s="18" t="str">
        <f t="shared" si="35"/>
        <v/>
      </c>
      <c r="X121" s="17">
        <v>0</v>
      </c>
      <c r="Y121" s="17">
        <v>0</v>
      </c>
      <c r="Z121" s="15">
        <f t="shared" si="36"/>
        <v>0</v>
      </c>
      <c r="AA121" s="17">
        <v>0</v>
      </c>
      <c r="AB121" s="17">
        <v>0</v>
      </c>
      <c r="AC121" s="15">
        <f t="shared" si="37"/>
        <v>0</v>
      </c>
      <c r="AD121" s="17">
        <v>0</v>
      </c>
      <c r="AE121" s="17">
        <v>0</v>
      </c>
      <c r="AF121" s="15">
        <f t="shared" si="38"/>
        <v>0</v>
      </c>
      <c r="AG121" s="17">
        <v>0</v>
      </c>
      <c r="AH121" s="17">
        <v>0</v>
      </c>
      <c r="AI121" s="15">
        <f t="shared" si="39"/>
        <v>0</v>
      </c>
      <c r="AJ121" s="17"/>
    </row>
    <row r="122" spans="1:36" hidden="1" x14ac:dyDescent="0.3">
      <c r="A122" s="15" t="s">
        <v>170</v>
      </c>
      <c r="B122" s="15">
        <v>1000</v>
      </c>
      <c r="C122" s="15" t="s">
        <v>54</v>
      </c>
      <c r="D122" s="15" t="s">
        <v>55</v>
      </c>
      <c r="E122" s="15">
        <f>'8-august-2026'!T122</f>
        <v>35</v>
      </c>
      <c r="F122" s="15">
        <f>'8-august-2026'!U122</f>
        <v>0</v>
      </c>
      <c r="G122" s="15">
        <f>'8-august-2026'!V122</f>
        <v>2</v>
      </c>
      <c r="H122" s="15">
        <f t="shared" si="30"/>
        <v>37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5">
        <f t="shared" si="31"/>
        <v>37</v>
      </c>
      <c r="T122" s="15">
        <f t="shared" si="32"/>
        <v>35</v>
      </c>
      <c r="U122" s="15">
        <f t="shared" si="33"/>
        <v>0</v>
      </c>
      <c r="V122" s="15">
        <f t="shared" si="34"/>
        <v>2</v>
      </c>
      <c r="W122" s="18" t="str">
        <f t="shared" si="35"/>
        <v/>
      </c>
      <c r="X122" s="17">
        <v>0</v>
      </c>
      <c r="Y122" s="17">
        <v>0</v>
      </c>
      <c r="Z122" s="15">
        <f t="shared" si="36"/>
        <v>0</v>
      </c>
      <c r="AA122" s="17">
        <v>0</v>
      </c>
      <c r="AB122" s="17">
        <v>0</v>
      </c>
      <c r="AC122" s="15">
        <f t="shared" si="37"/>
        <v>0</v>
      </c>
      <c r="AD122" s="17">
        <v>0</v>
      </c>
      <c r="AE122" s="17">
        <v>0</v>
      </c>
      <c r="AF122" s="15">
        <f t="shared" si="38"/>
        <v>0</v>
      </c>
      <c r="AG122" s="17">
        <v>0</v>
      </c>
      <c r="AH122" s="17">
        <v>0</v>
      </c>
      <c r="AI122" s="15">
        <f t="shared" si="39"/>
        <v>0</v>
      </c>
      <c r="AJ122" s="17"/>
    </row>
    <row r="123" spans="1:36" hidden="1" x14ac:dyDescent="0.3">
      <c r="A123" s="15" t="s">
        <v>171</v>
      </c>
      <c r="B123" s="15">
        <v>1000</v>
      </c>
      <c r="C123" s="15" t="s">
        <v>54</v>
      </c>
      <c r="D123" s="15" t="s">
        <v>55</v>
      </c>
      <c r="E123" s="15">
        <f>'8-august-2026'!T123</f>
        <v>4</v>
      </c>
      <c r="F123" s="15">
        <f>'8-august-2026'!U123</f>
        <v>9</v>
      </c>
      <c r="G123" s="15">
        <f>'8-august-2026'!V123</f>
        <v>2</v>
      </c>
      <c r="H123" s="15">
        <f t="shared" si="30"/>
        <v>15</v>
      </c>
      <c r="I123" s="17">
        <v>0</v>
      </c>
      <c r="J123" s="17">
        <v>7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5">
        <f t="shared" si="31"/>
        <v>8</v>
      </c>
      <c r="T123" s="15">
        <f t="shared" si="32"/>
        <v>4</v>
      </c>
      <c r="U123" s="15">
        <f t="shared" si="33"/>
        <v>2</v>
      </c>
      <c r="V123" s="15">
        <f t="shared" si="34"/>
        <v>2</v>
      </c>
      <c r="W123" s="18" t="str">
        <f t="shared" si="35"/>
        <v/>
      </c>
      <c r="X123" s="17">
        <v>0</v>
      </c>
      <c r="Y123" s="17">
        <v>0</v>
      </c>
      <c r="Z123" s="15">
        <f t="shared" si="36"/>
        <v>0</v>
      </c>
      <c r="AA123" s="17">
        <v>0</v>
      </c>
      <c r="AB123" s="17">
        <v>0</v>
      </c>
      <c r="AC123" s="15">
        <f t="shared" si="37"/>
        <v>0</v>
      </c>
      <c r="AD123" s="17">
        <v>0</v>
      </c>
      <c r="AE123" s="17">
        <v>0</v>
      </c>
      <c r="AF123" s="15">
        <f t="shared" si="38"/>
        <v>0</v>
      </c>
      <c r="AG123" s="17">
        <v>0</v>
      </c>
      <c r="AH123" s="17">
        <v>0</v>
      </c>
      <c r="AI123" s="15">
        <f t="shared" si="39"/>
        <v>0</v>
      </c>
      <c r="AJ123" s="17"/>
    </row>
    <row r="124" spans="1:36" x14ac:dyDescent="0.3">
      <c r="A124" s="15" t="s">
        <v>172</v>
      </c>
      <c r="B124" s="15">
        <v>100</v>
      </c>
      <c r="C124" s="15" t="s">
        <v>54</v>
      </c>
      <c r="D124" s="15" t="s">
        <v>68</v>
      </c>
      <c r="E124" s="15">
        <f>'8-august-2026'!T124</f>
        <v>10</v>
      </c>
      <c r="F124" s="15">
        <f>'8-august-2026'!U124</f>
        <v>0</v>
      </c>
      <c r="G124" s="15">
        <f>'8-august-2026'!V124</f>
        <v>0</v>
      </c>
      <c r="H124" s="15">
        <f t="shared" si="30"/>
        <v>10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5">
        <f t="shared" si="31"/>
        <v>10</v>
      </c>
      <c r="T124" s="15">
        <f t="shared" si="32"/>
        <v>10</v>
      </c>
      <c r="U124" s="15">
        <f t="shared" si="33"/>
        <v>0</v>
      </c>
      <c r="V124" s="15">
        <f t="shared" si="34"/>
        <v>0</v>
      </c>
      <c r="W124" s="18" t="str">
        <f t="shared" si="35"/>
        <v/>
      </c>
      <c r="X124" s="17">
        <v>0</v>
      </c>
      <c r="Y124" s="17">
        <v>0</v>
      </c>
      <c r="Z124" s="15">
        <f t="shared" si="36"/>
        <v>0</v>
      </c>
      <c r="AA124" s="17">
        <v>0</v>
      </c>
      <c r="AB124" s="17">
        <v>0</v>
      </c>
      <c r="AC124" s="15">
        <f t="shared" si="37"/>
        <v>0</v>
      </c>
      <c r="AD124" s="17">
        <v>0</v>
      </c>
      <c r="AE124" s="17">
        <v>0</v>
      </c>
      <c r="AF124" s="15">
        <f t="shared" si="38"/>
        <v>0</v>
      </c>
      <c r="AG124" s="17">
        <v>0</v>
      </c>
      <c r="AH124" s="17">
        <v>0</v>
      </c>
      <c r="AI124" s="15">
        <f t="shared" si="39"/>
        <v>0</v>
      </c>
      <c r="AJ124" s="17"/>
    </row>
    <row r="125" spans="1:36" x14ac:dyDescent="0.3">
      <c r="A125" s="15" t="s">
        <v>173</v>
      </c>
      <c r="B125" s="15">
        <v>100</v>
      </c>
      <c r="C125" s="15" t="s">
        <v>54</v>
      </c>
      <c r="D125" s="15" t="s">
        <v>68</v>
      </c>
      <c r="E125" s="15">
        <f>'8-august-2026'!T125</f>
        <v>6</v>
      </c>
      <c r="F125" s="15">
        <f>'8-august-2026'!U125</f>
        <v>0</v>
      </c>
      <c r="G125" s="15">
        <f>'8-august-2026'!V125</f>
        <v>0</v>
      </c>
      <c r="H125" s="15">
        <f t="shared" si="30"/>
        <v>6</v>
      </c>
      <c r="I125" s="17">
        <v>1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5">
        <f t="shared" si="31"/>
        <v>5</v>
      </c>
      <c r="T125" s="15">
        <f t="shared" si="32"/>
        <v>5</v>
      </c>
      <c r="U125" s="15">
        <f t="shared" si="33"/>
        <v>0</v>
      </c>
      <c r="V125" s="15">
        <f t="shared" si="34"/>
        <v>0</v>
      </c>
      <c r="W125" s="18" t="str">
        <f t="shared" si="35"/>
        <v/>
      </c>
      <c r="X125" s="17">
        <v>0</v>
      </c>
      <c r="Y125" s="17">
        <v>0</v>
      </c>
      <c r="Z125" s="15">
        <f t="shared" si="36"/>
        <v>0</v>
      </c>
      <c r="AA125" s="17">
        <v>0</v>
      </c>
      <c r="AB125" s="17">
        <v>0</v>
      </c>
      <c r="AC125" s="15">
        <f t="shared" si="37"/>
        <v>0</v>
      </c>
      <c r="AD125" s="17">
        <v>0</v>
      </c>
      <c r="AE125" s="17">
        <v>0</v>
      </c>
      <c r="AF125" s="15">
        <f t="shared" si="38"/>
        <v>0</v>
      </c>
      <c r="AG125" s="17">
        <v>0</v>
      </c>
      <c r="AH125" s="17">
        <v>0</v>
      </c>
      <c r="AI125" s="15">
        <f t="shared" si="39"/>
        <v>0</v>
      </c>
      <c r="AJ125" s="17"/>
    </row>
    <row r="126" spans="1:36" x14ac:dyDescent="0.3">
      <c r="A126" s="15" t="s">
        <v>174</v>
      </c>
      <c r="B126" s="15">
        <v>100</v>
      </c>
      <c r="C126" s="15" t="s">
        <v>54</v>
      </c>
      <c r="D126" s="15" t="s">
        <v>68</v>
      </c>
      <c r="E126" s="15">
        <f>'8-august-2026'!T126</f>
        <v>4</v>
      </c>
      <c r="F126" s="15">
        <f>'8-august-2026'!U126</f>
        <v>0</v>
      </c>
      <c r="G126" s="15">
        <f>'8-august-2026'!V126</f>
        <v>0</v>
      </c>
      <c r="H126" s="15">
        <f t="shared" si="30"/>
        <v>4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5">
        <f t="shared" si="31"/>
        <v>4</v>
      </c>
      <c r="T126" s="15">
        <f t="shared" si="32"/>
        <v>4</v>
      </c>
      <c r="U126" s="15">
        <f t="shared" si="33"/>
        <v>0</v>
      </c>
      <c r="V126" s="15">
        <f t="shared" si="34"/>
        <v>0</v>
      </c>
      <c r="W126" s="18" t="str">
        <f t="shared" si="35"/>
        <v/>
      </c>
      <c r="X126" s="17">
        <v>0</v>
      </c>
      <c r="Y126" s="17">
        <v>0</v>
      </c>
      <c r="Z126" s="15">
        <f t="shared" si="36"/>
        <v>0</v>
      </c>
      <c r="AA126" s="17">
        <v>0</v>
      </c>
      <c r="AB126" s="17">
        <v>0</v>
      </c>
      <c r="AC126" s="15">
        <f t="shared" si="37"/>
        <v>0</v>
      </c>
      <c r="AD126" s="17">
        <v>0</v>
      </c>
      <c r="AE126" s="17">
        <v>0</v>
      </c>
      <c r="AF126" s="15">
        <f t="shared" si="38"/>
        <v>0</v>
      </c>
      <c r="AG126" s="17">
        <v>0</v>
      </c>
      <c r="AH126" s="17">
        <v>0</v>
      </c>
      <c r="AI126" s="15">
        <f t="shared" si="39"/>
        <v>0</v>
      </c>
      <c r="AJ126" s="17"/>
    </row>
    <row r="127" spans="1:36" x14ac:dyDescent="0.3">
      <c r="A127" s="15" t="s">
        <v>175</v>
      </c>
      <c r="B127" s="15">
        <v>100</v>
      </c>
      <c r="C127" s="15" t="s">
        <v>54</v>
      </c>
      <c r="D127" s="15" t="s">
        <v>57</v>
      </c>
      <c r="E127" s="15">
        <f>'8-august-2026'!T127</f>
        <v>4</v>
      </c>
      <c r="F127" s="15">
        <f>'8-august-2026'!U127</f>
        <v>0</v>
      </c>
      <c r="G127" s="15">
        <f>'8-august-2026'!V127</f>
        <v>0</v>
      </c>
      <c r="H127" s="15">
        <f t="shared" si="30"/>
        <v>4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5">
        <f t="shared" si="31"/>
        <v>4</v>
      </c>
      <c r="T127" s="15">
        <f t="shared" si="32"/>
        <v>4</v>
      </c>
      <c r="U127" s="15">
        <f t="shared" si="33"/>
        <v>0</v>
      </c>
      <c r="V127" s="15">
        <f t="shared" si="34"/>
        <v>0</v>
      </c>
      <c r="W127" s="18" t="str">
        <f t="shared" si="35"/>
        <v/>
      </c>
      <c r="X127" s="17">
        <v>0</v>
      </c>
      <c r="Y127" s="17">
        <v>0</v>
      </c>
      <c r="Z127" s="15">
        <f t="shared" si="36"/>
        <v>0</v>
      </c>
      <c r="AA127" s="17">
        <v>0</v>
      </c>
      <c r="AB127" s="17">
        <v>0</v>
      </c>
      <c r="AC127" s="15">
        <f t="shared" si="37"/>
        <v>0</v>
      </c>
      <c r="AD127" s="17">
        <v>0</v>
      </c>
      <c r="AE127" s="17">
        <v>0</v>
      </c>
      <c r="AF127" s="15">
        <f t="shared" si="38"/>
        <v>0</v>
      </c>
      <c r="AG127" s="17">
        <v>0</v>
      </c>
      <c r="AH127" s="17">
        <v>0</v>
      </c>
      <c r="AI127" s="15">
        <f t="shared" si="39"/>
        <v>0</v>
      </c>
      <c r="AJ127" s="17"/>
    </row>
    <row r="128" spans="1:36" hidden="1" x14ac:dyDescent="0.3">
      <c r="A128" s="15" t="s">
        <v>176</v>
      </c>
      <c r="B128" s="15" t="s">
        <v>177</v>
      </c>
      <c r="C128" s="15" t="s">
        <v>178</v>
      </c>
      <c r="D128" s="15" t="s">
        <v>55</v>
      </c>
      <c r="E128" s="15">
        <v>0</v>
      </c>
      <c r="F128" s="15">
        <v>0</v>
      </c>
      <c r="G128" s="15">
        <v>0</v>
      </c>
      <c r="H128" s="15">
        <f t="shared" si="30"/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5">
        <f t="shared" si="31"/>
        <v>0</v>
      </c>
      <c r="T128" s="15">
        <f t="shared" si="32"/>
        <v>0</v>
      </c>
      <c r="U128" s="15">
        <f t="shared" si="33"/>
        <v>0</v>
      </c>
      <c r="V128" s="15">
        <f t="shared" si="34"/>
        <v>0</v>
      </c>
      <c r="W128" s="18" t="str">
        <f t="shared" si="35"/>
        <v/>
      </c>
      <c r="X128" s="17">
        <v>0</v>
      </c>
      <c r="Y128" s="17">
        <v>0</v>
      </c>
      <c r="Z128" s="15">
        <f t="shared" si="36"/>
        <v>0</v>
      </c>
      <c r="AA128" s="17">
        <v>0</v>
      </c>
      <c r="AB128" s="17">
        <v>0</v>
      </c>
      <c r="AC128" s="15">
        <f t="shared" si="37"/>
        <v>0</v>
      </c>
      <c r="AD128" s="17">
        <v>0</v>
      </c>
      <c r="AE128" s="17">
        <v>0</v>
      </c>
      <c r="AF128" s="15">
        <f t="shared" si="38"/>
        <v>0</v>
      </c>
      <c r="AG128" s="17">
        <v>0</v>
      </c>
      <c r="AH128" s="17">
        <v>0</v>
      </c>
      <c r="AI128" s="15">
        <f t="shared" si="39"/>
        <v>0</v>
      </c>
      <c r="AJ128" s="17"/>
    </row>
    <row r="129" spans="1:36" x14ac:dyDescent="0.3">
      <c r="A129" s="15" t="s">
        <v>179</v>
      </c>
      <c r="B129" s="15">
        <v>2500</v>
      </c>
      <c r="C129" s="15" t="s">
        <v>54</v>
      </c>
      <c r="D129" s="15" t="s">
        <v>68</v>
      </c>
      <c r="E129" s="15">
        <f>'8-august-2026'!T129</f>
        <v>3</v>
      </c>
      <c r="F129" s="15">
        <f>'8-august-2026'!U129</f>
        <v>0</v>
      </c>
      <c r="G129" s="15">
        <f>'8-august-2026'!V129</f>
        <v>0</v>
      </c>
      <c r="H129" s="15">
        <f t="shared" si="30"/>
        <v>3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5">
        <f t="shared" si="31"/>
        <v>3</v>
      </c>
      <c r="T129" s="15">
        <f t="shared" si="32"/>
        <v>3</v>
      </c>
      <c r="U129" s="15">
        <f t="shared" si="33"/>
        <v>0</v>
      </c>
      <c r="V129" s="15">
        <f t="shared" si="34"/>
        <v>0</v>
      </c>
      <c r="W129" s="18" t="str">
        <f t="shared" si="35"/>
        <v/>
      </c>
      <c r="X129" s="17">
        <v>0</v>
      </c>
      <c r="Y129" s="17">
        <v>0</v>
      </c>
      <c r="Z129" s="15">
        <f t="shared" si="36"/>
        <v>0</v>
      </c>
      <c r="AA129" s="17">
        <v>0</v>
      </c>
      <c r="AB129" s="17">
        <v>0</v>
      </c>
      <c r="AC129" s="15">
        <f t="shared" si="37"/>
        <v>0</v>
      </c>
      <c r="AD129" s="17">
        <v>0</v>
      </c>
      <c r="AE129" s="17">
        <v>0</v>
      </c>
      <c r="AF129" s="15">
        <f t="shared" si="38"/>
        <v>0</v>
      </c>
      <c r="AG129" s="17">
        <v>0</v>
      </c>
      <c r="AH129" s="17">
        <v>0</v>
      </c>
      <c r="AI129" s="15">
        <f t="shared" si="39"/>
        <v>0</v>
      </c>
      <c r="AJ129" s="17"/>
    </row>
    <row r="130" spans="1:36" x14ac:dyDescent="0.3">
      <c r="A130" s="15" t="s">
        <v>180</v>
      </c>
      <c r="B130" s="15">
        <v>1000</v>
      </c>
      <c r="C130" s="15" t="s">
        <v>54</v>
      </c>
      <c r="D130" s="15" t="s">
        <v>68</v>
      </c>
      <c r="E130" s="15">
        <f>'8-august-2026'!T130</f>
        <v>2</v>
      </c>
      <c r="F130" s="15">
        <f>'8-august-2026'!U130</f>
        <v>0</v>
      </c>
      <c r="G130" s="15">
        <f>'8-august-2026'!V130</f>
        <v>0</v>
      </c>
      <c r="H130" s="15">
        <f t="shared" si="30"/>
        <v>2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5">
        <f t="shared" si="31"/>
        <v>2</v>
      </c>
      <c r="T130" s="15">
        <f t="shared" si="32"/>
        <v>2</v>
      </c>
      <c r="U130" s="15">
        <f t="shared" si="33"/>
        <v>0</v>
      </c>
      <c r="V130" s="15">
        <f t="shared" si="34"/>
        <v>0</v>
      </c>
      <c r="W130" s="18" t="str">
        <f t="shared" si="35"/>
        <v/>
      </c>
      <c r="X130" s="17">
        <v>0</v>
      </c>
      <c r="Y130" s="17">
        <v>0</v>
      </c>
      <c r="Z130" s="15">
        <f t="shared" si="36"/>
        <v>0</v>
      </c>
      <c r="AA130" s="17">
        <v>0</v>
      </c>
      <c r="AB130" s="17">
        <v>0</v>
      </c>
      <c r="AC130" s="15">
        <f t="shared" si="37"/>
        <v>0</v>
      </c>
      <c r="AD130" s="17">
        <v>0</v>
      </c>
      <c r="AE130" s="17">
        <v>0</v>
      </c>
      <c r="AF130" s="15">
        <f t="shared" si="38"/>
        <v>0</v>
      </c>
      <c r="AG130" s="17">
        <v>0</v>
      </c>
      <c r="AH130" s="17">
        <v>0</v>
      </c>
      <c r="AI130" s="15">
        <f t="shared" si="39"/>
        <v>0</v>
      </c>
      <c r="AJ130" s="17"/>
    </row>
    <row r="131" spans="1:36" x14ac:dyDescent="0.3">
      <c r="A131" s="15" t="s">
        <v>181</v>
      </c>
      <c r="B131" s="15">
        <v>100</v>
      </c>
      <c r="C131" s="15" t="s">
        <v>54</v>
      </c>
      <c r="D131" s="15" t="s">
        <v>57</v>
      </c>
      <c r="E131" s="15">
        <f>'8-august-2026'!T131</f>
        <v>7</v>
      </c>
      <c r="F131" s="15">
        <f>'8-august-2026'!U131</f>
        <v>0</v>
      </c>
      <c r="G131" s="15">
        <f>'8-august-2026'!V131</f>
        <v>0</v>
      </c>
      <c r="H131" s="15">
        <f t="shared" ref="H131:H162" si="40">E131+F131+G131</f>
        <v>7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5">
        <f t="shared" ref="S131:S162" si="41">H131+O131+P131+Q131+R131-(I131+J131+K131+L131+M131+N131)</f>
        <v>7</v>
      </c>
      <c r="T131" s="15">
        <f t="shared" ref="T131:T162" si="42">E131+O131-I131-L131</f>
        <v>7</v>
      </c>
      <c r="U131" s="15">
        <f t="shared" ref="U131:U162" si="43">F131+P131-J131-M131</f>
        <v>0</v>
      </c>
      <c r="V131" s="15">
        <f t="shared" ref="V131:V162" si="44">G131+Q131-K131-N131</f>
        <v>0</v>
      </c>
      <c r="W131" s="18" t="str">
        <f t="shared" ref="W131:W162" si="45">IF(MIN(T131,U131,V131)&lt;0,"NEGATIVE STOCK - CHECK ENTRIES","")</f>
        <v/>
      </c>
      <c r="X131" s="17">
        <v>0</v>
      </c>
      <c r="Y131" s="17">
        <v>0</v>
      </c>
      <c r="Z131" s="15">
        <f t="shared" ref="Z131:Z162" si="46">X131-Y131</f>
        <v>0</v>
      </c>
      <c r="AA131" s="17">
        <v>0</v>
      </c>
      <c r="AB131" s="17">
        <v>0</v>
      </c>
      <c r="AC131" s="15">
        <f t="shared" ref="AC131:AC162" si="47">AA131-AB131</f>
        <v>0</v>
      </c>
      <c r="AD131" s="17">
        <v>0</v>
      </c>
      <c r="AE131" s="17">
        <v>0</v>
      </c>
      <c r="AF131" s="15">
        <f t="shared" ref="AF131:AF162" si="48">AD131-AE131</f>
        <v>0</v>
      </c>
      <c r="AG131" s="17">
        <v>0</v>
      </c>
      <c r="AH131" s="17">
        <v>0</v>
      </c>
      <c r="AI131" s="15">
        <f t="shared" ref="AI131:AI162" si="49">AG131-AH131</f>
        <v>0</v>
      </c>
      <c r="AJ131" s="17"/>
    </row>
    <row r="132" spans="1:36" x14ac:dyDescent="0.3">
      <c r="A132" s="15" t="s">
        <v>182</v>
      </c>
      <c r="B132" s="15">
        <v>1000</v>
      </c>
      <c r="C132" s="15" t="s">
        <v>54</v>
      </c>
      <c r="D132" s="15" t="s">
        <v>68</v>
      </c>
      <c r="E132" s="15">
        <f>'8-august-2026'!T132</f>
        <v>4</v>
      </c>
      <c r="F132" s="15">
        <f>'8-august-2026'!U132</f>
        <v>0</v>
      </c>
      <c r="G132" s="15">
        <f>'8-august-2026'!V132</f>
        <v>0</v>
      </c>
      <c r="H132" s="15">
        <f t="shared" si="40"/>
        <v>4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5">
        <f t="shared" si="41"/>
        <v>4</v>
      </c>
      <c r="T132" s="15">
        <f t="shared" si="42"/>
        <v>4</v>
      </c>
      <c r="U132" s="15">
        <f t="shared" si="43"/>
        <v>0</v>
      </c>
      <c r="V132" s="15">
        <f t="shared" si="44"/>
        <v>0</v>
      </c>
      <c r="W132" s="18" t="str">
        <f t="shared" si="45"/>
        <v/>
      </c>
      <c r="X132" s="17">
        <v>0</v>
      </c>
      <c r="Y132" s="17">
        <v>0</v>
      </c>
      <c r="Z132" s="15">
        <f t="shared" si="46"/>
        <v>0</v>
      </c>
      <c r="AA132" s="17">
        <v>0</v>
      </c>
      <c r="AB132" s="17">
        <v>0</v>
      </c>
      <c r="AC132" s="15">
        <f t="shared" si="47"/>
        <v>0</v>
      </c>
      <c r="AD132" s="17">
        <v>0</v>
      </c>
      <c r="AE132" s="17">
        <v>0</v>
      </c>
      <c r="AF132" s="15">
        <f t="shared" si="48"/>
        <v>0</v>
      </c>
      <c r="AG132" s="17">
        <v>0</v>
      </c>
      <c r="AH132" s="17">
        <v>0</v>
      </c>
      <c r="AI132" s="15">
        <f t="shared" si="49"/>
        <v>0</v>
      </c>
      <c r="AJ132" s="17"/>
    </row>
    <row r="133" spans="1:36" x14ac:dyDescent="0.3">
      <c r="A133" s="15" t="s">
        <v>183</v>
      </c>
      <c r="B133" s="15">
        <v>100</v>
      </c>
      <c r="C133" s="15" t="s">
        <v>54</v>
      </c>
      <c r="D133" s="15" t="s">
        <v>68</v>
      </c>
      <c r="E133" s="15">
        <f>'8-august-2026'!T133</f>
        <v>2</v>
      </c>
      <c r="F133" s="15">
        <f>'8-august-2026'!U133</f>
        <v>0</v>
      </c>
      <c r="G133" s="15">
        <f>'8-august-2026'!V133</f>
        <v>0</v>
      </c>
      <c r="H133" s="15">
        <f t="shared" si="40"/>
        <v>2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5">
        <f t="shared" si="41"/>
        <v>2</v>
      </c>
      <c r="T133" s="15">
        <f t="shared" si="42"/>
        <v>2</v>
      </c>
      <c r="U133" s="15">
        <f t="shared" si="43"/>
        <v>0</v>
      </c>
      <c r="V133" s="15">
        <f t="shared" si="44"/>
        <v>0</v>
      </c>
      <c r="W133" s="18" t="str">
        <f t="shared" si="45"/>
        <v/>
      </c>
      <c r="X133" s="17">
        <v>0</v>
      </c>
      <c r="Y133" s="17">
        <v>0</v>
      </c>
      <c r="Z133" s="15">
        <f t="shared" si="46"/>
        <v>0</v>
      </c>
      <c r="AA133" s="17">
        <v>0</v>
      </c>
      <c r="AB133" s="17">
        <v>0</v>
      </c>
      <c r="AC133" s="15">
        <f t="shared" si="47"/>
        <v>0</v>
      </c>
      <c r="AD133" s="17">
        <v>0</v>
      </c>
      <c r="AE133" s="17">
        <v>0</v>
      </c>
      <c r="AF133" s="15">
        <f t="shared" si="48"/>
        <v>0</v>
      </c>
      <c r="AG133" s="17">
        <v>0</v>
      </c>
      <c r="AH133" s="17">
        <v>0</v>
      </c>
      <c r="AI133" s="15">
        <f t="shared" si="49"/>
        <v>0</v>
      </c>
      <c r="AJ133" s="17"/>
    </row>
    <row r="134" spans="1:36" hidden="1" x14ac:dyDescent="0.3">
      <c r="A134" s="15" t="s">
        <v>184</v>
      </c>
      <c r="B134" s="15">
        <v>1000</v>
      </c>
      <c r="C134" s="15" t="s">
        <v>54</v>
      </c>
      <c r="D134" s="15" t="s">
        <v>55</v>
      </c>
      <c r="E134" s="15">
        <f>'8-august-2026'!T134</f>
        <v>15</v>
      </c>
      <c r="F134" s="15">
        <f>'8-august-2026'!U134</f>
        <v>10</v>
      </c>
      <c r="G134" s="15">
        <f>'8-august-2026'!V134</f>
        <v>0</v>
      </c>
      <c r="H134" s="15">
        <f t="shared" si="40"/>
        <v>25</v>
      </c>
      <c r="I134" s="17">
        <v>1</v>
      </c>
      <c r="J134" s="17">
        <v>4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5">
        <f t="shared" si="41"/>
        <v>20</v>
      </c>
      <c r="T134" s="15">
        <f t="shared" si="42"/>
        <v>14</v>
      </c>
      <c r="U134" s="15">
        <f t="shared" si="43"/>
        <v>6</v>
      </c>
      <c r="V134" s="15">
        <f t="shared" si="44"/>
        <v>0</v>
      </c>
      <c r="W134" s="18" t="str">
        <f t="shared" si="45"/>
        <v/>
      </c>
      <c r="X134" s="17">
        <v>0</v>
      </c>
      <c r="Y134" s="17">
        <v>0</v>
      </c>
      <c r="Z134" s="15">
        <f t="shared" si="46"/>
        <v>0</v>
      </c>
      <c r="AA134" s="17">
        <v>0</v>
      </c>
      <c r="AB134" s="17">
        <v>0</v>
      </c>
      <c r="AC134" s="15">
        <f t="shared" si="47"/>
        <v>0</v>
      </c>
      <c r="AD134" s="17">
        <v>0</v>
      </c>
      <c r="AE134" s="17">
        <v>0</v>
      </c>
      <c r="AF134" s="15">
        <f t="shared" si="48"/>
        <v>0</v>
      </c>
      <c r="AG134" s="17">
        <v>0</v>
      </c>
      <c r="AH134" s="17">
        <v>0</v>
      </c>
      <c r="AI134" s="15">
        <f t="shared" si="49"/>
        <v>0</v>
      </c>
      <c r="AJ134" s="17"/>
    </row>
    <row r="135" spans="1:36" x14ac:dyDescent="0.3">
      <c r="A135" s="15" t="s">
        <v>185</v>
      </c>
      <c r="B135" s="15">
        <v>100</v>
      </c>
      <c r="C135" s="15" t="s">
        <v>54</v>
      </c>
      <c r="D135" s="15" t="s">
        <v>68</v>
      </c>
      <c r="E135" s="15">
        <f>'8-august-2026'!T135</f>
        <v>6</v>
      </c>
      <c r="F135" s="15">
        <f>'8-august-2026'!U135</f>
        <v>0</v>
      </c>
      <c r="G135" s="15">
        <f>'8-august-2026'!V135</f>
        <v>0</v>
      </c>
      <c r="H135" s="15">
        <f t="shared" si="40"/>
        <v>6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5">
        <f t="shared" si="41"/>
        <v>6</v>
      </c>
      <c r="T135" s="15">
        <f t="shared" si="42"/>
        <v>6</v>
      </c>
      <c r="U135" s="15">
        <f t="shared" si="43"/>
        <v>0</v>
      </c>
      <c r="V135" s="15">
        <f t="shared" si="44"/>
        <v>0</v>
      </c>
      <c r="W135" s="18" t="str">
        <f t="shared" si="45"/>
        <v/>
      </c>
      <c r="X135" s="17">
        <v>0</v>
      </c>
      <c r="Y135" s="17">
        <v>0</v>
      </c>
      <c r="Z135" s="15">
        <f t="shared" si="46"/>
        <v>0</v>
      </c>
      <c r="AA135" s="17">
        <v>0</v>
      </c>
      <c r="AB135" s="17">
        <v>0</v>
      </c>
      <c r="AC135" s="15">
        <f t="shared" si="47"/>
        <v>0</v>
      </c>
      <c r="AD135" s="17">
        <v>0</v>
      </c>
      <c r="AE135" s="17">
        <v>0</v>
      </c>
      <c r="AF135" s="15">
        <f t="shared" si="48"/>
        <v>0</v>
      </c>
      <c r="AG135" s="17">
        <v>0</v>
      </c>
      <c r="AH135" s="17">
        <v>0</v>
      </c>
      <c r="AI135" s="15">
        <f t="shared" si="49"/>
        <v>0</v>
      </c>
      <c r="AJ135" s="17"/>
    </row>
    <row r="136" spans="1:36" x14ac:dyDescent="0.3">
      <c r="A136" s="15" t="s">
        <v>186</v>
      </c>
      <c r="B136" s="15">
        <v>100</v>
      </c>
      <c r="C136" s="15" t="s">
        <v>54</v>
      </c>
      <c r="D136" s="15" t="s">
        <v>57</v>
      </c>
      <c r="E136" s="15">
        <f>'8-august-2026'!T136</f>
        <v>4</v>
      </c>
      <c r="F136" s="15">
        <f>'8-august-2026'!U136</f>
        <v>0</v>
      </c>
      <c r="G136" s="15">
        <f>'8-august-2026'!V136</f>
        <v>0</v>
      </c>
      <c r="H136" s="15">
        <f t="shared" si="40"/>
        <v>4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5">
        <f t="shared" si="41"/>
        <v>4</v>
      </c>
      <c r="T136" s="15">
        <f t="shared" si="42"/>
        <v>4</v>
      </c>
      <c r="U136" s="15">
        <f t="shared" si="43"/>
        <v>0</v>
      </c>
      <c r="V136" s="15">
        <f t="shared" si="44"/>
        <v>0</v>
      </c>
      <c r="W136" s="18" t="str">
        <f t="shared" si="45"/>
        <v/>
      </c>
      <c r="X136" s="17">
        <v>0</v>
      </c>
      <c r="Y136" s="17">
        <v>0</v>
      </c>
      <c r="Z136" s="15">
        <f t="shared" si="46"/>
        <v>0</v>
      </c>
      <c r="AA136" s="17">
        <v>0</v>
      </c>
      <c r="AB136" s="17">
        <v>0</v>
      </c>
      <c r="AC136" s="15">
        <f t="shared" si="47"/>
        <v>0</v>
      </c>
      <c r="AD136" s="17">
        <v>0</v>
      </c>
      <c r="AE136" s="17">
        <v>0</v>
      </c>
      <c r="AF136" s="15">
        <f t="shared" si="48"/>
        <v>0</v>
      </c>
      <c r="AG136" s="17">
        <v>0</v>
      </c>
      <c r="AH136" s="17">
        <v>0</v>
      </c>
      <c r="AI136" s="15">
        <f t="shared" si="49"/>
        <v>0</v>
      </c>
      <c r="AJ136" s="17"/>
    </row>
    <row r="137" spans="1:36" x14ac:dyDescent="0.3">
      <c r="A137" s="15" t="s">
        <v>187</v>
      </c>
      <c r="B137" s="15">
        <v>1000</v>
      </c>
      <c r="C137" s="15" t="s">
        <v>54</v>
      </c>
      <c r="D137" s="15" t="s">
        <v>68</v>
      </c>
      <c r="E137" s="15">
        <f>'8-august-2026'!T137</f>
        <v>1</v>
      </c>
      <c r="F137" s="15">
        <f>'8-august-2026'!U137</f>
        <v>0</v>
      </c>
      <c r="G137" s="15">
        <f>'8-august-2026'!V137</f>
        <v>0</v>
      </c>
      <c r="H137" s="15">
        <f t="shared" si="40"/>
        <v>1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5">
        <f t="shared" si="41"/>
        <v>1</v>
      </c>
      <c r="T137" s="15">
        <f t="shared" si="42"/>
        <v>1</v>
      </c>
      <c r="U137" s="15">
        <f t="shared" si="43"/>
        <v>0</v>
      </c>
      <c r="V137" s="15">
        <f t="shared" si="44"/>
        <v>0</v>
      </c>
      <c r="W137" s="18" t="str">
        <f t="shared" si="45"/>
        <v/>
      </c>
      <c r="X137" s="17">
        <v>0</v>
      </c>
      <c r="Y137" s="17">
        <v>0</v>
      </c>
      <c r="Z137" s="15">
        <f t="shared" si="46"/>
        <v>0</v>
      </c>
      <c r="AA137" s="17">
        <v>0</v>
      </c>
      <c r="AB137" s="17">
        <v>0</v>
      </c>
      <c r="AC137" s="15">
        <f t="shared" si="47"/>
        <v>0</v>
      </c>
      <c r="AD137" s="17">
        <v>0</v>
      </c>
      <c r="AE137" s="17">
        <v>0</v>
      </c>
      <c r="AF137" s="15">
        <f t="shared" si="48"/>
        <v>0</v>
      </c>
      <c r="AG137" s="17">
        <v>0</v>
      </c>
      <c r="AH137" s="17">
        <v>0</v>
      </c>
      <c r="AI137" s="15">
        <f t="shared" si="49"/>
        <v>0</v>
      </c>
      <c r="AJ137" s="17"/>
    </row>
    <row r="138" spans="1:36" x14ac:dyDescent="0.3">
      <c r="A138" s="15" t="s">
        <v>188</v>
      </c>
      <c r="B138" s="15">
        <v>100</v>
      </c>
      <c r="C138" s="15" t="s">
        <v>54</v>
      </c>
      <c r="D138" s="15" t="s">
        <v>57</v>
      </c>
      <c r="E138" s="15">
        <f>'8-august-2026'!T138</f>
        <v>3</v>
      </c>
      <c r="F138" s="15">
        <f>'8-august-2026'!U138</f>
        <v>0</v>
      </c>
      <c r="G138" s="15">
        <f>'8-august-2026'!V138</f>
        <v>0</v>
      </c>
      <c r="H138" s="15">
        <f t="shared" si="40"/>
        <v>3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5">
        <f t="shared" si="41"/>
        <v>3</v>
      </c>
      <c r="T138" s="15">
        <f t="shared" si="42"/>
        <v>3</v>
      </c>
      <c r="U138" s="15">
        <f t="shared" si="43"/>
        <v>0</v>
      </c>
      <c r="V138" s="15">
        <f t="shared" si="44"/>
        <v>0</v>
      </c>
      <c r="W138" s="18" t="str">
        <f t="shared" si="45"/>
        <v/>
      </c>
      <c r="X138" s="17">
        <v>0</v>
      </c>
      <c r="Y138" s="17">
        <v>0</v>
      </c>
      <c r="Z138" s="15">
        <f t="shared" si="46"/>
        <v>0</v>
      </c>
      <c r="AA138" s="17">
        <v>0</v>
      </c>
      <c r="AB138" s="17">
        <v>0</v>
      </c>
      <c r="AC138" s="15">
        <f t="shared" si="47"/>
        <v>0</v>
      </c>
      <c r="AD138" s="17">
        <v>0</v>
      </c>
      <c r="AE138" s="17">
        <v>0</v>
      </c>
      <c r="AF138" s="15">
        <f t="shared" si="48"/>
        <v>0</v>
      </c>
      <c r="AG138" s="17">
        <v>0</v>
      </c>
      <c r="AH138" s="17">
        <v>0</v>
      </c>
      <c r="AI138" s="15">
        <f t="shared" si="49"/>
        <v>0</v>
      </c>
      <c r="AJ138" s="17"/>
    </row>
    <row r="139" spans="1:36" x14ac:dyDescent="0.3">
      <c r="A139" s="15" t="s">
        <v>189</v>
      </c>
      <c r="B139" s="15">
        <v>100</v>
      </c>
      <c r="C139" s="15" t="s">
        <v>54</v>
      </c>
      <c r="D139" s="15" t="s">
        <v>68</v>
      </c>
      <c r="E139" s="15">
        <f>'8-august-2026'!T139</f>
        <v>2</v>
      </c>
      <c r="F139" s="15">
        <f>'8-august-2026'!U139</f>
        <v>0</v>
      </c>
      <c r="G139" s="15">
        <f>'8-august-2026'!V139</f>
        <v>0</v>
      </c>
      <c r="H139" s="15">
        <f t="shared" si="40"/>
        <v>2</v>
      </c>
      <c r="I139" s="17">
        <v>1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5">
        <f t="shared" si="41"/>
        <v>1</v>
      </c>
      <c r="T139" s="15">
        <f t="shared" si="42"/>
        <v>1</v>
      </c>
      <c r="U139" s="15">
        <f t="shared" si="43"/>
        <v>0</v>
      </c>
      <c r="V139" s="15">
        <f t="shared" si="44"/>
        <v>0</v>
      </c>
      <c r="W139" s="18" t="str">
        <f t="shared" si="45"/>
        <v/>
      </c>
      <c r="X139" s="17">
        <v>0</v>
      </c>
      <c r="Y139" s="17">
        <v>0</v>
      </c>
      <c r="Z139" s="15">
        <f t="shared" si="46"/>
        <v>0</v>
      </c>
      <c r="AA139" s="17">
        <v>0</v>
      </c>
      <c r="AB139" s="17">
        <v>0</v>
      </c>
      <c r="AC139" s="15">
        <f t="shared" si="47"/>
        <v>0</v>
      </c>
      <c r="AD139" s="17">
        <v>0</v>
      </c>
      <c r="AE139" s="17">
        <v>0</v>
      </c>
      <c r="AF139" s="15">
        <f t="shared" si="48"/>
        <v>0</v>
      </c>
      <c r="AG139" s="17">
        <v>0</v>
      </c>
      <c r="AH139" s="17">
        <v>0</v>
      </c>
      <c r="AI139" s="15">
        <f t="shared" si="49"/>
        <v>0</v>
      </c>
      <c r="AJ139" s="17"/>
    </row>
    <row r="140" spans="1:36" x14ac:dyDescent="0.3">
      <c r="A140" s="15" t="s">
        <v>190</v>
      </c>
      <c r="B140" s="15">
        <v>100</v>
      </c>
      <c r="C140" s="15" t="s">
        <v>54</v>
      </c>
      <c r="D140" s="15" t="s">
        <v>57</v>
      </c>
      <c r="E140" s="15">
        <f>'8-august-2026'!T140</f>
        <v>4</v>
      </c>
      <c r="F140" s="15">
        <f>'8-august-2026'!U140</f>
        <v>-4</v>
      </c>
      <c r="G140" s="15">
        <f>'8-august-2026'!V140</f>
        <v>-6</v>
      </c>
      <c r="H140" s="15">
        <f t="shared" si="40"/>
        <v>-6</v>
      </c>
      <c r="I140" s="17">
        <v>0</v>
      </c>
      <c r="J140" s="17">
        <v>0</v>
      </c>
      <c r="K140" s="17">
        <v>0</v>
      </c>
      <c r="L140" s="17">
        <v>0</v>
      </c>
      <c r="M140" s="17">
        <v>2</v>
      </c>
      <c r="N140" s="17">
        <v>2</v>
      </c>
      <c r="O140" s="17">
        <v>0</v>
      </c>
      <c r="P140" s="17">
        <v>0</v>
      </c>
      <c r="Q140" s="17">
        <v>0</v>
      </c>
      <c r="R140" s="17">
        <v>0</v>
      </c>
      <c r="S140" s="15">
        <f t="shared" si="41"/>
        <v>-10</v>
      </c>
      <c r="T140" s="15">
        <f t="shared" si="42"/>
        <v>4</v>
      </c>
      <c r="U140" s="15">
        <f t="shared" si="43"/>
        <v>-6</v>
      </c>
      <c r="V140" s="15">
        <f t="shared" si="44"/>
        <v>-8</v>
      </c>
      <c r="W140" s="18" t="str">
        <f t="shared" si="45"/>
        <v>NEGATIVE STOCK - CHECK ENTRIES</v>
      </c>
      <c r="X140" s="17">
        <v>0</v>
      </c>
      <c r="Y140" s="17">
        <v>0</v>
      </c>
      <c r="Z140" s="15">
        <f t="shared" si="46"/>
        <v>0</v>
      </c>
      <c r="AA140" s="17">
        <v>0</v>
      </c>
      <c r="AB140" s="17">
        <v>0</v>
      </c>
      <c r="AC140" s="15">
        <f t="shared" si="47"/>
        <v>0</v>
      </c>
      <c r="AD140" s="17">
        <v>0</v>
      </c>
      <c r="AE140" s="17">
        <v>0</v>
      </c>
      <c r="AF140" s="15">
        <f t="shared" si="48"/>
        <v>0</v>
      </c>
      <c r="AG140" s="17">
        <v>0</v>
      </c>
      <c r="AH140" s="17">
        <v>0</v>
      </c>
      <c r="AI140" s="15">
        <f t="shared" si="49"/>
        <v>0</v>
      </c>
      <c r="AJ140" s="17"/>
    </row>
    <row r="141" spans="1:36" x14ac:dyDescent="0.3">
      <c r="A141" s="15" t="s">
        <v>191</v>
      </c>
      <c r="B141" s="15">
        <v>100</v>
      </c>
      <c r="C141" s="15" t="s">
        <v>54</v>
      </c>
      <c r="D141" s="15" t="s">
        <v>68</v>
      </c>
      <c r="E141" s="15">
        <f>'8-august-2026'!T141</f>
        <v>2</v>
      </c>
      <c r="F141" s="15">
        <f>'8-august-2026'!U141</f>
        <v>0</v>
      </c>
      <c r="G141" s="15">
        <f>'8-august-2026'!V141</f>
        <v>0</v>
      </c>
      <c r="H141" s="15">
        <f t="shared" si="40"/>
        <v>2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5">
        <f t="shared" si="41"/>
        <v>2</v>
      </c>
      <c r="T141" s="15">
        <f t="shared" si="42"/>
        <v>2</v>
      </c>
      <c r="U141" s="15">
        <f t="shared" si="43"/>
        <v>0</v>
      </c>
      <c r="V141" s="15">
        <f t="shared" si="44"/>
        <v>0</v>
      </c>
      <c r="W141" s="18" t="str">
        <f t="shared" si="45"/>
        <v/>
      </c>
      <c r="X141" s="17">
        <v>0</v>
      </c>
      <c r="Y141" s="17">
        <v>0</v>
      </c>
      <c r="Z141" s="15">
        <f t="shared" si="46"/>
        <v>0</v>
      </c>
      <c r="AA141" s="17">
        <v>0</v>
      </c>
      <c r="AB141" s="17">
        <v>0</v>
      </c>
      <c r="AC141" s="15">
        <f t="shared" si="47"/>
        <v>0</v>
      </c>
      <c r="AD141" s="17">
        <v>0</v>
      </c>
      <c r="AE141" s="17">
        <v>0</v>
      </c>
      <c r="AF141" s="15">
        <f t="shared" si="48"/>
        <v>0</v>
      </c>
      <c r="AG141" s="17">
        <v>0</v>
      </c>
      <c r="AH141" s="17">
        <v>0</v>
      </c>
      <c r="AI141" s="15">
        <f t="shared" si="49"/>
        <v>0</v>
      </c>
      <c r="AJ141" s="17"/>
    </row>
    <row r="142" spans="1:36" hidden="1" x14ac:dyDescent="0.3">
      <c r="A142" s="15" t="s">
        <v>192</v>
      </c>
      <c r="B142" s="15">
        <v>100</v>
      </c>
      <c r="C142" s="15" t="s">
        <v>54</v>
      </c>
      <c r="D142" s="15" t="s">
        <v>55</v>
      </c>
      <c r="E142" s="15">
        <f>'8-august-2026'!T142</f>
        <v>4285</v>
      </c>
      <c r="F142" s="15">
        <f>'8-august-2026'!U142</f>
        <v>395</v>
      </c>
      <c r="G142" s="15">
        <f>'8-august-2026'!V142</f>
        <v>30</v>
      </c>
      <c r="H142" s="15">
        <f t="shared" si="40"/>
        <v>4710</v>
      </c>
      <c r="I142" s="17">
        <v>302</v>
      </c>
      <c r="J142" s="17">
        <v>46</v>
      </c>
      <c r="K142" s="17">
        <v>0</v>
      </c>
      <c r="L142" s="17">
        <v>0</v>
      </c>
      <c r="M142" s="17">
        <v>46</v>
      </c>
      <c r="N142" s="17">
        <v>10</v>
      </c>
      <c r="O142" s="17">
        <v>0</v>
      </c>
      <c r="P142" s="17">
        <v>0</v>
      </c>
      <c r="Q142" s="17">
        <v>0</v>
      </c>
      <c r="R142" s="17">
        <v>0</v>
      </c>
      <c r="S142" s="15">
        <f t="shared" si="41"/>
        <v>4306</v>
      </c>
      <c r="T142" s="15">
        <f t="shared" si="42"/>
        <v>3983</v>
      </c>
      <c r="U142" s="15">
        <f t="shared" si="43"/>
        <v>303</v>
      </c>
      <c r="V142" s="15">
        <f t="shared" si="44"/>
        <v>20</v>
      </c>
      <c r="W142" s="18" t="str">
        <f t="shared" si="45"/>
        <v/>
      </c>
      <c r="X142" s="17">
        <v>0</v>
      </c>
      <c r="Y142" s="17">
        <v>0</v>
      </c>
      <c r="Z142" s="15">
        <f t="shared" si="46"/>
        <v>0</v>
      </c>
      <c r="AA142" s="17">
        <v>0</v>
      </c>
      <c r="AB142" s="17">
        <v>0</v>
      </c>
      <c r="AC142" s="15">
        <f t="shared" si="47"/>
        <v>0</v>
      </c>
      <c r="AD142" s="17">
        <v>0</v>
      </c>
      <c r="AE142" s="17">
        <v>0</v>
      </c>
      <c r="AF142" s="15">
        <f t="shared" si="48"/>
        <v>0</v>
      </c>
      <c r="AG142" s="17">
        <v>0</v>
      </c>
      <c r="AH142" s="17">
        <v>0</v>
      </c>
      <c r="AI142" s="15">
        <f t="shared" si="49"/>
        <v>0</v>
      </c>
      <c r="AJ142" s="17"/>
    </row>
    <row r="143" spans="1:36" hidden="1" x14ac:dyDescent="0.3">
      <c r="A143" s="15" t="s">
        <v>192</v>
      </c>
      <c r="B143" s="15">
        <v>500</v>
      </c>
      <c r="C143" s="15" t="s">
        <v>54</v>
      </c>
      <c r="D143" s="15" t="s">
        <v>55</v>
      </c>
      <c r="E143" s="15">
        <f>'8-august-2026'!T143</f>
        <v>1</v>
      </c>
      <c r="F143" s="15">
        <f>'8-august-2026'!U143</f>
        <v>0</v>
      </c>
      <c r="G143" s="15">
        <f>'8-august-2026'!V143</f>
        <v>2</v>
      </c>
      <c r="H143" s="15">
        <f t="shared" si="40"/>
        <v>3</v>
      </c>
      <c r="I143" s="17">
        <v>0</v>
      </c>
      <c r="J143" s="17">
        <v>0</v>
      </c>
      <c r="K143" s="17">
        <v>2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5">
        <f t="shared" si="41"/>
        <v>1</v>
      </c>
      <c r="T143" s="15">
        <f t="shared" si="42"/>
        <v>1</v>
      </c>
      <c r="U143" s="15">
        <f t="shared" si="43"/>
        <v>0</v>
      </c>
      <c r="V143" s="15">
        <f t="shared" si="44"/>
        <v>0</v>
      </c>
      <c r="W143" s="18" t="str">
        <f t="shared" si="45"/>
        <v/>
      </c>
      <c r="X143" s="17">
        <v>0</v>
      </c>
      <c r="Y143" s="17">
        <v>0</v>
      </c>
      <c r="Z143" s="15">
        <f t="shared" si="46"/>
        <v>0</v>
      </c>
      <c r="AA143" s="17">
        <v>0</v>
      </c>
      <c r="AB143" s="17">
        <v>0</v>
      </c>
      <c r="AC143" s="15">
        <f t="shared" si="47"/>
        <v>0</v>
      </c>
      <c r="AD143" s="17">
        <v>0</v>
      </c>
      <c r="AE143" s="17">
        <v>0</v>
      </c>
      <c r="AF143" s="15">
        <f t="shared" si="48"/>
        <v>0</v>
      </c>
      <c r="AG143" s="17">
        <v>0</v>
      </c>
      <c r="AH143" s="17">
        <v>0</v>
      </c>
      <c r="AI143" s="15">
        <f t="shared" si="49"/>
        <v>0</v>
      </c>
      <c r="AJ143" s="17"/>
    </row>
    <row r="144" spans="1:36" x14ac:dyDescent="0.3">
      <c r="A144" s="15" t="s">
        <v>193</v>
      </c>
      <c r="B144" s="15">
        <v>100</v>
      </c>
      <c r="C144" s="15" t="s">
        <v>54</v>
      </c>
      <c r="D144" s="15" t="s">
        <v>57</v>
      </c>
      <c r="E144" s="15">
        <f>'8-august-2026'!T144</f>
        <v>1</v>
      </c>
      <c r="F144" s="15">
        <f>'8-august-2026'!U144</f>
        <v>0</v>
      </c>
      <c r="G144" s="15">
        <f>'8-august-2026'!V144</f>
        <v>0</v>
      </c>
      <c r="H144" s="15">
        <f t="shared" si="40"/>
        <v>1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5">
        <f t="shared" si="41"/>
        <v>1</v>
      </c>
      <c r="T144" s="15">
        <f t="shared" si="42"/>
        <v>1</v>
      </c>
      <c r="U144" s="15">
        <f t="shared" si="43"/>
        <v>0</v>
      </c>
      <c r="V144" s="15">
        <f t="shared" si="44"/>
        <v>0</v>
      </c>
      <c r="W144" s="18" t="str">
        <f t="shared" si="45"/>
        <v/>
      </c>
      <c r="X144" s="17">
        <v>0</v>
      </c>
      <c r="Y144" s="17">
        <v>0</v>
      </c>
      <c r="Z144" s="15">
        <f t="shared" si="46"/>
        <v>0</v>
      </c>
      <c r="AA144" s="17">
        <v>0</v>
      </c>
      <c r="AB144" s="17">
        <v>0</v>
      </c>
      <c r="AC144" s="15">
        <f t="shared" si="47"/>
        <v>0</v>
      </c>
      <c r="AD144" s="17">
        <v>0</v>
      </c>
      <c r="AE144" s="17">
        <v>0</v>
      </c>
      <c r="AF144" s="15">
        <f t="shared" si="48"/>
        <v>0</v>
      </c>
      <c r="AG144" s="17">
        <v>0</v>
      </c>
      <c r="AH144" s="17">
        <v>0</v>
      </c>
      <c r="AI144" s="15">
        <f t="shared" si="49"/>
        <v>0</v>
      </c>
      <c r="AJ144" s="17"/>
    </row>
    <row r="145" spans="1:36" hidden="1" x14ac:dyDescent="0.3">
      <c r="A145" s="15" t="s">
        <v>194</v>
      </c>
      <c r="B145" s="15">
        <v>1000</v>
      </c>
      <c r="C145" s="15"/>
      <c r="D145" s="15" t="s">
        <v>55</v>
      </c>
      <c r="E145" s="15">
        <f>'8-august-2026'!T145</f>
        <v>0</v>
      </c>
      <c r="F145" s="15">
        <f>'8-august-2026'!U145</f>
        <v>0</v>
      </c>
      <c r="G145" s="15">
        <f>'8-august-2026'!V145</f>
        <v>0</v>
      </c>
      <c r="H145" s="15">
        <f t="shared" si="40"/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5">
        <f t="shared" si="41"/>
        <v>0</v>
      </c>
      <c r="T145" s="15">
        <f t="shared" si="42"/>
        <v>0</v>
      </c>
      <c r="U145" s="15">
        <f t="shared" si="43"/>
        <v>0</v>
      </c>
      <c r="V145" s="15">
        <f t="shared" si="44"/>
        <v>0</v>
      </c>
      <c r="W145" s="18" t="str">
        <f t="shared" si="45"/>
        <v/>
      </c>
      <c r="X145" s="17">
        <v>0</v>
      </c>
      <c r="Y145" s="17">
        <v>0</v>
      </c>
      <c r="Z145" s="15">
        <f t="shared" si="46"/>
        <v>0</v>
      </c>
      <c r="AA145" s="17">
        <v>0</v>
      </c>
      <c r="AB145" s="17">
        <v>0</v>
      </c>
      <c r="AC145" s="15">
        <f t="shared" si="47"/>
        <v>0</v>
      </c>
      <c r="AD145" s="17">
        <v>0</v>
      </c>
      <c r="AE145" s="17">
        <v>0</v>
      </c>
      <c r="AF145" s="15">
        <f t="shared" si="48"/>
        <v>0</v>
      </c>
      <c r="AG145" s="17">
        <v>0</v>
      </c>
      <c r="AH145" s="17">
        <v>0</v>
      </c>
      <c r="AI145" s="15">
        <f t="shared" si="49"/>
        <v>0</v>
      </c>
      <c r="AJ145" s="17"/>
    </row>
    <row r="146" spans="1:36" x14ac:dyDescent="0.3">
      <c r="A146" s="15" t="s">
        <v>195</v>
      </c>
      <c r="B146" s="15">
        <v>1000</v>
      </c>
      <c r="C146" s="15" t="s">
        <v>54</v>
      </c>
      <c r="D146" s="15" t="s">
        <v>68</v>
      </c>
      <c r="E146" s="15">
        <f>'8-august-2026'!T146</f>
        <v>2</v>
      </c>
      <c r="F146" s="15">
        <f>'8-august-2026'!U146</f>
        <v>0</v>
      </c>
      <c r="G146" s="15">
        <f>'8-august-2026'!V146</f>
        <v>0</v>
      </c>
      <c r="H146" s="15">
        <f t="shared" si="40"/>
        <v>2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5">
        <f t="shared" si="41"/>
        <v>2</v>
      </c>
      <c r="T146" s="15">
        <f t="shared" si="42"/>
        <v>2</v>
      </c>
      <c r="U146" s="15">
        <f t="shared" si="43"/>
        <v>0</v>
      </c>
      <c r="V146" s="15">
        <f t="shared" si="44"/>
        <v>0</v>
      </c>
      <c r="W146" s="18" t="str">
        <f t="shared" si="45"/>
        <v/>
      </c>
      <c r="X146" s="17">
        <v>0</v>
      </c>
      <c r="Y146" s="17">
        <v>0</v>
      </c>
      <c r="Z146" s="15">
        <f t="shared" si="46"/>
        <v>0</v>
      </c>
      <c r="AA146" s="17">
        <v>0</v>
      </c>
      <c r="AB146" s="17">
        <v>0</v>
      </c>
      <c r="AC146" s="15">
        <f t="shared" si="47"/>
        <v>0</v>
      </c>
      <c r="AD146" s="17">
        <v>0</v>
      </c>
      <c r="AE146" s="17">
        <v>0</v>
      </c>
      <c r="AF146" s="15">
        <f t="shared" si="48"/>
        <v>0</v>
      </c>
      <c r="AG146" s="17">
        <v>0</v>
      </c>
      <c r="AH146" s="17">
        <v>0</v>
      </c>
      <c r="AI146" s="15">
        <f t="shared" si="49"/>
        <v>0</v>
      </c>
      <c r="AJ146" s="17"/>
    </row>
    <row r="147" spans="1:36" hidden="1" x14ac:dyDescent="0.3">
      <c r="A147" s="15" t="s">
        <v>196</v>
      </c>
      <c r="B147" s="15">
        <v>100</v>
      </c>
      <c r="C147" s="15" t="s">
        <v>54</v>
      </c>
      <c r="D147" s="15" t="s">
        <v>55</v>
      </c>
      <c r="E147" s="15">
        <f>'8-august-2026'!T147</f>
        <v>382</v>
      </c>
      <c r="F147" s="15">
        <f>'8-august-2026'!U147</f>
        <v>145</v>
      </c>
      <c r="G147" s="15">
        <f>'8-august-2026'!V147</f>
        <v>10</v>
      </c>
      <c r="H147" s="15">
        <f t="shared" si="40"/>
        <v>537</v>
      </c>
      <c r="I147" s="17">
        <v>12</v>
      </c>
      <c r="J147" s="17">
        <v>11</v>
      </c>
      <c r="K147" s="17">
        <v>30</v>
      </c>
      <c r="L147" s="17">
        <v>30</v>
      </c>
      <c r="M147" s="17">
        <v>4</v>
      </c>
      <c r="N147" s="17">
        <v>0</v>
      </c>
      <c r="O147" s="17">
        <v>0</v>
      </c>
      <c r="P147" s="17">
        <v>0</v>
      </c>
      <c r="Q147" s="17">
        <v>34</v>
      </c>
      <c r="R147" s="17">
        <v>0</v>
      </c>
      <c r="S147" s="15">
        <f t="shared" si="41"/>
        <v>484</v>
      </c>
      <c r="T147" s="15">
        <f t="shared" si="42"/>
        <v>340</v>
      </c>
      <c r="U147" s="15">
        <f t="shared" si="43"/>
        <v>130</v>
      </c>
      <c r="V147" s="15">
        <f t="shared" si="44"/>
        <v>14</v>
      </c>
      <c r="W147" s="18" t="str">
        <f t="shared" si="45"/>
        <v/>
      </c>
      <c r="X147" s="17">
        <v>0</v>
      </c>
      <c r="Y147" s="17">
        <v>0</v>
      </c>
      <c r="Z147" s="15">
        <f t="shared" si="46"/>
        <v>0</v>
      </c>
      <c r="AA147" s="17">
        <v>0</v>
      </c>
      <c r="AB147" s="17">
        <v>0</v>
      </c>
      <c r="AC147" s="15">
        <f t="shared" si="47"/>
        <v>0</v>
      </c>
      <c r="AD147" s="17">
        <v>0</v>
      </c>
      <c r="AE147" s="17">
        <v>0</v>
      </c>
      <c r="AF147" s="15">
        <f t="shared" si="48"/>
        <v>0</v>
      </c>
      <c r="AG147" s="17">
        <v>0</v>
      </c>
      <c r="AH147" s="17">
        <v>0</v>
      </c>
      <c r="AI147" s="15">
        <f t="shared" si="49"/>
        <v>0</v>
      </c>
      <c r="AJ147" s="17"/>
    </row>
    <row r="148" spans="1:36" hidden="1" x14ac:dyDescent="0.3">
      <c r="A148" s="15" t="s">
        <v>197</v>
      </c>
      <c r="B148" s="15">
        <v>100</v>
      </c>
      <c r="C148" s="15" t="s">
        <v>54</v>
      </c>
      <c r="D148" s="15" t="s">
        <v>55</v>
      </c>
      <c r="E148" s="15">
        <f>'8-august-2026'!T148</f>
        <v>0</v>
      </c>
      <c r="F148" s="15">
        <f>'8-august-2026'!U148</f>
        <v>0</v>
      </c>
      <c r="G148" s="15">
        <f>'8-august-2026'!V148</f>
        <v>0</v>
      </c>
      <c r="H148" s="15">
        <f t="shared" si="40"/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5">
        <f t="shared" si="41"/>
        <v>0</v>
      </c>
      <c r="T148" s="15">
        <f t="shared" si="42"/>
        <v>0</v>
      </c>
      <c r="U148" s="15">
        <f t="shared" si="43"/>
        <v>0</v>
      </c>
      <c r="V148" s="15">
        <f t="shared" si="44"/>
        <v>0</v>
      </c>
      <c r="W148" s="18" t="str">
        <f t="shared" si="45"/>
        <v/>
      </c>
      <c r="X148" s="17">
        <v>0</v>
      </c>
      <c r="Y148" s="17">
        <v>0</v>
      </c>
      <c r="Z148" s="15">
        <f t="shared" si="46"/>
        <v>0</v>
      </c>
      <c r="AA148" s="17">
        <v>0</v>
      </c>
      <c r="AB148" s="17">
        <v>0</v>
      </c>
      <c r="AC148" s="15">
        <f t="shared" si="47"/>
        <v>0</v>
      </c>
      <c r="AD148" s="17">
        <v>0</v>
      </c>
      <c r="AE148" s="17">
        <v>0</v>
      </c>
      <c r="AF148" s="15">
        <f t="shared" si="48"/>
        <v>0</v>
      </c>
      <c r="AG148" s="17">
        <v>0</v>
      </c>
      <c r="AH148" s="17">
        <v>0</v>
      </c>
      <c r="AI148" s="15">
        <f t="shared" si="49"/>
        <v>0</v>
      </c>
      <c r="AJ148" s="17"/>
    </row>
    <row r="149" spans="1:36" hidden="1" x14ac:dyDescent="0.3">
      <c r="A149" s="15" t="s">
        <v>198</v>
      </c>
      <c r="B149" s="15">
        <v>100</v>
      </c>
      <c r="C149" s="15" t="s">
        <v>54</v>
      </c>
      <c r="D149" s="15" t="s">
        <v>55</v>
      </c>
      <c r="E149" s="15">
        <f>'8-august-2026'!T149</f>
        <v>24</v>
      </c>
      <c r="F149" s="15">
        <f>'8-august-2026'!U149</f>
        <v>63</v>
      </c>
      <c r="G149" s="15">
        <f>'8-august-2026'!V149</f>
        <v>49</v>
      </c>
      <c r="H149" s="15">
        <f t="shared" si="40"/>
        <v>136</v>
      </c>
      <c r="I149" s="17">
        <v>23</v>
      </c>
      <c r="J149" s="17">
        <v>52</v>
      </c>
      <c r="K149" s="17">
        <v>15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5">
        <f t="shared" si="41"/>
        <v>46</v>
      </c>
      <c r="T149" s="15">
        <f t="shared" si="42"/>
        <v>1</v>
      </c>
      <c r="U149" s="15">
        <f t="shared" si="43"/>
        <v>11</v>
      </c>
      <c r="V149" s="15">
        <f t="shared" si="44"/>
        <v>34</v>
      </c>
      <c r="W149" s="18" t="str">
        <f t="shared" si="45"/>
        <v/>
      </c>
      <c r="X149" s="17">
        <v>0</v>
      </c>
      <c r="Y149" s="17">
        <v>0</v>
      </c>
      <c r="Z149" s="15">
        <f t="shared" si="46"/>
        <v>0</v>
      </c>
      <c r="AA149" s="17">
        <v>0</v>
      </c>
      <c r="AB149" s="17">
        <v>0</v>
      </c>
      <c r="AC149" s="15">
        <f t="shared" si="47"/>
        <v>0</v>
      </c>
      <c r="AD149" s="17">
        <v>0</v>
      </c>
      <c r="AE149" s="17">
        <v>0</v>
      </c>
      <c r="AF149" s="15">
        <f t="shared" si="48"/>
        <v>0</v>
      </c>
      <c r="AG149" s="17">
        <v>0</v>
      </c>
      <c r="AH149" s="17">
        <v>0</v>
      </c>
      <c r="AI149" s="15">
        <f t="shared" si="49"/>
        <v>0</v>
      </c>
      <c r="AJ149" s="17"/>
    </row>
    <row r="150" spans="1:36" hidden="1" x14ac:dyDescent="0.3">
      <c r="A150" s="15" t="s">
        <v>199</v>
      </c>
      <c r="B150" s="15">
        <v>500</v>
      </c>
      <c r="C150" s="15" t="s">
        <v>54</v>
      </c>
      <c r="D150" s="15" t="s">
        <v>55</v>
      </c>
      <c r="E150" s="15">
        <f>'8-august-2026'!T150</f>
        <v>4</v>
      </c>
      <c r="F150" s="15">
        <f>'8-august-2026'!U150</f>
        <v>1</v>
      </c>
      <c r="G150" s="15">
        <f>'8-august-2026'!V150</f>
        <v>1</v>
      </c>
      <c r="H150" s="15">
        <f t="shared" si="40"/>
        <v>6</v>
      </c>
      <c r="I150" s="17">
        <v>0</v>
      </c>
      <c r="J150" s="17">
        <v>0</v>
      </c>
      <c r="K150" s="17">
        <v>4</v>
      </c>
      <c r="L150" s="17">
        <v>4</v>
      </c>
      <c r="M150" s="17">
        <v>0</v>
      </c>
      <c r="N150" s="17">
        <v>0</v>
      </c>
      <c r="O150" s="17">
        <v>0</v>
      </c>
      <c r="P150" s="17">
        <v>0</v>
      </c>
      <c r="Q150" s="17">
        <v>4</v>
      </c>
      <c r="R150" s="17">
        <v>0</v>
      </c>
      <c r="S150" s="15">
        <f t="shared" si="41"/>
        <v>2</v>
      </c>
      <c r="T150" s="15">
        <f t="shared" si="42"/>
        <v>0</v>
      </c>
      <c r="U150" s="15">
        <f t="shared" si="43"/>
        <v>1</v>
      </c>
      <c r="V150" s="15">
        <f t="shared" si="44"/>
        <v>1</v>
      </c>
      <c r="W150" s="18" t="str">
        <f t="shared" si="45"/>
        <v/>
      </c>
      <c r="X150" s="17">
        <v>0</v>
      </c>
      <c r="Y150" s="17">
        <v>0</v>
      </c>
      <c r="Z150" s="15">
        <f t="shared" si="46"/>
        <v>0</v>
      </c>
      <c r="AA150" s="17">
        <v>0</v>
      </c>
      <c r="AB150" s="17">
        <v>0</v>
      </c>
      <c r="AC150" s="15">
        <f t="shared" si="47"/>
        <v>0</v>
      </c>
      <c r="AD150" s="17">
        <v>0</v>
      </c>
      <c r="AE150" s="17">
        <v>0</v>
      </c>
      <c r="AF150" s="15">
        <f t="shared" si="48"/>
        <v>0</v>
      </c>
      <c r="AG150" s="17">
        <v>0</v>
      </c>
      <c r="AH150" s="17">
        <v>0</v>
      </c>
      <c r="AI150" s="15">
        <f t="shared" si="49"/>
        <v>0</v>
      </c>
      <c r="AJ150" s="17"/>
    </row>
    <row r="151" spans="1:36" hidden="1" x14ac:dyDescent="0.3">
      <c r="A151" s="15" t="s">
        <v>200</v>
      </c>
      <c r="B151" s="15">
        <v>100</v>
      </c>
      <c r="C151" s="15" t="s">
        <v>54</v>
      </c>
      <c r="D151" s="15" t="s">
        <v>55</v>
      </c>
      <c r="E151" s="15">
        <f>'8-august-2026'!T151</f>
        <v>207</v>
      </c>
      <c r="F151" s="15">
        <f>'8-august-2026'!U151</f>
        <v>69</v>
      </c>
      <c r="G151" s="15">
        <f>'8-august-2026'!V151</f>
        <v>26</v>
      </c>
      <c r="H151" s="15">
        <f t="shared" si="40"/>
        <v>302</v>
      </c>
      <c r="I151" s="17">
        <v>1</v>
      </c>
      <c r="J151" s="17">
        <v>2</v>
      </c>
      <c r="K151" s="17">
        <v>15</v>
      </c>
      <c r="L151" s="17">
        <v>15</v>
      </c>
      <c r="M151" s="17">
        <v>0</v>
      </c>
      <c r="N151" s="17">
        <v>0</v>
      </c>
      <c r="O151" s="17">
        <v>0</v>
      </c>
      <c r="P151" s="17">
        <v>0</v>
      </c>
      <c r="Q151" s="17">
        <v>15</v>
      </c>
      <c r="R151" s="17">
        <v>0</v>
      </c>
      <c r="S151" s="15">
        <f t="shared" si="41"/>
        <v>284</v>
      </c>
      <c r="T151" s="15">
        <f t="shared" si="42"/>
        <v>191</v>
      </c>
      <c r="U151" s="15">
        <f t="shared" si="43"/>
        <v>67</v>
      </c>
      <c r="V151" s="15">
        <f t="shared" si="44"/>
        <v>26</v>
      </c>
      <c r="W151" s="18" t="str">
        <f t="shared" si="45"/>
        <v/>
      </c>
      <c r="X151" s="17">
        <v>0</v>
      </c>
      <c r="Y151" s="17">
        <v>0</v>
      </c>
      <c r="Z151" s="15">
        <f t="shared" si="46"/>
        <v>0</v>
      </c>
      <c r="AA151" s="17">
        <v>0</v>
      </c>
      <c r="AB151" s="17">
        <v>0</v>
      </c>
      <c r="AC151" s="15">
        <f t="shared" si="47"/>
        <v>0</v>
      </c>
      <c r="AD151" s="17">
        <v>0</v>
      </c>
      <c r="AE151" s="17">
        <v>0</v>
      </c>
      <c r="AF151" s="15">
        <f t="shared" si="48"/>
        <v>0</v>
      </c>
      <c r="AG151" s="17">
        <v>0</v>
      </c>
      <c r="AH151" s="17">
        <v>0</v>
      </c>
      <c r="AI151" s="15">
        <f t="shared" si="49"/>
        <v>0</v>
      </c>
      <c r="AJ151" s="17"/>
    </row>
    <row r="152" spans="1:36" hidden="1" x14ac:dyDescent="0.3">
      <c r="A152" s="15" t="s">
        <v>201</v>
      </c>
      <c r="B152" s="15">
        <v>100</v>
      </c>
      <c r="C152" s="15" t="s">
        <v>54</v>
      </c>
      <c r="D152" s="15" t="s">
        <v>55</v>
      </c>
      <c r="E152" s="15">
        <f>'8-august-2026'!T152</f>
        <v>5</v>
      </c>
      <c r="F152" s="15">
        <f>'8-august-2026'!U152</f>
        <v>109</v>
      </c>
      <c r="G152" s="15">
        <f>'8-august-2026'!V152</f>
        <v>32</v>
      </c>
      <c r="H152" s="15">
        <f t="shared" si="40"/>
        <v>146</v>
      </c>
      <c r="I152" s="17">
        <v>0</v>
      </c>
      <c r="J152" s="17">
        <v>52</v>
      </c>
      <c r="K152" s="17">
        <v>7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5">
        <f t="shared" si="41"/>
        <v>87</v>
      </c>
      <c r="T152" s="15">
        <f t="shared" si="42"/>
        <v>5</v>
      </c>
      <c r="U152" s="15">
        <f t="shared" si="43"/>
        <v>57</v>
      </c>
      <c r="V152" s="15">
        <f t="shared" si="44"/>
        <v>25</v>
      </c>
      <c r="W152" s="18" t="str">
        <f t="shared" si="45"/>
        <v/>
      </c>
      <c r="X152" s="17">
        <v>0</v>
      </c>
      <c r="Y152" s="17">
        <v>0</v>
      </c>
      <c r="Z152" s="15">
        <f t="shared" si="46"/>
        <v>0</v>
      </c>
      <c r="AA152" s="17">
        <v>0</v>
      </c>
      <c r="AB152" s="17">
        <v>0</v>
      </c>
      <c r="AC152" s="15">
        <f t="shared" si="47"/>
        <v>0</v>
      </c>
      <c r="AD152" s="17">
        <v>0</v>
      </c>
      <c r="AE152" s="17">
        <v>0</v>
      </c>
      <c r="AF152" s="15">
        <f t="shared" si="48"/>
        <v>0</v>
      </c>
      <c r="AG152" s="17">
        <v>0</v>
      </c>
      <c r="AH152" s="17">
        <v>0</v>
      </c>
      <c r="AI152" s="15">
        <f t="shared" si="49"/>
        <v>0</v>
      </c>
      <c r="AJ152" s="17"/>
    </row>
    <row r="153" spans="1:36" hidden="1" x14ac:dyDescent="0.3">
      <c r="A153" s="15" t="s">
        <v>202</v>
      </c>
      <c r="B153" s="15">
        <v>100</v>
      </c>
      <c r="C153" s="15" t="s">
        <v>54</v>
      </c>
      <c r="D153" s="15" t="s">
        <v>55</v>
      </c>
      <c r="E153" s="15">
        <f>'8-august-2026'!T153</f>
        <v>13</v>
      </c>
      <c r="F153" s="15">
        <f>'8-august-2026'!U153</f>
        <v>0</v>
      </c>
      <c r="G153" s="15">
        <f>'8-august-2026'!V153</f>
        <v>0</v>
      </c>
      <c r="H153" s="15">
        <f t="shared" si="40"/>
        <v>13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5">
        <f t="shared" si="41"/>
        <v>13</v>
      </c>
      <c r="T153" s="15">
        <f t="shared" si="42"/>
        <v>13</v>
      </c>
      <c r="U153" s="15">
        <f t="shared" si="43"/>
        <v>0</v>
      </c>
      <c r="V153" s="15">
        <f t="shared" si="44"/>
        <v>0</v>
      </c>
      <c r="W153" s="18" t="str">
        <f t="shared" si="45"/>
        <v/>
      </c>
      <c r="X153" s="17">
        <v>0</v>
      </c>
      <c r="Y153" s="17">
        <v>0</v>
      </c>
      <c r="Z153" s="15">
        <f t="shared" si="46"/>
        <v>0</v>
      </c>
      <c r="AA153" s="17">
        <v>0</v>
      </c>
      <c r="AB153" s="17">
        <v>0</v>
      </c>
      <c r="AC153" s="15">
        <f t="shared" si="47"/>
        <v>0</v>
      </c>
      <c r="AD153" s="17">
        <v>0</v>
      </c>
      <c r="AE153" s="17">
        <v>0</v>
      </c>
      <c r="AF153" s="15">
        <f t="shared" si="48"/>
        <v>0</v>
      </c>
      <c r="AG153" s="17">
        <v>0</v>
      </c>
      <c r="AH153" s="17">
        <v>0</v>
      </c>
      <c r="AI153" s="15">
        <f t="shared" si="49"/>
        <v>0</v>
      </c>
      <c r="AJ153" s="17"/>
    </row>
    <row r="154" spans="1:36" hidden="1" x14ac:dyDescent="0.3">
      <c r="A154" s="15" t="s">
        <v>203</v>
      </c>
      <c r="B154" s="15">
        <v>100</v>
      </c>
      <c r="C154" s="15" t="s">
        <v>54</v>
      </c>
      <c r="D154" s="15" t="s">
        <v>55</v>
      </c>
      <c r="E154" s="15">
        <f>'8-august-2026'!T154</f>
        <v>13</v>
      </c>
      <c r="F154" s="15">
        <f>'8-august-2026'!U154</f>
        <v>0</v>
      </c>
      <c r="G154" s="15">
        <f>'8-august-2026'!V154</f>
        <v>0</v>
      </c>
      <c r="H154" s="15">
        <f t="shared" si="40"/>
        <v>13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5">
        <f t="shared" si="41"/>
        <v>13</v>
      </c>
      <c r="T154" s="15">
        <f t="shared" si="42"/>
        <v>13</v>
      </c>
      <c r="U154" s="15">
        <f t="shared" si="43"/>
        <v>0</v>
      </c>
      <c r="V154" s="15">
        <f t="shared" si="44"/>
        <v>0</v>
      </c>
      <c r="W154" s="18" t="str">
        <f t="shared" si="45"/>
        <v/>
      </c>
      <c r="X154" s="17">
        <v>0</v>
      </c>
      <c r="Y154" s="17">
        <v>0</v>
      </c>
      <c r="Z154" s="15">
        <f t="shared" si="46"/>
        <v>0</v>
      </c>
      <c r="AA154" s="17">
        <v>0</v>
      </c>
      <c r="AB154" s="17">
        <v>0</v>
      </c>
      <c r="AC154" s="15">
        <f t="shared" si="47"/>
        <v>0</v>
      </c>
      <c r="AD154" s="17">
        <v>0</v>
      </c>
      <c r="AE154" s="17">
        <v>0</v>
      </c>
      <c r="AF154" s="15">
        <f t="shared" si="48"/>
        <v>0</v>
      </c>
      <c r="AG154" s="17">
        <v>0</v>
      </c>
      <c r="AH154" s="17">
        <v>0</v>
      </c>
      <c r="AI154" s="15">
        <f t="shared" si="49"/>
        <v>0</v>
      </c>
      <c r="AJ154" s="17"/>
    </row>
    <row r="155" spans="1:36" hidden="1" x14ac:dyDescent="0.3">
      <c r="A155" s="15" t="s">
        <v>204</v>
      </c>
      <c r="B155" s="15">
        <v>10000</v>
      </c>
      <c r="C155" s="15" t="s">
        <v>54</v>
      </c>
      <c r="D155" s="15" t="s">
        <v>55</v>
      </c>
      <c r="E155" s="15">
        <v>0</v>
      </c>
      <c r="F155" s="15">
        <v>0</v>
      </c>
      <c r="G155" s="15">
        <v>0</v>
      </c>
      <c r="H155" s="15">
        <f t="shared" si="40"/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5">
        <f t="shared" si="41"/>
        <v>0</v>
      </c>
      <c r="T155" s="15">
        <f t="shared" si="42"/>
        <v>0</v>
      </c>
      <c r="U155" s="15">
        <f t="shared" si="43"/>
        <v>0</v>
      </c>
      <c r="V155" s="15">
        <f t="shared" si="44"/>
        <v>0</v>
      </c>
      <c r="W155" s="18" t="str">
        <f t="shared" si="45"/>
        <v/>
      </c>
      <c r="X155" s="17">
        <v>0</v>
      </c>
      <c r="Y155" s="17">
        <v>0</v>
      </c>
      <c r="Z155" s="15">
        <f t="shared" si="46"/>
        <v>0</v>
      </c>
      <c r="AA155" s="17">
        <v>0</v>
      </c>
      <c r="AB155" s="17">
        <v>0</v>
      </c>
      <c r="AC155" s="15">
        <f t="shared" si="47"/>
        <v>0</v>
      </c>
      <c r="AD155" s="17">
        <v>0</v>
      </c>
      <c r="AE155" s="17">
        <v>0</v>
      </c>
      <c r="AF155" s="15">
        <f t="shared" si="48"/>
        <v>0</v>
      </c>
      <c r="AG155" s="17">
        <v>0</v>
      </c>
      <c r="AH155" s="17">
        <v>0</v>
      </c>
      <c r="AI155" s="15">
        <f t="shared" si="49"/>
        <v>0</v>
      </c>
      <c r="AJ155" s="17"/>
    </row>
    <row r="156" spans="1:36" x14ac:dyDescent="0.3">
      <c r="A156" s="15" t="s">
        <v>205</v>
      </c>
      <c r="B156" s="15">
        <v>1000</v>
      </c>
      <c r="C156" s="15" t="s">
        <v>54</v>
      </c>
      <c r="D156" s="15" t="s">
        <v>57</v>
      </c>
      <c r="E156" s="15">
        <f>'8-august-2026'!T156</f>
        <v>5</v>
      </c>
      <c r="F156" s="15">
        <f>'8-august-2026'!U156</f>
        <v>0</v>
      </c>
      <c r="G156" s="15">
        <f>'8-august-2026'!V156</f>
        <v>0</v>
      </c>
      <c r="H156" s="15">
        <f t="shared" si="40"/>
        <v>5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5">
        <f t="shared" si="41"/>
        <v>5</v>
      </c>
      <c r="T156" s="15">
        <f t="shared" si="42"/>
        <v>5</v>
      </c>
      <c r="U156" s="15">
        <f t="shared" si="43"/>
        <v>0</v>
      </c>
      <c r="V156" s="15">
        <f t="shared" si="44"/>
        <v>0</v>
      </c>
      <c r="W156" s="18" t="str">
        <f t="shared" si="45"/>
        <v/>
      </c>
      <c r="X156" s="17">
        <v>0</v>
      </c>
      <c r="Y156" s="17">
        <v>0</v>
      </c>
      <c r="Z156" s="15">
        <f t="shared" si="46"/>
        <v>0</v>
      </c>
      <c r="AA156" s="17">
        <v>0</v>
      </c>
      <c r="AB156" s="17">
        <v>0</v>
      </c>
      <c r="AC156" s="15">
        <f t="shared" si="47"/>
        <v>0</v>
      </c>
      <c r="AD156" s="17">
        <v>0</v>
      </c>
      <c r="AE156" s="17">
        <v>0</v>
      </c>
      <c r="AF156" s="15">
        <f t="shared" si="48"/>
        <v>0</v>
      </c>
      <c r="AG156" s="17">
        <v>0</v>
      </c>
      <c r="AH156" s="17">
        <v>0</v>
      </c>
      <c r="AI156" s="15">
        <f t="shared" si="49"/>
        <v>0</v>
      </c>
      <c r="AJ156" s="17"/>
    </row>
    <row r="157" spans="1:36" x14ac:dyDescent="0.3">
      <c r="A157" s="15" t="s">
        <v>206</v>
      </c>
      <c r="B157" s="15">
        <v>1000</v>
      </c>
      <c r="C157" s="15" t="s">
        <v>54</v>
      </c>
      <c r="D157" s="15" t="s">
        <v>57</v>
      </c>
      <c r="E157" s="15">
        <f>'8-august-2026'!T157</f>
        <v>-2</v>
      </c>
      <c r="F157" s="15">
        <f>'8-august-2026'!U157</f>
        <v>0</v>
      </c>
      <c r="G157" s="15">
        <f>'8-august-2026'!V157</f>
        <v>0</v>
      </c>
      <c r="H157" s="15">
        <f t="shared" si="40"/>
        <v>-2</v>
      </c>
      <c r="I157" s="17">
        <v>2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5">
        <f t="shared" si="41"/>
        <v>-4</v>
      </c>
      <c r="T157" s="15">
        <f t="shared" si="42"/>
        <v>-4</v>
      </c>
      <c r="U157" s="15">
        <f t="shared" si="43"/>
        <v>0</v>
      </c>
      <c r="V157" s="15">
        <f t="shared" si="44"/>
        <v>0</v>
      </c>
      <c r="W157" s="18" t="str">
        <f t="shared" si="45"/>
        <v>NEGATIVE STOCK - CHECK ENTRIES</v>
      </c>
      <c r="X157" s="17">
        <v>0</v>
      </c>
      <c r="Y157" s="17">
        <v>0</v>
      </c>
      <c r="Z157" s="15">
        <f t="shared" si="46"/>
        <v>0</v>
      </c>
      <c r="AA157" s="17">
        <v>0</v>
      </c>
      <c r="AB157" s="17">
        <v>0</v>
      </c>
      <c r="AC157" s="15">
        <f t="shared" si="47"/>
        <v>0</v>
      </c>
      <c r="AD157" s="17">
        <v>0</v>
      </c>
      <c r="AE157" s="17">
        <v>0</v>
      </c>
      <c r="AF157" s="15">
        <f t="shared" si="48"/>
        <v>0</v>
      </c>
      <c r="AG157" s="17">
        <v>0</v>
      </c>
      <c r="AH157" s="17">
        <v>0</v>
      </c>
      <c r="AI157" s="15">
        <f t="shared" si="49"/>
        <v>0</v>
      </c>
      <c r="AJ157" s="17"/>
    </row>
    <row r="158" spans="1:36" x14ac:dyDescent="0.3">
      <c r="A158" s="15" t="s">
        <v>207</v>
      </c>
      <c r="B158" s="15">
        <v>1000</v>
      </c>
      <c r="C158" s="15" t="s">
        <v>54</v>
      </c>
      <c r="D158" s="15" t="s">
        <v>68</v>
      </c>
      <c r="E158" s="15">
        <f>'8-august-2026'!T158</f>
        <v>3</v>
      </c>
      <c r="F158" s="15">
        <f>'8-august-2026'!U158</f>
        <v>0</v>
      </c>
      <c r="G158" s="15">
        <f>'8-august-2026'!V158</f>
        <v>0</v>
      </c>
      <c r="H158" s="15">
        <f t="shared" si="40"/>
        <v>3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5">
        <f t="shared" si="41"/>
        <v>3</v>
      </c>
      <c r="T158" s="15">
        <f t="shared" si="42"/>
        <v>3</v>
      </c>
      <c r="U158" s="15">
        <f t="shared" si="43"/>
        <v>0</v>
      </c>
      <c r="V158" s="15">
        <f t="shared" si="44"/>
        <v>0</v>
      </c>
      <c r="W158" s="18" t="str">
        <f t="shared" si="45"/>
        <v/>
      </c>
      <c r="X158" s="17">
        <v>0</v>
      </c>
      <c r="Y158" s="17">
        <v>0</v>
      </c>
      <c r="Z158" s="15">
        <f t="shared" si="46"/>
        <v>0</v>
      </c>
      <c r="AA158" s="17">
        <v>0</v>
      </c>
      <c r="AB158" s="17">
        <v>0</v>
      </c>
      <c r="AC158" s="15">
        <f t="shared" si="47"/>
        <v>0</v>
      </c>
      <c r="AD158" s="17">
        <v>0</v>
      </c>
      <c r="AE158" s="17">
        <v>0</v>
      </c>
      <c r="AF158" s="15">
        <f t="shared" si="48"/>
        <v>0</v>
      </c>
      <c r="AG158" s="17">
        <v>0</v>
      </c>
      <c r="AH158" s="17">
        <v>0</v>
      </c>
      <c r="AI158" s="15">
        <f t="shared" si="49"/>
        <v>0</v>
      </c>
      <c r="AJ158" s="17"/>
    </row>
    <row r="159" spans="1:36" x14ac:dyDescent="0.3">
      <c r="A159" s="15" t="s">
        <v>208</v>
      </c>
      <c r="B159" s="15">
        <v>1000</v>
      </c>
      <c r="C159" s="15" t="s">
        <v>54</v>
      </c>
      <c r="D159" s="15" t="s">
        <v>68</v>
      </c>
      <c r="E159" s="15">
        <f>'8-august-2026'!T159</f>
        <v>9</v>
      </c>
      <c r="F159" s="15">
        <f>'8-august-2026'!U159</f>
        <v>0</v>
      </c>
      <c r="G159" s="15">
        <f>'8-august-2026'!V159</f>
        <v>0</v>
      </c>
      <c r="H159" s="15">
        <f t="shared" si="40"/>
        <v>9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5">
        <f t="shared" si="41"/>
        <v>9</v>
      </c>
      <c r="T159" s="15">
        <f t="shared" si="42"/>
        <v>9</v>
      </c>
      <c r="U159" s="15">
        <f t="shared" si="43"/>
        <v>0</v>
      </c>
      <c r="V159" s="15">
        <f t="shared" si="44"/>
        <v>0</v>
      </c>
      <c r="W159" s="18" t="str">
        <f t="shared" si="45"/>
        <v/>
      </c>
      <c r="X159" s="17">
        <v>0</v>
      </c>
      <c r="Y159" s="17">
        <v>0</v>
      </c>
      <c r="Z159" s="15">
        <f t="shared" si="46"/>
        <v>0</v>
      </c>
      <c r="AA159" s="17">
        <v>0</v>
      </c>
      <c r="AB159" s="17">
        <v>0</v>
      </c>
      <c r="AC159" s="15">
        <f t="shared" si="47"/>
        <v>0</v>
      </c>
      <c r="AD159" s="17">
        <v>0</v>
      </c>
      <c r="AE159" s="17">
        <v>0</v>
      </c>
      <c r="AF159" s="15">
        <f t="shared" si="48"/>
        <v>0</v>
      </c>
      <c r="AG159" s="17">
        <v>0</v>
      </c>
      <c r="AH159" s="17">
        <v>0</v>
      </c>
      <c r="AI159" s="15">
        <f t="shared" si="49"/>
        <v>0</v>
      </c>
      <c r="AJ159" s="17"/>
    </row>
    <row r="160" spans="1:36" x14ac:dyDescent="0.3">
      <c r="A160" s="15" t="s">
        <v>209</v>
      </c>
      <c r="B160" s="15">
        <v>100</v>
      </c>
      <c r="C160" s="15" t="s">
        <v>54</v>
      </c>
      <c r="D160" s="15" t="s">
        <v>57</v>
      </c>
      <c r="E160" s="15">
        <f>'8-august-2026'!T160</f>
        <v>1</v>
      </c>
      <c r="F160" s="15">
        <f>'8-august-2026'!U160</f>
        <v>0</v>
      </c>
      <c r="G160" s="15">
        <f>'8-august-2026'!V160</f>
        <v>0</v>
      </c>
      <c r="H160" s="15">
        <f t="shared" si="40"/>
        <v>1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5">
        <f t="shared" si="41"/>
        <v>1</v>
      </c>
      <c r="T160" s="15">
        <f t="shared" si="42"/>
        <v>1</v>
      </c>
      <c r="U160" s="15">
        <f t="shared" si="43"/>
        <v>0</v>
      </c>
      <c r="V160" s="15">
        <f t="shared" si="44"/>
        <v>0</v>
      </c>
      <c r="W160" s="18" t="str">
        <f t="shared" si="45"/>
        <v/>
      </c>
      <c r="X160" s="17">
        <v>0</v>
      </c>
      <c r="Y160" s="17">
        <v>0</v>
      </c>
      <c r="Z160" s="15">
        <f t="shared" si="46"/>
        <v>0</v>
      </c>
      <c r="AA160" s="17">
        <v>0</v>
      </c>
      <c r="AB160" s="17">
        <v>0</v>
      </c>
      <c r="AC160" s="15">
        <f t="shared" si="47"/>
        <v>0</v>
      </c>
      <c r="AD160" s="17">
        <v>0</v>
      </c>
      <c r="AE160" s="17">
        <v>0</v>
      </c>
      <c r="AF160" s="15">
        <f t="shared" si="48"/>
        <v>0</v>
      </c>
      <c r="AG160" s="17">
        <v>0</v>
      </c>
      <c r="AH160" s="17">
        <v>0</v>
      </c>
      <c r="AI160" s="15">
        <f t="shared" si="49"/>
        <v>0</v>
      </c>
      <c r="AJ160" s="17"/>
    </row>
    <row r="161" spans="1:36" x14ac:dyDescent="0.3">
      <c r="A161" s="15" t="s">
        <v>210</v>
      </c>
      <c r="B161" s="15">
        <v>1000</v>
      </c>
      <c r="C161" s="15" t="s">
        <v>54</v>
      </c>
      <c r="D161" s="15" t="s">
        <v>68</v>
      </c>
      <c r="E161" s="15">
        <f>'8-august-2026'!T161</f>
        <v>3</v>
      </c>
      <c r="F161" s="15">
        <f>'8-august-2026'!U161</f>
        <v>0</v>
      </c>
      <c r="G161" s="15">
        <f>'8-august-2026'!V161</f>
        <v>0</v>
      </c>
      <c r="H161" s="15">
        <f t="shared" si="40"/>
        <v>3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5">
        <f t="shared" si="41"/>
        <v>3</v>
      </c>
      <c r="T161" s="15">
        <f t="shared" si="42"/>
        <v>3</v>
      </c>
      <c r="U161" s="15">
        <f t="shared" si="43"/>
        <v>0</v>
      </c>
      <c r="V161" s="15">
        <f t="shared" si="44"/>
        <v>0</v>
      </c>
      <c r="W161" s="18" t="str">
        <f t="shared" si="45"/>
        <v/>
      </c>
      <c r="X161" s="17">
        <v>0</v>
      </c>
      <c r="Y161" s="17">
        <v>0</v>
      </c>
      <c r="Z161" s="15">
        <f t="shared" si="46"/>
        <v>0</v>
      </c>
      <c r="AA161" s="17">
        <v>0</v>
      </c>
      <c r="AB161" s="17">
        <v>0</v>
      </c>
      <c r="AC161" s="15">
        <f t="shared" si="47"/>
        <v>0</v>
      </c>
      <c r="AD161" s="17">
        <v>0</v>
      </c>
      <c r="AE161" s="17">
        <v>0</v>
      </c>
      <c r="AF161" s="15">
        <f t="shared" si="48"/>
        <v>0</v>
      </c>
      <c r="AG161" s="17">
        <v>0</v>
      </c>
      <c r="AH161" s="17">
        <v>0</v>
      </c>
      <c r="AI161" s="15">
        <f t="shared" si="49"/>
        <v>0</v>
      </c>
      <c r="AJ161" s="17"/>
    </row>
    <row r="162" spans="1:36" hidden="1" x14ac:dyDescent="0.3">
      <c r="A162" s="15" t="s">
        <v>211</v>
      </c>
      <c r="B162" s="15">
        <v>100</v>
      </c>
      <c r="C162" s="15" t="s">
        <v>54</v>
      </c>
      <c r="D162" s="15" t="s">
        <v>55</v>
      </c>
      <c r="E162" s="15">
        <f>'8-august-2026'!T162</f>
        <v>106</v>
      </c>
      <c r="F162" s="15">
        <f>'8-august-2026'!U162</f>
        <v>155</v>
      </c>
      <c r="G162" s="15">
        <f>'8-august-2026'!V162</f>
        <v>0</v>
      </c>
      <c r="H162" s="15">
        <f t="shared" si="40"/>
        <v>261</v>
      </c>
      <c r="I162" s="17">
        <v>19</v>
      </c>
      <c r="J162" s="17">
        <v>3</v>
      </c>
      <c r="K162" s="17">
        <v>0</v>
      </c>
      <c r="L162" s="17">
        <v>0</v>
      </c>
      <c r="M162" s="17">
        <v>3</v>
      </c>
      <c r="N162" s="17">
        <v>0</v>
      </c>
      <c r="O162" s="17">
        <v>0</v>
      </c>
      <c r="P162" s="17">
        <v>0</v>
      </c>
      <c r="Q162" s="17">
        <v>3</v>
      </c>
      <c r="R162" s="17">
        <v>0</v>
      </c>
      <c r="S162" s="15">
        <f t="shared" si="41"/>
        <v>239</v>
      </c>
      <c r="T162" s="15">
        <f t="shared" si="42"/>
        <v>87</v>
      </c>
      <c r="U162" s="15">
        <f t="shared" si="43"/>
        <v>149</v>
      </c>
      <c r="V162" s="15">
        <f t="shared" si="44"/>
        <v>3</v>
      </c>
      <c r="W162" s="18" t="str">
        <f t="shared" si="45"/>
        <v/>
      </c>
      <c r="X162" s="17">
        <v>0</v>
      </c>
      <c r="Y162" s="17">
        <v>0</v>
      </c>
      <c r="Z162" s="15">
        <f t="shared" si="46"/>
        <v>0</v>
      </c>
      <c r="AA162" s="17">
        <v>0</v>
      </c>
      <c r="AB162" s="17">
        <v>0</v>
      </c>
      <c r="AC162" s="15">
        <f t="shared" si="47"/>
        <v>0</v>
      </c>
      <c r="AD162" s="17">
        <v>0</v>
      </c>
      <c r="AE162" s="17">
        <v>0</v>
      </c>
      <c r="AF162" s="15">
        <f t="shared" si="48"/>
        <v>0</v>
      </c>
      <c r="AG162" s="17">
        <v>0</v>
      </c>
      <c r="AH162" s="17">
        <v>0</v>
      </c>
      <c r="AI162" s="15">
        <f t="shared" si="49"/>
        <v>0</v>
      </c>
      <c r="AJ162" s="17"/>
    </row>
    <row r="163" spans="1:36" hidden="1" x14ac:dyDescent="0.3">
      <c r="A163" s="15" t="s">
        <v>212</v>
      </c>
      <c r="B163" s="15">
        <v>100</v>
      </c>
      <c r="C163" s="15" t="s">
        <v>54</v>
      </c>
      <c r="D163" s="15" t="s">
        <v>55</v>
      </c>
      <c r="E163" s="15">
        <f>'8-august-2026'!T163</f>
        <v>11</v>
      </c>
      <c r="F163" s="15">
        <f>'8-august-2026'!U163</f>
        <v>6</v>
      </c>
      <c r="G163" s="15">
        <f>'8-august-2026'!V163</f>
        <v>3</v>
      </c>
      <c r="H163" s="15">
        <f t="shared" ref="H163:H194" si="50">E163+F163+G163</f>
        <v>20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5">
        <f t="shared" ref="S163:S194" si="51">H163+O163+P163+Q163+R163-(I163+J163+K163+L163+M163+N163)</f>
        <v>20</v>
      </c>
      <c r="T163" s="15">
        <f t="shared" ref="T163:T199" si="52">E163+O163-I163-L163</f>
        <v>11</v>
      </c>
      <c r="U163" s="15">
        <f t="shared" ref="U163:U199" si="53">F163+P163-J163-M163</f>
        <v>6</v>
      </c>
      <c r="V163" s="15">
        <f t="shared" ref="V163:V199" si="54">G163+Q163-K163-N163</f>
        <v>3</v>
      </c>
      <c r="W163" s="18" t="str">
        <f t="shared" ref="W163:W194" si="55">IF(MIN(T163,U163,V163)&lt;0,"NEGATIVE STOCK - CHECK ENTRIES","")</f>
        <v/>
      </c>
      <c r="X163" s="17">
        <v>0</v>
      </c>
      <c r="Y163" s="17">
        <v>0</v>
      </c>
      <c r="Z163" s="15">
        <f t="shared" ref="Z163:Z194" si="56">X163-Y163</f>
        <v>0</v>
      </c>
      <c r="AA163" s="17">
        <v>0</v>
      </c>
      <c r="AB163" s="17">
        <v>0</v>
      </c>
      <c r="AC163" s="15">
        <f t="shared" ref="AC163:AC194" si="57">AA163-AB163</f>
        <v>0</v>
      </c>
      <c r="AD163" s="17">
        <v>0</v>
      </c>
      <c r="AE163" s="17">
        <v>0</v>
      </c>
      <c r="AF163" s="15">
        <f t="shared" ref="AF163:AF194" si="58">AD163-AE163</f>
        <v>0</v>
      </c>
      <c r="AG163" s="17">
        <v>0</v>
      </c>
      <c r="AH163" s="17">
        <v>0</v>
      </c>
      <c r="AI163" s="15">
        <f t="shared" ref="AI163:AI194" si="59">AG163-AH163</f>
        <v>0</v>
      </c>
      <c r="AJ163" s="17"/>
    </row>
    <row r="164" spans="1:36" hidden="1" x14ac:dyDescent="0.3">
      <c r="A164" s="15" t="s">
        <v>213</v>
      </c>
      <c r="B164" s="15">
        <v>100</v>
      </c>
      <c r="C164" s="15" t="s">
        <v>54</v>
      </c>
      <c r="D164" s="15" t="s">
        <v>55</v>
      </c>
      <c r="E164" s="15">
        <f>'8-august-2026'!T164</f>
        <v>407</v>
      </c>
      <c r="F164" s="15">
        <f>'8-august-2026'!U164</f>
        <v>90</v>
      </c>
      <c r="G164" s="15">
        <f>'8-august-2026'!V164</f>
        <v>8</v>
      </c>
      <c r="H164" s="15">
        <f t="shared" si="50"/>
        <v>505</v>
      </c>
      <c r="I164" s="17">
        <v>10</v>
      </c>
      <c r="J164" s="17">
        <v>5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5">
        <f t="shared" si="51"/>
        <v>490</v>
      </c>
      <c r="T164" s="15">
        <f t="shared" si="52"/>
        <v>397</v>
      </c>
      <c r="U164" s="15">
        <f t="shared" si="53"/>
        <v>85</v>
      </c>
      <c r="V164" s="15">
        <f t="shared" si="54"/>
        <v>8</v>
      </c>
      <c r="W164" s="18" t="str">
        <f t="shared" si="55"/>
        <v/>
      </c>
      <c r="X164" s="17">
        <v>0</v>
      </c>
      <c r="Y164" s="17">
        <v>0</v>
      </c>
      <c r="Z164" s="15">
        <f t="shared" si="56"/>
        <v>0</v>
      </c>
      <c r="AA164" s="17">
        <v>0</v>
      </c>
      <c r="AB164" s="17">
        <v>0</v>
      </c>
      <c r="AC164" s="15">
        <f t="shared" si="57"/>
        <v>0</v>
      </c>
      <c r="AD164" s="17">
        <v>0</v>
      </c>
      <c r="AE164" s="17">
        <v>0</v>
      </c>
      <c r="AF164" s="15">
        <f t="shared" si="58"/>
        <v>0</v>
      </c>
      <c r="AG164" s="17">
        <v>0</v>
      </c>
      <c r="AH164" s="17">
        <v>0</v>
      </c>
      <c r="AI164" s="15">
        <f t="shared" si="59"/>
        <v>0</v>
      </c>
      <c r="AJ164" s="17"/>
    </row>
    <row r="165" spans="1:36" hidden="1" x14ac:dyDescent="0.3">
      <c r="A165" s="15" t="s">
        <v>213</v>
      </c>
      <c r="B165" s="15">
        <v>1000</v>
      </c>
      <c r="C165" s="15" t="s">
        <v>54</v>
      </c>
      <c r="D165" s="15" t="s">
        <v>55</v>
      </c>
      <c r="E165" s="15">
        <f>'8-august-2026'!T165</f>
        <v>474</v>
      </c>
      <c r="F165" s="15">
        <f>'8-august-2026'!U165</f>
        <v>131</v>
      </c>
      <c r="G165" s="15">
        <f>'8-august-2026'!V165</f>
        <v>0</v>
      </c>
      <c r="H165" s="15">
        <f t="shared" si="50"/>
        <v>605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5">
        <f t="shared" si="51"/>
        <v>605</v>
      </c>
      <c r="T165" s="15">
        <f t="shared" si="52"/>
        <v>474</v>
      </c>
      <c r="U165" s="15">
        <f t="shared" si="53"/>
        <v>131</v>
      </c>
      <c r="V165" s="15">
        <f t="shared" si="54"/>
        <v>0</v>
      </c>
      <c r="W165" s="18" t="str">
        <f t="shared" si="55"/>
        <v/>
      </c>
      <c r="X165" s="17">
        <v>0</v>
      </c>
      <c r="Y165" s="17">
        <v>0</v>
      </c>
      <c r="Z165" s="15">
        <f t="shared" si="56"/>
        <v>0</v>
      </c>
      <c r="AA165" s="17">
        <v>0</v>
      </c>
      <c r="AB165" s="17">
        <v>0</v>
      </c>
      <c r="AC165" s="15">
        <f t="shared" si="57"/>
        <v>0</v>
      </c>
      <c r="AD165" s="17">
        <v>0</v>
      </c>
      <c r="AE165" s="17">
        <v>0</v>
      </c>
      <c r="AF165" s="15">
        <f t="shared" si="58"/>
        <v>0</v>
      </c>
      <c r="AG165" s="17">
        <v>0</v>
      </c>
      <c r="AH165" s="17">
        <v>0</v>
      </c>
      <c r="AI165" s="15">
        <f t="shared" si="59"/>
        <v>0</v>
      </c>
      <c r="AJ165" s="17"/>
    </row>
    <row r="166" spans="1:36" hidden="1" x14ac:dyDescent="0.3">
      <c r="A166" s="15" t="s">
        <v>213</v>
      </c>
      <c r="B166" s="15">
        <v>500</v>
      </c>
      <c r="C166" s="15" t="s">
        <v>54</v>
      </c>
      <c r="D166" s="15" t="s">
        <v>55</v>
      </c>
      <c r="E166" s="15">
        <f>'8-august-2026'!T166</f>
        <v>110</v>
      </c>
      <c r="F166" s="15">
        <f>'8-august-2026'!U166</f>
        <v>0</v>
      </c>
      <c r="G166" s="15">
        <f>'8-august-2026'!V166</f>
        <v>0</v>
      </c>
      <c r="H166" s="15">
        <f t="shared" si="50"/>
        <v>110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5">
        <f t="shared" si="51"/>
        <v>110</v>
      </c>
      <c r="T166" s="15">
        <f t="shared" si="52"/>
        <v>110</v>
      </c>
      <c r="U166" s="15">
        <f t="shared" si="53"/>
        <v>0</v>
      </c>
      <c r="V166" s="15">
        <f t="shared" si="54"/>
        <v>0</v>
      </c>
      <c r="W166" s="18" t="str">
        <f t="shared" si="55"/>
        <v/>
      </c>
      <c r="X166" s="17">
        <v>0</v>
      </c>
      <c r="Y166" s="17">
        <v>0</v>
      </c>
      <c r="Z166" s="15">
        <f t="shared" si="56"/>
        <v>0</v>
      </c>
      <c r="AA166" s="17">
        <v>0</v>
      </c>
      <c r="AB166" s="17">
        <v>0</v>
      </c>
      <c r="AC166" s="15">
        <f t="shared" si="57"/>
        <v>0</v>
      </c>
      <c r="AD166" s="17">
        <v>0</v>
      </c>
      <c r="AE166" s="17">
        <v>0</v>
      </c>
      <c r="AF166" s="15">
        <f t="shared" si="58"/>
        <v>0</v>
      </c>
      <c r="AG166" s="17">
        <v>0</v>
      </c>
      <c r="AH166" s="17">
        <v>0</v>
      </c>
      <c r="AI166" s="15">
        <f t="shared" si="59"/>
        <v>0</v>
      </c>
      <c r="AJ166" s="17"/>
    </row>
    <row r="167" spans="1:36" hidden="1" x14ac:dyDescent="0.3">
      <c r="A167" s="15" t="s">
        <v>214</v>
      </c>
      <c r="B167" s="15">
        <v>1000</v>
      </c>
      <c r="C167" s="15" t="s">
        <v>54</v>
      </c>
      <c r="D167" s="15" t="s">
        <v>55</v>
      </c>
      <c r="E167" s="15">
        <f>'8-august-2026'!T167</f>
        <v>23</v>
      </c>
      <c r="F167" s="15">
        <f>'8-august-2026'!U167</f>
        <v>0</v>
      </c>
      <c r="G167" s="15">
        <f>'8-august-2026'!V167</f>
        <v>2</v>
      </c>
      <c r="H167" s="15">
        <f t="shared" si="50"/>
        <v>25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5">
        <f t="shared" si="51"/>
        <v>25</v>
      </c>
      <c r="T167" s="15">
        <f t="shared" si="52"/>
        <v>23</v>
      </c>
      <c r="U167" s="15">
        <f t="shared" si="53"/>
        <v>0</v>
      </c>
      <c r="V167" s="15">
        <f t="shared" si="54"/>
        <v>2</v>
      </c>
      <c r="W167" s="18" t="str">
        <f t="shared" si="55"/>
        <v/>
      </c>
      <c r="X167" s="17">
        <v>0</v>
      </c>
      <c r="Y167" s="17">
        <v>0</v>
      </c>
      <c r="Z167" s="15">
        <f t="shared" si="56"/>
        <v>0</v>
      </c>
      <c r="AA167" s="17">
        <v>0</v>
      </c>
      <c r="AB167" s="17">
        <v>0</v>
      </c>
      <c r="AC167" s="15">
        <f t="shared" si="57"/>
        <v>0</v>
      </c>
      <c r="AD167" s="17">
        <v>0</v>
      </c>
      <c r="AE167" s="17">
        <v>0</v>
      </c>
      <c r="AF167" s="15">
        <f t="shared" si="58"/>
        <v>0</v>
      </c>
      <c r="AG167" s="17">
        <v>0</v>
      </c>
      <c r="AH167" s="17">
        <v>0</v>
      </c>
      <c r="AI167" s="15">
        <f t="shared" si="59"/>
        <v>0</v>
      </c>
      <c r="AJ167" s="17"/>
    </row>
    <row r="168" spans="1:36" hidden="1" x14ac:dyDescent="0.3">
      <c r="A168" s="15" t="s">
        <v>215</v>
      </c>
      <c r="B168" s="15">
        <v>100</v>
      </c>
      <c r="C168" s="15" t="s">
        <v>54</v>
      </c>
      <c r="D168" s="15" t="s">
        <v>55</v>
      </c>
      <c r="E168" s="15">
        <f>'8-august-2026'!T168</f>
        <v>363</v>
      </c>
      <c r="F168" s="15">
        <f>'8-august-2026'!U168</f>
        <v>642</v>
      </c>
      <c r="G168" s="15">
        <f>'8-august-2026'!V168</f>
        <v>0</v>
      </c>
      <c r="H168" s="15">
        <f t="shared" si="50"/>
        <v>1005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5">
        <f t="shared" si="51"/>
        <v>1005</v>
      </c>
      <c r="T168" s="15">
        <f t="shared" si="52"/>
        <v>363</v>
      </c>
      <c r="U168" s="15">
        <f t="shared" si="53"/>
        <v>642</v>
      </c>
      <c r="V168" s="15">
        <f t="shared" si="54"/>
        <v>0</v>
      </c>
      <c r="W168" s="18" t="str">
        <f t="shared" si="55"/>
        <v/>
      </c>
      <c r="X168" s="17">
        <v>0</v>
      </c>
      <c r="Y168" s="17">
        <v>0</v>
      </c>
      <c r="Z168" s="15">
        <f t="shared" si="56"/>
        <v>0</v>
      </c>
      <c r="AA168" s="17">
        <v>0</v>
      </c>
      <c r="AB168" s="17">
        <v>0</v>
      </c>
      <c r="AC168" s="15">
        <f t="shared" si="57"/>
        <v>0</v>
      </c>
      <c r="AD168" s="17">
        <v>0</v>
      </c>
      <c r="AE168" s="17">
        <v>0</v>
      </c>
      <c r="AF168" s="15">
        <f t="shared" si="58"/>
        <v>0</v>
      </c>
      <c r="AG168" s="17">
        <v>0</v>
      </c>
      <c r="AH168" s="17">
        <v>0</v>
      </c>
      <c r="AI168" s="15">
        <f t="shared" si="59"/>
        <v>0</v>
      </c>
      <c r="AJ168" s="17"/>
    </row>
    <row r="169" spans="1:36" hidden="1" x14ac:dyDescent="0.3">
      <c r="A169" s="15" t="s">
        <v>216</v>
      </c>
      <c r="B169" s="15">
        <v>100</v>
      </c>
      <c r="C169" s="15" t="s">
        <v>54</v>
      </c>
      <c r="D169" s="15" t="s">
        <v>55</v>
      </c>
      <c r="E169" s="15">
        <f>'8-august-2026'!T169</f>
        <v>0</v>
      </c>
      <c r="F169" s="15">
        <f>'8-august-2026'!U169</f>
        <v>9</v>
      </c>
      <c r="G169" s="15">
        <f>'8-august-2026'!V169</f>
        <v>0</v>
      </c>
      <c r="H169" s="15">
        <f t="shared" si="50"/>
        <v>9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5">
        <f t="shared" si="51"/>
        <v>9</v>
      </c>
      <c r="T169" s="15">
        <f t="shared" si="52"/>
        <v>0</v>
      </c>
      <c r="U169" s="15">
        <f t="shared" si="53"/>
        <v>9</v>
      </c>
      <c r="V169" s="15">
        <f t="shared" si="54"/>
        <v>0</v>
      </c>
      <c r="W169" s="18" t="str">
        <f t="shared" si="55"/>
        <v/>
      </c>
      <c r="X169" s="17">
        <v>0</v>
      </c>
      <c r="Y169" s="17">
        <v>0</v>
      </c>
      <c r="Z169" s="15">
        <f t="shared" si="56"/>
        <v>0</v>
      </c>
      <c r="AA169" s="17">
        <v>0</v>
      </c>
      <c r="AB169" s="17">
        <v>0</v>
      </c>
      <c r="AC169" s="15">
        <f t="shared" si="57"/>
        <v>0</v>
      </c>
      <c r="AD169" s="17">
        <v>0</v>
      </c>
      <c r="AE169" s="17">
        <v>0</v>
      </c>
      <c r="AF169" s="15">
        <f t="shared" si="58"/>
        <v>0</v>
      </c>
      <c r="AG169" s="17">
        <v>0</v>
      </c>
      <c r="AH169" s="17">
        <v>0</v>
      </c>
      <c r="AI169" s="15">
        <f t="shared" si="59"/>
        <v>0</v>
      </c>
      <c r="AJ169" s="17"/>
    </row>
    <row r="170" spans="1:36" hidden="1" x14ac:dyDescent="0.3">
      <c r="A170" s="15" t="s">
        <v>217</v>
      </c>
      <c r="B170" s="15">
        <v>100</v>
      </c>
      <c r="C170" s="15" t="s">
        <v>54</v>
      </c>
      <c r="D170" s="15" t="s">
        <v>55</v>
      </c>
      <c r="E170" s="15">
        <f>'8-august-2026'!T170</f>
        <v>10</v>
      </c>
      <c r="F170" s="15">
        <f>'8-august-2026'!U170</f>
        <v>5</v>
      </c>
      <c r="G170" s="15">
        <f>'8-august-2026'!V170</f>
        <v>0</v>
      </c>
      <c r="H170" s="15">
        <f t="shared" si="50"/>
        <v>15</v>
      </c>
      <c r="I170" s="17">
        <v>0</v>
      </c>
      <c r="J170" s="17">
        <v>0</v>
      </c>
      <c r="K170" s="17">
        <v>8</v>
      </c>
      <c r="L170" s="17">
        <v>8</v>
      </c>
      <c r="M170" s="17">
        <v>0</v>
      </c>
      <c r="N170" s="17">
        <v>0</v>
      </c>
      <c r="O170" s="17">
        <v>0</v>
      </c>
      <c r="P170" s="17">
        <v>0</v>
      </c>
      <c r="Q170" s="17">
        <v>8</v>
      </c>
      <c r="R170" s="17">
        <v>0</v>
      </c>
      <c r="S170" s="15">
        <f t="shared" si="51"/>
        <v>7</v>
      </c>
      <c r="T170" s="15">
        <f t="shared" si="52"/>
        <v>2</v>
      </c>
      <c r="U170" s="15">
        <f t="shared" si="53"/>
        <v>5</v>
      </c>
      <c r="V170" s="15">
        <f t="shared" si="54"/>
        <v>0</v>
      </c>
      <c r="W170" s="18" t="str">
        <f t="shared" si="55"/>
        <v/>
      </c>
      <c r="X170" s="17">
        <v>0</v>
      </c>
      <c r="Y170" s="17">
        <v>0</v>
      </c>
      <c r="Z170" s="15">
        <f t="shared" si="56"/>
        <v>0</v>
      </c>
      <c r="AA170" s="17">
        <v>0</v>
      </c>
      <c r="AB170" s="17">
        <v>0</v>
      </c>
      <c r="AC170" s="15">
        <f t="shared" si="57"/>
        <v>0</v>
      </c>
      <c r="AD170" s="17">
        <v>0</v>
      </c>
      <c r="AE170" s="17">
        <v>0</v>
      </c>
      <c r="AF170" s="15">
        <f t="shared" si="58"/>
        <v>0</v>
      </c>
      <c r="AG170" s="17">
        <v>0</v>
      </c>
      <c r="AH170" s="17">
        <v>0</v>
      </c>
      <c r="AI170" s="15">
        <f t="shared" si="59"/>
        <v>0</v>
      </c>
      <c r="AJ170" s="17"/>
    </row>
    <row r="171" spans="1:36" hidden="1" x14ac:dyDescent="0.3">
      <c r="A171" s="15" t="s">
        <v>218</v>
      </c>
      <c r="B171" s="15">
        <v>100</v>
      </c>
      <c r="C171" s="15" t="s">
        <v>54</v>
      </c>
      <c r="D171" s="15" t="s">
        <v>55</v>
      </c>
      <c r="E171" s="15">
        <f>'8-august-2026'!T171</f>
        <v>260</v>
      </c>
      <c r="F171" s="15">
        <f>'8-august-2026'!U171</f>
        <v>47</v>
      </c>
      <c r="G171" s="15">
        <f>'8-august-2026'!V171</f>
        <v>0</v>
      </c>
      <c r="H171" s="15">
        <f t="shared" si="50"/>
        <v>307</v>
      </c>
      <c r="I171" s="17">
        <v>6</v>
      </c>
      <c r="J171" s="17">
        <v>3</v>
      </c>
      <c r="K171" s="17">
        <v>0</v>
      </c>
      <c r="L171" s="17">
        <v>0</v>
      </c>
      <c r="M171" s="17">
        <v>1</v>
      </c>
      <c r="N171" s="17">
        <v>0</v>
      </c>
      <c r="O171" s="17">
        <v>0</v>
      </c>
      <c r="P171" s="17">
        <v>0</v>
      </c>
      <c r="Q171" s="17">
        <v>1</v>
      </c>
      <c r="R171" s="17">
        <v>0</v>
      </c>
      <c r="S171" s="15">
        <f t="shared" si="51"/>
        <v>298</v>
      </c>
      <c r="T171" s="15">
        <f t="shared" si="52"/>
        <v>254</v>
      </c>
      <c r="U171" s="15">
        <f t="shared" si="53"/>
        <v>43</v>
      </c>
      <c r="V171" s="15">
        <f t="shared" si="54"/>
        <v>1</v>
      </c>
      <c r="W171" s="18" t="str">
        <f t="shared" si="55"/>
        <v/>
      </c>
      <c r="X171" s="17">
        <v>0</v>
      </c>
      <c r="Y171" s="17">
        <v>0</v>
      </c>
      <c r="Z171" s="15">
        <f t="shared" si="56"/>
        <v>0</v>
      </c>
      <c r="AA171" s="17">
        <v>0</v>
      </c>
      <c r="AB171" s="17">
        <v>0</v>
      </c>
      <c r="AC171" s="15">
        <f t="shared" si="57"/>
        <v>0</v>
      </c>
      <c r="AD171" s="17">
        <v>0</v>
      </c>
      <c r="AE171" s="17">
        <v>0</v>
      </c>
      <c r="AF171" s="15">
        <f t="shared" si="58"/>
        <v>0</v>
      </c>
      <c r="AG171" s="17">
        <v>0</v>
      </c>
      <c r="AH171" s="17">
        <v>0</v>
      </c>
      <c r="AI171" s="15">
        <f t="shared" si="59"/>
        <v>0</v>
      </c>
      <c r="AJ171" s="17"/>
    </row>
    <row r="172" spans="1:36" hidden="1" x14ac:dyDescent="0.3">
      <c r="A172" s="15" t="s">
        <v>219</v>
      </c>
      <c r="B172" s="15">
        <v>100</v>
      </c>
      <c r="C172" s="15" t="s">
        <v>54</v>
      </c>
      <c r="D172" s="15" t="s">
        <v>55</v>
      </c>
      <c r="E172" s="15">
        <f>'8-august-2026'!T172</f>
        <v>32</v>
      </c>
      <c r="F172" s="15">
        <f>'8-august-2026'!U172</f>
        <v>1</v>
      </c>
      <c r="G172" s="15">
        <f>'8-august-2026'!V172</f>
        <v>0</v>
      </c>
      <c r="H172" s="15">
        <f t="shared" si="50"/>
        <v>33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5">
        <f t="shared" si="51"/>
        <v>33</v>
      </c>
      <c r="T172" s="15">
        <f t="shared" si="52"/>
        <v>32</v>
      </c>
      <c r="U172" s="15">
        <f t="shared" si="53"/>
        <v>1</v>
      </c>
      <c r="V172" s="15">
        <f t="shared" si="54"/>
        <v>0</v>
      </c>
      <c r="W172" s="18" t="str">
        <f t="shared" si="55"/>
        <v/>
      </c>
      <c r="X172" s="17">
        <v>0</v>
      </c>
      <c r="Y172" s="17">
        <v>0</v>
      </c>
      <c r="Z172" s="15">
        <f t="shared" si="56"/>
        <v>0</v>
      </c>
      <c r="AA172" s="17">
        <v>0</v>
      </c>
      <c r="AB172" s="17">
        <v>0</v>
      </c>
      <c r="AC172" s="15">
        <f t="shared" si="57"/>
        <v>0</v>
      </c>
      <c r="AD172" s="17">
        <v>0</v>
      </c>
      <c r="AE172" s="17">
        <v>0</v>
      </c>
      <c r="AF172" s="15">
        <f t="shared" si="58"/>
        <v>0</v>
      </c>
      <c r="AG172" s="17">
        <v>0</v>
      </c>
      <c r="AH172" s="17">
        <v>0</v>
      </c>
      <c r="AI172" s="15">
        <f t="shared" si="59"/>
        <v>0</v>
      </c>
      <c r="AJ172" s="17"/>
    </row>
    <row r="173" spans="1:36" x14ac:dyDescent="0.3">
      <c r="A173" s="15" t="s">
        <v>220</v>
      </c>
      <c r="B173" s="15">
        <v>1000</v>
      </c>
      <c r="C173" s="15" t="s">
        <v>54</v>
      </c>
      <c r="D173" s="15" t="s">
        <v>57</v>
      </c>
      <c r="E173" s="15">
        <f>'8-august-2026'!T173</f>
        <v>5</v>
      </c>
      <c r="F173" s="15">
        <f>'8-august-2026'!U173</f>
        <v>0</v>
      </c>
      <c r="G173" s="15">
        <f>'8-august-2026'!V173</f>
        <v>0</v>
      </c>
      <c r="H173" s="15">
        <f t="shared" si="50"/>
        <v>5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5">
        <f t="shared" si="51"/>
        <v>5</v>
      </c>
      <c r="T173" s="15">
        <f t="shared" si="52"/>
        <v>5</v>
      </c>
      <c r="U173" s="15">
        <f t="shared" si="53"/>
        <v>0</v>
      </c>
      <c r="V173" s="15">
        <f t="shared" si="54"/>
        <v>0</v>
      </c>
      <c r="W173" s="18" t="str">
        <f t="shared" si="55"/>
        <v/>
      </c>
      <c r="X173" s="17">
        <v>0</v>
      </c>
      <c r="Y173" s="17">
        <v>0</v>
      </c>
      <c r="Z173" s="15">
        <f t="shared" si="56"/>
        <v>0</v>
      </c>
      <c r="AA173" s="17">
        <v>0</v>
      </c>
      <c r="AB173" s="17">
        <v>0</v>
      </c>
      <c r="AC173" s="15">
        <f t="shared" si="57"/>
        <v>0</v>
      </c>
      <c r="AD173" s="17">
        <v>0</v>
      </c>
      <c r="AE173" s="17">
        <v>0</v>
      </c>
      <c r="AF173" s="15">
        <f t="shared" si="58"/>
        <v>0</v>
      </c>
      <c r="AG173" s="17">
        <v>0</v>
      </c>
      <c r="AH173" s="17">
        <v>0</v>
      </c>
      <c r="AI173" s="15">
        <f t="shared" si="59"/>
        <v>0</v>
      </c>
      <c r="AJ173" s="17"/>
    </row>
    <row r="174" spans="1:36" x14ac:dyDescent="0.3">
      <c r="A174" s="15" t="s">
        <v>221</v>
      </c>
      <c r="B174" s="15">
        <v>1000</v>
      </c>
      <c r="C174" s="15" t="s">
        <v>54</v>
      </c>
      <c r="D174" s="15" t="s">
        <v>68</v>
      </c>
      <c r="E174" s="15">
        <f>'8-august-2026'!T174</f>
        <v>2</v>
      </c>
      <c r="F174" s="15">
        <f>'8-august-2026'!U174</f>
        <v>0</v>
      </c>
      <c r="G174" s="15">
        <f>'8-august-2026'!V174</f>
        <v>0</v>
      </c>
      <c r="H174" s="15">
        <f t="shared" si="50"/>
        <v>2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5">
        <f t="shared" si="51"/>
        <v>2</v>
      </c>
      <c r="T174" s="15">
        <f t="shared" si="52"/>
        <v>2</v>
      </c>
      <c r="U174" s="15">
        <f t="shared" si="53"/>
        <v>0</v>
      </c>
      <c r="V174" s="15">
        <f t="shared" si="54"/>
        <v>0</v>
      </c>
      <c r="W174" s="18" t="str">
        <f t="shared" si="55"/>
        <v/>
      </c>
      <c r="X174" s="17">
        <v>0</v>
      </c>
      <c r="Y174" s="17">
        <v>0</v>
      </c>
      <c r="Z174" s="15">
        <f t="shared" si="56"/>
        <v>0</v>
      </c>
      <c r="AA174" s="17">
        <v>0</v>
      </c>
      <c r="AB174" s="17">
        <v>0</v>
      </c>
      <c r="AC174" s="15">
        <f t="shared" si="57"/>
        <v>0</v>
      </c>
      <c r="AD174" s="17">
        <v>0</v>
      </c>
      <c r="AE174" s="17">
        <v>0</v>
      </c>
      <c r="AF174" s="15">
        <f t="shared" si="58"/>
        <v>0</v>
      </c>
      <c r="AG174" s="17">
        <v>0</v>
      </c>
      <c r="AH174" s="17">
        <v>0</v>
      </c>
      <c r="AI174" s="15">
        <f t="shared" si="59"/>
        <v>0</v>
      </c>
      <c r="AJ174" s="17"/>
    </row>
    <row r="175" spans="1:36" x14ac:dyDescent="0.3">
      <c r="A175" s="15" t="s">
        <v>222</v>
      </c>
      <c r="B175" s="15">
        <v>1000</v>
      </c>
      <c r="C175" s="15" t="s">
        <v>54</v>
      </c>
      <c r="D175" s="15" t="s">
        <v>68</v>
      </c>
      <c r="E175" s="15">
        <f>'8-august-2026'!T175</f>
        <v>2</v>
      </c>
      <c r="F175" s="15">
        <f>'8-august-2026'!U175</f>
        <v>0</v>
      </c>
      <c r="G175" s="15">
        <f>'8-august-2026'!V175</f>
        <v>0</v>
      </c>
      <c r="H175" s="15">
        <f t="shared" si="50"/>
        <v>2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5">
        <f t="shared" si="51"/>
        <v>2</v>
      </c>
      <c r="T175" s="15">
        <f t="shared" si="52"/>
        <v>2</v>
      </c>
      <c r="U175" s="15">
        <f t="shared" si="53"/>
        <v>0</v>
      </c>
      <c r="V175" s="15">
        <f t="shared" si="54"/>
        <v>0</v>
      </c>
      <c r="W175" s="18" t="str">
        <f t="shared" si="55"/>
        <v/>
      </c>
      <c r="X175" s="17">
        <v>0</v>
      </c>
      <c r="Y175" s="17">
        <v>0</v>
      </c>
      <c r="Z175" s="15">
        <f t="shared" si="56"/>
        <v>0</v>
      </c>
      <c r="AA175" s="17">
        <v>0</v>
      </c>
      <c r="AB175" s="17">
        <v>0</v>
      </c>
      <c r="AC175" s="15">
        <f t="shared" si="57"/>
        <v>0</v>
      </c>
      <c r="AD175" s="17">
        <v>0</v>
      </c>
      <c r="AE175" s="17">
        <v>0</v>
      </c>
      <c r="AF175" s="15">
        <f t="shared" si="58"/>
        <v>0</v>
      </c>
      <c r="AG175" s="17">
        <v>0</v>
      </c>
      <c r="AH175" s="17">
        <v>0</v>
      </c>
      <c r="AI175" s="15">
        <f t="shared" si="59"/>
        <v>0</v>
      </c>
      <c r="AJ175" s="17"/>
    </row>
    <row r="176" spans="1:36" x14ac:dyDescent="0.3">
      <c r="A176" s="15" t="s">
        <v>223</v>
      </c>
      <c r="B176" s="15">
        <v>100</v>
      </c>
      <c r="C176" s="15" t="s">
        <v>54</v>
      </c>
      <c r="D176" s="15" t="s">
        <v>57</v>
      </c>
      <c r="E176" s="15">
        <f>'8-august-2026'!T176</f>
        <v>1</v>
      </c>
      <c r="F176" s="15">
        <f>'8-august-2026'!U176</f>
        <v>0</v>
      </c>
      <c r="G176" s="15">
        <f>'8-august-2026'!V176</f>
        <v>0</v>
      </c>
      <c r="H176" s="15">
        <f t="shared" si="50"/>
        <v>1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5">
        <f t="shared" si="51"/>
        <v>1</v>
      </c>
      <c r="T176" s="15">
        <f t="shared" si="52"/>
        <v>1</v>
      </c>
      <c r="U176" s="15">
        <f t="shared" si="53"/>
        <v>0</v>
      </c>
      <c r="V176" s="15">
        <f t="shared" si="54"/>
        <v>0</v>
      </c>
      <c r="W176" s="18" t="str">
        <f t="shared" si="55"/>
        <v/>
      </c>
      <c r="X176" s="17">
        <v>0</v>
      </c>
      <c r="Y176" s="17">
        <v>0</v>
      </c>
      <c r="Z176" s="15">
        <f t="shared" si="56"/>
        <v>0</v>
      </c>
      <c r="AA176" s="17">
        <v>0</v>
      </c>
      <c r="AB176" s="17">
        <v>0</v>
      </c>
      <c r="AC176" s="15">
        <f t="shared" si="57"/>
        <v>0</v>
      </c>
      <c r="AD176" s="17">
        <v>0</v>
      </c>
      <c r="AE176" s="17">
        <v>0</v>
      </c>
      <c r="AF176" s="15">
        <f t="shared" si="58"/>
        <v>0</v>
      </c>
      <c r="AG176" s="17">
        <v>0</v>
      </c>
      <c r="AH176" s="17">
        <v>0</v>
      </c>
      <c r="AI176" s="15">
        <f t="shared" si="59"/>
        <v>0</v>
      </c>
      <c r="AJ176" s="17"/>
    </row>
    <row r="177" spans="1:36" hidden="1" x14ac:dyDescent="0.3">
      <c r="A177" s="15" t="s">
        <v>224</v>
      </c>
      <c r="B177" s="15" t="s">
        <v>225</v>
      </c>
      <c r="C177" s="15" t="s">
        <v>54</v>
      </c>
      <c r="D177" s="15" t="s">
        <v>55</v>
      </c>
      <c r="E177" s="15">
        <f>'8-august-2026'!T177</f>
        <v>0</v>
      </c>
      <c r="F177" s="15">
        <f>'8-august-2026'!U177</f>
        <v>4</v>
      </c>
      <c r="G177" s="15">
        <f>'8-august-2026'!V177</f>
        <v>0</v>
      </c>
      <c r="H177" s="15">
        <f t="shared" si="50"/>
        <v>4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5">
        <f t="shared" si="51"/>
        <v>4</v>
      </c>
      <c r="T177" s="15">
        <f t="shared" si="52"/>
        <v>0</v>
      </c>
      <c r="U177" s="15">
        <f t="shared" si="53"/>
        <v>4</v>
      </c>
      <c r="V177" s="15">
        <f t="shared" si="54"/>
        <v>0</v>
      </c>
      <c r="W177" s="18" t="str">
        <f t="shared" si="55"/>
        <v/>
      </c>
      <c r="X177" s="17">
        <v>0</v>
      </c>
      <c r="Y177" s="17">
        <v>0</v>
      </c>
      <c r="Z177" s="15">
        <f t="shared" si="56"/>
        <v>0</v>
      </c>
      <c r="AA177" s="17">
        <v>0</v>
      </c>
      <c r="AB177" s="17">
        <v>0</v>
      </c>
      <c r="AC177" s="15">
        <f t="shared" si="57"/>
        <v>0</v>
      </c>
      <c r="AD177" s="17">
        <v>0</v>
      </c>
      <c r="AE177" s="17">
        <v>0</v>
      </c>
      <c r="AF177" s="15">
        <f t="shared" si="58"/>
        <v>0</v>
      </c>
      <c r="AG177" s="17">
        <v>0</v>
      </c>
      <c r="AH177" s="17">
        <v>0</v>
      </c>
      <c r="AI177" s="15">
        <f t="shared" si="59"/>
        <v>0</v>
      </c>
      <c r="AJ177" s="17"/>
    </row>
    <row r="178" spans="1:36" x14ac:dyDescent="0.3">
      <c r="A178" s="15" t="s">
        <v>226</v>
      </c>
      <c r="B178" s="15">
        <v>100</v>
      </c>
      <c r="C178" s="15" t="s">
        <v>54</v>
      </c>
      <c r="D178" s="15" t="s">
        <v>68</v>
      </c>
      <c r="E178" s="15">
        <f>'8-august-2026'!T178</f>
        <v>2</v>
      </c>
      <c r="F178" s="15">
        <f>'8-august-2026'!U178</f>
        <v>0</v>
      </c>
      <c r="G178" s="15">
        <f>'8-august-2026'!V178</f>
        <v>0</v>
      </c>
      <c r="H178" s="15">
        <f t="shared" si="50"/>
        <v>2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5">
        <f t="shared" si="51"/>
        <v>2</v>
      </c>
      <c r="T178" s="15">
        <f t="shared" si="52"/>
        <v>2</v>
      </c>
      <c r="U178" s="15">
        <f t="shared" si="53"/>
        <v>0</v>
      </c>
      <c r="V178" s="15">
        <f t="shared" si="54"/>
        <v>0</v>
      </c>
      <c r="W178" s="18" t="str">
        <f t="shared" si="55"/>
        <v/>
      </c>
      <c r="X178" s="17">
        <v>0</v>
      </c>
      <c r="Y178" s="17">
        <v>0</v>
      </c>
      <c r="Z178" s="15">
        <f t="shared" si="56"/>
        <v>0</v>
      </c>
      <c r="AA178" s="17">
        <v>0</v>
      </c>
      <c r="AB178" s="17">
        <v>0</v>
      </c>
      <c r="AC178" s="15">
        <f t="shared" si="57"/>
        <v>0</v>
      </c>
      <c r="AD178" s="17">
        <v>0</v>
      </c>
      <c r="AE178" s="17">
        <v>0</v>
      </c>
      <c r="AF178" s="15">
        <f t="shared" si="58"/>
        <v>0</v>
      </c>
      <c r="AG178" s="17">
        <v>0</v>
      </c>
      <c r="AH178" s="17">
        <v>0</v>
      </c>
      <c r="AI178" s="15">
        <f t="shared" si="59"/>
        <v>0</v>
      </c>
      <c r="AJ178" s="17"/>
    </row>
    <row r="179" spans="1:36" hidden="1" x14ac:dyDescent="0.3">
      <c r="A179" s="15" t="s">
        <v>227</v>
      </c>
      <c r="B179" s="15">
        <v>100</v>
      </c>
      <c r="C179" s="15" t="s">
        <v>54</v>
      </c>
      <c r="D179" s="15" t="s">
        <v>55</v>
      </c>
      <c r="E179" s="15">
        <f>'8-august-2026'!T179</f>
        <v>81</v>
      </c>
      <c r="F179" s="15">
        <f>'8-august-2026'!U179</f>
        <v>0</v>
      </c>
      <c r="G179" s="15">
        <f>'8-august-2026'!V179</f>
        <v>0</v>
      </c>
      <c r="H179" s="15">
        <f t="shared" si="50"/>
        <v>81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5">
        <f t="shared" si="51"/>
        <v>81</v>
      </c>
      <c r="T179" s="15">
        <f t="shared" si="52"/>
        <v>81</v>
      </c>
      <c r="U179" s="15">
        <f t="shared" si="53"/>
        <v>0</v>
      </c>
      <c r="V179" s="15">
        <f t="shared" si="54"/>
        <v>0</v>
      </c>
      <c r="W179" s="18" t="str">
        <f t="shared" si="55"/>
        <v/>
      </c>
      <c r="X179" s="17">
        <v>0</v>
      </c>
      <c r="Y179" s="17">
        <v>0</v>
      </c>
      <c r="Z179" s="15">
        <f t="shared" si="56"/>
        <v>0</v>
      </c>
      <c r="AA179" s="17">
        <v>0</v>
      </c>
      <c r="AB179" s="17">
        <v>0</v>
      </c>
      <c r="AC179" s="15">
        <f t="shared" si="57"/>
        <v>0</v>
      </c>
      <c r="AD179" s="17">
        <v>0</v>
      </c>
      <c r="AE179" s="17">
        <v>0</v>
      </c>
      <c r="AF179" s="15">
        <f t="shared" si="58"/>
        <v>0</v>
      </c>
      <c r="AG179" s="17">
        <v>0</v>
      </c>
      <c r="AH179" s="17">
        <v>0</v>
      </c>
      <c r="AI179" s="15">
        <f t="shared" si="59"/>
        <v>0</v>
      </c>
      <c r="AJ179" s="17"/>
    </row>
    <row r="180" spans="1:36" x14ac:dyDescent="0.3">
      <c r="A180" s="15" t="s">
        <v>228</v>
      </c>
      <c r="B180" s="15">
        <v>1000</v>
      </c>
      <c r="C180" s="15" t="s">
        <v>54</v>
      </c>
      <c r="D180" s="15" t="s">
        <v>57</v>
      </c>
      <c r="E180" s="15">
        <f>'8-august-2026'!T180</f>
        <v>5</v>
      </c>
      <c r="F180" s="15">
        <f>'8-august-2026'!U180</f>
        <v>0</v>
      </c>
      <c r="G180" s="15">
        <f>'8-august-2026'!V180</f>
        <v>0</v>
      </c>
      <c r="H180" s="15">
        <f t="shared" si="50"/>
        <v>5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5">
        <f t="shared" si="51"/>
        <v>5</v>
      </c>
      <c r="T180" s="15">
        <f t="shared" si="52"/>
        <v>5</v>
      </c>
      <c r="U180" s="15">
        <f t="shared" si="53"/>
        <v>0</v>
      </c>
      <c r="V180" s="15">
        <f t="shared" si="54"/>
        <v>0</v>
      </c>
      <c r="W180" s="18" t="str">
        <f t="shared" si="55"/>
        <v/>
      </c>
      <c r="X180" s="17">
        <v>0</v>
      </c>
      <c r="Y180" s="17">
        <v>0</v>
      </c>
      <c r="Z180" s="15">
        <f t="shared" si="56"/>
        <v>0</v>
      </c>
      <c r="AA180" s="17">
        <v>0</v>
      </c>
      <c r="AB180" s="17">
        <v>0</v>
      </c>
      <c r="AC180" s="15">
        <f t="shared" si="57"/>
        <v>0</v>
      </c>
      <c r="AD180" s="17">
        <v>0</v>
      </c>
      <c r="AE180" s="17">
        <v>0</v>
      </c>
      <c r="AF180" s="15">
        <f t="shared" si="58"/>
        <v>0</v>
      </c>
      <c r="AG180" s="17">
        <v>0</v>
      </c>
      <c r="AH180" s="17">
        <v>0</v>
      </c>
      <c r="AI180" s="15">
        <f t="shared" si="59"/>
        <v>0</v>
      </c>
      <c r="AJ180" s="17"/>
    </row>
    <row r="181" spans="1:36" x14ac:dyDescent="0.3">
      <c r="A181" s="15" t="s">
        <v>229</v>
      </c>
      <c r="B181" s="15">
        <v>100</v>
      </c>
      <c r="C181" s="15" t="s">
        <v>54</v>
      </c>
      <c r="D181" s="15" t="s">
        <v>68</v>
      </c>
      <c r="E181" s="15">
        <f>'8-august-2026'!T181</f>
        <v>3</v>
      </c>
      <c r="F181" s="15">
        <f>'8-august-2026'!U181</f>
        <v>0</v>
      </c>
      <c r="G181" s="15">
        <f>'8-august-2026'!V181</f>
        <v>0</v>
      </c>
      <c r="H181" s="15">
        <f t="shared" si="50"/>
        <v>3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5">
        <f t="shared" si="51"/>
        <v>3</v>
      </c>
      <c r="T181" s="15">
        <f t="shared" si="52"/>
        <v>3</v>
      </c>
      <c r="U181" s="15">
        <f t="shared" si="53"/>
        <v>0</v>
      </c>
      <c r="V181" s="15">
        <f t="shared" si="54"/>
        <v>0</v>
      </c>
      <c r="W181" s="18" t="str">
        <f t="shared" si="55"/>
        <v/>
      </c>
      <c r="X181" s="17">
        <v>0</v>
      </c>
      <c r="Y181" s="17">
        <v>0</v>
      </c>
      <c r="Z181" s="15">
        <f t="shared" si="56"/>
        <v>0</v>
      </c>
      <c r="AA181" s="17">
        <v>0</v>
      </c>
      <c r="AB181" s="17">
        <v>0</v>
      </c>
      <c r="AC181" s="15">
        <f t="shared" si="57"/>
        <v>0</v>
      </c>
      <c r="AD181" s="17">
        <v>0</v>
      </c>
      <c r="AE181" s="17">
        <v>0</v>
      </c>
      <c r="AF181" s="15">
        <f t="shared" si="58"/>
        <v>0</v>
      </c>
      <c r="AG181" s="17">
        <v>0</v>
      </c>
      <c r="AH181" s="17">
        <v>0</v>
      </c>
      <c r="AI181" s="15">
        <f t="shared" si="59"/>
        <v>0</v>
      </c>
      <c r="AJ181" s="17"/>
    </row>
    <row r="182" spans="1:36" x14ac:dyDescent="0.3">
      <c r="A182" s="15" t="s">
        <v>230</v>
      </c>
      <c r="B182" s="15">
        <v>1000</v>
      </c>
      <c r="C182" s="15" t="s">
        <v>54</v>
      </c>
      <c r="D182" s="15" t="s">
        <v>68</v>
      </c>
      <c r="E182" s="15">
        <f>'8-august-2026'!T182</f>
        <v>2</v>
      </c>
      <c r="F182" s="15">
        <f>'8-august-2026'!U182</f>
        <v>0</v>
      </c>
      <c r="G182" s="15">
        <f>'8-august-2026'!V182</f>
        <v>0</v>
      </c>
      <c r="H182" s="15">
        <f t="shared" si="50"/>
        <v>2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5">
        <f t="shared" si="51"/>
        <v>2</v>
      </c>
      <c r="T182" s="15">
        <f t="shared" si="52"/>
        <v>2</v>
      </c>
      <c r="U182" s="15">
        <f t="shared" si="53"/>
        <v>0</v>
      </c>
      <c r="V182" s="15">
        <f t="shared" si="54"/>
        <v>0</v>
      </c>
      <c r="W182" s="18" t="str">
        <f t="shared" si="55"/>
        <v/>
      </c>
      <c r="X182" s="17">
        <v>0</v>
      </c>
      <c r="Y182" s="17">
        <v>0</v>
      </c>
      <c r="Z182" s="15">
        <f t="shared" si="56"/>
        <v>0</v>
      </c>
      <c r="AA182" s="17">
        <v>0</v>
      </c>
      <c r="AB182" s="17">
        <v>0</v>
      </c>
      <c r="AC182" s="15">
        <f t="shared" si="57"/>
        <v>0</v>
      </c>
      <c r="AD182" s="17">
        <v>0</v>
      </c>
      <c r="AE182" s="17">
        <v>0</v>
      </c>
      <c r="AF182" s="15">
        <f t="shared" si="58"/>
        <v>0</v>
      </c>
      <c r="AG182" s="17">
        <v>0</v>
      </c>
      <c r="AH182" s="17">
        <v>0</v>
      </c>
      <c r="AI182" s="15">
        <f t="shared" si="59"/>
        <v>0</v>
      </c>
      <c r="AJ182" s="17"/>
    </row>
    <row r="183" spans="1:36" x14ac:dyDescent="0.3">
      <c r="A183" s="15" t="s">
        <v>231</v>
      </c>
      <c r="B183" s="15">
        <v>100</v>
      </c>
      <c r="C183" s="15" t="s">
        <v>54</v>
      </c>
      <c r="D183" s="15" t="s">
        <v>57</v>
      </c>
      <c r="E183" s="15">
        <f>'8-august-2026'!T183</f>
        <v>1</v>
      </c>
      <c r="F183" s="15">
        <f>'8-august-2026'!U183</f>
        <v>0</v>
      </c>
      <c r="G183" s="15">
        <f>'8-august-2026'!V183</f>
        <v>0</v>
      </c>
      <c r="H183" s="15">
        <f t="shared" si="50"/>
        <v>1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5">
        <f t="shared" si="51"/>
        <v>1</v>
      </c>
      <c r="T183" s="15">
        <f t="shared" si="52"/>
        <v>1</v>
      </c>
      <c r="U183" s="15">
        <f t="shared" si="53"/>
        <v>0</v>
      </c>
      <c r="V183" s="15">
        <f t="shared" si="54"/>
        <v>0</v>
      </c>
      <c r="W183" s="18" t="str">
        <f t="shared" si="55"/>
        <v/>
      </c>
      <c r="X183" s="17">
        <v>0</v>
      </c>
      <c r="Y183" s="17">
        <v>0</v>
      </c>
      <c r="Z183" s="15">
        <f t="shared" si="56"/>
        <v>0</v>
      </c>
      <c r="AA183" s="17">
        <v>0</v>
      </c>
      <c r="AB183" s="17">
        <v>0</v>
      </c>
      <c r="AC183" s="15">
        <f t="shared" si="57"/>
        <v>0</v>
      </c>
      <c r="AD183" s="17">
        <v>0</v>
      </c>
      <c r="AE183" s="17">
        <v>0</v>
      </c>
      <c r="AF183" s="15">
        <f t="shared" si="58"/>
        <v>0</v>
      </c>
      <c r="AG183" s="17">
        <v>0</v>
      </c>
      <c r="AH183" s="17">
        <v>0</v>
      </c>
      <c r="AI183" s="15">
        <f t="shared" si="59"/>
        <v>0</v>
      </c>
      <c r="AJ183" s="17"/>
    </row>
    <row r="184" spans="1:36" x14ac:dyDescent="0.3">
      <c r="A184" s="15" t="s">
        <v>232</v>
      </c>
      <c r="B184" s="15">
        <v>100000</v>
      </c>
      <c r="C184" s="15" t="s">
        <v>54</v>
      </c>
      <c r="D184" s="15" t="s">
        <v>68</v>
      </c>
      <c r="E184" s="15">
        <f>'8-august-2026'!T184</f>
        <v>2</v>
      </c>
      <c r="F184" s="15">
        <f>'8-august-2026'!U184</f>
        <v>0</v>
      </c>
      <c r="G184" s="15">
        <f>'8-august-2026'!V184</f>
        <v>0</v>
      </c>
      <c r="H184" s="15">
        <f t="shared" si="50"/>
        <v>2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5">
        <f t="shared" si="51"/>
        <v>2</v>
      </c>
      <c r="T184" s="15">
        <f t="shared" si="52"/>
        <v>2</v>
      </c>
      <c r="U184" s="15">
        <f t="shared" si="53"/>
        <v>0</v>
      </c>
      <c r="V184" s="15">
        <f t="shared" si="54"/>
        <v>0</v>
      </c>
      <c r="W184" s="18" t="str">
        <f t="shared" si="55"/>
        <v/>
      </c>
      <c r="X184" s="17">
        <v>0</v>
      </c>
      <c r="Y184" s="17">
        <v>0</v>
      </c>
      <c r="Z184" s="15">
        <f t="shared" si="56"/>
        <v>0</v>
      </c>
      <c r="AA184" s="17">
        <v>0</v>
      </c>
      <c r="AB184" s="17">
        <v>0</v>
      </c>
      <c r="AC184" s="15">
        <f t="shared" si="57"/>
        <v>0</v>
      </c>
      <c r="AD184" s="17">
        <v>0</v>
      </c>
      <c r="AE184" s="17">
        <v>0</v>
      </c>
      <c r="AF184" s="15">
        <f t="shared" si="58"/>
        <v>0</v>
      </c>
      <c r="AG184" s="17">
        <v>0</v>
      </c>
      <c r="AH184" s="17">
        <v>0</v>
      </c>
      <c r="AI184" s="15">
        <f t="shared" si="59"/>
        <v>0</v>
      </c>
      <c r="AJ184" s="17"/>
    </row>
    <row r="185" spans="1:36" x14ac:dyDescent="0.3">
      <c r="A185" s="15" t="s">
        <v>233</v>
      </c>
      <c r="B185" s="15">
        <v>100</v>
      </c>
      <c r="C185" s="15" t="s">
        <v>54</v>
      </c>
      <c r="D185" s="15" t="s">
        <v>57</v>
      </c>
      <c r="E185" s="15">
        <f>'8-august-2026'!T185</f>
        <v>3</v>
      </c>
      <c r="F185" s="15">
        <f>'8-august-2026'!U185</f>
        <v>0</v>
      </c>
      <c r="G185" s="15">
        <f>'8-august-2026'!V185</f>
        <v>0</v>
      </c>
      <c r="H185" s="15">
        <f t="shared" si="50"/>
        <v>3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5">
        <f t="shared" si="51"/>
        <v>3</v>
      </c>
      <c r="T185" s="15">
        <f t="shared" si="52"/>
        <v>3</v>
      </c>
      <c r="U185" s="15">
        <f t="shared" si="53"/>
        <v>0</v>
      </c>
      <c r="V185" s="15">
        <f t="shared" si="54"/>
        <v>0</v>
      </c>
      <c r="W185" s="18" t="str">
        <f t="shared" si="55"/>
        <v/>
      </c>
      <c r="X185" s="17">
        <v>0</v>
      </c>
      <c r="Y185" s="17">
        <v>0</v>
      </c>
      <c r="Z185" s="15">
        <f t="shared" si="56"/>
        <v>0</v>
      </c>
      <c r="AA185" s="17">
        <v>0</v>
      </c>
      <c r="AB185" s="17">
        <v>0</v>
      </c>
      <c r="AC185" s="15">
        <f t="shared" si="57"/>
        <v>0</v>
      </c>
      <c r="AD185" s="17">
        <v>0</v>
      </c>
      <c r="AE185" s="17">
        <v>0</v>
      </c>
      <c r="AF185" s="15">
        <f t="shared" si="58"/>
        <v>0</v>
      </c>
      <c r="AG185" s="17">
        <v>0</v>
      </c>
      <c r="AH185" s="17">
        <v>0</v>
      </c>
      <c r="AI185" s="15">
        <f t="shared" si="59"/>
        <v>0</v>
      </c>
      <c r="AJ185" s="17"/>
    </row>
    <row r="186" spans="1:36" x14ac:dyDescent="0.3">
      <c r="A186" s="15" t="s">
        <v>234</v>
      </c>
      <c r="B186" s="15">
        <v>1000</v>
      </c>
      <c r="C186" s="15" t="s">
        <v>54</v>
      </c>
      <c r="D186" s="15" t="s">
        <v>68</v>
      </c>
      <c r="E186" s="15">
        <f>'8-august-2026'!T186</f>
        <v>2</v>
      </c>
      <c r="F186" s="15">
        <f>'8-august-2026'!U186</f>
        <v>0</v>
      </c>
      <c r="G186" s="15">
        <f>'8-august-2026'!V186</f>
        <v>0</v>
      </c>
      <c r="H186" s="15">
        <f t="shared" si="50"/>
        <v>2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5">
        <f t="shared" si="51"/>
        <v>2</v>
      </c>
      <c r="T186" s="15">
        <f t="shared" si="52"/>
        <v>2</v>
      </c>
      <c r="U186" s="15">
        <f t="shared" si="53"/>
        <v>0</v>
      </c>
      <c r="V186" s="15">
        <f t="shared" si="54"/>
        <v>0</v>
      </c>
      <c r="W186" s="18" t="str">
        <f t="shared" si="55"/>
        <v/>
      </c>
      <c r="X186" s="17">
        <v>0</v>
      </c>
      <c r="Y186" s="17">
        <v>0</v>
      </c>
      <c r="Z186" s="15">
        <f t="shared" si="56"/>
        <v>0</v>
      </c>
      <c r="AA186" s="17">
        <v>0</v>
      </c>
      <c r="AB186" s="17">
        <v>0</v>
      </c>
      <c r="AC186" s="15">
        <f t="shared" si="57"/>
        <v>0</v>
      </c>
      <c r="AD186" s="17">
        <v>0</v>
      </c>
      <c r="AE186" s="17">
        <v>0</v>
      </c>
      <c r="AF186" s="15">
        <f t="shared" si="58"/>
        <v>0</v>
      </c>
      <c r="AG186" s="17">
        <v>0</v>
      </c>
      <c r="AH186" s="17">
        <v>0</v>
      </c>
      <c r="AI186" s="15">
        <f t="shared" si="59"/>
        <v>0</v>
      </c>
      <c r="AJ186" s="17"/>
    </row>
    <row r="187" spans="1:36" x14ac:dyDescent="0.3">
      <c r="A187" s="15" t="s">
        <v>235</v>
      </c>
      <c r="B187" s="15">
        <v>100000</v>
      </c>
      <c r="C187" s="15" t="s">
        <v>54</v>
      </c>
      <c r="D187" s="15" t="s">
        <v>68</v>
      </c>
      <c r="E187" s="15">
        <f>'8-august-2026'!T187</f>
        <v>3</v>
      </c>
      <c r="F187" s="15">
        <f>'8-august-2026'!U187</f>
        <v>0</v>
      </c>
      <c r="G187" s="15">
        <f>'8-august-2026'!V187</f>
        <v>0</v>
      </c>
      <c r="H187" s="15">
        <f t="shared" si="50"/>
        <v>3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5">
        <f t="shared" si="51"/>
        <v>3</v>
      </c>
      <c r="T187" s="15">
        <f t="shared" si="52"/>
        <v>3</v>
      </c>
      <c r="U187" s="15">
        <f t="shared" si="53"/>
        <v>0</v>
      </c>
      <c r="V187" s="15">
        <f t="shared" si="54"/>
        <v>0</v>
      </c>
      <c r="W187" s="18" t="str">
        <f t="shared" si="55"/>
        <v/>
      </c>
      <c r="X187" s="17">
        <v>0</v>
      </c>
      <c r="Y187" s="17">
        <v>0</v>
      </c>
      <c r="Z187" s="15">
        <f t="shared" si="56"/>
        <v>0</v>
      </c>
      <c r="AA187" s="17">
        <v>0</v>
      </c>
      <c r="AB187" s="17">
        <v>0</v>
      </c>
      <c r="AC187" s="15">
        <f t="shared" si="57"/>
        <v>0</v>
      </c>
      <c r="AD187" s="17">
        <v>0</v>
      </c>
      <c r="AE187" s="17">
        <v>0</v>
      </c>
      <c r="AF187" s="15">
        <f t="shared" si="58"/>
        <v>0</v>
      </c>
      <c r="AG187" s="17">
        <v>0</v>
      </c>
      <c r="AH187" s="17">
        <v>0</v>
      </c>
      <c r="AI187" s="15">
        <f t="shared" si="59"/>
        <v>0</v>
      </c>
      <c r="AJ187" s="17"/>
    </row>
    <row r="188" spans="1:36" hidden="1" x14ac:dyDescent="0.3">
      <c r="A188" s="15" t="s">
        <v>236</v>
      </c>
      <c r="B188" s="15">
        <v>1000</v>
      </c>
      <c r="C188" s="15" t="s">
        <v>54</v>
      </c>
      <c r="D188" s="15" t="s">
        <v>55</v>
      </c>
      <c r="E188" s="15">
        <f>'8-august-2026'!T188</f>
        <v>12</v>
      </c>
      <c r="F188" s="15">
        <f>'8-august-2026'!U188</f>
        <v>0</v>
      </c>
      <c r="G188" s="15">
        <f>'8-august-2026'!V188</f>
        <v>0</v>
      </c>
      <c r="H188" s="15">
        <f t="shared" si="50"/>
        <v>12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5">
        <f t="shared" si="51"/>
        <v>12</v>
      </c>
      <c r="T188" s="15">
        <f t="shared" si="52"/>
        <v>12</v>
      </c>
      <c r="U188" s="15">
        <f t="shared" si="53"/>
        <v>0</v>
      </c>
      <c r="V188" s="15">
        <f t="shared" si="54"/>
        <v>0</v>
      </c>
      <c r="W188" s="18" t="str">
        <f t="shared" si="55"/>
        <v/>
      </c>
      <c r="X188" s="17">
        <v>0</v>
      </c>
      <c r="Y188" s="17">
        <v>0</v>
      </c>
      <c r="Z188" s="15">
        <f t="shared" si="56"/>
        <v>0</v>
      </c>
      <c r="AA188" s="17">
        <v>0</v>
      </c>
      <c r="AB188" s="17">
        <v>0</v>
      </c>
      <c r="AC188" s="15">
        <f t="shared" si="57"/>
        <v>0</v>
      </c>
      <c r="AD188" s="17">
        <v>0</v>
      </c>
      <c r="AE188" s="17">
        <v>0</v>
      </c>
      <c r="AF188" s="15">
        <f t="shared" si="58"/>
        <v>0</v>
      </c>
      <c r="AG188" s="17">
        <v>0</v>
      </c>
      <c r="AH188" s="17">
        <v>0</v>
      </c>
      <c r="AI188" s="15">
        <f t="shared" si="59"/>
        <v>0</v>
      </c>
      <c r="AJ188" s="17"/>
    </row>
    <row r="189" spans="1:36" hidden="1" x14ac:dyDescent="0.3">
      <c r="A189" s="15" t="s">
        <v>237</v>
      </c>
      <c r="B189" s="15">
        <v>1000</v>
      </c>
      <c r="C189" s="15" t="s">
        <v>54</v>
      </c>
      <c r="D189" s="15" t="s">
        <v>55</v>
      </c>
      <c r="E189" s="15">
        <f>'8-august-2026'!T189</f>
        <v>1</v>
      </c>
      <c r="F189" s="15">
        <f>'8-august-2026'!U189</f>
        <v>28</v>
      </c>
      <c r="G189" s="15">
        <f>'8-august-2026'!V189</f>
        <v>0</v>
      </c>
      <c r="H189" s="15">
        <f t="shared" si="50"/>
        <v>29</v>
      </c>
      <c r="I189" s="17">
        <v>0</v>
      </c>
      <c r="J189" s="17">
        <v>1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5">
        <f t="shared" si="51"/>
        <v>28</v>
      </c>
      <c r="T189" s="15">
        <f t="shared" si="52"/>
        <v>1</v>
      </c>
      <c r="U189" s="15">
        <f t="shared" si="53"/>
        <v>27</v>
      </c>
      <c r="V189" s="15">
        <f t="shared" si="54"/>
        <v>0</v>
      </c>
      <c r="W189" s="18" t="str">
        <f t="shared" si="55"/>
        <v/>
      </c>
      <c r="X189" s="17">
        <v>0</v>
      </c>
      <c r="Y189" s="17">
        <v>0</v>
      </c>
      <c r="Z189" s="15">
        <f t="shared" si="56"/>
        <v>0</v>
      </c>
      <c r="AA189" s="17">
        <v>0</v>
      </c>
      <c r="AB189" s="17">
        <v>0</v>
      </c>
      <c r="AC189" s="15">
        <f t="shared" si="57"/>
        <v>0</v>
      </c>
      <c r="AD189" s="17">
        <v>0</v>
      </c>
      <c r="AE189" s="17">
        <v>0</v>
      </c>
      <c r="AF189" s="15">
        <f t="shared" si="58"/>
        <v>0</v>
      </c>
      <c r="AG189" s="17">
        <v>0</v>
      </c>
      <c r="AH189" s="17">
        <v>0</v>
      </c>
      <c r="AI189" s="15">
        <f t="shared" si="59"/>
        <v>0</v>
      </c>
      <c r="AJ189" s="17"/>
    </row>
    <row r="190" spans="1:36" hidden="1" x14ac:dyDescent="0.3">
      <c r="A190" s="15" t="s">
        <v>238</v>
      </c>
      <c r="B190" s="15">
        <v>1000</v>
      </c>
      <c r="C190" s="15" t="s">
        <v>54</v>
      </c>
      <c r="D190" s="15" t="s">
        <v>55</v>
      </c>
      <c r="E190" s="15">
        <f>'8-august-2026'!T190</f>
        <v>4</v>
      </c>
      <c r="F190" s="15">
        <f>'8-august-2026'!U190</f>
        <v>0</v>
      </c>
      <c r="G190" s="15">
        <f>'8-august-2026'!V190</f>
        <v>0</v>
      </c>
      <c r="H190" s="15">
        <f t="shared" si="50"/>
        <v>4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5">
        <f t="shared" si="51"/>
        <v>4</v>
      </c>
      <c r="T190" s="15">
        <f t="shared" si="52"/>
        <v>4</v>
      </c>
      <c r="U190" s="15">
        <f t="shared" si="53"/>
        <v>0</v>
      </c>
      <c r="V190" s="15">
        <f t="shared" si="54"/>
        <v>0</v>
      </c>
      <c r="W190" s="18" t="str">
        <f t="shared" si="55"/>
        <v/>
      </c>
      <c r="X190" s="17">
        <v>0</v>
      </c>
      <c r="Y190" s="17">
        <v>0</v>
      </c>
      <c r="Z190" s="15">
        <f t="shared" si="56"/>
        <v>0</v>
      </c>
      <c r="AA190" s="17">
        <v>0</v>
      </c>
      <c r="AB190" s="17">
        <v>0</v>
      </c>
      <c r="AC190" s="15">
        <f t="shared" si="57"/>
        <v>0</v>
      </c>
      <c r="AD190" s="17">
        <v>0</v>
      </c>
      <c r="AE190" s="17">
        <v>0</v>
      </c>
      <c r="AF190" s="15">
        <f t="shared" si="58"/>
        <v>0</v>
      </c>
      <c r="AG190" s="17">
        <v>0</v>
      </c>
      <c r="AH190" s="17">
        <v>0</v>
      </c>
      <c r="AI190" s="15">
        <f t="shared" si="59"/>
        <v>0</v>
      </c>
      <c r="AJ190" s="17"/>
    </row>
    <row r="191" spans="1:36" hidden="1" x14ac:dyDescent="0.3">
      <c r="A191" s="15" t="s">
        <v>239</v>
      </c>
      <c r="B191" s="15">
        <v>1000</v>
      </c>
      <c r="C191" s="15" t="s">
        <v>54</v>
      </c>
      <c r="D191" s="15" t="s">
        <v>55</v>
      </c>
      <c r="E191" s="15">
        <v>0</v>
      </c>
      <c r="F191" s="15">
        <v>0</v>
      </c>
      <c r="G191" s="15">
        <v>0</v>
      </c>
      <c r="H191" s="15">
        <f t="shared" si="50"/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5">
        <f t="shared" si="51"/>
        <v>0</v>
      </c>
      <c r="T191" s="15">
        <f t="shared" si="52"/>
        <v>0</v>
      </c>
      <c r="U191" s="15">
        <f t="shared" si="53"/>
        <v>0</v>
      </c>
      <c r="V191" s="15">
        <f t="shared" si="54"/>
        <v>0</v>
      </c>
      <c r="W191" s="18" t="str">
        <f t="shared" si="55"/>
        <v/>
      </c>
      <c r="X191" s="17">
        <v>0</v>
      </c>
      <c r="Y191" s="17">
        <v>0</v>
      </c>
      <c r="Z191" s="15">
        <f t="shared" si="56"/>
        <v>0</v>
      </c>
      <c r="AA191" s="17">
        <v>0</v>
      </c>
      <c r="AB191" s="17">
        <v>0</v>
      </c>
      <c r="AC191" s="15">
        <f t="shared" si="57"/>
        <v>0</v>
      </c>
      <c r="AD191" s="17">
        <v>0</v>
      </c>
      <c r="AE191" s="17">
        <v>0</v>
      </c>
      <c r="AF191" s="15">
        <f t="shared" si="58"/>
        <v>0</v>
      </c>
      <c r="AG191" s="17">
        <v>0</v>
      </c>
      <c r="AH191" s="17">
        <v>0</v>
      </c>
      <c r="AI191" s="15">
        <f t="shared" si="59"/>
        <v>0</v>
      </c>
      <c r="AJ191" s="17"/>
    </row>
    <row r="192" spans="1:36" hidden="1" x14ac:dyDescent="0.3">
      <c r="A192" s="15" t="s">
        <v>239</v>
      </c>
      <c r="B192" s="15">
        <v>2500</v>
      </c>
      <c r="C192" s="15" t="s">
        <v>54</v>
      </c>
      <c r="D192" s="15" t="s">
        <v>55</v>
      </c>
      <c r="E192" s="15">
        <f>'8-august-2026'!T192</f>
        <v>0</v>
      </c>
      <c r="F192" s="15">
        <f>'8-august-2026'!U192</f>
        <v>0</v>
      </c>
      <c r="G192" s="15">
        <f>'8-august-2026'!V192</f>
        <v>0</v>
      </c>
      <c r="H192" s="15">
        <f t="shared" si="50"/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5">
        <f t="shared" si="51"/>
        <v>0</v>
      </c>
      <c r="T192" s="15">
        <f t="shared" si="52"/>
        <v>0</v>
      </c>
      <c r="U192" s="15">
        <f t="shared" si="53"/>
        <v>0</v>
      </c>
      <c r="V192" s="15">
        <f t="shared" si="54"/>
        <v>0</v>
      </c>
      <c r="W192" s="18" t="str">
        <f t="shared" si="55"/>
        <v/>
      </c>
      <c r="X192" s="17">
        <v>0</v>
      </c>
      <c r="Y192" s="17">
        <v>0</v>
      </c>
      <c r="Z192" s="15">
        <f t="shared" si="56"/>
        <v>0</v>
      </c>
      <c r="AA192" s="17">
        <v>0</v>
      </c>
      <c r="AB192" s="17">
        <v>0</v>
      </c>
      <c r="AC192" s="15">
        <f t="shared" si="57"/>
        <v>0</v>
      </c>
      <c r="AD192" s="17">
        <v>0</v>
      </c>
      <c r="AE192" s="17">
        <v>0</v>
      </c>
      <c r="AF192" s="15">
        <f t="shared" si="58"/>
        <v>0</v>
      </c>
      <c r="AG192" s="17">
        <v>0</v>
      </c>
      <c r="AH192" s="17">
        <v>0</v>
      </c>
      <c r="AI192" s="15">
        <f t="shared" si="59"/>
        <v>0</v>
      </c>
      <c r="AJ192" s="17"/>
    </row>
    <row r="193" spans="1:36" hidden="1" x14ac:dyDescent="0.3">
      <c r="A193" s="15" t="s">
        <v>240</v>
      </c>
      <c r="B193" s="15">
        <v>100</v>
      </c>
      <c r="C193" s="15" t="s">
        <v>54</v>
      </c>
      <c r="D193" s="15" t="s">
        <v>55</v>
      </c>
      <c r="E193" s="15">
        <f>'8-august-2026'!T193</f>
        <v>34</v>
      </c>
      <c r="F193" s="15">
        <f>'8-august-2026'!U193</f>
        <v>0</v>
      </c>
      <c r="G193" s="15">
        <f>'8-august-2026'!V193</f>
        <v>0</v>
      </c>
      <c r="H193" s="15">
        <f t="shared" si="50"/>
        <v>34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5">
        <f t="shared" si="51"/>
        <v>34</v>
      </c>
      <c r="T193" s="15">
        <f t="shared" si="52"/>
        <v>34</v>
      </c>
      <c r="U193" s="15">
        <f t="shared" si="53"/>
        <v>0</v>
      </c>
      <c r="V193" s="15">
        <f t="shared" si="54"/>
        <v>0</v>
      </c>
      <c r="W193" s="18" t="str">
        <f t="shared" si="55"/>
        <v/>
      </c>
      <c r="X193" s="17">
        <v>0</v>
      </c>
      <c r="Y193" s="17">
        <v>0</v>
      </c>
      <c r="Z193" s="15">
        <f t="shared" si="56"/>
        <v>0</v>
      </c>
      <c r="AA193" s="17">
        <v>0</v>
      </c>
      <c r="AB193" s="17">
        <v>0</v>
      </c>
      <c r="AC193" s="15">
        <f t="shared" si="57"/>
        <v>0</v>
      </c>
      <c r="AD193" s="17">
        <v>0</v>
      </c>
      <c r="AE193" s="17">
        <v>0</v>
      </c>
      <c r="AF193" s="15">
        <f t="shared" si="58"/>
        <v>0</v>
      </c>
      <c r="AG193" s="17">
        <v>0</v>
      </c>
      <c r="AH193" s="17">
        <v>0</v>
      </c>
      <c r="AI193" s="15">
        <f t="shared" si="59"/>
        <v>0</v>
      </c>
      <c r="AJ193" s="17"/>
    </row>
    <row r="194" spans="1:36" hidden="1" x14ac:dyDescent="0.3">
      <c r="A194" s="15" t="s">
        <v>240</v>
      </c>
      <c r="B194" s="15">
        <v>1000</v>
      </c>
      <c r="C194" s="15" t="s">
        <v>54</v>
      </c>
      <c r="D194" s="15" t="s">
        <v>55</v>
      </c>
      <c r="E194" s="15">
        <f>'8-august-2026'!T194</f>
        <v>14</v>
      </c>
      <c r="F194" s="15">
        <f>'8-august-2026'!U194</f>
        <v>0</v>
      </c>
      <c r="G194" s="15">
        <f>'8-august-2026'!V194</f>
        <v>0</v>
      </c>
      <c r="H194" s="15">
        <f t="shared" si="50"/>
        <v>14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5">
        <f t="shared" si="51"/>
        <v>14</v>
      </c>
      <c r="T194" s="15">
        <f t="shared" si="52"/>
        <v>14</v>
      </c>
      <c r="U194" s="15">
        <f t="shared" si="53"/>
        <v>0</v>
      </c>
      <c r="V194" s="15">
        <f t="shared" si="54"/>
        <v>0</v>
      </c>
      <c r="W194" s="18" t="str">
        <f t="shared" si="55"/>
        <v/>
      </c>
      <c r="X194" s="17">
        <v>0</v>
      </c>
      <c r="Y194" s="17">
        <v>0</v>
      </c>
      <c r="Z194" s="15">
        <f t="shared" si="56"/>
        <v>0</v>
      </c>
      <c r="AA194" s="17">
        <v>0</v>
      </c>
      <c r="AB194" s="17">
        <v>0</v>
      </c>
      <c r="AC194" s="15">
        <f t="shared" si="57"/>
        <v>0</v>
      </c>
      <c r="AD194" s="17">
        <v>0</v>
      </c>
      <c r="AE194" s="17">
        <v>0</v>
      </c>
      <c r="AF194" s="15">
        <f t="shared" si="58"/>
        <v>0</v>
      </c>
      <c r="AG194" s="17">
        <v>0</v>
      </c>
      <c r="AH194" s="17">
        <v>0</v>
      </c>
      <c r="AI194" s="15">
        <f t="shared" si="59"/>
        <v>0</v>
      </c>
      <c r="AJ194" s="17"/>
    </row>
    <row r="195" spans="1:36" x14ac:dyDescent="0.3">
      <c r="A195" s="15" t="s">
        <v>241</v>
      </c>
      <c r="B195" s="15">
        <v>25000</v>
      </c>
      <c r="C195" s="15" t="s">
        <v>54</v>
      </c>
      <c r="D195" s="15" t="s">
        <v>68</v>
      </c>
      <c r="E195" s="15">
        <f>'8-august-2026'!T195</f>
        <v>-2</v>
      </c>
      <c r="F195" s="15">
        <f>'8-august-2026'!U195</f>
        <v>0</v>
      </c>
      <c r="G195" s="15">
        <f>'8-august-2026'!V195</f>
        <v>0</v>
      </c>
      <c r="H195" s="15">
        <f t="shared" ref="H195:H199" si="60">E195+F195+G195</f>
        <v>-2</v>
      </c>
      <c r="I195" s="17">
        <v>2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5">
        <f t="shared" ref="S195:S199" si="61">H195+O195+P195+Q195+R195-(I195+J195+K195+L195+M195+N195)</f>
        <v>-4</v>
      </c>
      <c r="T195" s="15">
        <f t="shared" si="52"/>
        <v>-4</v>
      </c>
      <c r="U195" s="15">
        <f t="shared" si="53"/>
        <v>0</v>
      </c>
      <c r="V195" s="15">
        <f t="shared" si="54"/>
        <v>0</v>
      </c>
      <c r="W195" s="18" t="str">
        <f t="shared" ref="W195:W199" si="62">IF(MIN(T195,U195,V195)&lt;0,"NEGATIVE STOCK - CHECK ENTRIES","")</f>
        <v>NEGATIVE STOCK - CHECK ENTRIES</v>
      </c>
      <c r="X195" s="17">
        <v>0</v>
      </c>
      <c r="Y195" s="17">
        <v>0</v>
      </c>
      <c r="Z195" s="15">
        <f t="shared" ref="Z195:Z199" si="63">X195-Y195</f>
        <v>0</v>
      </c>
      <c r="AA195" s="17">
        <v>0</v>
      </c>
      <c r="AB195" s="17">
        <v>0</v>
      </c>
      <c r="AC195" s="15">
        <f t="shared" ref="AC195:AC199" si="64">AA195-AB195</f>
        <v>0</v>
      </c>
      <c r="AD195" s="17">
        <v>0</v>
      </c>
      <c r="AE195" s="17">
        <v>0</v>
      </c>
      <c r="AF195" s="15">
        <f t="shared" ref="AF195:AF199" si="65">AD195-AE195</f>
        <v>0</v>
      </c>
      <c r="AG195" s="17">
        <v>0</v>
      </c>
      <c r="AH195" s="17">
        <v>0</v>
      </c>
      <c r="AI195" s="15">
        <f t="shared" ref="AI195:AI199" si="66">AG195-AH195</f>
        <v>0</v>
      </c>
      <c r="AJ195" s="17"/>
    </row>
    <row r="196" spans="1:36" x14ac:dyDescent="0.3">
      <c r="A196" s="15" t="s">
        <v>242</v>
      </c>
      <c r="B196" s="15">
        <v>100</v>
      </c>
      <c r="C196" s="15" t="s">
        <v>54</v>
      </c>
      <c r="D196" s="15" t="s">
        <v>68</v>
      </c>
      <c r="E196" s="15">
        <f>'8-august-2026'!T196</f>
        <v>6</v>
      </c>
      <c r="F196" s="15">
        <f>'8-august-2026'!U196</f>
        <v>0</v>
      </c>
      <c r="G196" s="15">
        <f>'8-august-2026'!V196</f>
        <v>0</v>
      </c>
      <c r="H196" s="15">
        <f t="shared" si="60"/>
        <v>6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5">
        <f t="shared" si="61"/>
        <v>6</v>
      </c>
      <c r="T196" s="15">
        <f t="shared" si="52"/>
        <v>6</v>
      </c>
      <c r="U196" s="15">
        <f t="shared" si="53"/>
        <v>0</v>
      </c>
      <c r="V196" s="15">
        <f t="shared" si="54"/>
        <v>0</v>
      </c>
      <c r="W196" s="18" t="str">
        <f t="shared" si="62"/>
        <v/>
      </c>
      <c r="X196" s="17">
        <v>0</v>
      </c>
      <c r="Y196" s="17">
        <v>0</v>
      </c>
      <c r="Z196" s="15">
        <f t="shared" si="63"/>
        <v>0</v>
      </c>
      <c r="AA196" s="17">
        <v>0</v>
      </c>
      <c r="AB196" s="17">
        <v>0</v>
      </c>
      <c r="AC196" s="15">
        <f t="shared" si="64"/>
        <v>0</v>
      </c>
      <c r="AD196" s="17">
        <v>0</v>
      </c>
      <c r="AE196" s="17">
        <v>0</v>
      </c>
      <c r="AF196" s="15">
        <f t="shared" si="65"/>
        <v>0</v>
      </c>
      <c r="AG196" s="17">
        <v>0</v>
      </c>
      <c r="AH196" s="17">
        <v>0</v>
      </c>
      <c r="AI196" s="15">
        <f t="shared" si="66"/>
        <v>0</v>
      </c>
      <c r="AJ196" s="17"/>
    </row>
    <row r="197" spans="1:36" x14ac:dyDescent="0.3">
      <c r="A197" s="15" t="s">
        <v>243</v>
      </c>
      <c r="B197" s="15">
        <v>100000</v>
      </c>
      <c r="C197" s="15" t="s">
        <v>54</v>
      </c>
      <c r="D197" s="15" t="s">
        <v>57</v>
      </c>
      <c r="E197" s="15">
        <f>'8-august-2026'!T197</f>
        <v>6</v>
      </c>
      <c r="F197" s="15">
        <f>'8-august-2026'!U197</f>
        <v>0</v>
      </c>
      <c r="G197" s="15">
        <f>'8-august-2026'!V197</f>
        <v>0</v>
      </c>
      <c r="H197" s="15">
        <f t="shared" si="60"/>
        <v>6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5">
        <f t="shared" si="61"/>
        <v>6</v>
      </c>
      <c r="T197" s="15">
        <f t="shared" si="52"/>
        <v>6</v>
      </c>
      <c r="U197" s="15">
        <f t="shared" si="53"/>
        <v>0</v>
      </c>
      <c r="V197" s="15">
        <f t="shared" si="54"/>
        <v>0</v>
      </c>
      <c r="W197" s="18" t="str">
        <f t="shared" si="62"/>
        <v/>
      </c>
      <c r="X197" s="17">
        <v>0</v>
      </c>
      <c r="Y197" s="17">
        <v>0</v>
      </c>
      <c r="Z197" s="15">
        <f t="shared" si="63"/>
        <v>0</v>
      </c>
      <c r="AA197" s="17">
        <v>0</v>
      </c>
      <c r="AB197" s="17">
        <v>0</v>
      </c>
      <c r="AC197" s="15">
        <f t="shared" si="64"/>
        <v>0</v>
      </c>
      <c r="AD197" s="17">
        <v>0</v>
      </c>
      <c r="AE197" s="17">
        <v>0</v>
      </c>
      <c r="AF197" s="15">
        <f t="shared" si="65"/>
        <v>0</v>
      </c>
      <c r="AG197" s="17">
        <v>0</v>
      </c>
      <c r="AH197" s="17">
        <v>0</v>
      </c>
      <c r="AI197" s="15">
        <f t="shared" si="66"/>
        <v>0</v>
      </c>
      <c r="AJ197" s="17"/>
    </row>
    <row r="198" spans="1:36" hidden="1" x14ac:dyDescent="0.3">
      <c r="A198" s="15" t="s">
        <v>244</v>
      </c>
      <c r="B198" s="15">
        <v>100000</v>
      </c>
      <c r="C198" s="15"/>
      <c r="D198" s="15" t="s">
        <v>55</v>
      </c>
      <c r="E198" s="15">
        <f>'8-august-2026'!T198</f>
        <v>0</v>
      </c>
      <c r="F198" s="15">
        <f>'8-august-2026'!U198</f>
        <v>0</v>
      </c>
      <c r="G198" s="15">
        <f>'8-august-2026'!V198</f>
        <v>0</v>
      </c>
      <c r="H198" s="15">
        <f t="shared" si="60"/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5">
        <f t="shared" si="61"/>
        <v>0</v>
      </c>
      <c r="T198" s="15">
        <f t="shared" si="52"/>
        <v>0</v>
      </c>
      <c r="U198" s="15">
        <f t="shared" si="53"/>
        <v>0</v>
      </c>
      <c r="V198" s="15">
        <f t="shared" si="54"/>
        <v>0</v>
      </c>
      <c r="W198" s="18" t="str">
        <f t="shared" si="62"/>
        <v/>
      </c>
      <c r="X198" s="17">
        <v>0</v>
      </c>
      <c r="Y198" s="17">
        <v>0</v>
      </c>
      <c r="Z198" s="15">
        <f t="shared" si="63"/>
        <v>0</v>
      </c>
      <c r="AA198" s="17">
        <v>0</v>
      </c>
      <c r="AB198" s="17">
        <v>0</v>
      </c>
      <c r="AC198" s="15">
        <f t="shared" si="64"/>
        <v>0</v>
      </c>
      <c r="AD198" s="17">
        <v>0</v>
      </c>
      <c r="AE198" s="17">
        <v>0</v>
      </c>
      <c r="AF198" s="15">
        <f t="shared" si="65"/>
        <v>0</v>
      </c>
      <c r="AG198" s="17">
        <v>0</v>
      </c>
      <c r="AH198" s="17">
        <v>0</v>
      </c>
      <c r="AI198" s="15">
        <f t="shared" si="66"/>
        <v>0</v>
      </c>
      <c r="AJ198" s="17"/>
    </row>
    <row r="199" spans="1:36" x14ac:dyDescent="0.3">
      <c r="A199" s="15" t="s">
        <v>245</v>
      </c>
      <c r="B199" s="15">
        <v>25000</v>
      </c>
      <c r="C199" s="15" t="s">
        <v>54</v>
      </c>
      <c r="D199" s="15" t="s">
        <v>57</v>
      </c>
      <c r="E199" s="15">
        <f>'8-august-2026'!T199</f>
        <v>2</v>
      </c>
      <c r="F199" s="15">
        <f>'8-august-2026'!U199</f>
        <v>0</v>
      </c>
      <c r="G199" s="15">
        <f>'8-august-2026'!V199</f>
        <v>0</v>
      </c>
      <c r="H199" s="15">
        <f t="shared" si="60"/>
        <v>2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5">
        <f t="shared" si="61"/>
        <v>2</v>
      </c>
      <c r="T199" s="15">
        <f t="shared" si="52"/>
        <v>2</v>
      </c>
      <c r="U199" s="15">
        <f t="shared" si="53"/>
        <v>0</v>
      </c>
      <c r="V199" s="15">
        <f t="shared" si="54"/>
        <v>0</v>
      </c>
      <c r="W199" s="18" t="str">
        <f t="shared" si="62"/>
        <v/>
      </c>
      <c r="X199" s="17">
        <v>0</v>
      </c>
      <c r="Y199" s="17">
        <v>0</v>
      </c>
      <c r="Z199" s="15">
        <f t="shared" si="63"/>
        <v>0</v>
      </c>
      <c r="AA199" s="17">
        <v>0</v>
      </c>
      <c r="AB199" s="17">
        <v>0</v>
      </c>
      <c r="AC199" s="15">
        <f t="shared" si="64"/>
        <v>0</v>
      </c>
      <c r="AD199" s="17">
        <v>0</v>
      </c>
      <c r="AE199" s="17">
        <v>0</v>
      </c>
      <c r="AF199" s="15">
        <f t="shared" si="65"/>
        <v>0</v>
      </c>
      <c r="AG199" s="17">
        <v>0</v>
      </c>
      <c r="AH199" s="17">
        <v>0</v>
      </c>
      <c r="AI199" s="15">
        <f t="shared" si="66"/>
        <v>0</v>
      </c>
      <c r="AJ199" s="17"/>
    </row>
  </sheetData>
  <autoFilter ref="A2:AJ199" xr:uid="{00000000-0001-0000-0A00-000000000000}">
    <filterColumn colId="3">
      <filters>
        <filter val="CUSTOM&amp;TRIAL"/>
        <filter val="MASIFIO CUSTOM"/>
      </filters>
    </filterColumn>
  </autoFilter>
  <mergeCells count="5">
    <mergeCell ref="A1:D1"/>
    <mergeCell ref="E1:H1"/>
    <mergeCell ref="I1:R1"/>
    <mergeCell ref="S1:V1"/>
    <mergeCell ref="X1:AI1"/>
  </mergeCells>
  <conditionalFormatting sqref="T3:V199">
    <cfRule type="expression" dxfId="13" priority="3">
      <formula>T3&lt;0</formula>
    </cfRule>
  </conditionalFormatting>
  <conditionalFormatting sqref="W3:W199">
    <cfRule type="expression" dxfId="12" priority="2">
      <formula>W3&lt;&gt;""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199"/>
  <sheetViews>
    <sheetView showGridLines="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4" sqref="E4"/>
    </sheetView>
  </sheetViews>
  <sheetFormatPr defaultColWidth="8.6640625" defaultRowHeight="14.4" x14ac:dyDescent="0.3"/>
  <cols>
    <col min="1" max="1" width="30" customWidth="1"/>
    <col min="2" max="2" width="10" customWidth="1"/>
    <col min="3" max="3" width="12" customWidth="1"/>
    <col min="4" max="4" width="14" customWidth="1"/>
    <col min="5" max="35" width="11" customWidth="1"/>
    <col min="36" max="36" width="22" customWidth="1"/>
  </cols>
  <sheetData>
    <row r="1" spans="1:36" ht="19.5" customHeight="1" x14ac:dyDescent="0.3">
      <c r="A1" s="40" t="s">
        <v>246</v>
      </c>
      <c r="B1" s="40"/>
      <c r="C1" s="40"/>
      <c r="D1" s="40"/>
      <c r="E1" s="41" t="s">
        <v>247</v>
      </c>
      <c r="F1" s="41"/>
      <c r="G1" s="41"/>
      <c r="H1" s="41"/>
      <c r="I1" s="42" t="s">
        <v>248</v>
      </c>
      <c r="J1" s="42"/>
      <c r="K1" s="42"/>
      <c r="L1" s="42"/>
      <c r="M1" s="42"/>
      <c r="N1" s="42"/>
      <c r="O1" s="42"/>
      <c r="P1" s="42"/>
      <c r="Q1" s="42"/>
      <c r="R1" s="42"/>
      <c r="S1" s="41" t="s">
        <v>249</v>
      </c>
      <c r="T1" s="41"/>
      <c r="U1" s="41"/>
      <c r="V1" s="41"/>
      <c r="W1" s="3" t="s">
        <v>250</v>
      </c>
      <c r="X1" s="43" t="s">
        <v>251</v>
      </c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" t="s">
        <v>252</v>
      </c>
    </row>
    <row r="2" spans="1:36" ht="33.75" customHeight="1" x14ac:dyDescent="0.3">
      <c r="A2" s="4" t="s">
        <v>45</v>
      </c>
      <c r="B2" s="4" t="s">
        <v>46</v>
      </c>
      <c r="C2" s="4" t="s">
        <v>47</v>
      </c>
      <c r="D2" s="4" t="s">
        <v>48</v>
      </c>
      <c r="E2" s="3" t="s">
        <v>253</v>
      </c>
      <c r="F2" s="3" t="s">
        <v>254</v>
      </c>
      <c r="G2" s="3" t="s">
        <v>255</v>
      </c>
      <c r="H2" s="3" t="s">
        <v>256</v>
      </c>
      <c r="I2" s="2" t="s">
        <v>257</v>
      </c>
      <c r="J2" s="2" t="s">
        <v>258</v>
      </c>
      <c r="K2" s="2" t="s">
        <v>259</v>
      </c>
      <c r="L2" s="2" t="s">
        <v>260</v>
      </c>
      <c r="M2" s="2" t="s">
        <v>261</v>
      </c>
      <c r="N2" s="2" t="s">
        <v>262</v>
      </c>
      <c r="O2" s="2" t="s">
        <v>263</v>
      </c>
      <c r="P2" s="2" t="s">
        <v>264</v>
      </c>
      <c r="Q2" s="2" t="s">
        <v>265</v>
      </c>
      <c r="R2" s="2" t="s">
        <v>266</v>
      </c>
      <c r="S2" s="3" t="s">
        <v>267</v>
      </c>
      <c r="T2" s="3" t="s">
        <v>268</v>
      </c>
      <c r="U2" s="3" t="s">
        <v>269</v>
      </c>
      <c r="V2" s="3" t="s">
        <v>270</v>
      </c>
      <c r="W2" s="3" t="s">
        <v>271</v>
      </c>
      <c r="X2" s="1" t="s">
        <v>272</v>
      </c>
      <c r="Y2" s="1" t="s">
        <v>273</v>
      </c>
      <c r="Z2" s="1" t="s">
        <v>274</v>
      </c>
      <c r="AA2" s="1" t="s">
        <v>275</v>
      </c>
      <c r="AB2" s="1" t="s">
        <v>276</v>
      </c>
      <c r="AC2" s="1" t="s">
        <v>277</v>
      </c>
      <c r="AD2" s="1" t="s">
        <v>278</v>
      </c>
      <c r="AE2" s="1" t="s">
        <v>279</v>
      </c>
      <c r="AF2" s="1" t="s">
        <v>280</v>
      </c>
      <c r="AG2" s="1" t="s">
        <v>281</v>
      </c>
      <c r="AH2" s="1" t="s">
        <v>282</v>
      </c>
      <c r="AI2" s="1" t="s">
        <v>283</v>
      </c>
      <c r="AJ2" s="4" t="s">
        <v>284</v>
      </c>
    </row>
    <row r="3" spans="1:36" x14ac:dyDescent="0.3">
      <c r="A3" s="15" t="s">
        <v>53</v>
      </c>
      <c r="B3" s="15">
        <v>1000</v>
      </c>
      <c r="C3" s="15" t="s">
        <v>54</v>
      </c>
      <c r="D3" s="15" t="s">
        <v>55</v>
      </c>
      <c r="E3" s="15">
        <v>0</v>
      </c>
      <c r="F3" s="15">
        <v>0</v>
      </c>
      <c r="G3" s="15">
        <v>0</v>
      </c>
      <c r="H3" s="15">
        <f t="shared" ref="H3:H34" si="0">E3+F3+G3</f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5">
        <f t="shared" ref="S3:S34" si="1">H3+O3+P3+Q3+R3-(I3+J3+K3+L3+M3+N3)</f>
        <v>0</v>
      </c>
      <c r="T3" s="15">
        <f t="shared" ref="T3:T34" si="2">E3+O3-I3-L3</f>
        <v>0</v>
      </c>
      <c r="U3" s="15">
        <f t="shared" ref="U3:U34" si="3">F3+P3-J3-M3</f>
        <v>0</v>
      </c>
      <c r="V3" s="15">
        <f t="shared" ref="V3:V34" si="4">G3+Q3-K3-N3</f>
        <v>0</v>
      </c>
      <c r="W3" s="18" t="str">
        <f t="shared" ref="W3:W34" si="5">IF(MIN(T3,U3,V3)&lt;0,"NEGATIVE STOCK - CHECK ENTRIES","")</f>
        <v/>
      </c>
      <c r="X3" s="17">
        <v>0</v>
      </c>
      <c r="Y3" s="17">
        <v>0</v>
      </c>
      <c r="Z3" s="15">
        <f t="shared" ref="Z3:Z34" si="6">X3-Y3</f>
        <v>0</v>
      </c>
      <c r="AA3" s="17">
        <v>0</v>
      </c>
      <c r="AB3" s="17">
        <v>0</v>
      </c>
      <c r="AC3" s="15">
        <f t="shared" ref="AC3:AC34" si="7">AA3-AB3</f>
        <v>0</v>
      </c>
      <c r="AD3" s="17">
        <v>0</v>
      </c>
      <c r="AE3" s="17">
        <v>0</v>
      </c>
      <c r="AF3" s="15">
        <f t="shared" ref="AF3:AF34" si="8">AD3-AE3</f>
        <v>0</v>
      </c>
      <c r="AG3" s="17">
        <v>0</v>
      </c>
      <c r="AH3" s="17">
        <v>0</v>
      </c>
      <c r="AI3" s="15">
        <f t="shared" ref="AI3:AI34" si="9">AG3-AH3</f>
        <v>0</v>
      </c>
      <c r="AJ3" s="17"/>
    </row>
    <row r="4" spans="1:36" x14ac:dyDescent="0.3">
      <c r="A4" s="15" t="s">
        <v>56</v>
      </c>
      <c r="B4" s="15">
        <v>500</v>
      </c>
      <c r="C4" s="15" t="s">
        <v>54</v>
      </c>
      <c r="D4" s="15" t="s">
        <v>57</v>
      </c>
      <c r="E4" s="15">
        <f>'15-august-2026'!T4</f>
        <v>0</v>
      </c>
      <c r="F4" s="15">
        <f>'15-august-2026'!U4</f>
        <v>0</v>
      </c>
      <c r="G4" s="15">
        <f>'15-august-2026'!V4</f>
        <v>0</v>
      </c>
      <c r="H4" s="15">
        <f t="shared" si="0"/>
        <v>0</v>
      </c>
      <c r="I4" s="17">
        <v>2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5">
        <f t="shared" si="1"/>
        <v>-2</v>
      </c>
      <c r="T4" s="15">
        <f t="shared" si="2"/>
        <v>-2</v>
      </c>
      <c r="U4" s="15">
        <f t="shared" si="3"/>
        <v>0</v>
      </c>
      <c r="V4" s="15">
        <f t="shared" si="4"/>
        <v>0</v>
      </c>
      <c r="W4" s="18" t="str">
        <f t="shared" si="5"/>
        <v>NEGATIVE STOCK - CHECK ENTRIES</v>
      </c>
      <c r="X4" s="17">
        <v>0</v>
      </c>
      <c r="Y4" s="17">
        <v>0</v>
      </c>
      <c r="Z4" s="15">
        <f t="shared" si="6"/>
        <v>0</v>
      </c>
      <c r="AA4" s="17">
        <v>0</v>
      </c>
      <c r="AB4" s="17">
        <v>0</v>
      </c>
      <c r="AC4" s="15">
        <f t="shared" si="7"/>
        <v>0</v>
      </c>
      <c r="AD4" s="17">
        <v>0</v>
      </c>
      <c r="AE4" s="17">
        <v>0</v>
      </c>
      <c r="AF4" s="15">
        <f t="shared" si="8"/>
        <v>0</v>
      </c>
      <c r="AG4" s="17">
        <v>0</v>
      </c>
      <c r="AH4" s="17">
        <v>0</v>
      </c>
      <c r="AI4" s="15">
        <f t="shared" si="9"/>
        <v>0</v>
      </c>
      <c r="AJ4" s="17"/>
    </row>
    <row r="5" spans="1:36" x14ac:dyDescent="0.3">
      <c r="A5" s="15" t="s">
        <v>58</v>
      </c>
      <c r="B5" s="15">
        <v>100</v>
      </c>
      <c r="C5" s="15" t="s">
        <v>54</v>
      </c>
      <c r="D5" s="15" t="s">
        <v>55</v>
      </c>
      <c r="E5" s="15">
        <f>'15-august-2026'!T5</f>
        <v>8</v>
      </c>
      <c r="F5" s="15">
        <f>'15-august-2026'!U5</f>
        <v>153</v>
      </c>
      <c r="G5" s="15">
        <f>'15-august-2026'!V5</f>
        <v>0</v>
      </c>
      <c r="H5" s="15">
        <f t="shared" si="0"/>
        <v>161</v>
      </c>
      <c r="I5" s="17">
        <v>40</v>
      </c>
      <c r="J5" s="17">
        <v>40</v>
      </c>
      <c r="K5" s="17">
        <v>0</v>
      </c>
      <c r="L5" s="17">
        <v>0</v>
      </c>
      <c r="M5" s="17">
        <v>0</v>
      </c>
      <c r="N5" s="17">
        <v>0</v>
      </c>
      <c r="O5" s="17">
        <v>33</v>
      </c>
      <c r="P5" s="17">
        <v>0</v>
      </c>
      <c r="Q5" s="17">
        <v>0</v>
      </c>
      <c r="R5" s="17">
        <v>0</v>
      </c>
      <c r="S5" s="15">
        <f t="shared" si="1"/>
        <v>114</v>
      </c>
      <c r="T5" s="15">
        <f t="shared" si="2"/>
        <v>1</v>
      </c>
      <c r="U5" s="15">
        <f t="shared" si="3"/>
        <v>113</v>
      </c>
      <c r="V5" s="15">
        <f t="shared" si="4"/>
        <v>0</v>
      </c>
      <c r="W5" s="18" t="str">
        <f t="shared" si="5"/>
        <v/>
      </c>
      <c r="X5" s="17">
        <v>0</v>
      </c>
      <c r="Y5" s="17">
        <v>0</v>
      </c>
      <c r="Z5" s="15">
        <f t="shared" si="6"/>
        <v>0</v>
      </c>
      <c r="AA5" s="17">
        <v>0</v>
      </c>
      <c r="AB5" s="17">
        <v>0</v>
      </c>
      <c r="AC5" s="15">
        <f t="shared" si="7"/>
        <v>0</v>
      </c>
      <c r="AD5" s="17">
        <v>0</v>
      </c>
      <c r="AE5" s="17">
        <v>0</v>
      </c>
      <c r="AF5" s="15">
        <f t="shared" si="8"/>
        <v>0</v>
      </c>
      <c r="AG5" s="17">
        <v>0</v>
      </c>
      <c r="AH5" s="17">
        <v>0</v>
      </c>
      <c r="AI5" s="15">
        <f t="shared" si="9"/>
        <v>0</v>
      </c>
      <c r="AJ5" s="17"/>
    </row>
    <row r="6" spans="1:36" x14ac:dyDescent="0.3">
      <c r="A6" s="15" t="s">
        <v>59</v>
      </c>
      <c r="B6" s="15">
        <v>100</v>
      </c>
      <c r="C6" s="15" t="s">
        <v>54</v>
      </c>
      <c r="D6" s="15" t="s">
        <v>55</v>
      </c>
      <c r="E6" s="15">
        <f>'15-august-2026'!T6</f>
        <v>0</v>
      </c>
      <c r="F6" s="15">
        <f>'15-august-2026'!U6</f>
        <v>0</v>
      </c>
      <c r="G6" s="15">
        <f>'15-august-2026'!V6</f>
        <v>0</v>
      </c>
      <c r="H6" s="15">
        <f t="shared" si="0"/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5">
        <f t="shared" si="1"/>
        <v>0</v>
      </c>
      <c r="T6" s="15">
        <f t="shared" si="2"/>
        <v>0</v>
      </c>
      <c r="U6" s="15">
        <f t="shared" si="3"/>
        <v>0</v>
      </c>
      <c r="V6" s="15">
        <f t="shared" si="4"/>
        <v>0</v>
      </c>
      <c r="W6" s="18" t="str">
        <f t="shared" si="5"/>
        <v/>
      </c>
      <c r="X6" s="17">
        <v>0</v>
      </c>
      <c r="Y6" s="17">
        <v>0</v>
      </c>
      <c r="Z6" s="15">
        <f t="shared" si="6"/>
        <v>0</v>
      </c>
      <c r="AA6" s="17">
        <v>0</v>
      </c>
      <c r="AB6" s="17">
        <v>0</v>
      </c>
      <c r="AC6" s="15">
        <f t="shared" si="7"/>
        <v>0</v>
      </c>
      <c r="AD6" s="17">
        <v>0</v>
      </c>
      <c r="AE6" s="17">
        <v>0</v>
      </c>
      <c r="AF6" s="15">
        <f t="shared" si="8"/>
        <v>0</v>
      </c>
      <c r="AG6" s="17">
        <v>0</v>
      </c>
      <c r="AH6" s="17">
        <v>0</v>
      </c>
      <c r="AI6" s="15">
        <f t="shared" si="9"/>
        <v>0</v>
      </c>
      <c r="AJ6" s="17"/>
    </row>
    <row r="7" spans="1:36" x14ac:dyDescent="0.3">
      <c r="A7" s="15" t="s">
        <v>60</v>
      </c>
      <c r="B7" s="15">
        <v>100</v>
      </c>
      <c r="C7" s="15" t="s">
        <v>54</v>
      </c>
      <c r="D7" s="15" t="s">
        <v>55</v>
      </c>
      <c r="E7" s="15">
        <f>'15-august-2026'!T7</f>
        <v>0</v>
      </c>
      <c r="F7" s="15">
        <f>'15-august-2026'!U7</f>
        <v>20</v>
      </c>
      <c r="G7" s="15">
        <f>'15-august-2026'!V7</f>
        <v>0</v>
      </c>
      <c r="H7" s="15">
        <f t="shared" si="0"/>
        <v>20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5">
        <f t="shared" si="1"/>
        <v>20</v>
      </c>
      <c r="T7" s="15">
        <f t="shared" si="2"/>
        <v>0</v>
      </c>
      <c r="U7" s="15">
        <f t="shared" si="3"/>
        <v>20</v>
      </c>
      <c r="V7" s="15">
        <f t="shared" si="4"/>
        <v>0</v>
      </c>
      <c r="W7" s="18" t="str">
        <f t="shared" si="5"/>
        <v/>
      </c>
      <c r="X7" s="17">
        <v>0</v>
      </c>
      <c r="Y7" s="17">
        <v>0</v>
      </c>
      <c r="Z7" s="15">
        <f t="shared" si="6"/>
        <v>0</v>
      </c>
      <c r="AA7" s="17">
        <v>0</v>
      </c>
      <c r="AB7" s="17">
        <v>0</v>
      </c>
      <c r="AC7" s="15">
        <f t="shared" si="7"/>
        <v>0</v>
      </c>
      <c r="AD7" s="17">
        <v>0</v>
      </c>
      <c r="AE7" s="17">
        <v>0</v>
      </c>
      <c r="AF7" s="15">
        <f t="shared" si="8"/>
        <v>0</v>
      </c>
      <c r="AG7" s="17">
        <v>0</v>
      </c>
      <c r="AH7" s="17">
        <v>0</v>
      </c>
      <c r="AI7" s="15">
        <f t="shared" si="9"/>
        <v>0</v>
      </c>
      <c r="AJ7" s="17"/>
    </row>
    <row r="8" spans="1:36" x14ac:dyDescent="0.3">
      <c r="A8" s="15" t="s">
        <v>61</v>
      </c>
      <c r="B8" s="15">
        <v>100</v>
      </c>
      <c r="C8" s="15" t="s">
        <v>54</v>
      </c>
      <c r="D8" s="15" t="s">
        <v>55</v>
      </c>
      <c r="E8" s="15">
        <f>'15-august-2026'!T8</f>
        <v>5</v>
      </c>
      <c r="F8" s="15">
        <f>'15-august-2026'!U8</f>
        <v>17</v>
      </c>
      <c r="G8" s="15">
        <f>'15-august-2026'!V8</f>
        <v>0</v>
      </c>
      <c r="H8" s="15">
        <f t="shared" si="0"/>
        <v>22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5">
        <f t="shared" si="1"/>
        <v>22</v>
      </c>
      <c r="T8" s="15">
        <f t="shared" si="2"/>
        <v>5</v>
      </c>
      <c r="U8" s="15">
        <f t="shared" si="3"/>
        <v>17</v>
      </c>
      <c r="V8" s="15">
        <f t="shared" si="4"/>
        <v>0</v>
      </c>
      <c r="W8" s="18" t="str">
        <f t="shared" si="5"/>
        <v/>
      </c>
      <c r="X8" s="17">
        <v>0</v>
      </c>
      <c r="Y8" s="17">
        <v>0</v>
      </c>
      <c r="Z8" s="15">
        <f t="shared" si="6"/>
        <v>0</v>
      </c>
      <c r="AA8" s="17">
        <v>0</v>
      </c>
      <c r="AB8" s="17">
        <v>0</v>
      </c>
      <c r="AC8" s="15">
        <f t="shared" si="7"/>
        <v>0</v>
      </c>
      <c r="AD8" s="17">
        <v>0</v>
      </c>
      <c r="AE8" s="17">
        <v>0</v>
      </c>
      <c r="AF8" s="15">
        <f t="shared" si="8"/>
        <v>0</v>
      </c>
      <c r="AG8" s="17">
        <v>0</v>
      </c>
      <c r="AH8" s="17">
        <v>0</v>
      </c>
      <c r="AI8" s="15">
        <f t="shared" si="9"/>
        <v>0</v>
      </c>
      <c r="AJ8" s="17"/>
    </row>
    <row r="9" spans="1:36" x14ac:dyDescent="0.3">
      <c r="A9" s="15" t="s">
        <v>62</v>
      </c>
      <c r="B9" s="15">
        <v>100</v>
      </c>
      <c r="C9" s="15" t="s">
        <v>54</v>
      </c>
      <c r="D9" s="15" t="s">
        <v>55</v>
      </c>
      <c r="E9" s="15">
        <f>'15-august-2026'!T9</f>
        <v>0</v>
      </c>
      <c r="F9" s="15">
        <f>'15-august-2026'!U9</f>
        <v>0</v>
      </c>
      <c r="G9" s="15">
        <f>'15-august-2026'!V9</f>
        <v>1</v>
      </c>
      <c r="H9" s="15">
        <f t="shared" si="0"/>
        <v>1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5">
        <f t="shared" si="1"/>
        <v>1</v>
      </c>
      <c r="T9" s="15">
        <f t="shared" si="2"/>
        <v>0</v>
      </c>
      <c r="U9" s="15">
        <f t="shared" si="3"/>
        <v>0</v>
      </c>
      <c r="V9" s="15">
        <f t="shared" si="4"/>
        <v>1</v>
      </c>
      <c r="W9" s="18" t="str">
        <f t="shared" si="5"/>
        <v/>
      </c>
      <c r="X9" s="17">
        <v>0</v>
      </c>
      <c r="Y9" s="17">
        <v>0</v>
      </c>
      <c r="Z9" s="15">
        <f t="shared" si="6"/>
        <v>0</v>
      </c>
      <c r="AA9" s="17">
        <v>0</v>
      </c>
      <c r="AB9" s="17">
        <v>0</v>
      </c>
      <c r="AC9" s="15">
        <f t="shared" si="7"/>
        <v>0</v>
      </c>
      <c r="AD9" s="17">
        <v>0</v>
      </c>
      <c r="AE9" s="17">
        <v>0</v>
      </c>
      <c r="AF9" s="15">
        <f t="shared" si="8"/>
        <v>0</v>
      </c>
      <c r="AG9" s="17">
        <v>0</v>
      </c>
      <c r="AH9" s="17">
        <v>0</v>
      </c>
      <c r="AI9" s="15">
        <f t="shared" si="9"/>
        <v>0</v>
      </c>
      <c r="AJ9" s="17"/>
    </row>
    <row r="10" spans="1:36" x14ac:dyDescent="0.3">
      <c r="A10" s="15" t="s">
        <v>62</v>
      </c>
      <c r="B10" s="15">
        <v>500</v>
      </c>
      <c r="C10" s="15" t="s">
        <v>54</v>
      </c>
      <c r="D10" s="15" t="s">
        <v>55</v>
      </c>
      <c r="E10" s="15">
        <f>'15-august-2026'!T10</f>
        <v>-2</v>
      </c>
      <c r="F10" s="15">
        <f>'15-august-2026'!U10</f>
        <v>0</v>
      </c>
      <c r="G10" s="15">
        <f>'15-august-2026'!V10</f>
        <v>0</v>
      </c>
      <c r="H10" s="15">
        <f t="shared" si="0"/>
        <v>-2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5">
        <f t="shared" si="1"/>
        <v>-2</v>
      </c>
      <c r="T10" s="15">
        <f t="shared" si="2"/>
        <v>-2</v>
      </c>
      <c r="U10" s="15">
        <f t="shared" si="3"/>
        <v>0</v>
      </c>
      <c r="V10" s="15">
        <f t="shared" si="4"/>
        <v>0</v>
      </c>
      <c r="W10" s="18" t="str">
        <f t="shared" si="5"/>
        <v>NEGATIVE STOCK - CHECK ENTRIES</v>
      </c>
      <c r="X10" s="17">
        <v>0</v>
      </c>
      <c r="Y10" s="17">
        <v>0</v>
      </c>
      <c r="Z10" s="15">
        <f t="shared" si="6"/>
        <v>0</v>
      </c>
      <c r="AA10" s="17">
        <v>0</v>
      </c>
      <c r="AB10" s="17">
        <v>0</v>
      </c>
      <c r="AC10" s="15">
        <f t="shared" si="7"/>
        <v>0</v>
      </c>
      <c r="AD10" s="17">
        <v>0</v>
      </c>
      <c r="AE10" s="17">
        <v>0</v>
      </c>
      <c r="AF10" s="15">
        <f t="shared" si="8"/>
        <v>0</v>
      </c>
      <c r="AG10" s="17">
        <v>0</v>
      </c>
      <c r="AH10" s="17">
        <v>0</v>
      </c>
      <c r="AI10" s="15">
        <f t="shared" si="9"/>
        <v>0</v>
      </c>
      <c r="AJ10" s="17"/>
    </row>
    <row r="11" spans="1:36" x14ac:dyDescent="0.3">
      <c r="A11" s="15" t="s">
        <v>63</v>
      </c>
      <c r="B11" s="15">
        <v>100</v>
      </c>
      <c r="C11" s="15" t="s">
        <v>54</v>
      </c>
      <c r="D11" s="15" t="s">
        <v>55</v>
      </c>
      <c r="E11" s="15">
        <f>'15-august-2026'!T11</f>
        <v>330</v>
      </c>
      <c r="F11" s="15">
        <f>'15-august-2026'!U11</f>
        <v>178</v>
      </c>
      <c r="G11" s="15">
        <f>'15-august-2026'!V11</f>
        <v>16</v>
      </c>
      <c r="H11" s="15">
        <f t="shared" si="0"/>
        <v>524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5">
        <f t="shared" si="1"/>
        <v>524</v>
      </c>
      <c r="T11" s="15">
        <f t="shared" si="2"/>
        <v>330</v>
      </c>
      <c r="U11" s="15">
        <f t="shared" si="3"/>
        <v>178</v>
      </c>
      <c r="V11" s="15">
        <f t="shared" si="4"/>
        <v>16</v>
      </c>
      <c r="W11" s="18" t="str">
        <f t="shared" si="5"/>
        <v/>
      </c>
      <c r="X11" s="17">
        <v>0</v>
      </c>
      <c r="Y11" s="17">
        <v>0</v>
      </c>
      <c r="Z11" s="15">
        <f t="shared" si="6"/>
        <v>0</v>
      </c>
      <c r="AA11" s="17">
        <v>0</v>
      </c>
      <c r="AB11" s="17">
        <v>0</v>
      </c>
      <c r="AC11" s="15">
        <f t="shared" si="7"/>
        <v>0</v>
      </c>
      <c r="AD11" s="17">
        <v>0</v>
      </c>
      <c r="AE11" s="17">
        <v>0</v>
      </c>
      <c r="AF11" s="15">
        <f t="shared" si="8"/>
        <v>0</v>
      </c>
      <c r="AG11" s="17">
        <v>0</v>
      </c>
      <c r="AH11" s="17">
        <v>0</v>
      </c>
      <c r="AI11" s="15">
        <f t="shared" si="9"/>
        <v>0</v>
      </c>
      <c r="AJ11" s="17"/>
    </row>
    <row r="12" spans="1:36" x14ac:dyDescent="0.3">
      <c r="A12" s="15" t="s">
        <v>64</v>
      </c>
      <c r="B12" s="15">
        <v>500</v>
      </c>
      <c r="C12" s="15" t="s">
        <v>54</v>
      </c>
      <c r="D12" s="15" t="s">
        <v>55</v>
      </c>
      <c r="E12" s="15">
        <f>'15-august-2026'!T12</f>
        <v>8</v>
      </c>
      <c r="F12" s="15">
        <f>'15-august-2026'!U12</f>
        <v>0</v>
      </c>
      <c r="G12" s="15">
        <f>'15-august-2026'!V12</f>
        <v>0</v>
      </c>
      <c r="H12" s="15">
        <f t="shared" si="0"/>
        <v>8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5">
        <f t="shared" si="1"/>
        <v>8</v>
      </c>
      <c r="T12" s="15">
        <f t="shared" si="2"/>
        <v>8</v>
      </c>
      <c r="U12" s="15">
        <f t="shared" si="3"/>
        <v>0</v>
      </c>
      <c r="V12" s="15">
        <f t="shared" si="4"/>
        <v>0</v>
      </c>
      <c r="W12" s="18" t="str">
        <f t="shared" si="5"/>
        <v/>
      </c>
      <c r="X12" s="17">
        <v>0</v>
      </c>
      <c r="Y12" s="17">
        <v>0</v>
      </c>
      <c r="Z12" s="15">
        <f t="shared" si="6"/>
        <v>0</v>
      </c>
      <c r="AA12" s="17">
        <v>0</v>
      </c>
      <c r="AB12" s="17">
        <v>0</v>
      </c>
      <c r="AC12" s="15">
        <f t="shared" si="7"/>
        <v>0</v>
      </c>
      <c r="AD12" s="17">
        <v>0</v>
      </c>
      <c r="AE12" s="17">
        <v>0</v>
      </c>
      <c r="AF12" s="15">
        <f t="shared" si="8"/>
        <v>0</v>
      </c>
      <c r="AG12" s="17">
        <v>0</v>
      </c>
      <c r="AH12" s="17">
        <v>0</v>
      </c>
      <c r="AI12" s="15">
        <f t="shared" si="9"/>
        <v>0</v>
      </c>
      <c r="AJ12" s="17"/>
    </row>
    <row r="13" spans="1:36" x14ac:dyDescent="0.3">
      <c r="A13" s="15" t="s">
        <v>65</v>
      </c>
      <c r="B13" s="15">
        <v>100</v>
      </c>
      <c r="C13" s="15" t="s">
        <v>54</v>
      </c>
      <c r="D13" s="15" t="s">
        <v>55</v>
      </c>
      <c r="E13" s="15">
        <f>'15-august-2026'!T13</f>
        <v>4540</v>
      </c>
      <c r="F13" s="15">
        <f>'15-august-2026'!U13</f>
        <v>391</v>
      </c>
      <c r="G13" s="15">
        <f>'15-august-2026'!V13</f>
        <v>322</v>
      </c>
      <c r="H13" s="15">
        <f t="shared" si="0"/>
        <v>5253</v>
      </c>
      <c r="I13" s="17">
        <v>85</v>
      </c>
      <c r="J13" s="17">
        <v>320</v>
      </c>
      <c r="K13" s="17">
        <v>0</v>
      </c>
      <c r="L13" s="17">
        <v>402</v>
      </c>
      <c r="M13" s="17">
        <v>0</v>
      </c>
      <c r="N13" s="17">
        <v>0</v>
      </c>
      <c r="O13" s="17">
        <v>287</v>
      </c>
      <c r="P13" s="17">
        <v>0</v>
      </c>
      <c r="Q13" s="17">
        <v>0</v>
      </c>
      <c r="R13" s="17">
        <v>382</v>
      </c>
      <c r="S13" s="15">
        <f t="shared" si="1"/>
        <v>5115</v>
      </c>
      <c r="T13" s="15">
        <f t="shared" si="2"/>
        <v>4340</v>
      </c>
      <c r="U13" s="15">
        <f t="shared" si="3"/>
        <v>71</v>
      </c>
      <c r="V13" s="15">
        <f t="shared" si="4"/>
        <v>322</v>
      </c>
      <c r="W13" s="18" t="str">
        <f t="shared" si="5"/>
        <v/>
      </c>
      <c r="X13" s="17">
        <v>0</v>
      </c>
      <c r="Y13" s="17">
        <v>0</v>
      </c>
      <c r="Z13" s="15">
        <f t="shared" si="6"/>
        <v>0</v>
      </c>
      <c r="AA13" s="17">
        <v>0</v>
      </c>
      <c r="AB13" s="17">
        <v>0</v>
      </c>
      <c r="AC13" s="15">
        <f t="shared" si="7"/>
        <v>0</v>
      </c>
      <c r="AD13" s="17">
        <v>0</v>
      </c>
      <c r="AE13" s="17">
        <v>0</v>
      </c>
      <c r="AF13" s="15">
        <f t="shared" si="8"/>
        <v>0</v>
      </c>
      <c r="AG13" s="17">
        <v>0</v>
      </c>
      <c r="AH13" s="17">
        <v>0</v>
      </c>
      <c r="AI13" s="15">
        <f t="shared" si="9"/>
        <v>0</v>
      </c>
      <c r="AJ13" s="17"/>
    </row>
    <row r="14" spans="1:36" x14ac:dyDescent="0.3">
      <c r="A14" s="15" t="s">
        <v>65</v>
      </c>
      <c r="B14" s="15">
        <v>500</v>
      </c>
      <c r="C14" s="15" t="s">
        <v>54</v>
      </c>
      <c r="D14" s="15" t="s">
        <v>55</v>
      </c>
      <c r="E14" s="15">
        <f>'15-august-2026'!T14</f>
        <v>0</v>
      </c>
      <c r="F14" s="15">
        <f>'15-august-2026'!U14</f>
        <v>0</v>
      </c>
      <c r="G14" s="15">
        <f>'15-august-2026'!V14</f>
        <v>21</v>
      </c>
      <c r="H14" s="15">
        <f t="shared" si="0"/>
        <v>21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5">
        <f t="shared" si="1"/>
        <v>21</v>
      </c>
      <c r="T14" s="15">
        <f t="shared" si="2"/>
        <v>0</v>
      </c>
      <c r="U14" s="15">
        <f t="shared" si="3"/>
        <v>0</v>
      </c>
      <c r="V14" s="15">
        <f t="shared" si="4"/>
        <v>21</v>
      </c>
      <c r="W14" s="18" t="str">
        <f t="shared" si="5"/>
        <v/>
      </c>
      <c r="X14" s="17">
        <v>0</v>
      </c>
      <c r="Y14" s="17">
        <v>0</v>
      </c>
      <c r="Z14" s="15">
        <f t="shared" si="6"/>
        <v>0</v>
      </c>
      <c r="AA14" s="17">
        <v>0</v>
      </c>
      <c r="AB14" s="17">
        <v>0</v>
      </c>
      <c r="AC14" s="15">
        <f t="shared" si="7"/>
        <v>0</v>
      </c>
      <c r="AD14" s="17">
        <v>0</v>
      </c>
      <c r="AE14" s="17">
        <v>0</v>
      </c>
      <c r="AF14" s="15">
        <f t="shared" si="8"/>
        <v>0</v>
      </c>
      <c r="AG14" s="17">
        <v>0</v>
      </c>
      <c r="AH14" s="17">
        <v>0</v>
      </c>
      <c r="AI14" s="15">
        <f t="shared" si="9"/>
        <v>0</v>
      </c>
      <c r="AJ14" s="17"/>
    </row>
    <row r="15" spans="1:36" x14ac:dyDescent="0.3">
      <c r="A15" s="15" t="s">
        <v>66</v>
      </c>
      <c r="B15" s="15">
        <v>100</v>
      </c>
      <c r="C15" s="15" t="s">
        <v>54</v>
      </c>
      <c r="D15" s="15" t="s">
        <v>55</v>
      </c>
      <c r="E15" s="15">
        <f>'15-august-2026'!T15</f>
        <v>23</v>
      </c>
      <c r="F15" s="15">
        <f>'15-august-2026'!U15</f>
        <v>40</v>
      </c>
      <c r="G15" s="15">
        <f>'15-august-2026'!V15</f>
        <v>14</v>
      </c>
      <c r="H15" s="15">
        <f t="shared" si="0"/>
        <v>77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5">
        <f t="shared" si="1"/>
        <v>77</v>
      </c>
      <c r="T15" s="15">
        <f t="shared" si="2"/>
        <v>23</v>
      </c>
      <c r="U15" s="15">
        <f t="shared" si="3"/>
        <v>40</v>
      </c>
      <c r="V15" s="15">
        <f t="shared" si="4"/>
        <v>14</v>
      </c>
      <c r="W15" s="18" t="str">
        <f t="shared" si="5"/>
        <v/>
      </c>
      <c r="X15" s="17">
        <v>0</v>
      </c>
      <c r="Y15" s="17">
        <v>0</v>
      </c>
      <c r="Z15" s="15">
        <f t="shared" si="6"/>
        <v>0</v>
      </c>
      <c r="AA15" s="17">
        <v>0</v>
      </c>
      <c r="AB15" s="17">
        <v>0</v>
      </c>
      <c r="AC15" s="15">
        <f t="shared" si="7"/>
        <v>0</v>
      </c>
      <c r="AD15" s="17">
        <v>0</v>
      </c>
      <c r="AE15" s="17">
        <v>0</v>
      </c>
      <c r="AF15" s="15">
        <f t="shared" si="8"/>
        <v>0</v>
      </c>
      <c r="AG15" s="17">
        <v>0</v>
      </c>
      <c r="AH15" s="17">
        <v>0</v>
      </c>
      <c r="AI15" s="15">
        <f t="shared" si="9"/>
        <v>0</v>
      </c>
      <c r="AJ15" s="17"/>
    </row>
    <row r="16" spans="1:36" x14ac:dyDescent="0.3">
      <c r="A16" s="15" t="s">
        <v>66</v>
      </c>
      <c r="B16" s="15">
        <v>1000</v>
      </c>
      <c r="C16" s="15" t="s">
        <v>54</v>
      </c>
      <c r="D16" s="15" t="s">
        <v>55</v>
      </c>
      <c r="E16" s="15">
        <f>'15-august-2026'!T16</f>
        <v>0</v>
      </c>
      <c r="F16" s="15">
        <f>'15-august-2026'!U16</f>
        <v>0</v>
      </c>
      <c r="G16" s="15">
        <f>'15-august-2026'!V16</f>
        <v>0</v>
      </c>
      <c r="H16" s="15">
        <f t="shared" si="0"/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5">
        <f t="shared" si="1"/>
        <v>0</v>
      </c>
      <c r="T16" s="15">
        <f t="shared" si="2"/>
        <v>0</v>
      </c>
      <c r="U16" s="15">
        <f t="shared" si="3"/>
        <v>0</v>
      </c>
      <c r="V16" s="15">
        <f t="shared" si="4"/>
        <v>0</v>
      </c>
      <c r="W16" s="18" t="str">
        <f t="shared" si="5"/>
        <v/>
      </c>
      <c r="X16" s="17">
        <v>0</v>
      </c>
      <c r="Y16" s="17">
        <v>0</v>
      </c>
      <c r="Z16" s="15">
        <f t="shared" si="6"/>
        <v>0</v>
      </c>
      <c r="AA16" s="17">
        <v>0</v>
      </c>
      <c r="AB16" s="17">
        <v>0</v>
      </c>
      <c r="AC16" s="15">
        <f t="shared" si="7"/>
        <v>0</v>
      </c>
      <c r="AD16" s="17">
        <v>0</v>
      </c>
      <c r="AE16" s="17">
        <v>0</v>
      </c>
      <c r="AF16" s="15">
        <f t="shared" si="8"/>
        <v>0</v>
      </c>
      <c r="AG16" s="17">
        <v>0</v>
      </c>
      <c r="AH16" s="17">
        <v>0</v>
      </c>
      <c r="AI16" s="15">
        <f t="shared" si="9"/>
        <v>0</v>
      </c>
      <c r="AJ16" s="17"/>
    </row>
    <row r="17" spans="1:36" x14ac:dyDescent="0.3">
      <c r="A17" s="15" t="s">
        <v>67</v>
      </c>
      <c r="B17" s="15">
        <v>1000</v>
      </c>
      <c r="C17" s="15" t="s">
        <v>54</v>
      </c>
      <c r="D17" s="15" t="s">
        <v>68</v>
      </c>
      <c r="E17" s="15">
        <f>'15-august-2026'!T17</f>
        <v>3</v>
      </c>
      <c r="F17" s="15">
        <f>'15-august-2026'!U17</f>
        <v>0</v>
      </c>
      <c r="G17" s="15">
        <f>'15-august-2026'!V17</f>
        <v>0</v>
      </c>
      <c r="H17" s="15">
        <f t="shared" si="0"/>
        <v>3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5">
        <f t="shared" si="1"/>
        <v>3</v>
      </c>
      <c r="T17" s="15">
        <f t="shared" si="2"/>
        <v>3</v>
      </c>
      <c r="U17" s="15">
        <f t="shared" si="3"/>
        <v>0</v>
      </c>
      <c r="V17" s="15">
        <f t="shared" si="4"/>
        <v>0</v>
      </c>
      <c r="W17" s="18" t="str">
        <f t="shared" si="5"/>
        <v/>
      </c>
      <c r="X17" s="17">
        <v>0</v>
      </c>
      <c r="Y17" s="17">
        <v>0</v>
      </c>
      <c r="Z17" s="15">
        <f t="shared" si="6"/>
        <v>0</v>
      </c>
      <c r="AA17" s="17">
        <v>0</v>
      </c>
      <c r="AB17" s="17">
        <v>0</v>
      </c>
      <c r="AC17" s="15">
        <f t="shared" si="7"/>
        <v>0</v>
      </c>
      <c r="AD17" s="17">
        <v>0</v>
      </c>
      <c r="AE17" s="17">
        <v>0</v>
      </c>
      <c r="AF17" s="15">
        <f t="shared" si="8"/>
        <v>0</v>
      </c>
      <c r="AG17" s="17">
        <v>0</v>
      </c>
      <c r="AH17" s="17">
        <v>0</v>
      </c>
      <c r="AI17" s="15">
        <f t="shared" si="9"/>
        <v>0</v>
      </c>
      <c r="AJ17" s="17"/>
    </row>
    <row r="18" spans="1:36" x14ac:dyDescent="0.3">
      <c r="A18" s="15" t="s">
        <v>69</v>
      </c>
      <c r="B18" s="15">
        <v>100000</v>
      </c>
      <c r="C18" s="15" t="s">
        <v>54</v>
      </c>
      <c r="D18" s="15" t="s">
        <v>68</v>
      </c>
      <c r="E18" s="15">
        <f>'15-august-2026'!T18</f>
        <v>2</v>
      </c>
      <c r="F18" s="15">
        <f>'15-august-2026'!U18</f>
        <v>0</v>
      </c>
      <c r="G18" s="15">
        <f>'15-august-2026'!V18</f>
        <v>0</v>
      </c>
      <c r="H18" s="15">
        <f t="shared" si="0"/>
        <v>2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5">
        <f t="shared" si="1"/>
        <v>2</v>
      </c>
      <c r="T18" s="15">
        <f t="shared" si="2"/>
        <v>2</v>
      </c>
      <c r="U18" s="15">
        <f t="shared" si="3"/>
        <v>0</v>
      </c>
      <c r="V18" s="15">
        <f t="shared" si="4"/>
        <v>0</v>
      </c>
      <c r="W18" s="18" t="str">
        <f t="shared" si="5"/>
        <v/>
      </c>
      <c r="X18" s="17">
        <v>0</v>
      </c>
      <c r="Y18" s="17">
        <v>0</v>
      </c>
      <c r="Z18" s="15">
        <f t="shared" si="6"/>
        <v>0</v>
      </c>
      <c r="AA18" s="17">
        <v>0</v>
      </c>
      <c r="AB18" s="17">
        <v>0</v>
      </c>
      <c r="AC18" s="15">
        <f t="shared" si="7"/>
        <v>0</v>
      </c>
      <c r="AD18" s="17">
        <v>0</v>
      </c>
      <c r="AE18" s="17">
        <v>0</v>
      </c>
      <c r="AF18" s="15">
        <f t="shared" si="8"/>
        <v>0</v>
      </c>
      <c r="AG18" s="17">
        <v>0</v>
      </c>
      <c r="AH18" s="17">
        <v>0</v>
      </c>
      <c r="AI18" s="15">
        <f t="shared" si="9"/>
        <v>0</v>
      </c>
      <c r="AJ18" s="17"/>
    </row>
    <row r="19" spans="1:36" x14ac:dyDescent="0.3">
      <c r="A19" s="15" t="s">
        <v>70</v>
      </c>
      <c r="B19" s="15">
        <v>1000</v>
      </c>
      <c r="C19" s="15" t="s">
        <v>54</v>
      </c>
      <c r="D19" s="15" t="s">
        <v>55</v>
      </c>
      <c r="E19" s="15">
        <f>'15-august-2026'!T19</f>
        <v>8</v>
      </c>
      <c r="F19" s="15">
        <f>'15-august-2026'!U19</f>
        <v>0</v>
      </c>
      <c r="G19" s="15">
        <f>'15-august-2026'!V19</f>
        <v>0</v>
      </c>
      <c r="H19" s="15">
        <f t="shared" si="0"/>
        <v>8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5">
        <f t="shared" si="1"/>
        <v>8</v>
      </c>
      <c r="T19" s="15">
        <f t="shared" si="2"/>
        <v>8</v>
      </c>
      <c r="U19" s="15">
        <f t="shared" si="3"/>
        <v>0</v>
      </c>
      <c r="V19" s="15">
        <f t="shared" si="4"/>
        <v>0</v>
      </c>
      <c r="W19" s="18" t="str">
        <f t="shared" si="5"/>
        <v/>
      </c>
      <c r="X19" s="17">
        <v>0</v>
      </c>
      <c r="Y19" s="17">
        <v>0</v>
      </c>
      <c r="Z19" s="15">
        <f t="shared" si="6"/>
        <v>0</v>
      </c>
      <c r="AA19" s="17">
        <v>0</v>
      </c>
      <c r="AB19" s="17">
        <v>0</v>
      </c>
      <c r="AC19" s="15">
        <f t="shared" si="7"/>
        <v>0</v>
      </c>
      <c r="AD19" s="17">
        <v>0</v>
      </c>
      <c r="AE19" s="17">
        <v>0</v>
      </c>
      <c r="AF19" s="15">
        <f t="shared" si="8"/>
        <v>0</v>
      </c>
      <c r="AG19" s="17">
        <v>0</v>
      </c>
      <c r="AH19" s="17">
        <v>0</v>
      </c>
      <c r="AI19" s="15">
        <f t="shared" si="9"/>
        <v>0</v>
      </c>
      <c r="AJ19" s="17"/>
    </row>
    <row r="20" spans="1:36" x14ac:dyDescent="0.3">
      <c r="A20" s="15" t="s">
        <v>70</v>
      </c>
      <c r="B20" s="15">
        <v>1000</v>
      </c>
      <c r="C20" s="15" t="s">
        <v>54</v>
      </c>
      <c r="D20" s="15" t="s">
        <v>57</v>
      </c>
      <c r="E20" s="15">
        <f>'15-august-2026'!T20</f>
        <v>1</v>
      </c>
      <c r="F20" s="15">
        <f>'15-august-2026'!U20</f>
        <v>0</v>
      </c>
      <c r="G20" s="15">
        <f>'15-august-2026'!V20</f>
        <v>0</v>
      </c>
      <c r="H20" s="15">
        <f t="shared" si="0"/>
        <v>1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5">
        <f t="shared" si="1"/>
        <v>1</v>
      </c>
      <c r="T20" s="15">
        <f t="shared" si="2"/>
        <v>1</v>
      </c>
      <c r="U20" s="15">
        <f t="shared" si="3"/>
        <v>0</v>
      </c>
      <c r="V20" s="15">
        <f t="shared" si="4"/>
        <v>0</v>
      </c>
      <c r="W20" s="18" t="str">
        <f t="shared" si="5"/>
        <v/>
      </c>
      <c r="X20" s="17">
        <v>0</v>
      </c>
      <c r="Y20" s="17">
        <v>0</v>
      </c>
      <c r="Z20" s="15">
        <f t="shared" si="6"/>
        <v>0</v>
      </c>
      <c r="AA20" s="17">
        <v>0</v>
      </c>
      <c r="AB20" s="17">
        <v>0</v>
      </c>
      <c r="AC20" s="15">
        <f t="shared" si="7"/>
        <v>0</v>
      </c>
      <c r="AD20" s="17">
        <v>0</v>
      </c>
      <c r="AE20" s="17">
        <v>0</v>
      </c>
      <c r="AF20" s="15">
        <f t="shared" si="8"/>
        <v>0</v>
      </c>
      <c r="AG20" s="17">
        <v>0</v>
      </c>
      <c r="AH20" s="17">
        <v>0</v>
      </c>
      <c r="AI20" s="15">
        <f t="shared" si="9"/>
        <v>0</v>
      </c>
      <c r="AJ20" s="17"/>
    </row>
    <row r="21" spans="1:36" x14ac:dyDescent="0.3">
      <c r="A21" s="15" t="s">
        <v>71</v>
      </c>
      <c r="B21" s="15">
        <v>100</v>
      </c>
      <c r="C21" s="15" t="s">
        <v>54</v>
      </c>
      <c r="D21" s="15" t="s">
        <v>55</v>
      </c>
      <c r="E21" s="15">
        <f>'15-august-2026'!T21</f>
        <v>4</v>
      </c>
      <c r="F21" s="15">
        <f>'15-august-2026'!U21</f>
        <v>0</v>
      </c>
      <c r="G21" s="15">
        <f>'15-august-2026'!V21</f>
        <v>0</v>
      </c>
      <c r="H21" s="15">
        <f t="shared" si="0"/>
        <v>4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5">
        <f t="shared" si="1"/>
        <v>4</v>
      </c>
      <c r="T21" s="15">
        <f t="shared" si="2"/>
        <v>4</v>
      </c>
      <c r="U21" s="15">
        <f t="shared" si="3"/>
        <v>0</v>
      </c>
      <c r="V21" s="15">
        <f t="shared" si="4"/>
        <v>0</v>
      </c>
      <c r="W21" s="18" t="str">
        <f t="shared" si="5"/>
        <v/>
      </c>
      <c r="X21" s="17">
        <v>0</v>
      </c>
      <c r="Y21" s="17">
        <v>0</v>
      </c>
      <c r="Z21" s="15">
        <f t="shared" si="6"/>
        <v>0</v>
      </c>
      <c r="AA21" s="17">
        <v>0</v>
      </c>
      <c r="AB21" s="17">
        <v>0</v>
      </c>
      <c r="AC21" s="15">
        <f t="shared" si="7"/>
        <v>0</v>
      </c>
      <c r="AD21" s="17">
        <v>0</v>
      </c>
      <c r="AE21" s="17">
        <v>0</v>
      </c>
      <c r="AF21" s="15">
        <f t="shared" si="8"/>
        <v>0</v>
      </c>
      <c r="AG21" s="17">
        <v>0</v>
      </c>
      <c r="AH21" s="17">
        <v>0</v>
      </c>
      <c r="AI21" s="15">
        <f t="shared" si="9"/>
        <v>0</v>
      </c>
      <c r="AJ21" s="17"/>
    </row>
    <row r="22" spans="1:36" x14ac:dyDescent="0.3">
      <c r="A22" s="15" t="s">
        <v>71</v>
      </c>
      <c r="B22" s="15">
        <v>1000</v>
      </c>
      <c r="C22" s="15" t="s">
        <v>54</v>
      </c>
      <c r="D22" s="15" t="s">
        <v>55</v>
      </c>
      <c r="E22" s="15">
        <f>'15-august-2026'!T22</f>
        <v>8</v>
      </c>
      <c r="F22" s="15">
        <f>'15-august-2026'!U22</f>
        <v>0</v>
      </c>
      <c r="G22" s="15">
        <f>'15-august-2026'!V22</f>
        <v>0</v>
      </c>
      <c r="H22" s="15">
        <f t="shared" si="0"/>
        <v>8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5">
        <f t="shared" si="1"/>
        <v>8</v>
      </c>
      <c r="T22" s="15">
        <f t="shared" si="2"/>
        <v>8</v>
      </c>
      <c r="U22" s="15">
        <f t="shared" si="3"/>
        <v>0</v>
      </c>
      <c r="V22" s="15">
        <f t="shared" si="4"/>
        <v>0</v>
      </c>
      <c r="W22" s="18" t="str">
        <f t="shared" si="5"/>
        <v/>
      </c>
      <c r="X22" s="17">
        <v>0</v>
      </c>
      <c r="Y22" s="17">
        <v>0</v>
      </c>
      <c r="Z22" s="15">
        <f t="shared" si="6"/>
        <v>0</v>
      </c>
      <c r="AA22" s="17">
        <v>0</v>
      </c>
      <c r="AB22" s="17">
        <v>0</v>
      </c>
      <c r="AC22" s="15">
        <f t="shared" si="7"/>
        <v>0</v>
      </c>
      <c r="AD22" s="17">
        <v>0</v>
      </c>
      <c r="AE22" s="17">
        <v>0</v>
      </c>
      <c r="AF22" s="15">
        <f t="shared" si="8"/>
        <v>0</v>
      </c>
      <c r="AG22" s="17">
        <v>0</v>
      </c>
      <c r="AH22" s="17">
        <v>0</v>
      </c>
      <c r="AI22" s="15">
        <f t="shared" si="9"/>
        <v>0</v>
      </c>
      <c r="AJ22" s="17"/>
    </row>
    <row r="23" spans="1:36" x14ac:dyDescent="0.3">
      <c r="A23" s="15" t="s">
        <v>72</v>
      </c>
      <c r="B23" s="15">
        <v>100</v>
      </c>
      <c r="C23" s="15" t="s">
        <v>54</v>
      </c>
      <c r="D23" s="15" t="s">
        <v>57</v>
      </c>
      <c r="E23" s="15">
        <f>'15-august-2026'!T23</f>
        <v>18</v>
      </c>
      <c r="F23" s="15">
        <f>'15-august-2026'!U23</f>
        <v>0</v>
      </c>
      <c r="G23" s="15">
        <f>'15-august-2026'!V23</f>
        <v>0</v>
      </c>
      <c r="H23" s="15">
        <f t="shared" si="0"/>
        <v>18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5">
        <f t="shared" si="1"/>
        <v>18</v>
      </c>
      <c r="T23" s="15">
        <f t="shared" si="2"/>
        <v>18</v>
      </c>
      <c r="U23" s="15">
        <f t="shared" si="3"/>
        <v>0</v>
      </c>
      <c r="V23" s="15">
        <f t="shared" si="4"/>
        <v>0</v>
      </c>
      <c r="W23" s="18" t="str">
        <f t="shared" si="5"/>
        <v/>
      </c>
      <c r="X23" s="17">
        <v>0</v>
      </c>
      <c r="Y23" s="17">
        <v>0</v>
      </c>
      <c r="Z23" s="15">
        <f t="shared" si="6"/>
        <v>0</v>
      </c>
      <c r="AA23" s="17">
        <v>0</v>
      </c>
      <c r="AB23" s="17">
        <v>0</v>
      </c>
      <c r="AC23" s="15">
        <f t="shared" si="7"/>
        <v>0</v>
      </c>
      <c r="AD23" s="17">
        <v>0</v>
      </c>
      <c r="AE23" s="17">
        <v>0</v>
      </c>
      <c r="AF23" s="15">
        <f t="shared" si="8"/>
        <v>0</v>
      </c>
      <c r="AG23" s="17">
        <v>0</v>
      </c>
      <c r="AH23" s="17">
        <v>0</v>
      </c>
      <c r="AI23" s="15">
        <f t="shared" si="9"/>
        <v>0</v>
      </c>
      <c r="AJ23" s="17"/>
    </row>
    <row r="24" spans="1:36" x14ac:dyDescent="0.3">
      <c r="A24" s="15" t="s">
        <v>72</v>
      </c>
      <c r="B24" s="15">
        <v>500</v>
      </c>
      <c r="C24" s="15" t="s">
        <v>54</v>
      </c>
      <c r="D24" s="15" t="s">
        <v>57</v>
      </c>
      <c r="E24" s="15">
        <f>'15-august-2026'!T24</f>
        <v>-2</v>
      </c>
      <c r="F24" s="15">
        <f>'15-august-2026'!U24</f>
        <v>0</v>
      </c>
      <c r="G24" s="15">
        <f>'15-august-2026'!V24</f>
        <v>0</v>
      </c>
      <c r="H24" s="15">
        <f t="shared" si="0"/>
        <v>-2</v>
      </c>
      <c r="I24" s="17">
        <v>0</v>
      </c>
      <c r="J24" s="17">
        <v>0</v>
      </c>
      <c r="K24" s="17">
        <v>0</v>
      </c>
      <c r="L24" s="17">
        <v>2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5">
        <f t="shared" si="1"/>
        <v>-4</v>
      </c>
      <c r="T24" s="15">
        <f t="shared" si="2"/>
        <v>-4</v>
      </c>
      <c r="U24" s="15">
        <f t="shared" si="3"/>
        <v>0</v>
      </c>
      <c r="V24" s="15">
        <f t="shared" si="4"/>
        <v>0</v>
      </c>
      <c r="W24" s="18" t="str">
        <f t="shared" si="5"/>
        <v>NEGATIVE STOCK - CHECK ENTRIES</v>
      </c>
      <c r="X24" s="17">
        <v>0</v>
      </c>
      <c r="Y24" s="17">
        <v>0</v>
      </c>
      <c r="Z24" s="15">
        <f t="shared" si="6"/>
        <v>0</v>
      </c>
      <c r="AA24" s="17">
        <v>0</v>
      </c>
      <c r="AB24" s="17">
        <v>0</v>
      </c>
      <c r="AC24" s="15">
        <f t="shared" si="7"/>
        <v>0</v>
      </c>
      <c r="AD24" s="17">
        <v>0</v>
      </c>
      <c r="AE24" s="17">
        <v>0</v>
      </c>
      <c r="AF24" s="15">
        <f t="shared" si="8"/>
        <v>0</v>
      </c>
      <c r="AG24" s="17">
        <v>0</v>
      </c>
      <c r="AH24" s="17">
        <v>0</v>
      </c>
      <c r="AI24" s="15">
        <f t="shared" si="9"/>
        <v>0</v>
      </c>
      <c r="AJ24" s="17"/>
    </row>
    <row r="25" spans="1:36" x14ac:dyDescent="0.3">
      <c r="A25" s="15" t="s">
        <v>73</v>
      </c>
      <c r="B25" s="15">
        <v>100</v>
      </c>
      <c r="C25" s="15" t="s">
        <v>54</v>
      </c>
      <c r="D25" s="15" t="s">
        <v>55</v>
      </c>
      <c r="E25" s="15">
        <f>'15-august-2026'!T25</f>
        <v>1</v>
      </c>
      <c r="F25" s="15">
        <f>'15-august-2026'!U25</f>
        <v>134</v>
      </c>
      <c r="G25" s="15">
        <f>'15-august-2026'!V25</f>
        <v>0</v>
      </c>
      <c r="H25" s="15">
        <f t="shared" si="0"/>
        <v>135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4</v>
      </c>
      <c r="Q25" s="17">
        <v>0</v>
      </c>
      <c r="R25" s="17">
        <v>0</v>
      </c>
      <c r="S25" s="15">
        <f t="shared" si="1"/>
        <v>139</v>
      </c>
      <c r="T25" s="15">
        <f t="shared" si="2"/>
        <v>1</v>
      </c>
      <c r="U25" s="15">
        <f t="shared" si="3"/>
        <v>138</v>
      </c>
      <c r="V25" s="15">
        <f t="shared" si="4"/>
        <v>0</v>
      </c>
      <c r="W25" s="18" t="str">
        <f t="shared" si="5"/>
        <v/>
      </c>
      <c r="X25" s="17">
        <v>0</v>
      </c>
      <c r="Y25" s="17">
        <v>0</v>
      </c>
      <c r="Z25" s="15">
        <f t="shared" si="6"/>
        <v>0</v>
      </c>
      <c r="AA25" s="17">
        <v>0</v>
      </c>
      <c r="AB25" s="17">
        <v>0</v>
      </c>
      <c r="AC25" s="15">
        <f t="shared" si="7"/>
        <v>0</v>
      </c>
      <c r="AD25" s="17">
        <v>0</v>
      </c>
      <c r="AE25" s="17">
        <v>0</v>
      </c>
      <c r="AF25" s="15">
        <f t="shared" si="8"/>
        <v>0</v>
      </c>
      <c r="AG25" s="17">
        <v>0</v>
      </c>
      <c r="AH25" s="17">
        <v>0</v>
      </c>
      <c r="AI25" s="15">
        <f t="shared" si="9"/>
        <v>0</v>
      </c>
      <c r="AJ25" s="17"/>
    </row>
    <row r="26" spans="1:36" x14ac:dyDescent="0.3">
      <c r="A26" s="15" t="s">
        <v>74</v>
      </c>
      <c r="B26" s="15">
        <v>100</v>
      </c>
      <c r="C26" s="15" t="s">
        <v>54</v>
      </c>
      <c r="D26" s="15" t="s">
        <v>55</v>
      </c>
      <c r="E26" s="15">
        <f>'15-august-2026'!T26</f>
        <v>78</v>
      </c>
      <c r="F26" s="15">
        <f>'15-august-2026'!U26</f>
        <v>12</v>
      </c>
      <c r="G26" s="15">
        <f>'15-august-2026'!V26</f>
        <v>3</v>
      </c>
      <c r="H26" s="15">
        <f t="shared" si="0"/>
        <v>93</v>
      </c>
      <c r="I26" s="17">
        <v>4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5</v>
      </c>
      <c r="P26" s="17">
        <v>3</v>
      </c>
      <c r="Q26" s="17">
        <v>0</v>
      </c>
      <c r="R26" s="17">
        <v>0</v>
      </c>
      <c r="S26" s="15">
        <f t="shared" si="1"/>
        <v>97</v>
      </c>
      <c r="T26" s="15">
        <f t="shared" si="2"/>
        <v>79</v>
      </c>
      <c r="U26" s="15">
        <f t="shared" si="3"/>
        <v>15</v>
      </c>
      <c r="V26" s="15">
        <f t="shared" si="4"/>
        <v>3</v>
      </c>
      <c r="W26" s="18" t="str">
        <f t="shared" si="5"/>
        <v/>
      </c>
      <c r="X26" s="17">
        <v>0</v>
      </c>
      <c r="Y26" s="17">
        <v>0</v>
      </c>
      <c r="Z26" s="15">
        <f t="shared" si="6"/>
        <v>0</v>
      </c>
      <c r="AA26" s="17">
        <v>0</v>
      </c>
      <c r="AB26" s="17">
        <v>0</v>
      </c>
      <c r="AC26" s="15">
        <f t="shared" si="7"/>
        <v>0</v>
      </c>
      <c r="AD26" s="17">
        <v>0</v>
      </c>
      <c r="AE26" s="17">
        <v>0</v>
      </c>
      <c r="AF26" s="15">
        <f t="shared" si="8"/>
        <v>0</v>
      </c>
      <c r="AG26" s="17">
        <v>0</v>
      </c>
      <c r="AH26" s="17">
        <v>0</v>
      </c>
      <c r="AI26" s="15">
        <f t="shared" si="9"/>
        <v>0</v>
      </c>
      <c r="AJ26" s="17"/>
    </row>
    <row r="27" spans="1:36" x14ac:dyDescent="0.3">
      <c r="A27" s="15" t="s">
        <v>75</v>
      </c>
      <c r="B27" s="15">
        <v>1000</v>
      </c>
      <c r="C27" s="15" t="s">
        <v>54</v>
      </c>
      <c r="D27" s="15" t="s">
        <v>68</v>
      </c>
      <c r="E27" s="15">
        <f>'15-august-2026'!T27</f>
        <v>-1</v>
      </c>
      <c r="F27" s="15">
        <f>'15-august-2026'!U27</f>
        <v>0</v>
      </c>
      <c r="G27" s="15">
        <f>'15-august-2026'!V27</f>
        <v>0</v>
      </c>
      <c r="H27" s="15">
        <f t="shared" si="0"/>
        <v>-1</v>
      </c>
      <c r="I27" s="17">
        <v>1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5">
        <f t="shared" si="1"/>
        <v>-2</v>
      </c>
      <c r="T27" s="15">
        <f t="shared" si="2"/>
        <v>-2</v>
      </c>
      <c r="U27" s="15">
        <f t="shared" si="3"/>
        <v>0</v>
      </c>
      <c r="V27" s="15">
        <f t="shared" si="4"/>
        <v>0</v>
      </c>
      <c r="W27" s="18" t="str">
        <f t="shared" si="5"/>
        <v>NEGATIVE STOCK - CHECK ENTRIES</v>
      </c>
      <c r="X27" s="17">
        <v>0</v>
      </c>
      <c r="Y27" s="17">
        <v>0</v>
      </c>
      <c r="Z27" s="15">
        <f t="shared" si="6"/>
        <v>0</v>
      </c>
      <c r="AA27" s="17">
        <v>0</v>
      </c>
      <c r="AB27" s="17">
        <v>0</v>
      </c>
      <c r="AC27" s="15">
        <f t="shared" si="7"/>
        <v>0</v>
      </c>
      <c r="AD27" s="17">
        <v>0</v>
      </c>
      <c r="AE27" s="17">
        <v>0</v>
      </c>
      <c r="AF27" s="15">
        <f t="shared" si="8"/>
        <v>0</v>
      </c>
      <c r="AG27" s="17">
        <v>0</v>
      </c>
      <c r="AH27" s="17">
        <v>0</v>
      </c>
      <c r="AI27" s="15">
        <f t="shared" si="9"/>
        <v>0</v>
      </c>
      <c r="AJ27" s="17"/>
    </row>
    <row r="28" spans="1:36" x14ac:dyDescent="0.3">
      <c r="A28" s="15" t="s">
        <v>76</v>
      </c>
      <c r="B28" s="15">
        <v>100</v>
      </c>
      <c r="C28" s="15" t="s">
        <v>54</v>
      </c>
      <c r="D28" s="15" t="s">
        <v>68</v>
      </c>
      <c r="E28" s="15">
        <f>'15-august-2026'!T28</f>
        <v>6</v>
      </c>
      <c r="F28" s="15">
        <f>'15-august-2026'!U28</f>
        <v>0</v>
      </c>
      <c r="G28" s="15">
        <f>'15-august-2026'!V28</f>
        <v>0</v>
      </c>
      <c r="H28" s="15">
        <f t="shared" si="0"/>
        <v>6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5">
        <f t="shared" si="1"/>
        <v>6</v>
      </c>
      <c r="T28" s="15">
        <f t="shared" si="2"/>
        <v>6</v>
      </c>
      <c r="U28" s="15">
        <f t="shared" si="3"/>
        <v>0</v>
      </c>
      <c r="V28" s="15">
        <f t="shared" si="4"/>
        <v>0</v>
      </c>
      <c r="W28" s="18" t="str">
        <f t="shared" si="5"/>
        <v/>
      </c>
      <c r="X28" s="17">
        <v>0</v>
      </c>
      <c r="Y28" s="17">
        <v>0</v>
      </c>
      <c r="Z28" s="15">
        <f t="shared" si="6"/>
        <v>0</v>
      </c>
      <c r="AA28" s="17">
        <v>0</v>
      </c>
      <c r="AB28" s="17">
        <v>0</v>
      </c>
      <c r="AC28" s="15">
        <f t="shared" si="7"/>
        <v>0</v>
      </c>
      <c r="AD28" s="17">
        <v>0</v>
      </c>
      <c r="AE28" s="17">
        <v>0</v>
      </c>
      <c r="AF28" s="15">
        <f t="shared" si="8"/>
        <v>0</v>
      </c>
      <c r="AG28" s="17">
        <v>0</v>
      </c>
      <c r="AH28" s="17">
        <v>0</v>
      </c>
      <c r="AI28" s="15">
        <f t="shared" si="9"/>
        <v>0</v>
      </c>
      <c r="AJ28" s="17"/>
    </row>
    <row r="29" spans="1:36" x14ac:dyDescent="0.3">
      <c r="A29" s="15" t="s">
        <v>77</v>
      </c>
      <c r="B29" s="15">
        <v>100</v>
      </c>
      <c r="C29" s="15" t="s">
        <v>54</v>
      </c>
      <c r="D29" s="15" t="s">
        <v>55</v>
      </c>
      <c r="E29" s="15">
        <f>'15-august-2026'!T29</f>
        <v>0</v>
      </c>
      <c r="F29" s="15">
        <f>'15-august-2026'!U29</f>
        <v>0</v>
      </c>
      <c r="G29" s="15">
        <f>'15-august-2026'!V29</f>
        <v>0</v>
      </c>
      <c r="H29" s="15">
        <f t="shared" si="0"/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5">
        <f t="shared" si="1"/>
        <v>0</v>
      </c>
      <c r="T29" s="15">
        <f t="shared" si="2"/>
        <v>0</v>
      </c>
      <c r="U29" s="15">
        <f t="shared" si="3"/>
        <v>0</v>
      </c>
      <c r="V29" s="15">
        <f t="shared" si="4"/>
        <v>0</v>
      </c>
      <c r="W29" s="18" t="str">
        <f t="shared" si="5"/>
        <v/>
      </c>
      <c r="X29" s="17">
        <v>0</v>
      </c>
      <c r="Y29" s="17">
        <v>0</v>
      </c>
      <c r="Z29" s="15">
        <f t="shared" si="6"/>
        <v>0</v>
      </c>
      <c r="AA29" s="17">
        <v>0</v>
      </c>
      <c r="AB29" s="17">
        <v>0</v>
      </c>
      <c r="AC29" s="15">
        <f t="shared" si="7"/>
        <v>0</v>
      </c>
      <c r="AD29" s="17">
        <v>0</v>
      </c>
      <c r="AE29" s="17">
        <v>0</v>
      </c>
      <c r="AF29" s="15">
        <f t="shared" si="8"/>
        <v>0</v>
      </c>
      <c r="AG29" s="17">
        <v>0</v>
      </c>
      <c r="AH29" s="17">
        <v>0</v>
      </c>
      <c r="AI29" s="15">
        <f t="shared" si="9"/>
        <v>0</v>
      </c>
      <c r="AJ29" s="17"/>
    </row>
    <row r="30" spans="1:36" x14ac:dyDescent="0.3">
      <c r="A30" s="15" t="s">
        <v>78</v>
      </c>
      <c r="B30" s="15">
        <v>1000</v>
      </c>
      <c r="C30" s="15" t="s">
        <v>54</v>
      </c>
      <c r="D30" s="15" t="s">
        <v>55</v>
      </c>
      <c r="E30" s="15">
        <f>'15-august-2026'!T30</f>
        <v>4</v>
      </c>
      <c r="F30" s="15">
        <f>'15-august-2026'!U30</f>
        <v>4</v>
      </c>
      <c r="G30" s="15">
        <f>'15-august-2026'!V30</f>
        <v>10</v>
      </c>
      <c r="H30" s="15">
        <f t="shared" si="0"/>
        <v>18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5">
        <f t="shared" si="1"/>
        <v>18</v>
      </c>
      <c r="T30" s="15">
        <f t="shared" si="2"/>
        <v>4</v>
      </c>
      <c r="U30" s="15">
        <f t="shared" si="3"/>
        <v>4</v>
      </c>
      <c r="V30" s="15">
        <f t="shared" si="4"/>
        <v>10</v>
      </c>
      <c r="W30" s="18" t="str">
        <f t="shared" si="5"/>
        <v/>
      </c>
      <c r="X30" s="17">
        <v>0</v>
      </c>
      <c r="Y30" s="17">
        <v>0</v>
      </c>
      <c r="Z30" s="15">
        <f t="shared" si="6"/>
        <v>0</v>
      </c>
      <c r="AA30" s="17">
        <v>0</v>
      </c>
      <c r="AB30" s="17">
        <v>0</v>
      </c>
      <c r="AC30" s="15">
        <f t="shared" si="7"/>
        <v>0</v>
      </c>
      <c r="AD30" s="17">
        <v>0</v>
      </c>
      <c r="AE30" s="17">
        <v>0</v>
      </c>
      <c r="AF30" s="15">
        <f t="shared" si="8"/>
        <v>0</v>
      </c>
      <c r="AG30" s="17">
        <v>0</v>
      </c>
      <c r="AH30" s="17">
        <v>0</v>
      </c>
      <c r="AI30" s="15">
        <f t="shared" si="9"/>
        <v>0</v>
      </c>
      <c r="AJ30" s="17"/>
    </row>
    <row r="31" spans="1:36" x14ac:dyDescent="0.3">
      <c r="A31" s="15" t="s">
        <v>79</v>
      </c>
      <c r="B31" s="15">
        <v>1000</v>
      </c>
      <c r="C31" s="15" t="s">
        <v>54</v>
      </c>
      <c r="D31" s="15" t="s">
        <v>55</v>
      </c>
      <c r="E31" s="15">
        <f>'15-august-2026'!T31</f>
        <v>24</v>
      </c>
      <c r="F31" s="15">
        <f>'15-august-2026'!U31</f>
        <v>2</v>
      </c>
      <c r="G31" s="15">
        <f>'15-august-2026'!V31</f>
        <v>0</v>
      </c>
      <c r="H31" s="15">
        <f t="shared" si="0"/>
        <v>26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5">
        <f t="shared" si="1"/>
        <v>26</v>
      </c>
      <c r="T31" s="15">
        <f t="shared" si="2"/>
        <v>24</v>
      </c>
      <c r="U31" s="15">
        <f t="shared" si="3"/>
        <v>2</v>
      </c>
      <c r="V31" s="15">
        <f t="shared" si="4"/>
        <v>0</v>
      </c>
      <c r="W31" s="18" t="str">
        <f t="shared" si="5"/>
        <v/>
      </c>
      <c r="X31" s="17">
        <v>0</v>
      </c>
      <c r="Y31" s="17">
        <v>0</v>
      </c>
      <c r="Z31" s="15">
        <f t="shared" si="6"/>
        <v>0</v>
      </c>
      <c r="AA31" s="17">
        <v>0</v>
      </c>
      <c r="AB31" s="17">
        <v>0</v>
      </c>
      <c r="AC31" s="15">
        <f t="shared" si="7"/>
        <v>0</v>
      </c>
      <c r="AD31" s="17">
        <v>0</v>
      </c>
      <c r="AE31" s="17">
        <v>0</v>
      </c>
      <c r="AF31" s="15">
        <f t="shared" si="8"/>
        <v>0</v>
      </c>
      <c r="AG31" s="17">
        <v>0</v>
      </c>
      <c r="AH31" s="17">
        <v>0</v>
      </c>
      <c r="AI31" s="15">
        <f t="shared" si="9"/>
        <v>0</v>
      </c>
      <c r="AJ31" s="17"/>
    </row>
    <row r="32" spans="1:36" x14ac:dyDescent="0.3">
      <c r="A32" s="15" t="s">
        <v>80</v>
      </c>
      <c r="B32" s="15">
        <v>25000</v>
      </c>
      <c r="C32" s="15" t="s">
        <v>54</v>
      </c>
      <c r="D32" s="15" t="s">
        <v>55</v>
      </c>
      <c r="E32" s="15">
        <f>'15-august-2026'!T32</f>
        <v>4</v>
      </c>
      <c r="F32" s="15">
        <f>'15-august-2026'!U32</f>
        <v>0</v>
      </c>
      <c r="G32" s="15">
        <f>'15-august-2026'!V32</f>
        <v>0</v>
      </c>
      <c r="H32" s="15">
        <f t="shared" si="0"/>
        <v>4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5">
        <f t="shared" si="1"/>
        <v>4</v>
      </c>
      <c r="T32" s="15">
        <f t="shared" si="2"/>
        <v>4</v>
      </c>
      <c r="U32" s="15">
        <f t="shared" si="3"/>
        <v>0</v>
      </c>
      <c r="V32" s="15">
        <f t="shared" si="4"/>
        <v>0</v>
      </c>
      <c r="W32" s="18" t="str">
        <f t="shared" si="5"/>
        <v/>
      </c>
      <c r="X32" s="17">
        <v>0</v>
      </c>
      <c r="Y32" s="17">
        <v>0</v>
      </c>
      <c r="Z32" s="15">
        <f t="shared" si="6"/>
        <v>0</v>
      </c>
      <c r="AA32" s="17">
        <v>0</v>
      </c>
      <c r="AB32" s="17">
        <v>0</v>
      </c>
      <c r="AC32" s="15">
        <f t="shared" si="7"/>
        <v>0</v>
      </c>
      <c r="AD32" s="17">
        <v>0</v>
      </c>
      <c r="AE32" s="17">
        <v>0</v>
      </c>
      <c r="AF32" s="15">
        <f t="shared" si="8"/>
        <v>0</v>
      </c>
      <c r="AG32" s="17">
        <v>0</v>
      </c>
      <c r="AH32" s="17">
        <v>0</v>
      </c>
      <c r="AI32" s="15">
        <f t="shared" si="9"/>
        <v>0</v>
      </c>
      <c r="AJ32" s="17"/>
    </row>
    <row r="33" spans="1:36" x14ac:dyDescent="0.3">
      <c r="A33" s="15" t="s">
        <v>81</v>
      </c>
      <c r="B33" s="15">
        <v>25000</v>
      </c>
      <c r="C33" s="15" t="s">
        <v>54</v>
      </c>
      <c r="D33" s="15" t="s">
        <v>55</v>
      </c>
      <c r="E33" s="15">
        <f>'15-august-2026'!T33</f>
        <v>2</v>
      </c>
      <c r="F33" s="15">
        <f>'15-august-2026'!U33</f>
        <v>3</v>
      </c>
      <c r="G33" s="15">
        <f>'15-august-2026'!V33</f>
        <v>0</v>
      </c>
      <c r="H33" s="15">
        <f t="shared" si="0"/>
        <v>5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5">
        <f t="shared" si="1"/>
        <v>5</v>
      </c>
      <c r="T33" s="15">
        <f t="shared" si="2"/>
        <v>2</v>
      </c>
      <c r="U33" s="15">
        <f t="shared" si="3"/>
        <v>3</v>
      </c>
      <c r="V33" s="15">
        <f t="shared" si="4"/>
        <v>0</v>
      </c>
      <c r="W33" s="18" t="str">
        <f t="shared" si="5"/>
        <v/>
      </c>
      <c r="X33" s="17">
        <v>0</v>
      </c>
      <c r="Y33" s="17">
        <v>0</v>
      </c>
      <c r="Z33" s="15">
        <f t="shared" si="6"/>
        <v>0</v>
      </c>
      <c r="AA33" s="17">
        <v>0</v>
      </c>
      <c r="AB33" s="17">
        <v>0</v>
      </c>
      <c r="AC33" s="15">
        <f t="shared" si="7"/>
        <v>0</v>
      </c>
      <c r="AD33" s="17">
        <v>0</v>
      </c>
      <c r="AE33" s="17">
        <v>0</v>
      </c>
      <c r="AF33" s="15">
        <f t="shared" si="8"/>
        <v>0</v>
      </c>
      <c r="AG33" s="17">
        <v>0</v>
      </c>
      <c r="AH33" s="17">
        <v>0</v>
      </c>
      <c r="AI33" s="15">
        <f t="shared" si="9"/>
        <v>0</v>
      </c>
      <c r="AJ33" s="17"/>
    </row>
    <row r="34" spans="1:36" x14ac:dyDescent="0.3">
      <c r="A34" s="15" t="s">
        <v>82</v>
      </c>
      <c r="B34" s="15">
        <v>1000</v>
      </c>
      <c r="C34" s="15" t="s">
        <v>54</v>
      </c>
      <c r="D34" s="15" t="s">
        <v>68</v>
      </c>
      <c r="E34" s="15">
        <f>'15-august-2026'!T34</f>
        <v>2</v>
      </c>
      <c r="F34" s="15">
        <f>'15-august-2026'!U34</f>
        <v>0</v>
      </c>
      <c r="G34" s="15">
        <f>'15-august-2026'!V34</f>
        <v>0</v>
      </c>
      <c r="H34" s="15">
        <f t="shared" si="0"/>
        <v>2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5">
        <f t="shared" si="1"/>
        <v>2</v>
      </c>
      <c r="T34" s="15">
        <f t="shared" si="2"/>
        <v>2</v>
      </c>
      <c r="U34" s="15">
        <f t="shared" si="3"/>
        <v>0</v>
      </c>
      <c r="V34" s="15">
        <f t="shared" si="4"/>
        <v>0</v>
      </c>
      <c r="W34" s="18" t="str">
        <f t="shared" si="5"/>
        <v/>
      </c>
      <c r="X34" s="17">
        <v>0</v>
      </c>
      <c r="Y34" s="17">
        <v>0</v>
      </c>
      <c r="Z34" s="15">
        <f t="shared" si="6"/>
        <v>0</v>
      </c>
      <c r="AA34" s="17">
        <v>0</v>
      </c>
      <c r="AB34" s="17">
        <v>0</v>
      </c>
      <c r="AC34" s="15">
        <f t="shared" si="7"/>
        <v>0</v>
      </c>
      <c r="AD34" s="17">
        <v>0</v>
      </c>
      <c r="AE34" s="17">
        <v>0</v>
      </c>
      <c r="AF34" s="15">
        <f t="shared" si="8"/>
        <v>0</v>
      </c>
      <c r="AG34" s="17">
        <v>0</v>
      </c>
      <c r="AH34" s="17">
        <v>0</v>
      </c>
      <c r="AI34" s="15">
        <f t="shared" si="9"/>
        <v>0</v>
      </c>
      <c r="AJ34" s="17"/>
    </row>
    <row r="35" spans="1:36" x14ac:dyDescent="0.3">
      <c r="A35" s="15" t="s">
        <v>83</v>
      </c>
      <c r="B35" s="15">
        <v>100</v>
      </c>
      <c r="C35" s="15" t="s">
        <v>54</v>
      </c>
      <c r="D35" s="15" t="s">
        <v>57</v>
      </c>
      <c r="E35" s="15">
        <f>'15-august-2026'!T35</f>
        <v>2</v>
      </c>
      <c r="F35" s="15">
        <f>'15-august-2026'!U35</f>
        <v>0</v>
      </c>
      <c r="G35" s="15">
        <f>'15-august-2026'!V35</f>
        <v>0</v>
      </c>
      <c r="H35" s="15">
        <f t="shared" ref="H35:H66" si="10">E35+F35+G35</f>
        <v>2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5">
        <f t="shared" ref="S35:S66" si="11">H35+O35+P35+Q35+R35-(I35+J35+K35+L35+M35+N35)</f>
        <v>2</v>
      </c>
      <c r="T35" s="15">
        <f t="shared" ref="T35:T66" si="12">E35+O35-I35-L35</f>
        <v>2</v>
      </c>
      <c r="U35" s="15">
        <f t="shared" ref="U35:U66" si="13">F35+P35-J35-M35</f>
        <v>0</v>
      </c>
      <c r="V35" s="15">
        <f t="shared" ref="V35:V66" si="14">G35+Q35-K35-N35</f>
        <v>0</v>
      </c>
      <c r="W35" s="18" t="str">
        <f t="shared" ref="W35:W66" si="15">IF(MIN(T35,U35,V35)&lt;0,"NEGATIVE STOCK - CHECK ENTRIES","")</f>
        <v/>
      </c>
      <c r="X35" s="17">
        <v>0</v>
      </c>
      <c r="Y35" s="17">
        <v>0</v>
      </c>
      <c r="Z35" s="15">
        <f t="shared" ref="Z35:Z66" si="16">X35-Y35</f>
        <v>0</v>
      </c>
      <c r="AA35" s="17">
        <v>0</v>
      </c>
      <c r="AB35" s="17">
        <v>0</v>
      </c>
      <c r="AC35" s="15">
        <f t="shared" ref="AC35:AC66" si="17">AA35-AB35</f>
        <v>0</v>
      </c>
      <c r="AD35" s="17">
        <v>0</v>
      </c>
      <c r="AE35" s="17">
        <v>0</v>
      </c>
      <c r="AF35" s="15">
        <f t="shared" ref="AF35:AF66" si="18">AD35-AE35</f>
        <v>0</v>
      </c>
      <c r="AG35" s="17">
        <v>0</v>
      </c>
      <c r="AH35" s="17">
        <v>0</v>
      </c>
      <c r="AI35" s="15">
        <f t="shared" ref="AI35:AI66" si="19">AG35-AH35</f>
        <v>0</v>
      </c>
      <c r="AJ35" s="17"/>
    </row>
    <row r="36" spans="1:36" x14ac:dyDescent="0.3">
      <c r="A36" s="15" t="s">
        <v>84</v>
      </c>
      <c r="B36" s="15">
        <v>1000</v>
      </c>
      <c r="C36" s="15" t="s">
        <v>54</v>
      </c>
      <c r="D36" s="15" t="s">
        <v>55</v>
      </c>
      <c r="E36" s="15">
        <f>'15-august-2026'!T36</f>
        <v>12</v>
      </c>
      <c r="F36" s="15">
        <f>'15-august-2026'!U36</f>
        <v>0</v>
      </c>
      <c r="G36" s="15">
        <f>'15-august-2026'!V36</f>
        <v>1</v>
      </c>
      <c r="H36" s="15">
        <f t="shared" si="10"/>
        <v>13</v>
      </c>
      <c r="I36" s="17">
        <v>2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5">
        <f t="shared" si="11"/>
        <v>11</v>
      </c>
      <c r="T36" s="15">
        <f t="shared" si="12"/>
        <v>10</v>
      </c>
      <c r="U36" s="15">
        <f t="shared" si="13"/>
        <v>0</v>
      </c>
      <c r="V36" s="15">
        <f t="shared" si="14"/>
        <v>1</v>
      </c>
      <c r="W36" s="18" t="str">
        <f t="shared" si="15"/>
        <v/>
      </c>
      <c r="X36" s="17">
        <v>0</v>
      </c>
      <c r="Y36" s="17">
        <v>0</v>
      </c>
      <c r="Z36" s="15">
        <f t="shared" si="16"/>
        <v>0</v>
      </c>
      <c r="AA36" s="17">
        <v>0</v>
      </c>
      <c r="AB36" s="17">
        <v>0</v>
      </c>
      <c r="AC36" s="15">
        <f t="shared" si="17"/>
        <v>0</v>
      </c>
      <c r="AD36" s="17">
        <v>0</v>
      </c>
      <c r="AE36" s="17">
        <v>0</v>
      </c>
      <c r="AF36" s="15">
        <f t="shared" si="18"/>
        <v>0</v>
      </c>
      <c r="AG36" s="17">
        <v>0</v>
      </c>
      <c r="AH36" s="17">
        <v>0</v>
      </c>
      <c r="AI36" s="15">
        <f t="shared" si="19"/>
        <v>0</v>
      </c>
      <c r="AJ36" s="17"/>
    </row>
    <row r="37" spans="1:36" x14ac:dyDescent="0.3">
      <c r="A37" s="15" t="s">
        <v>85</v>
      </c>
      <c r="B37" s="15">
        <v>1000</v>
      </c>
      <c r="C37" s="15" t="s">
        <v>54</v>
      </c>
      <c r="D37" s="15" t="s">
        <v>68</v>
      </c>
      <c r="E37" s="15">
        <f>'15-august-2026'!T37</f>
        <v>5</v>
      </c>
      <c r="F37" s="15">
        <f>'15-august-2026'!U37</f>
        <v>0</v>
      </c>
      <c r="G37" s="15">
        <f>'15-august-2026'!V37</f>
        <v>0</v>
      </c>
      <c r="H37" s="15">
        <f t="shared" si="10"/>
        <v>5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5">
        <f t="shared" si="11"/>
        <v>5</v>
      </c>
      <c r="T37" s="15">
        <f t="shared" si="12"/>
        <v>5</v>
      </c>
      <c r="U37" s="15">
        <f t="shared" si="13"/>
        <v>0</v>
      </c>
      <c r="V37" s="15">
        <f t="shared" si="14"/>
        <v>0</v>
      </c>
      <c r="W37" s="18" t="str">
        <f t="shared" si="15"/>
        <v/>
      </c>
      <c r="X37" s="17">
        <v>0</v>
      </c>
      <c r="Y37" s="17">
        <v>0</v>
      </c>
      <c r="Z37" s="15">
        <f t="shared" si="16"/>
        <v>0</v>
      </c>
      <c r="AA37" s="17">
        <v>0</v>
      </c>
      <c r="AB37" s="17">
        <v>0</v>
      </c>
      <c r="AC37" s="15">
        <f t="shared" si="17"/>
        <v>0</v>
      </c>
      <c r="AD37" s="17">
        <v>0</v>
      </c>
      <c r="AE37" s="17">
        <v>0</v>
      </c>
      <c r="AF37" s="15">
        <f t="shared" si="18"/>
        <v>0</v>
      </c>
      <c r="AG37" s="17">
        <v>0</v>
      </c>
      <c r="AH37" s="17">
        <v>0</v>
      </c>
      <c r="AI37" s="15">
        <f t="shared" si="19"/>
        <v>0</v>
      </c>
      <c r="AJ37" s="17"/>
    </row>
    <row r="38" spans="1:36" x14ac:dyDescent="0.3">
      <c r="A38" s="15" t="s">
        <v>86</v>
      </c>
      <c r="B38" s="15">
        <v>100</v>
      </c>
      <c r="C38" s="15" t="s">
        <v>54</v>
      </c>
      <c r="D38" s="15" t="s">
        <v>57</v>
      </c>
      <c r="E38" s="15">
        <f>'15-august-2026'!T38</f>
        <v>1</v>
      </c>
      <c r="F38" s="15">
        <f>'15-august-2026'!U38</f>
        <v>0</v>
      </c>
      <c r="G38" s="15">
        <f>'15-august-2026'!V38</f>
        <v>0</v>
      </c>
      <c r="H38" s="15">
        <f t="shared" si="10"/>
        <v>1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5">
        <f t="shared" si="11"/>
        <v>1</v>
      </c>
      <c r="T38" s="15">
        <f t="shared" si="12"/>
        <v>1</v>
      </c>
      <c r="U38" s="15">
        <f t="shared" si="13"/>
        <v>0</v>
      </c>
      <c r="V38" s="15">
        <f t="shared" si="14"/>
        <v>0</v>
      </c>
      <c r="W38" s="18" t="str">
        <f t="shared" si="15"/>
        <v/>
      </c>
      <c r="X38" s="17">
        <v>0</v>
      </c>
      <c r="Y38" s="17">
        <v>0</v>
      </c>
      <c r="Z38" s="15">
        <f t="shared" si="16"/>
        <v>0</v>
      </c>
      <c r="AA38" s="17">
        <v>0</v>
      </c>
      <c r="AB38" s="17">
        <v>0</v>
      </c>
      <c r="AC38" s="15">
        <f t="shared" si="17"/>
        <v>0</v>
      </c>
      <c r="AD38" s="17">
        <v>0</v>
      </c>
      <c r="AE38" s="17">
        <v>0</v>
      </c>
      <c r="AF38" s="15">
        <f t="shared" si="18"/>
        <v>0</v>
      </c>
      <c r="AG38" s="17">
        <v>0</v>
      </c>
      <c r="AH38" s="17">
        <v>0</v>
      </c>
      <c r="AI38" s="15">
        <f t="shared" si="19"/>
        <v>0</v>
      </c>
      <c r="AJ38" s="17"/>
    </row>
    <row r="39" spans="1:36" x14ac:dyDescent="0.3">
      <c r="A39" s="15" t="s">
        <v>87</v>
      </c>
      <c r="B39" s="15">
        <v>100000</v>
      </c>
      <c r="C39" s="15" t="s">
        <v>54</v>
      </c>
      <c r="D39" s="15" t="s">
        <v>68</v>
      </c>
      <c r="E39" s="15">
        <f>'15-august-2026'!T39</f>
        <v>2</v>
      </c>
      <c r="F39" s="15">
        <f>'15-august-2026'!U39</f>
        <v>0</v>
      </c>
      <c r="G39" s="15">
        <f>'15-august-2026'!V39</f>
        <v>0</v>
      </c>
      <c r="H39" s="15">
        <f t="shared" si="10"/>
        <v>2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5">
        <f t="shared" si="11"/>
        <v>2</v>
      </c>
      <c r="T39" s="15">
        <f t="shared" si="12"/>
        <v>2</v>
      </c>
      <c r="U39" s="15">
        <f t="shared" si="13"/>
        <v>0</v>
      </c>
      <c r="V39" s="15">
        <f t="shared" si="14"/>
        <v>0</v>
      </c>
      <c r="W39" s="18" t="str">
        <f t="shared" si="15"/>
        <v/>
      </c>
      <c r="X39" s="17">
        <v>0</v>
      </c>
      <c r="Y39" s="17">
        <v>0</v>
      </c>
      <c r="Z39" s="15">
        <f t="shared" si="16"/>
        <v>0</v>
      </c>
      <c r="AA39" s="17">
        <v>0</v>
      </c>
      <c r="AB39" s="17">
        <v>0</v>
      </c>
      <c r="AC39" s="15">
        <f t="shared" si="17"/>
        <v>0</v>
      </c>
      <c r="AD39" s="17">
        <v>0</v>
      </c>
      <c r="AE39" s="17">
        <v>0</v>
      </c>
      <c r="AF39" s="15">
        <f t="shared" si="18"/>
        <v>0</v>
      </c>
      <c r="AG39" s="17">
        <v>0</v>
      </c>
      <c r="AH39" s="17">
        <v>0</v>
      </c>
      <c r="AI39" s="15">
        <f t="shared" si="19"/>
        <v>0</v>
      </c>
      <c r="AJ39" s="17"/>
    </row>
    <row r="40" spans="1:36" x14ac:dyDescent="0.3">
      <c r="A40" s="15" t="s">
        <v>88</v>
      </c>
      <c r="B40" s="15">
        <v>100000</v>
      </c>
      <c r="C40" s="15" t="s">
        <v>54</v>
      </c>
      <c r="D40" s="15" t="s">
        <v>68</v>
      </c>
      <c r="E40" s="15">
        <f>'15-august-2026'!T40</f>
        <v>1</v>
      </c>
      <c r="F40" s="15">
        <f>'15-august-2026'!U40</f>
        <v>0</v>
      </c>
      <c r="G40" s="15">
        <f>'15-august-2026'!V40</f>
        <v>0</v>
      </c>
      <c r="H40" s="15">
        <f t="shared" si="10"/>
        <v>1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5">
        <f t="shared" si="11"/>
        <v>1</v>
      </c>
      <c r="T40" s="15">
        <f t="shared" si="12"/>
        <v>1</v>
      </c>
      <c r="U40" s="15">
        <f t="shared" si="13"/>
        <v>0</v>
      </c>
      <c r="V40" s="15">
        <f t="shared" si="14"/>
        <v>0</v>
      </c>
      <c r="W40" s="18" t="str">
        <f t="shared" si="15"/>
        <v/>
      </c>
      <c r="X40" s="17">
        <v>0</v>
      </c>
      <c r="Y40" s="17">
        <v>0</v>
      </c>
      <c r="Z40" s="15">
        <f t="shared" si="16"/>
        <v>0</v>
      </c>
      <c r="AA40" s="17">
        <v>0</v>
      </c>
      <c r="AB40" s="17">
        <v>0</v>
      </c>
      <c r="AC40" s="15">
        <f t="shared" si="17"/>
        <v>0</v>
      </c>
      <c r="AD40" s="17">
        <v>0</v>
      </c>
      <c r="AE40" s="17">
        <v>0</v>
      </c>
      <c r="AF40" s="15">
        <f t="shared" si="18"/>
        <v>0</v>
      </c>
      <c r="AG40" s="17">
        <v>0</v>
      </c>
      <c r="AH40" s="17">
        <v>0</v>
      </c>
      <c r="AI40" s="15">
        <f t="shared" si="19"/>
        <v>0</v>
      </c>
      <c r="AJ40" s="17"/>
    </row>
    <row r="41" spans="1:36" x14ac:dyDescent="0.3">
      <c r="A41" s="15" t="s">
        <v>89</v>
      </c>
      <c r="B41" s="15">
        <v>100</v>
      </c>
      <c r="C41" s="15" t="s">
        <v>54</v>
      </c>
      <c r="D41" s="15" t="s">
        <v>55</v>
      </c>
      <c r="E41" s="15">
        <f>'15-august-2026'!T41</f>
        <v>9</v>
      </c>
      <c r="F41" s="15">
        <f>'15-august-2026'!U41</f>
        <v>0</v>
      </c>
      <c r="G41" s="15">
        <f>'15-august-2026'!V41</f>
        <v>0</v>
      </c>
      <c r="H41" s="15">
        <f t="shared" si="10"/>
        <v>9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5">
        <f t="shared" si="11"/>
        <v>9</v>
      </c>
      <c r="T41" s="15">
        <f t="shared" si="12"/>
        <v>9</v>
      </c>
      <c r="U41" s="15">
        <f t="shared" si="13"/>
        <v>0</v>
      </c>
      <c r="V41" s="15">
        <f t="shared" si="14"/>
        <v>0</v>
      </c>
      <c r="W41" s="18" t="str">
        <f t="shared" si="15"/>
        <v/>
      </c>
      <c r="X41" s="17">
        <v>0</v>
      </c>
      <c r="Y41" s="17">
        <v>0</v>
      </c>
      <c r="Z41" s="15">
        <f t="shared" si="16"/>
        <v>0</v>
      </c>
      <c r="AA41" s="17">
        <v>0</v>
      </c>
      <c r="AB41" s="17">
        <v>0</v>
      </c>
      <c r="AC41" s="15">
        <f t="shared" si="17"/>
        <v>0</v>
      </c>
      <c r="AD41" s="17">
        <v>0</v>
      </c>
      <c r="AE41" s="17">
        <v>0</v>
      </c>
      <c r="AF41" s="15">
        <f t="shared" si="18"/>
        <v>0</v>
      </c>
      <c r="AG41" s="17">
        <v>0</v>
      </c>
      <c r="AH41" s="17">
        <v>0</v>
      </c>
      <c r="AI41" s="15">
        <f t="shared" si="19"/>
        <v>0</v>
      </c>
      <c r="AJ41" s="17"/>
    </row>
    <row r="42" spans="1:36" x14ac:dyDescent="0.3">
      <c r="A42" s="15" t="s">
        <v>90</v>
      </c>
      <c r="B42" s="15">
        <v>100</v>
      </c>
      <c r="C42" s="15" t="s">
        <v>54</v>
      </c>
      <c r="D42" s="15" t="s">
        <v>57</v>
      </c>
      <c r="E42" s="15">
        <f>'15-august-2026'!T42</f>
        <v>10</v>
      </c>
      <c r="F42" s="15">
        <f>'15-august-2026'!U42</f>
        <v>0</v>
      </c>
      <c r="G42" s="15">
        <f>'15-august-2026'!V42</f>
        <v>0</v>
      </c>
      <c r="H42" s="15">
        <f t="shared" si="10"/>
        <v>10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5">
        <f t="shared" si="11"/>
        <v>10</v>
      </c>
      <c r="T42" s="15">
        <f t="shared" si="12"/>
        <v>10</v>
      </c>
      <c r="U42" s="15">
        <f t="shared" si="13"/>
        <v>0</v>
      </c>
      <c r="V42" s="15">
        <f t="shared" si="14"/>
        <v>0</v>
      </c>
      <c r="W42" s="18" t="str">
        <f t="shared" si="15"/>
        <v/>
      </c>
      <c r="X42" s="17">
        <v>0</v>
      </c>
      <c r="Y42" s="17">
        <v>0</v>
      </c>
      <c r="Z42" s="15">
        <f t="shared" si="16"/>
        <v>0</v>
      </c>
      <c r="AA42" s="17">
        <v>0</v>
      </c>
      <c r="AB42" s="17">
        <v>0</v>
      </c>
      <c r="AC42" s="15">
        <f t="shared" si="17"/>
        <v>0</v>
      </c>
      <c r="AD42" s="17">
        <v>0</v>
      </c>
      <c r="AE42" s="17">
        <v>0</v>
      </c>
      <c r="AF42" s="15">
        <f t="shared" si="18"/>
        <v>0</v>
      </c>
      <c r="AG42" s="17">
        <v>0</v>
      </c>
      <c r="AH42" s="17">
        <v>0</v>
      </c>
      <c r="AI42" s="15">
        <f t="shared" si="19"/>
        <v>0</v>
      </c>
      <c r="AJ42" s="17"/>
    </row>
    <row r="43" spans="1:36" x14ac:dyDescent="0.3">
      <c r="A43" s="15" t="s">
        <v>91</v>
      </c>
      <c r="B43" s="15">
        <v>1000</v>
      </c>
      <c r="C43" s="15" t="s">
        <v>54</v>
      </c>
      <c r="D43" s="15" t="s">
        <v>55</v>
      </c>
      <c r="E43" s="15">
        <f>'15-august-2026'!T43</f>
        <v>51</v>
      </c>
      <c r="F43" s="15">
        <f>'15-august-2026'!U43</f>
        <v>101</v>
      </c>
      <c r="G43" s="15">
        <f>'15-august-2026'!V43</f>
        <v>0</v>
      </c>
      <c r="H43" s="15">
        <f t="shared" si="10"/>
        <v>152</v>
      </c>
      <c r="I43" s="17">
        <v>8</v>
      </c>
      <c r="J43" s="17">
        <v>0</v>
      </c>
      <c r="K43" s="17">
        <v>7</v>
      </c>
      <c r="L43" s="17">
        <v>10</v>
      </c>
      <c r="M43" s="17">
        <v>0</v>
      </c>
      <c r="N43" s="17">
        <v>0</v>
      </c>
      <c r="O43" s="17">
        <v>1</v>
      </c>
      <c r="P43" s="17">
        <v>0</v>
      </c>
      <c r="Q43" s="17">
        <v>0</v>
      </c>
      <c r="R43" s="17">
        <v>0</v>
      </c>
      <c r="S43" s="15">
        <f t="shared" si="11"/>
        <v>128</v>
      </c>
      <c r="T43" s="15">
        <f t="shared" si="12"/>
        <v>34</v>
      </c>
      <c r="U43" s="15">
        <f t="shared" si="13"/>
        <v>101</v>
      </c>
      <c r="V43" s="15">
        <f t="shared" si="14"/>
        <v>-7</v>
      </c>
      <c r="W43" s="18" t="str">
        <f t="shared" si="15"/>
        <v>NEGATIVE STOCK - CHECK ENTRIES</v>
      </c>
      <c r="X43" s="17">
        <v>0</v>
      </c>
      <c r="Y43" s="17">
        <v>0</v>
      </c>
      <c r="Z43" s="15">
        <f t="shared" si="16"/>
        <v>0</v>
      </c>
      <c r="AA43" s="17">
        <v>0</v>
      </c>
      <c r="AB43" s="17">
        <v>0</v>
      </c>
      <c r="AC43" s="15">
        <f t="shared" si="17"/>
        <v>0</v>
      </c>
      <c r="AD43" s="17">
        <v>0</v>
      </c>
      <c r="AE43" s="17">
        <v>0</v>
      </c>
      <c r="AF43" s="15">
        <f t="shared" si="18"/>
        <v>0</v>
      </c>
      <c r="AG43" s="17">
        <v>0</v>
      </c>
      <c r="AH43" s="17">
        <v>0</v>
      </c>
      <c r="AI43" s="15">
        <f t="shared" si="19"/>
        <v>0</v>
      </c>
      <c r="AJ43" s="17"/>
    </row>
    <row r="44" spans="1:36" x14ac:dyDescent="0.3">
      <c r="A44" s="15" t="s">
        <v>92</v>
      </c>
      <c r="B44" s="15">
        <v>100</v>
      </c>
      <c r="C44" s="15" t="s">
        <v>54</v>
      </c>
      <c r="D44" s="15" t="s">
        <v>68</v>
      </c>
      <c r="E44" s="15">
        <f>'15-august-2026'!T44</f>
        <v>3</v>
      </c>
      <c r="F44" s="15">
        <f>'15-august-2026'!U44</f>
        <v>0</v>
      </c>
      <c r="G44" s="15">
        <f>'15-august-2026'!V44</f>
        <v>0</v>
      </c>
      <c r="H44" s="15">
        <f t="shared" si="10"/>
        <v>3</v>
      </c>
      <c r="I44" s="17">
        <v>1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5">
        <f t="shared" si="11"/>
        <v>2</v>
      </c>
      <c r="T44" s="15">
        <f t="shared" si="12"/>
        <v>2</v>
      </c>
      <c r="U44" s="15">
        <f t="shared" si="13"/>
        <v>0</v>
      </c>
      <c r="V44" s="15">
        <f t="shared" si="14"/>
        <v>0</v>
      </c>
      <c r="W44" s="18" t="str">
        <f t="shared" si="15"/>
        <v/>
      </c>
      <c r="X44" s="17">
        <v>0</v>
      </c>
      <c r="Y44" s="17">
        <v>0</v>
      </c>
      <c r="Z44" s="15">
        <f t="shared" si="16"/>
        <v>0</v>
      </c>
      <c r="AA44" s="17">
        <v>0</v>
      </c>
      <c r="AB44" s="17">
        <v>0</v>
      </c>
      <c r="AC44" s="15">
        <f t="shared" si="17"/>
        <v>0</v>
      </c>
      <c r="AD44" s="17">
        <v>0</v>
      </c>
      <c r="AE44" s="17">
        <v>0</v>
      </c>
      <c r="AF44" s="15">
        <f t="shared" si="18"/>
        <v>0</v>
      </c>
      <c r="AG44" s="17">
        <v>0</v>
      </c>
      <c r="AH44" s="17">
        <v>0</v>
      </c>
      <c r="AI44" s="15">
        <f t="shared" si="19"/>
        <v>0</v>
      </c>
      <c r="AJ44" s="17"/>
    </row>
    <row r="45" spans="1:36" x14ac:dyDescent="0.3">
      <c r="A45" s="15" t="s">
        <v>93</v>
      </c>
      <c r="B45" s="15">
        <v>100000</v>
      </c>
      <c r="C45" s="15" t="s">
        <v>54</v>
      </c>
      <c r="D45" s="15" t="s">
        <v>68</v>
      </c>
      <c r="E45" s="15">
        <f>'15-august-2026'!T45</f>
        <v>2</v>
      </c>
      <c r="F45" s="15">
        <f>'15-august-2026'!U45</f>
        <v>0</v>
      </c>
      <c r="G45" s="15">
        <f>'15-august-2026'!V45</f>
        <v>0</v>
      </c>
      <c r="H45" s="15">
        <f t="shared" si="10"/>
        <v>2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5">
        <f t="shared" si="11"/>
        <v>2</v>
      </c>
      <c r="T45" s="15">
        <f t="shared" si="12"/>
        <v>2</v>
      </c>
      <c r="U45" s="15">
        <f t="shared" si="13"/>
        <v>0</v>
      </c>
      <c r="V45" s="15">
        <f t="shared" si="14"/>
        <v>0</v>
      </c>
      <c r="W45" s="18" t="str">
        <f t="shared" si="15"/>
        <v/>
      </c>
      <c r="X45" s="17">
        <v>0</v>
      </c>
      <c r="Y45" s="17">
        <v>0</v>
      </c>
      <c r="Z45" s="15">
        <f t="shared" si="16"/>
        <v>0</v>
      </c>
      <c r="AA45" s="17">
        <v>0</v>
      </c>
      <c r="AB45" s="17">
        <v>0</v>
      </c>
      <c r="AC45" s="15">
        <f t="shared" si="17"/>
        <v>0</v>
      </c>
      <c r="AD45" s="17">
        <v>0</v>
      </c>
      <c r="AE45" s="17">
        <v>0</v>
      </c>
      <c r="AF45" s="15">
        <f t="shared" si="18"/>
        <v>0</v>
      </c>
      <c r="AG45" s="17">
        <v>0</v>
      </c>
      <c r="AH45" s="17">
        <v>0</v>
      </c>
      <c r="AI45" s="15">
        <f t="shared" si="19"/>
        <v>0</v>
      </c>
      <c r="AJ45" s="17"/>
    </row>
    <row r="46" spans="1:36" x14ac:dyDescent="0.3">
      <c r="A46" s="15" t="s">
        <v>94</v>
      </c>
      <c r="B46" s="15">
        <v>100</v>
      </c>
      <c r="C46" s="15" t="s">
        <v>54</v>
      </c>
      <c r="D46" s="15" t="s">
        <v>55</v>
      </c>
      <c r="E46" s="15">
        <f>'15-august-2026'!T46</f>
        <v>5</v>
      </c>
      <c r="F46" s="15">
        <f>'15-august-2026'!U46</f>
        <v>0</v>
      </c>
      <c r="G46" s="15">
        <f>'15-august-2026'!V46</f>
        <v>0</v>
      </c>
      <c r="H46" s="15">
        <f t="shared" si="10"/>
        <v>5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5">
        <f t="shared" si="11"/>
        <v>5</v>
      </c>
      <c r="T46" s="15">
        <f t="shared" si="12"/>
        <v>5</v>
      </c>
      <c r="U46" s="15">
        <f t="shared" si="13"/>
        <v>0</v>
      </c>
      <c r="V46" s="15">
        <f t="shared" si="14"/>
        <v>0</v>
      </c>
      <c r="W46" s="18" t="str">
        <f t="shared" si="15"/>
        <v/>
      </c>
      <c r="X46" s="17">
        <v>0</v>
      </c>
      <c r="Y46" s="17">
        <v>0</v>
      </c>
      <c r="Z46" s="15">
        <f t="shared" si="16"/>
        <v>0</v>
      </c>
      <c r="AA46" s="17">
        <v>0</v>
      </c>
      <c r="AB46" s="17">
        <v>0</v>
      </c>
      <c r="AC46" s="15">
        <f t="shared" si="17"/>
        <v>0</v>
      </c>
      <c r="AD46" s="17">
        <v>0</v>
      </c>
      <c r="AE46" s="17">
        <v>0</v>
      </c>
      <c r="AF46" s="15">
        <f t="shared" si="18"/>
        <v>0</v>
      </c>
      <c r="AG46" s="17">
        <v>0</v>
      </c>
      <c r="AH46" s="17">
        <v>0</v>
      </c>
      <c r="AI46" s="15">
        <f t="shared" si="19"/>
        <v>0</v>
      </c>
      <c r="AJ46" s="17"/>
    </row>
    <row r="47" spans="1:36" x14ac:dyDescent="0.3">
      <c r="A47" s="15" t="s">
        <v>94</v>
      </c>
      <c r="B47" s="15">
        <v>100</v>
      </c>
      <c r="C47" s="15" t="s">
        <v>54</v>
      </c>
      <c r="D47" s="15" t="s">
        <v>57</v>
      </c>
      <c r="E47" s="15">
        <f>'15-august-2026'!T47</f>
        <v>1</v>
      </c>
      <c r="F47" s="15">
        <f>'15-august-2026'!U47</f>
        <v>0</v>
      </c>
      <c r="G47" s="15">
        <f>'15-august-2026'!V47</f>
        <v>0</v>
      </c>
      <c r="H47" s="15">
        <f t="shared" si="10"/>
        <v>1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5">
        <f t="shared" si="11"/>
        <v>1</v>
      </c>
      <c r="T47" s="15">
        <f t="shared" si="12"/>
        <v>1</v>
      </c>
      <c r="U47" s="15">
        <f t="shared" si="13"/>
        <v>0</v>
      </c>
      <c r="V47" s="15">
        <f t="shared" si="14"/>
        <v>0</v>
      </c>
      <c r="W47" s="18" t="str">
        <f t="shared" si="15"/>
        <v/>
      </c>
      <c r="X47" s="17">
        <v>0</v>
      </c>
      <c r="Y47" s="17">
        <v>0</v>
      </c>
      <c r="Z47" s="15">
        <f t="shared" si="16"/>
        <v>0</v>
      </c>
      <c r="AA47" s="17">
        <v>0</v>
      </c>
      <c r="AB47" s="17">
        <v>0</v>
      </c>
      <c r="AC47" s="15">
        <f t="shared" si="17"/>
        <v>0</v>
      </c>
      <c r="AD47" s="17">
        <v>0</v>
      </c>
      <c r="AE47" s="17">
        <v>0</v>
      </c>
      <c r="AF47" s="15">
        <f t="shared" si="18"/>
        <v>0</v>
      </c>
      <c r="AG47" s="17">
        <v>0</v>
      </c>
      <c r="AH47" s="17">
        <v>0</v>
      </c>
      <c r="AI47" s="15">
        <f t="shared" si="19"/>
        <v>0</v>
      </c>
      <c r="AJ47" s="17"/>
    </row>
    <row r="48" spans="1:36" x14ac:dyDescent="0.3">
      <c r="A48" s="15" t="s">
        <v>95</v>
      </c>
      <c r="B48" s="15">
        <v>100</v>
      </c>
      <c r="C48" s="15" t="s">
        <v>54</v>
      </c>
      <c r="D48" s="15" t="s">
        <v>57</v>
      </c>
      <c r="E48" s="15">
        <f>'15-august-2026'!T48</f>
        <v>1</v>
      </c>
      <c r="F48" s="15">
        <f>'15-august-2026'!U48</f>
        <v>0</v>
      </c>
      <c r="G48" s="15">
        <f>'15-august-2026'!V48</f>
        <v>0</v>
      </c>
      <c r="H48" s="15">
        <f t="shared" si="10"/>
        <v>1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5">
        <f t="shared" si="11"/>
        <v>1</v>
      </c>
      <c r="T48" s="15">
        <f t="shared" si="12"/>
        <v>1</v>
      </c>
      <c r="U48" s="15">
        <f t="shared" si="13"/>
        <v>0</v>
      </c>
      <c r="V48" s="15">
        <f t="shared" si="14"/>
        <v>0</v>
      </c>
      <c r="W48" s="18" t="str">
        <f t="shared" si="15"/>
        <v/>
      </c>
      <c r="X48" s="17">
        <v>0</v>
      </c>
      <c r="Y48" s="17">
        <v>0</v>
      </c>
      <c r="Z48" s="15">
        <f t="shared" si="16"/>
        <v>0</v>
      </c>
      <c r="AA48" s="17">
        <v>0</v>
      </c>
      <c r="AB48" s="17">
        <v>0</v>
      </c>
      <c r="AC48" s="15">
        <f t="shared" si="17"/>
        <v>0</v>
      </c>
      <c r="AD48" s="17">
        <v>0</v>
      </c>
      <c r="AE48" s="17">
        <v>0</v>
      </c>
      <c r="AF48" s="15">
        <f t="shared" si="18"/>
        <v>0</v>
      </c>
      <c r="AG48" s="17">
        <v>0</v>
      </c>
      <c r="AH48" s="17">
        <v>0</v>
      </c>
      <c r="AI48" s="15">
        <f t="shared" si="19"/>
        <v>0</v>
      </c>
      <c r="AJ48" s="17"/>
    </row>
    <row r="49" spans="1:36" x14ac:dyDescent="0.3">
      <c r="A49" s="15" t="s">
        <v>96</v>
      </c>
      <c r="B49" s="15">
        <v>1000</v>
      </c>
      <c r="C49" s="15"/>
      <c r="D49" s="15" t="s">
        <v>55</v>
      </c>
      <c r="E49" s="15">
        <f>'15-august-2026'!T49</f>
        <v>0</v>
      </c>
      <c r="F49" s="15">
        <f>'15-august-2026'!U49</f>
        <v>0</v>
      </c>
      <c r="G49" s="15">
        <f>'15-august-2026'!V49</f>
        <v>0</v>
      </c>
      <c r="H49" s="15">
        <f t="shared" si="10"/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5">
        <f t="shared" si="11"/>
        <v>0</v>
      </c>
      <c r="T49" s="15">
        <f t="shared" si="12"/>
        <v>0</v>
      </c>
      <c r="U49" s="15">
        <f t="shared" si="13"/>
        <v>0</v>
      </c>
      <c r="V49" s="15">
        <f t="shared" si="14"/>
        <v>0</v>
      </c>
      <c r="W49" s="18" t="str">
        <f t="shared" si="15"/>
        <v/>
      </c>
      <c r="X49" s="17">
        <v>0</v>
      </c>
      <c r="Y49" s="17">
        <v>0</v>
      </c>
      <c r="Z49" s="15">
        <f t="shared" si="16"/>
        <v>0</v>
      </c>
      <c r="AA49" s="17">
        <v>0</v>
      </c>
      <c r="AB49" s="17">
        <v>0</v>
      </c>
      <c r="AC49" s="15">
        <f t="shared" si="17"/>
        <v>0</v>
      </c>
      <c r="AD49" s="17">
        <v>0</v>
      </c>
      <c r="AE49" s="17">
        <v>0</v>
      </c>
      <c r="AF49" s="15">
        <f t="shared" si="18"/>
        <v>0</v>
      </c>
      <c r="AG49" s="17">
        <v>0</v>
      </c>
      <c r="AH49" s="17">
        <v>0</v>
      </c>
      <c r="AI49" s="15">
        <f t="shared" si="19"/>
        <v>0</v>
      </c>
      <c r="AJ49" s="17"/>
    </row>
    <row r="50" spans="1:36" x14ac:dyDescent="0.3">
      <c r="A50" s="15" t="s">
        <v>97</v>
      </c>
      <c r="B50" s="15">
        <v>1000</v>
      </c>
      <c r="C50" s="15" t="s">
        <v>54</v>
      </c>
      <c r="D50" s="15" t="s">
        <v>55</v>
      </c>
      <c r="E50" s="15">
        <f>'15-august-2026'!T50</f>
        <v>29</v>
      </c>
      <c r="F50" s="15">
        <f>'15-august-2026'!U50</f>
        <v>18</v>
      </c>
      <c r="G50" s="15">
        <f>'15-august-2026'!V50</f>
        <v>0</v>
      </c>
      <c r="H50" s="15">
        <f t="shared" si="10"/>
        <v>47</v>
      </c>
      <c r="I50" s="17">
        <v>8</v>
      </c>
      <c r="J50" s="17">
        <v>0</v>
      </c>
      <c r="K50" s="17">
        <v>1</v>
      </c>
      <c r="L50" s="17">
        <v>0</v>
      </c>
      <c r="M50" s="17">
        <v>0</v>
      </c>
      <c r="N50" s="17">
        <v>0</v>
      </c>
      <c r="O50" s="17">
        <v>0</v>
      </c>
      <c r="P50" s="17">
        <v>3</v>
      </c>
      <c r="Q50" s="17">
        <v>0</v>
      </c>
      <c r="R50" s="17">
        <v>0</v>
      </c>
      <c r="S50" s="15">
        <f t="shared" si="11"/>
        <v>41</v>
      </c>
      <c r="T50" s="15">
        <f t="shared" si="12"/>
        <v>21</v>
      </c>
      <c r="U50" s="15">
        <f t="shared" si="13"/>
        <v>21</v>
      </c>
      <c r="V50" s="15">
        <f t="shared" si="14"/>
        <v>-1</v>
      </c>
      <c r="W50" s="18" t="str">
        <f t="shared" si="15"/>
        <v>NEGATIVE STOCK - CHECK ENTRIES</v>
      </c>
      <c r="X50" s="17">
        <v>0</v>
      </c>
      <c r="Y50" s="17">
        <v>0</v>
      </c>
      <c r="Z50" s="15">
        <f t="shared" si="16"/>
        <v>0</v>
      </c>
      <c r="AA50" s="17">
        <v>0</v>
      </c>
      <c r="AB50" s="17">
        <v>0</v>
      </c>
      <c r="AC50" s="15">
        <f t="shared" si="17"/>
        <v>0</v>
      </c>
      <c r="AD50" s="17">
        <v>0</v>
      </c>
      <c r="AE50" s="17">
        <v>0</v>
      </c>
      <c r="AF50" s="15">
        <f t="shared" si="18"/>
        <v>0</v>
      </c>
      <c r="AG50" s="17">
        <v>0</v>
      </c>
      <c r="AH50" s="17">
        <v>0</v>
      </c>
      <c r="AI50" s="15">
        <f t="shared" si="19"/>
        <v>0</v>
      </c>
      <c r="AJ50" s="17"/>
    </row>
    <row r="51" spans="1:36" x14ac:dyDescent="0.3">
      <c r="A51" s="15" t="s">
        <v>98</v>
      </c>
      <c r="B51" s="15">
        <v>1000</v>
      </c>
      <c r="C51" s="15" t="s">
        <v>54</v>
      </c>
      <c r="D51" s="15" t="s">
        <v>55</v>
      </c>
      <c r="E51" s="15">
        <f>'15-august-2026'!T51</f>
        <v>3</v>
      </c>
      <c r="F51" s="15">
        <f>'15-august-2026'!U51</f>
        <v>17</v>
      </c>
      <c r="G51" s="15">
        <f>'15-august-2026'!V51</f>
        <v>0</v>
      </c>
      <c r="H51" s="15">
        <f t="shared" si="10"/>
        <v>20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5">
        <f t="shared" si="11"/>
        <v>20</v>
      </c>
      <c r="T51" s="15">
        <f t="shared" si="12"/>
        <v>3</v>
      </c>
      <c r="U51" s="15">
        <f t="shared" si="13"/>
        <v>17</v>
      </c>
      <c r="V51" s="15">
        <f t="shared" si="14"/>
        <v>0</v>
      </c>
      <c r="W51" s="18" t="str">
        <f t="shared" si="15"/>
        <v/>
      </c>
      <c r="X51" s="17">
        <v>0</v>
      </c>
      <c r="Y51" s="17">
        <v>0</v>
      </c>
      <c r="Z51" s="15">
        <f t="shared" si="16"/>
        <v>0</v>
      </c>
      <c r="AA51" s="17">
        <v>0</v>
      </c>
      <c r="AB51" s="17">
        <v>0</v>
      </c>
      <c r="AC51" s="15">
        <f t="shared" si="17"/>
        <v>0</v>
      </c>
      <c r="AD51" s="17">
        <v>0</v>
      </c>
      <c r="AE51" s="17">
        <v>0</v>
      </c>
      <c r="AF51" s="15">
        <f t="shared" si="18"/>
        <v>0</v>
      </c>
      <c r="AG51" s="17">
        <v>0</v>
      </c>
      <c r="AH51" s="17">
        <v>0</v>
      </c>
      <c r="AI51" s="15">
        <f t="shared" si="19"/>
        <v>0</v>
      </c>
      <c r="AJ51" s="17"/>
    </row>
    <row r="52" spans="1:36" x14ac:dyDescent="0.3">
      <c r="A52" s="15" t="s">
        <v>99</v>
      </c>
      <c r="B52" s="15">
        <v>1000</v>
      </c>
      <c r="C52" s="15" t="s">
        <v>54</v>
      </c>
      <c r="D52" s="15" t="s">
        <v>55</v>
      </c>
      <c r="E52" s="15">
        <f>'15-august-2026'!T52</f>
        <v>2</v>
      </c>
      <c r="F52" s="15">
        <f>'15-august-2026'!U52</f>
        <v>1</v>
      </c>
      <c r="G52" s="15">
        <f>'15-august-2026'!V52</f>
        <v>0</v>
      </c>
      <c r="H52" s="15">
        <f t="shared" si="10"/>
        <v>3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5">
        <f t="shared" si="11"/>
        <v>3</v>
      </c>
      <c r="T52" s="15">
        <f t="shared" si="12"/>
        <v>2</v>
      </c>
      <c r="U52" s="15">
        <f t="shared" si="13"/>
        <v>1</v>
      </c>
      <c r="V52" s="15">
        <f t="shared" si="14"/>
        <v>0</v>
      </c>
      <c r="W52" s="18" t="str">
        <f t="shared" si="15"/>
        <v/>
      </c>
      <c r="X52" s="17">
        <v>0</v>
      </c>
      <c r="Y52" s="17">
        <v>0</v>
      </c>
      <c r="Z52" s="15">
        <f t="shared" si="16"/>
        <v>0</v>
      </c>
      <c r="AA52" s="17">
        <v>0</v>
      </c>
      <c r="AB52" s="17">
        <v>0</v>
      </c>
      <c r="AC52" s="15">
        <f t="shared" si="17"/>
        <v>0</v>
      </c>
      <c r="AD52" s="17">
        <v>0</v>
      </c>
      <c r="AE52" s="17">
        <v>0</v>
      </c>
      <c r="AF52" s="15">
        <f t="shared" si="18"/>
        <v>0</v>
      </c>
      <c r="AG52" s="17">
        <v>0</v>
      </c>
      <c r="AH52" s="17">
        <v>0</v>
      </c>
      <c r="AI52" s="15">
        <f t="shared" si="19"/>
        <v>0</v>
      </c>
      <c r="AJ52" s="17"/>
    </row>
    <row r="53" spans="1:36" x14ac:dyDescent="0.3">
      <c r="A53" s="15" t="s">
        <v>100</v>
      </c>
      <c r="B53" s="15">
        <v>100</v>
      </c>
      <c r="C53" s="15" t="s">
        <v>54</v>
      </c>
      <c r="D53" s="15" t="s">
        <v>68</v>
      </c>
      <c r="E53" s="15">
        <f>'15-august-2026'!T53</f>
        <v>3</v>
      </c>
      <c r="F53" s="15">
        <f>'15-august-2026'!U53</f>
        <v>0</v>
      </c>
      <c r="G53" s="15">
        <f>'15-august-2026'!V53</f>
        <v>0</v>
      </c>
      <c r="H53" s="15">
        <f t="shared" si="10"/>
        <v>3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5">
        <f t="shared" si="11"/>
        <v>3</v>
      </c>
      <c r="T53" s="15">
        <f t="shared" si="12"/>
        <v>3</v>
      </c>
      <c r="U53" s="15">
        <f t="shared" si="13"/>
        <v>0</v>
      </c>
      <c r="V53" s="15">
        <f t="shared" si="14"/>
        <v>0</v>
      </c>
      <c r="W53" s="18" t="str">
        <f t="shared" si="15"/>
        <v/>
      </c>
      <c r="X53" s="17">
        <v>0</v>
      </c>
      <c r="Y53" s="17">
        <v>0</v>
      </c>
      <c r="Z53" s="15">
        <f t="shared" si="16"/>
        <v>0</v>
      </c>
      <c r="AA53" s="17">
        <v>0</v>
      </c>
      <c r="AB53" s="17">
        <v>0</v>
      </c>
      <c r="AC53" s="15">
        <f t="shared" si="17"/>
        <v>0</v>
      </c>
      <c r="AD53" s="17">
        <v>0</v>
      </c>
      <c r="AE53" s="17">
        <v>0</v>
      </c>
      <c r="AF53" s="15">
        <f t="shared" si="18"/>
        <v>0</v>
      </c>
      <c r="AG53" s="17">
        <v>0</v>
      </c>
      <c r="AH53" s="17">
        <v>0</v>
      </c>
      <c r="AI53" s="15">
        <f t="shared" si="19"/>
        <v>0</v>
      </c>
      <c r="AJ53" s="17"/>
    </row>
    <row r="54" spans="1:36" x14ac:dyDescent="0.3">
      <c r="A54" s="15" t="s">
        <v>101</v>
      </c>
      <c r="B54" s="15">
        <v>1000</v>
      </c>
      <c r="C54" s="15" t="s">
        <v>54</v>
      </c>
      <c r="D54" s="15" t="s">
        <v>68</v>
      </c>
      <c r="E54" s="15">
        <f>'15-august-2026'!T54</f>
        <v>7</v>
      </c>
      <c r="F54" s="15">
        <f>'15-august-2026'!U54</f>
        <v>0</v>
      </c>
      <c r="G54" s="15">
        <f>'15-august-2026'!V54</f>
        <v>0</v>
      </c>
      <c r="H54" s="15">
        <f t="shared" si="10"/>
        <v>7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5">
        <f t="shared" si="11"/>
        <v>7</v>
      </c>
      <c r="T54" s="15">
        <f t="shared" si="12"/>
        <v>7</v>
      </c>
      <c r="U54" s="15">
        <f t="shared" si="13"/>
        <v>0</v>
      </c>
      <c r="V54" s="15">
        <f t="shared" si="14"/>
        <v>0</v>
      </c>
      <c r="W54" s="18" t="str">
        <f t="shared" si="15"/>
        <v/>
      </c>
      <c r="X54" s="17">
        <v>0</v>
      </c>
      <c r="Y54" s="17">
        <v>0</v>
      </c>
      <c r="Z54" s="15">
        <f t="shared" si="16"/>
        <v>0</v>
      </c>
      <c r="AA54" s="17">
        <v>0</v>
      </c>
      <c r="AB54" s="17">
        <v>0</v>
      </c>
      <c r="AC54" s="15">
        <f t="shared" si="17"/>
        <v>0</v>
      </c>
      <c r="AD54" s="17">
        <v>0</v>
      </c>
      <c r="AE54" s="17">
        <v>0</v>
      </c>
      <c r="AF54" s="15">
        <f t="shared" si="18"/>
        <v>0</v>
      </c>
      <c r="AG54" s="17">
        <v>0</v>
      </c>
      <c r="AH54" s="17">
        <v>0</v>
      </c>
      <c r="AI54" s="15">
        <f t="shared" si="19"/>
        <v>0</v>
      </c>
      <c r="AJ54" s="17"/>
    </row>
    <row r="55" spans="1:36" x14ac:dyDescent="0.3">
      <c r="A55" s="15" t="s">
        <v>102</v>
      </c>
      <c r="B55" s="15">
        <v>5000</v>
      </c>
      <c r="C55" s="15" t="s">
        <v>54</v>
      </c>
      <c r="D55" s="15" t="s">
        <v>57</v>
      </c>
      <c r="E55" s="15">
        <f>'15-august-2026'!T55</f>
        <v>1</v>
      </c>
      <c r="F55" s="15">
        <f>'15-august-2026'!U55</f>
        <v>0</v>
      </c>
      <c r="G55" s="15">
        <f>'15-august-2026'!V55</f>
        <v>0</v>
      </c>
      <c r="H55" s="15">
        <f t="shared" si="10"/>
        <v>1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5">
        <f t="shared" si="11"/>
        <v>1</v>
      </c>
      <c r="T55" s="15">
        <f t="shared" si="12"/>
        <v>1</v>
      </c>
      <c r="U55" s="15">
        <f t="shared" si="13"/>
        <v>0</v>
      </c>
      <c r="V55" s="15">
        <f t="shared" si="14"/>
        <v>0</v>
      </c>
      <c r="W55" s="18" t="str">
        <f t="shared" si="15"/>
        <v/>
      </c>
      <c r="X55" s="17">
        <v>0</v>
      </c>
      <c r="Y55" s="17">
        <v>0</v>
      </c>
      <c r="Z55" s="15">
        <f t="shared" si="16"/>
        <v>0</v>
      </c>
      <c r="AA55" s="17">
        <v>0</v>
      </c>
      <c r="AB55" s="17">
        <v>0</v>
      </c>
      <c r="AC55" s="15">
        <f t="shared" si="17"/>
        <v>0</v>
      </c>
      <c r="AD55" s="17">
        <v>0</v>
      </c>
      <c r="AE55" s="17">
        <v>0</v>
      </c>
      <c r="AF55" s="15">
        <f t="shared" si="18"/>
        <v>0</v>
      </c>
      <c r="AG55" s="17">
        <v>0</v>
      </c>
      <c r="AH55" s="17">
        <v>0</v>
      </c>
      <c r="AI55" s="15">
        <f t="shared" si="19"/>
        <v>0</v>
      </c>
      <c r="AJ55" s="17"/>
    </row>
    <row r="56" spans="1:36" x14ac:dyDescent="0.3">
      <c r="A56" s="15" t="s">
        <v>103</v>
      </c>
      <c r="B56" s="15">
        <v>1000</v>
      </c>
      <c r="C56" s="15" t="s">
        <v>54</v>
      </c>
      <c r="D56" s="15" t="s">
        <v>68</v>
      </c>
      <c r="E56" s="15">
        <f>'15-august-2026'!T56</f>
        <v>1</v>
      </c>
      <c r="F56" s="15">
        <f>'15-august-2026'!U56</f>
        <v>0</v>
      </c>
      <c r="G56" s="15">
        <f>'15-august-2026'!V56</f>
        <v>0</v>
      </c>
      <c r="H56" s="15">
        <f t="shared" si="10"/>
        <v>1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5">
        <f t="shared" si="11"/>
        <v>1</v>
      </c>
      <c r="T56" s="15">
        <f t="shared" si="12"/>
        <v>1</v>
      </c>
      <c r="U56" s="15">
        <f t="shared" si="13"/>
        <v>0</v>
      </c>
      <c r="V56" s="15">
        <f t="shared" si="14"/>
        <v>0</v>
      </c>
      <c r="W56" s="18" t="str">
        <f t="shared" si="15"/>
        <v/>
      </c>
      <c r="X56" s="17">
        <v>0</v>
      </c>
      <c r="Y56" s="17">
        <v>0</v>
      </c>
      <c r="Z56" s="15">
        <f t="shared" si="16"/>
        <v>0</v>
      </c>
      <c r="AA56" s="17">
        <v>0</v>
      </c>
      <c r="AB56" s="17">
        <v>0</v>
      </c>
      <c r="AC56" s="15">
        <f t="shared" si="17"/>
        <v>0</v>
      </c>
      <c r="AD56" s="17">
        <v>0</v>
      </c>
      <c r="AE56" s="17">
        <v>0</v>
      </c>
      <c r="AF56" s="15">
        <f t="shared" si="18"/>
        <v>0</v>
      </c>
      <c r="AG56" s="17">
        <v>0</v>
      </c>
      <c r="AH56" s="17">
        <v>0</v>
      </c>
      <c r="AI56" s="15">
        <f t="shared" si="19"/>
        <v>0</v>
      </c>
      <c r="AJ56" s="17"/>
    </row>
    <row r="57" spans="1:36" x14ac:dyDescent="0.3">
      <c r="A57" s="15" t="s">
        <v>104</v>
      </c>
      <c r="B57" s="15">
        <v>1000</v>
      </c>
      <c r="C57" s="15" t="s">
        <v>54</v>
      </c>
      <c r="D57" s="15" t="s">
        <v>55</v>
      </c>
      <c r="E57" s="15">
        <f>'15-august-2026'!T57</f>
        <v>0</v>
      </c>
      <c r="F57" s="15">
        <f>'15-august-2026'!U57</f>
        <v>1</v>
      </c>
      <c r="G57" s="15">
        <f>'15-august-2026'!V57</f>
        <v>0</v>
      </c>
      <c r="H57" s="15">
        <f t="shared" si="10"/>
        <v>1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5">
        <f t="shared" si="11"/>
        <v>1</v>
      </c>
      <c r="T57" s="15">
        <f t="shared" si="12"/>
        <v>0</v>
      </c>
      <c r="U57" s="15">
        <f t="shared" si="13"/>
        <v>1</v>
      </c>
      <c r="V57" s="15">
        <f t="shared" si="14"/>
        <v>0</v>
      </c>
      <c r="W57" s="18" t="str">
        <f t="shared" si="15"/>
        <v/>
      </c>
      <c r="X57" s="17">
        <v>0</v>
      </c>
      <c r="Y57" s="17">
        <v>0</v>
      </c>
      <c r="Z57" s="15">
        <f t="shared" si="16"/>
        <v>0</v>
      </c>
      <c r="AA57" s="17">
        <v>0</v>
      </c>
      <c r="AB57" s="17">
        <v>0</v>
      </c>
      <c r="AC57" s="15">
        <f t="shared" si="17"/>
        <v>0</v>
      </c>
      <c r="AD57" s="17">
        <v>0</v>
      </c>
      <c r="AE57" s="17">
        <v>0</v>
      </c>
      <c r="AF57" s="15">
        <f t="shared" si="18"/>
        <v>0</v>
      </c>
      <c r="AG57" s="17">
        <v>0</v>
      </c>
      <c r="AH57" s="17">
        <v>0</v>
      </c>
      <c r="AI57" s="15">
        <f t="shared" si="19"/>
        <v>0</v>
      </c>
      <c r="AJ57" s="17"/>
    </row>
    <row r="58" spans="1:36" x14ac:dyDescent="0.3">
      <c r="A58" s="15" t="s">
        <v>105</v>
      </c>
      <c r="B58" s="15">
        <v>100000</v>
      </c>
      <c r="C58" s="15" t="s">
        <v>54</v>
      </c>
      <c r="D58" s="15" t="s">
        <v>68</v>
      </c>
      <c r="E58" s="15">
        <f>'15-august-2026'!T58</f>
        <v>2</v>
      </c>
      <c r="F58" s="15">
        <f>'15-august-2026'!U58</f>
        <v>0</v>
      </c>
      <c r="G58" s="15">
        <f>'15-august-2026'!V58</f>
        <v>0</v>
      </c>
      <c r="H58" s="15">
        <f t="shared" si="10"/>
        <v>2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5">
        <f t="shared" si="11"/>
        <v>2</v>
      </c>
      <c r="T58" s="15">
        <f t="shared" si="12"/>
        <v>2</v>
      </c>
      <c r="U58" s="15">
        <f t="shared" si="13"/>
        <v>0</v>
      </c>
      <c r="V58" s="15">
        <f t="shared" si="14"/>
        <v>0</v>
      </c>
      <c r="W58" s="18" t="str">
        <f t="shared" si="15"/>
        <v/>
      </c>
      <c r="X58" s="17">
        <v>0</v>
      </c>
      <c r="Y58" s="17">
        <v>0</v>
      </c>
      <c r="Z58" s="15">
        <f t="shared" si="16"/>
        <v>0</v>
      </c>
      <c r="AA58" s="17">
        <v>0</v>
      </c>
      <c r="AB58" s="17">
        <v>0</v>
      </c>
      <c r="AC58" s="15">
        <f t="shared" si="17"/>
        <v>0</v>
      </c>
      <c r="AD58" s="17">
        <v>0</v>
      </c>
      <c r="AE58" s="17">
        <v>0</v>
      </c>
      <c r="AF58" s="15">
        <f t="shared" si="18"/>
        <v>0</v>
      </c>
      <c r="AG58" s="17">
        <v>0</v>
      </c>
      <c r="AH58" s="17">
        <v>0</v>
      </c>
      <c r="AI58" s="15">
        <f t="shared" si="19"/>
        <v>0</v>
      </c>
      <c r="AJ58" s="17"/>
    </row>
    <row r="59" spans="1:36" x14ac:dyDescent="0.3">
      <c r="A59" s="15" t="s">
        <v>106</v>
      </c>
      <c r="B59" s="15">
        <v>100</v>
      </c>
      <c r="C59" s="15" t="s">
        <v>54</v>
      </c>
      <c r="D59" s="15" t="s">
        <v>55</v>
      </c>
      <c r="E59" s="15">
        <f>'15-august-2026'!T59</f>
        <v>5</v>
      </c>
      <c r="F59" s="15">
        <f>'15-august-2026'!U59</f>
        <v>0</v>
      </c>
      <c r="G59" s="15">
        <f>'15-august-2026'!V59</f>
        <v>0</v>
      </c>
      <c r="H59" s="15">
        <f t="shared" si="10"/>
        <v>5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5">
        <f t="shared" si="11"/>
        <v>5</v>
      </c>
      <c r="T59" s="15">
        <f t="shared" si="12"/>
        <v>5</v>
      </c>
      <c r="U59" s="15">
        <f t="shared" si="13"/>
        <v>0</v>
      </c>
      <c r="V59" s="15">
        <f t="shared" si="14"/>
        <v>0</v>
      </c>
      <c r="W59" s="18" t="str">
        <f t="shared" si="15"/>
        <v/>
      </c>
      <c r="X59" s="17">
        <v>0</v>
      </c>
      <c r="Y59" s="17">
        <v>0</v>
      </c>
      <c r="Z59" s="15">
        <f t="shared" si="16"/>
        <v>0</v>
      </c>
      <c r="AA59" s="17">
        <v>0</v>
      </c>
      <c r="AB59" s="17">
        <v>0</v>
      </c>
      <c r="AC59" s="15">
        <f t="shared" si="17"/>
        <v>0</v>
      </c>
      <c r="AD59" s="17">
        <v>0</v>
      </c>
      <c r="AE59" s="17">
        <v>0</v>
      </c>
      <c r="AF59" s="15">
        <f t="shared" si="18"/>
        <v>0</v>
      </c>
      <c r="AG59" s="17">
        <v>0</v>
      </c>
      <c r="AH59" s="17">
        <v>0</v>
      </c>
      <c r="AI59" s="15">
        <f t="shared" si="19"/>
        <v>0</v>
      </c>
      <c r="AJ59" s="17"/>
    </row>
    <row r="60" spans="1:36" x14ac:dyDescent="0.3">
      <c r="A60" s="15" t="s">
        <v>107</v>
      </c>
      <c r="B60" s="15">
        <v>100000</v>
      </c>
      <c r="C60" s="15" t="s">
        <v>54</v>
      </c>
      <c r="D60" s="15" t="s">
        <v>68</v>
      </c>
      <c r="E60" s="15">
        <f>'15-august-2026'!T60</f>
        <v>5</v>
      </c>
      <c r="F60" s="15">
        <f>'15-august-2026'!U60</f>
        <v>0</v>
      </c>
      <c r="G60" s="15">
        <f>'15-august-2026'!V60</f>
        <v>0</v>
      </c>
      <c r="H60" s="15">
        <f t="shared" si="10"/>
        <v>5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5">
        <f t="shared" si="11"/>
        <v>5</v>
      </c>
      <c r="T60" s="15">
        <f t="shared" si="12"/>
        <v>5</v>
      </c>
      <c r="U60" s="15">
        <f t="shared" si="13"/>
        <v>0</v>
      </c>
      <c r="V60" s="15">
        <f t="shared" si="14"/>
        <v>0</v>
      </c>
      <c r="W60" s="18" t="str">
        <f t="shared" si="15"/>
        <v/>
      </c>
      <c r="X60" s="17">
        <v>0</v>
      </c>
      <c r="Y60" s="17">
        <v>0</v>
      </c>
      <c r="Z60" s="15">
        <f t="shared" si="16"/>
        <v>0</v>
      </c>
      <c r="AA60" s="17">
        <v>0</v>
      </c>
      <c r="AB60" s="17">
        <v>0</v>
      </c>
      <c r="AC60" s="15">
        <f t="shared" si="17"/>
        <v>0</v>
      </c>
      <c r="AD60" s="17">
        <v>0</v>
      </c>
      <c r="AE60" s="17">
        <v>0</v>
      </c>
      <c r="AF60" s="15">
        <f t="shared" si="18"/>
        <v>0</v>
      </c>
      <c r="AG60" s="17">
        <v>0</v>
      </c>
      <c r="AH60" s="17">
        <v>0</v>
      </c>
      <c r="AI60" s="15">
        <f t="shared" si="19"/>
        <v>0</v>
      </c>
      <c r="AJ60" s="17"/>
    </row>
    <row r="61" spans="1:36" x14ac:dyDescent="0.3">
      <c r="A61" s="15" t="s">
        <v>108</v>
      </c>
      <c r="B61" s="15">
        <v>100</v>
      </c>
      <c r="C61" s="15" t="s">
        <v>54</v>
      </c>
      <c r="D61" s="15" t="s">
        <v>68</v>
      </c>
      <c r="E61" s="15">
        <f>'15-august-2026'!T61</f>
        <v>3</v>
      </c>
      <c r="F61" s="15">
        <f>'15-august-2026'!U61</f>
        <v>0</v>
      </c>
      <c r="G61" s="15">
        <f>'15-august-2026'!V61</f>
        <v>0</v>
      </c>
      <c r="H61" s="15">
        <f t="shared" si="10"/>
        <v>3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5">
        <f t="shared" si="11"/>
        <v>3</v>
      </c>
      <c r="T61" s="15">
        <f t="shared" si="12"/>
        <v>3</v>
      </c>
      <c r="U61" s="15">
        <f t="shared" si="13"/>
        <v>0</v>
      </c>
      <c r="V61" s="15">
        <f t="shared" si="14"/>
        <v>0</v>
      </c>
      <c r="W61" s="18" t="str">
        <f t="shared" si="15"/>
        <v/>
      </c>
      <c r="X61" s="17">
        <v>0</v>
      </c>
      <c r="Y61" s="17">
        <v>0</v>
      </c>
      <c r="Z61" s="15">
        <f t="shared" si="16"/>
        <v>0</v>
      </c>
      <c r="AA61" s="17">
        <v>0</v>
      </c>
      <c r="AB61" s="17">
        <v>0</v>
      </c>
      <c r="AC61" s="15">
        <f t="shared" si="17"/>
        <v>0</v>
      </c>
      <c r="AD61" s="17">
        <v>0</v>
      </c>
      <c r="AE61" s="17">
        <v>0</v>
      </c>
      <c r="AF61" s="15">
        <f t="shared" si="18"/>
        <v>0</v>
      </c>
      <c r="AG61" s="17">
        <v>0</v>
      </c>
      <c r="AH61" s="17">
        <v>0</v>
      </c>
      <c r="AI61" s="15">
        <f t="shared" si="19"/>
        <v>0</v>
      </c>
      <c r="AJ61" s="17"/>
    </row>
    <row r="62" spans="1:36" x14ac:dyDescent="0.3">
      <c r="A62" s="15" t="s">
        <v>109</v>
      </c>
      <c r="B62" s="15">
        <v>0</v>
      </c>
      <c r="C62" s="15" t="s">
        <v>110</v>
      </c>
      <c r="D62" s="15" t="s">
        <v>55</v>
      </c>
      <c r="E62" s="15">
        <f>'15-august-2026'!T62</f>
        <v>2</v>
      </c>
      <c r="F62" s="15">
        <f>'15-august-2026'!U62</f>
        <v>0</v>
      </c>
      <c r="G62" s="15">
        <f>'15-august-2026'!V62</f>
        <v>0</v>
      </c>
      <c r="H62" s="15">
        <f t="shared" si="10"/>
        <v>2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5">
        <f t="shared" si="11"/>
        <v>2</v>
      </c>
      <c r="T62" s="15">
        <f t="shared" si="12"/>
        <v>2</v>
      </c>
      <c r="U62" s="15">
        <f t="shared" si="13"/>
        <v>0</v>
      </c>
      <c r="V62" s="15">
        <f t="shared" si="14"/>
        <v>0</v>
      </c>
      <c r="W62" s="18" t="str">
        <f t="shared" si="15"/>
        <v/>
      </c>
      <c r="X62" s="17">
        <v>0</v>
      </c>
      <c r="Y62" s="17">
        <v>0</v>
      </c>
      <c r="Z62" s="15">
        <f t="shared" si="16"/>
        <v>0</v>
      </c>
      <c r="AA62" s="17">
        <v>0</v>
      </c>
      <c r="AB62" s="17">
        <v>0</v>
      </c>
      <c r="AC62" s="15">
        <f t="shared" si="17"/>
        <v>0</v>
      </c>
      <c r="AD62" s="17">
        <v>0</v>
      </c>
      <c r="AE62" s="17">
        <v>0</v>
      </c>
      <c r="AF62" s="15">
        <f t="shared" si="18"/>
        <v>0</v>
      </c>
      <c r="AG62" s="17">
        <v>0</v>
      </c>
      <c r="AH62" s="17">
        <v>0</v>
      </c>
      <c r="AI62" s="15">
        <f t="shared" si="19"/>
        <v>0</v>
      </c>
      <c r="AJ62" s="17"/>
    </row>
    <row r="63" spans="1:36" x14ac:dyDescent="0.3">
      <c r="A63" s="15" t="s">
        <v>111</v>
      </c>
      <c r="B63" s="15">
        <v>1000</v>
      </c>
      <c r="C63" s="15" t="s">
        <v>54</v>
      </c>
      <c r="D63" s="15" t="s">
        <v>68</v>
      </c>
      <c r="E63" s="15">
        <f>'15-august-2026'!T63</f>
        <v>3</v>
      </c>
      <c r="F63" s="15">
        <f>'15-august-2026'!U63</f>
        <v>0</v>
      </c>
      <c r="G63" s="15">
        <f>'15-august-2026'!V63</f>
        <v>0</v>
      </c>
      <c r="H63" s="15">
        <f t="shared" si="10"/>
        <v>3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5">
        <f t="shared" si="11"/>
        <v>3</v>
      </c>
      <c r="T63" s="15">
        <f t="shared" si="12"/>
        <v>3</v>
      </c>
      <c r="U63" s="15">
        <f t="shared" si="13"/>
        <v>0</v>
      </c>
      <c r="V63" s="15">
        <f t="shared" si="14"/>
        <v>0</v>
      </c>
      <c r="W63" s="18" t="str">
        <f t="shared" si="15"/>
        <v/>
      </c>
      <c r="X63" s="17">
        <v>0</v>
      </c>
      <c r="Y63" s="17">
        <v>0</v>
      </c>
      <c r="Z63" s="15">
        <f t="shared" si="16"/>
        <v>0</v>
      </c>
      <c r="AA63" s="17">
        <v>0</v>
      </c>
      <c r="AB63" s="17">
        <v>0</v>
      </c>
      <c r="AC63" s="15">
        <f t="shared" si="17"/>
        <v>0</v>
      </c>
      <c r="AD63" s="17">
        <v>0</v>
      </c>
      <c r="AE63" s="17">
        <v>0</v>
      </c>
      <c r="AF63" s="15">
        <f t="shared" si="18"/>
        <v>0</v>
      </c>
      <c r="AG63" s="17">
        <v>0</v>
      </c>
      <c r="AH63" s="17">
        <v>0</v>
      </c>
      <c r="AI63" s="15">
        <f t="shared" si="19"/>
        <v>0</v>
      </c>
      <c r="AJ63" s="17"/>
    </row>
    <row r="64" spans="1:36" x14ac:dyDescent="0.3">
      <c r="A64" s="15" t="s">
        <v>112</v>
      </c>
      <c r="B64" s="15">
        <v>1000</v>
      </c>
      <c r="C64" s="15" t="s">
        <v>54</v>
      </c>
      <c r="D64" s="15" t="s">
        <v>68</v>
      </c>
      <c r="E64" s="15">
        <f>'15-august-2026'!T64</f>
        <v>2</v>
      </c>
      <c r="F64" s="15">
        <f>'15-august-2026'!U64</f>
        <v>0</v>
      </c>
      <c r="G64" s="15">
        <f>'15-august-2026'!V64</f>
        <v>0</v>
      </c>
      <c r="H64" s="15">
        <f t="shared" si="10"/>
        <v>2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5">
        <f t="shared" si="11"/>
        <v>2</v>
      </c>
      <c r="T64" s="15">
        <f t="shared" si="12"/>
        <v>2</v>
      </c>
      <c r="U64" s="15">
        <f t="shared" si="13"/>
        <v>0</v>
      </c>
      <c r="V64" s="15">
        <f t="shared" si="14"/>
        <v>0</v>
      </c>
      <c r="W64" s="18" t="str">
        <f t="shared" si="15"/>
        <v/>
      </c>
      <c r="X64" s="17">
        <v>0</v>
      </c>
      <c r="Y64" s="17">
        <v>0</v>
      </c>
      <c r="Z64" s="15">
        <f t="shared" si="16"/>
        <v>0</v>
      </c>
      <c r="AA64" s="17">
        <v>0</v>
      </c>
      <c r="AB64" s="17">
        <v>0</v>
      </c>
      <c r="AC64" s="15">
        <f t="shared" si="17"/>
        <v>0</v>
      </c>
      <c r="AD64" s="17">
        <v>0</v>
      </c>
      <c r="AE64" s="17">
        <v>0</v>
      </c>
      <c r="AF64" s="15">
        <f t="shared" si="18"/>
        <v>0</v>
      </c>
      <c r="AG64" s="17">
        <v>0</v>
      </c>
      <c r="AH64" s="17">
        <v>0</v>
      </c>
      <c r="AI64" s="15">
        <f t="shared" si="19"/>
        <v>0</v>
      </c>
      <c r="AJ64" s="17"/>
    </row>
    <row r="65" spans="1:36" x14ac:dyDescent="0.3">
      <c r="A65" s="15" t="s">
        <v>113</v>
      </c>
      <c r="B65" s="15">
        <v>1000</v>
      </c>
      <c r="C65" s="15" t="s">
        <v>54</v>
      </c>
      <c r="D65" s="15" t="s">
        <v>68</v>
      </c>
      <c r="E65" s="15">
        <f>'15-august-2026'!T65</f>
        <v>4</v>
      </c>
      <c r="F65" s="15">
        <f>'15-august-2026'!U65</f>
        <v>0</v>
      </c>
      <c r="G65" s="15">
        <f>'15-august-2026'!V65</f>
        <v>0</v>
      </c>
      <c r="H65" s="15">
        <f t="shared" si="10"/>
        <v>4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5">
        <f t="shared" si="11"/>
        <v>4</v>
      </c>
      <c r="T65" s="15">
        <f t="shared" si="12"/>
        <v>4</v>
      </c>
      <c r="U65" s="15">
        <f t="shared" si="13"/>
        <v>0</v>
      </c>
      <c r="V65" s="15">
        <f t="shared" si="14"/>
        <v>0</v>
      </c>
      <c r="W65" s="18" t="str">
        <f t="shared" si="15"/>
        <v/>
      </c>
      <c r="X65" s="17">
        <v>0</v>
      </c>
      <c r="Y65" s="17">
        <v>0</v>
      </c>
      <c r="Z65" s="15">
        <f t="shared" si="16"/>
        <v>0</v>
      </c>
      <c r="AA65" s="17">
        <v>0</v>
      </c>
      <c r="AB65" s="17">
        <v>0</v>
      </c>
      <c r="AC65" s="15">
        <f t="shared" si="17"/>
        <v>0</v>
      </c>
      <c r="AD65" s="17">
        <v>0</v>
      </c>
      <c r="AE65" s="17">
        <v>0</v>
      </c>
      <c r="AF65" s="15">
        <f t="shared" si="18"/>
        <v>0</v>
      </c>
      <c r="AG65" s="17">
        <v>0</v>
      </c>
      <c r="AH65" s="17">
        <v>0</v>
      </c>
      <c r="AI65" s="15">
        <f t="shared" si="19"/>
        <v>0</v>
      </c>
      <c r="AJ65" s="17"/>
    </row>
    <row r="66" spans="1:36" x14ac:dyDescent="0.3">
      <c r="A66" s="15" t="s">
        <v>114</v>
      </c>
      <c r="B66" s="15">
        <v>100</v>
      </c>
      <c r="C66" s="15" t="s">
        <v>54</v>
      </c>
      <c r="D66" s="15" t="s">
        <v>57</v>
      </c>
      <c r="E66" s="15">
        <f>'15-august-2026'!T66</f>
        <v>4</v>
      </c>
      <c r="F66" s="15">
        <f>'15-august-2026'!U66</f>
        <v>0</v>
      </c>
      <c r="G66" s="15">
        <f>'15-august-2026'!V66</f>
        <v>0</v>
      </c>
      <c r="H66" s="15">
        <f t="shared" si="10"/>
        <v>4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5">
        <f t="shared" si="11"/>
        <v>4</v>
      </c>
      <c r="T66" s="15">
        <f t="shared" si="12"/>
        <v>4</v>
      </c>
      <c r="U66" s="15">
        <f t="shared" si="13"/>
        <v>0</v>
      </c>
      <c r="V66" s="15">
        <f t="shared" si="14"/>
        <v>0</v>
      </c>
      <c r="W66" s="18" t="str">
        <f t="shared" si="15"/>
        <v/>
      </c>
      <c r="X66" s="17">
        <v>0</v>
      </c>
      <c r="Y66" s="17">
        <v>0</v>
      </c>
      <c r="Z66" s="15">
        <f t="shared" si="16"/>
        <v>0</v>
      </c>
      <c r="AA66" s="17">
        <v>0</v>
      </c>
      <c r="AB66" s="17">
        <v>0</v>
      </c>
      <c r="AC66" s="15">
        <f t="shared" si="17"/>
        <v>0</v>
      </c>
      <c r="AD66" s="17">
        <v>0</v>
      </c>
      <c r="AE66" s="17">
        <v>0</v>
      </c>
      <c r="AF66" s="15">
        <f t="shared" si="18"/>
        <v>0</v>
      </c>
      <c r="AG66" s="17">
        <v>0</v>
      </c>
      <c r="AH66" s="17">
        <v>0</v>
      </c>
      <c r="AI66" s="15">
        <f t="shared" si="19"/>
        <v>0</v>
      </c>
      <c r="AJ66" s="17"/>
    </row>
    <row r="67" spans="1:36" x14ac:dyDescent="0.3">
      <c r="A67" s="15" t="s">
        <v>115</v>
      </c>
      <c r="B67" s="15">
        <v>1000</v>
      </c>
      <c r="C67" s="15" t="s">
        <v>54</v>
      </c>
      <c r="D67" s="15" t="s">
        <v>55</v>
      </c>
      <c r="E67" s="15">
        <f>'15-august-2026'!T67</f>
        <v>1</v>
      </c>
      <c r="F67" s="15">
        <f>'15-august-2026'!U67</f>
        <v>0</v>
      </c>
      <c r="G67" s="15">
        <f>'15-august-2026'!V67</f>
        <v>0</v>
      </c>
      <c r="H67" s="15">
        <f t="shared" ref="H67:H98" si="20">E67+F67+G67</f>
        <v>1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5">
        <f t="shared" ref="S67:S98" si="21">H67+O67+P67+Q67+R67-(I67+J67+K67+L67+M67+N67)</f>
        <v>1</v>
      </c>
      <c r="T67" s="15">
        <f t="shared" ref="T67:T98" si="22">E67+O67-I67-L67</f>
        <v>1</v>
      </c>
      <c r="U67" s="15">
        <f t="shared" ref="U67:U98" si="23">F67+P67-J67-M67</f>
        <v>0</v>
      </c>
      <c r="V67" s="15">
        <f t="shared" ref="V67:V98" si="24">G67+Q67-K67-N67</f>
        <v>0</v>
      </c>
      <c r="W67" s="18" t="str">
        <f t="shared" ref="W67:W98" si="25">IF(MIN(T67,U67,V67)&lt;0,"NEGATIVE STOCK - CHECK ENTRIES","")</f>
        <v/>
      </c>
      <c r="X67" s="17">
        <v>0</v>
      </c>
      <c r="Y67" s="17">
        <v>0</v>
      </c>
      <c r="Z67" s="15">
        <f t="shared" ref="Z67:Z98" si="26">X67-Y67</f>
        <v>0</v>
      </c>
      <c r="AA67" s="17">
        <v>0</v>
      </c>
      <c r="AB67" s="17">
        <v>0</v>
      </c>
      <c r="AC67" s="15">
        <f t="shared" ref="AC67:AC98" si="27">AA67-AB67</f>
        <v>0</v>
      </c>
      <c r="AD67" s="17">
        <v>0</v>
      </c>
      <c r="AE67" s="17">
        <v>0</v>
      </c>
      <c r="AF67" s="15">
        <f t="shared" ref="AF67:AF98" si="28">AD67-AE67</f>
        <v>0</v>
      </c>
      <c r="AG67" s="17">
        <v>0</v>
      </c>
      <c r="AH67" s="17">
        <v>0</v>
      </c>
      <c r="AI67" s="15">
        <f t="shared" ref="AI67:AI98" si="29">AG67-AH67</f>
        <v>0</v>
      </c>
      <c r="AJ67" s="17"/>
    </row>
    <row r="68" spans="1:36" x14ac:dyDescent="0.3">
      <c r="A68" s="15" t="s">
        <v>116</v>
      </c>
      <c r="B68" s="15">
        <v>5000</v>
      </c>
      <c r="C68" s="15" t="s">
        <v>54</v>
      </c>
      <c r="D68" s="15" t="s">
        <v>68</v>
      </c>
      <c r="E68" s="15">
        <f>'15-august-2026'!T68</f>
        <v>1</v>
      </c>
      <c r="F68" s="15">
        <f>'15-august-2026'!U68</f>
        <v>0</v>
      </c>
      <c r="G68" s="15">
        <f>'15-august-2026'!V68</f>
        <v>0</v>
      </c>
      <c r="H68" s="15">
        <f t="shared" si="20"/>
        <v>1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5">
        <f t="shared" si="21"/>
        <v>1</v>
      </c>
      <c r="T68" s="15">
        <f t="shared" si="22"/>
        <v>1</v>
      </c>
      <c r="U68" s="15">
        <f t="shared" si="23"/>
        <v>0</v>
      </c>
      <c r="V68" s="15">
        <f t="shared" si="24"/>
        <v>0</v>
      </c>
      <c r="W68" s="18" t="str">
        <f t="shared" si="25"/>
        <v/>
      </c>
      <c r="X68" s="17">
        <v>0</v>
      </c>
      <c r="Y68" s="17">
        <v>0</v>
      </c>
      <c r="Z68" s="15">
        <f t="shared" si="26"/>
        <v>0</v>
      </c>
      <c r="AA68" s="17">
        <v>0</v>
      </c>
      <c r="AB68" s="17">
        <v>0</v>
      </c>
      <c r="AC68" s="15">
        <f t="shared" si="27"/>
        <v>0</v>
      </c>
      <c r="AD68" s="17">
        <v>0</v>
      </c>
      <c r="AE68" s="17">
        <v>0</v>
      </c>
      <c r="AF68" s="15">
        <f t="shared" si="28"/>
        <v>0</v>
      </c>
      <c r="AG68" s="17">
        <v>0</v>
      </c>
      <c r="AH68" s="17">
        <v>0</v>
      </c>
      <c r="AI68" s="15">
        <f t="shared" si="29"/>
        <v>0</v>
      </c>
      <c r="AJ68" s="17"/>
    </row>
    <row r="69" spans="1:36" x14ac:dyDescent="0.3">
      <c r="A69" s="15" t="s">
        <v>117</v>
      </c>
      <c r="B69" s="15">
        <v>100</v>
      </c>
      <c r="C69" s="15" t="s">
        <v>54</v>
      </c>
      <c r="D69" s="15" t="s">
        <v>57</v>
      </c>
      <c r="E69" s="15">
        <f>'15-august-2026'!T69</f>
        <v>10</v>
      </c>
      <c r="F69" s="15">
        <f>'15-august-2026'!U69</f>
        <v>0</v>
      </c>
      <c r="G69" s="15">
        <f>'15-august-2026'!V69</f>
        <v>0</v>
      </c>
      <c r="H69" s="15">
        <f t="shared" si="20"/>
        <v>10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5">
        <f t="shared" si="21"/>
        <v>10</v>
      </c>
      <c r="T69" s="15">
        <f t="shared" si="22"/>
        <v>10</v>
      </c>
      <c r="U69" s="15">
        <f t="shared" si="23"/>
        <v>0</v>
      </c>
      <c r="V69" s="15">
        <f t="shared" si="24"/>
        <v>0</v>
      </c>
      <c r="W69" s="18" t="str">
        <f t="shared" si="25"/>
        <v/>
      </c>
      <c r="X69" s="17">
        <v>0</v>
      </c>
      <c r="Y69" s="17">
        <v>0</v>
      </c>
      <c r="Z69" s="15">
        <f t="shared" si="26"/>
        <v>0</v>
      </c>
      <c r="AA69" s="17">
        <v>0</v>
      </c>
      <c r="AB69" s="17">
        <v>0</v>
      </c>
      <c r="AC69" s="15">
        <f t="shared" si="27"/>
        <v>0</v>
      </c>
      <c r="AD69" s="17">
        <v>0</v>
      </c>
      <c r="AE69" s="17">
        <v>0</v>
      </c>
      <c r="AF69" s="15">
        <f t="shared" si="28"/>
        <v>0</v>
      </c>
      <c r="AG69" s="17">
        <v>0</v>
      </c>
      <c r="AH69" s="17">
        <v>0</v>
      </c>
      <c r="AI69" s="15">
        <f t="shared" si="29"/>
        <v>0</v>
      </c>
      <c r="AJ69" s="17"/>
    </row>
    <row r="70" spans="1:36" x14ac:dyDescent="0.3">
      <c r="A70" s="15" t="s">
        <v>118</v>
      </c>
      <c r="B70" s="15">
        <v>5000</v>
      </c>
      <c r="C70" s="15" t="s">
        <v>54</v>
      </c>
      <c r="D70" s="15" t="s">
        <v>68</v>
      </c>
      <c r="E70" s="15">
        <f>'15-august-2026'!T70</f>
        <v>3</v>
      </c>
      <c r="F70" s="15">
        <f>'15-august-2026'!U70</f>
        <v>0</v>
      </c>
      <c r="G70" s="15">
        <f>'15-august-2026'!V70</f>
        <v>0</v>
      </c>
      <c r="H70" s="15">
        <f t="shared" si="20"/>
        <v>3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5">
        <f t="shared" si="21"/>
        <v>3</v>
      </c>
      <c r="T70" s="15">
        <f t="shared" si="22"/>
        <v>3</v>
      </c>
      <c r="U70" s="15">
        <f t="shared" si="23"/>
        <v>0</v>
      </c>
      <c r="V70" s="15">
        <f t="shared" si="24"/>
        <v>0</v>
      </c>
      <c r="W70" s="18" t="str">
        <f t="shared" si="25"/>
        <v/>
      </c>
      <c r="X70" s="17">
        <v>0</v>
      </c>
      <c r="Y70" s="17">
        <v>0</v>
      </c>
      <c r="Z70" s="15">
        <f t="shared" si="26"/>
        <v>0</v>
      </c>
      <c r="AA70" s="17">
        <v>0</v>
      </c>
      <c r="AB70" s="17">
        <v>0</v>
      </c>
      <c r="AC70" s="15">
        <f t="shared" si="27"/>
        <v>0</v>
      </c>
      <c r="AD70" s="17">
        <v>0</v>
      </c>
      <c r="AE70" s="17">
        <v>0</v>
      </c>
      <c r="AF70" s="15">
        <f t="shared" si="28"/>
        <v>0</v>
      </c>
      <c r="AG70" s="17">
        <v>0</v>
      </c>
      <c r="AH70" s="17">
        <v>0</v>
      </c>
      <c r="AI70" s="15">
        <f t="shared" si="29"/>
        <v>0</v>
      </c>
      <c r="AJ70" s="17"/>
    </row>
    <row r="71" spans="1:36" x14ac:dyDescent="0.3">
      <c r="A71" s="15" t="s">
        <v>119</v>
      </c>
      <c r="B71" s="15">
        <v>100</v>
      </c>
      <c r="C71" s="15" t="s">
        <v>54</v>
      </c>
      <c r="D71" s="15" t="s">
        <v>68</v>
      </c>
      <c r="E71" s="15">
        <f>'15-august-2026'!T71</f>
        <v>-4</v>
      </c>
      <c r="F71" s="15">
        <f>'15-august-2026'!U71</f>
        <v>0</v>
      </c>
      <c r="G71" s="15">
        <f>'15-august-2026'!V71</f>
        <v>0</v>
      </c>
      <c r="H71" s="15">
        <f t="shared" si="20"/>
        <v>-4</v>
      </c>
      <c r="I71" s="17">
        <v>2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5">
        <f t="shared" si="21"/>
        <v>-6</v>
      </c>
      <c r="T71" s="15">
        <f t="shared" si="22"/>
        <v>-6</v>
      </c>
      <c r="U71" s="15">
        <f t="shared" si="23"/>
        <v>0</v>
      </c>
      <c r="V71" s="15">
        <f t="shared" si="24"/>
        <v>0</v>
      </c>
      <c r="W71" s="18" t="str">
        <f t="shared" si="25"/>
        <v>NEGATIVE STOCK - CHECK ENTRIES</v>
      </c>
      <c r="X71" s="17">
        <v>0</v>
      </c>
      <c r="Y71" s="17">
        <v>0</v>
      </c>
      <c r="Z71" s="15">
        <f t="shared" si="26"/>
        <v>0</v>
      </c>
      <c r="AA71" s="17">
        <v>0</v>
      </c>
      <c r="AB71" s="17">
        <v>0</v>
      </c>
      <c r="AC71" s="15">
        <f t="shared" si="27"/>
        <v>0</v>
      </c>
      <c r="AD71" s="17">
        <v>0</v>
      </c>
      <c r="AE71" s="17">
        <v>0</v>
      </c>
      <c r="AF71" s="15">
        <f t="shared" si="28"/>
        <v>0</v>
      </c>
      <c r="AG71" s="17">
        <v>0</v>
      </c>
      <c r="AH71" s="17">
        <v>0</v>
      </c>
      <c r="AI71" s="15">
        <f t="shared" si="29"/>
        <v>0</v>
      </c>
      <c r="AJ71" s="17"/>
    </row>
    <row r="72" spans="1:36" x14ac:dyDescent="0.3">
      <c r="A72" s="15" t="s">
        <v>120</v>
      </c>
      <c r="B72" s="15">
        <v>100</v>
      </c>
      <c r="C72" s="15" t="s">
        <v>54</v>
      </c>
      <c r="D72" s="15" t="s">
        <v>57</v>
      </c>
      <c r="E72" s="15">
        <f>'15-august-2026'!T72</f>
        <v>2</v>
      </c>
      <c r="F72" s="15">
        <f>'15-august-2026'!U72</f>
        <v>0</v>
      </c>
      <c r="G72" s="15">
        <f>'15-august-2026'!V72</f>
        <v>0</v>
      </c>
      <c r="H72" s="15">
        <f t="shared" si="20"/>
        <v>2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5">
        <f t="shared" si="21"/>
        <v>2</v>
      </c>
      <c r="T72" s="15">
        <f t="shared" si="22"/>
        <v>2</v>
      </c>
      <c r="U72" s="15">
        <f t="shared" si="23"/>
        <v>0</v>
      </c>
      <c r="V72" s="15">
        <f t="shared" si="24"/>
        <v>0</v>
      </c>
      <c r="W72" s="18" t="str">
        <f t="shared" si="25"/>
        <v/>
      </c>
      <c r="X72" s="17">
        <v>0</v>
      </c>
      <c r="Y72" s="17">
        <v>0</v>
      </c>
      <c r="Z72" s="15">
        <f t="shared" si="26"/>
        <v>0</v>
      </c>
      <c r="AA72" s="17">
        <v>0</v>
      </c>
      <c r="AB72" s="17">
        <v>0</v>
      </c>
      <c r="AC72" s="15">
        <f t="shared" si="27"/>
        <v>0</v>
      </c>
      <c r="AD72" s="17">
        <v>0</v>
      </c>
      <c r="AE72" s="17">
        <v>0</v>
      </c>
      <c r="AF72" s="15">
        <f t="shared" si="28"/>
        <v>0</v>
      </c>
      <c r="AG72" s="17">
        <v>0</v>
      </c>
      <c r="AH72" s="17">
        <v>0</v>
      </c>
      <c r="AI72" s="15">
        <f t="shared" si="29"/>
        <v>0</v>
      </c>
      <c r="AJ72" s="17"/>
    </row>
    <row r="73" spans="1:36" x14ac:dyDescent="0.3">
      <c r="A73" s="15" t="s">
        <v>121</v>
      </c>
      <c r="B73" s="15">
        <v>100</v>
      </c>
      <c r="C73" s="15" t="s">
        <v>54</v>
      </c>
      <c r="D73" s="15" t="s">
        <v>68</v>
      </c>
      <c r="E73" s="15">
        <f>'15-august-2026'!T73</f>
        <v>5</v>
      </c>
      <c r="F73" s="15">
        <f>'15-august-2026'!U73</f>
        <v>0</v>
      </c>
      <c r="G73" s="15">
        <f>'15-august-2026'!V73</f>
        <v>0</v>
      </c>
      <c r="H73" s="15">
        <f t="shared" si="20"/>
        <v>5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5">
        <f t="shared" si="21"/>
        <v>5</v>
      </c>
      <c r="T73" s="15">
        <f t="shared" si="22"/>
        <v>5</v>
      </c>
      <c r="U73" s="15">
        <f t="shared" si="23"/>
        <v>0</v>
      </c>
      <c r="V73" s="15">
        <f t="shared" si="24"/>
        <v>0</v>
      </c>
      <c r="W73" s="18" t="str">
        <f t="shared" si="25"/>
        <v/>
      </c>
      <c r="X73" s="17">
        <v>0</v>
      </c>
      <c r="Y73" s="17">
        <v>0</v>
      </c>
      <c r="Z73" s="15">
        <f t="shared" si="26"/>
        <v>0</v>
      </c>
      <c r="AA73" s="17">
        <v>0</v>
      </c>
      <c r="AB73" s="17">
        <v>0</v>
      </c>
      <c r="AC73" s="15">
        <f t="shared" si="27"/>
        <v>0</v>
      </c>
      <c r="AD73" s="17">
        <v>0</v>
      </c>
      <c r="AE73" s="17">
        <v>0</v>
      </c>
      <c r="AF73" s="15">
        <f t="shared" si="28"/>
        <v>0</v>
      </c>
      <c r="AG73" s="17">
        <v>0</v>
      </c>
      <c r="AH73" s="17">
        <v>0</v>
      </c>
      <c r="AI73" s="15">
        <f t="shared" si="29"/>
        <v>0</v>
      </c>
      <c r="AJ73" s="17"/>
    </row>
    <row r="74" spans="1:36" x14ac:dyDescent="0.3">
      <c r="A74" s="15" t="s">
        <v>122</v>
      </c>
      <c r="B74" s="15">
        <v>1000</v>
      </c>
      <c r="C74" s="15" t="s">
        <v>54</v>
      </c>
      <c r="D74" s="15" t="s">
        <v>68</v>
      </c>
      <c r="E74" s="15">
        <f>'15-august-2026'!T74</f>
        <v>2</v>
      </c>
      <c r="F74" s="15">
        <f>'15-august-2026'!U74</f>
        <v>0</v>
      </c>
      <c r="G74" s="15">
        <f>'15-august-2026'!V74</f>
        <v>0</v>
      </c>
      <c r="H74" s="15">
        <f t="shared" si="20"/>
        <v>2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5">
        <f t="shared" si="21"/>
        <v>2</v>
      </c>
      <c r="T74" s="15">
        <f t="shared" si="22"/>
        <v>2</v>
      </c>
      <c r="U74" s="15">
        <f t="shared" si="23"/>
        <v>0</v>
      </c>
      <c r="V74" s="15">
        <f t="shared" si="24"/>
        <v>0</v>
      </c>
      <c r="W74" s="18" t="str">
        <f t="shared" si="25"/>
        <v/>
      </c>
      <c r="X74" s="17">
        <v>0</v>
      </c>
      <c r="Y74" s="17">
        <v>0</v>
      </c>
      <c r="Z74" s="15">
        <f t="shared" si="26"/>
        <v>0</v>
      </c>
      <c r="AA74" s="17">
        <v>0</v>
      </c>
      <c r="AB74" s="17">
        <v>0</v>
      </c>
      <c r="AC74" s="15">
        <f t="shared" si="27"/>
        <v>0</v>
      </c>
      <c r="AD74" s="17">
        <v>0</v>
      </c>
      <c r="AE74" s="17">
        <v>0</v>
      </c>
      <c r="AF74" s="15">
        <f t="shared" si="28"/>
        <v>0</v>
      </c>
      <c r="AG74" s="17">
        <v>0</v>
      </c>
      <c r="AH74" s="17">
        <v>0</v>
      </c>
      <c r="AI74" s="15">
        <f t="shared" si="29"/>
        <v>0</v>
      </c>
      <c r="AJ74" s="17"/>
    </row>
    <row r="75" spans="1:36" x14ac:dyDescent="0.3">
      <c r="A75" s="15" t="s">
        <v>123</v>
      </c>
      <c r="B75" s="15" t="s">
        <v>124</v>
      </c>
      <c r="C75" s="15" t="s">
        <v>123</v>
      </c>
      <c r="D75" s="15" t="s">
        <v>55</v>
      </c>
      <c r="E75" s="15">
        <f>'15-august-2026'!T75</f>
        <v>1</v>
      </c>
      <c r="F75" s="15">
        <f>'15-august-2026'!U75</f>
        <v>0</v>
      </c>
      <c r="G75" s="15">
        <f>'15-august-2026'!V75</f>
        <v>0</v>
      </c>
      <c r="H75" s="15">
        <f t="shared" si="20"/>
        <v>1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5">
        <f t="shared" si="21"/>
        <v>1</v>
      </c>
      <c r="T75" s="15">
        <f t="shared" si="22"/>
        <v>1</v>
      </c>
      <c r="U75" s="15">
        <f t="shared" si="23"/>
        <v>0</v>
      </c>
      <c r="V75" s="15">
        <f t="shared" si="24"/>
        <v>0</v>
      </c>
      <c r="W75" s="18" t="str">
        <f t="shared" si="25"/>
        <v/>
      </c>
      <c r="X75" s="17">
        <v>0</v>
      </c>
      <c r="Y75" s="17">
        <v>0</v>
      </c>
      <c r="Z75" s="15">
        <f t="shared" si="26"/>
        <v>0</v>
      </c>
      <c r="AA75" s="17">
        <v>0</v>
      </c>
      <c r="AB75" s="17">
        <v>0</v>
      </c>
      <c r="AC75" s="15">
        <f t="shared" si="27"/>
        <v>0</v>
      </c>
      <c r="AD75" s="17">
        <v>0</v>
      </c>
      <c r="AE75" s="17">
        <v>0</v>
      </c>
      <c r="AF75" s="15">
        <f t="shared" si="28"/>
        <v>0</v>
      </c>
      <c r="AG75" s="17">
        <v>0</v>
      </c>
      <c r="AH75" s="17">
        <v>0</v>
      </c>
      <c r="AI75" s="15">
        <f t="shared" si="29"/>
        <v>0</v>
      </c>
      <c r="AJ75" s="17"/>
    </row>
    <row r="76" spans="1:36" x14ac:dyDescent="0.3">
      <c r="A76" s="15" t="s">
        <v>125</v>
      </c>
      <c r="B76" s="15">
        <v>1000</v>
      </c>
      <c r="C76" s="15" t="s">
        <v>54</v>
      </c>
      <c r="D76" s="15" t="s">
        <v>68</v>
      </c>
      <c r="E76" s="15">
        <f>'15-august-2026'!T76</f>
        <v>4</v>
      </c>
      <c r="F76" s="15">
        <f>'15-august-2026'!U76</f>
        <v>0</v>
      </c>
      <c r="G76" s="15">
        <f>'15-august-2026'!V76</f>
        <v>0</v>
      </c>
      <c r="H76" s="15">
        <f t="shared" si="20"/>
        <v>4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5">
        <f t="shared" si="21"/>
        <v>4</v>
      </c>
      <c r="T76" s="15">
        <f t="shared" si="22"/>
        <v>4</v>
      </c>
      <c r="U76" s="15">
        <f t="shared" si="23"/>
        <v>0</v>
      </c>
      <c r="V76" s="15">
        <f t="shared" si="24"/>
        <v>0</v>
      </c>
      <c r="W76" s="18" t="str">
        <f t="shared" si="25"/>
        <v/>
      </c>
      <c r="X76" s="17">
        <v>0</v>
      </c>
      <c r="Y76" s="17">
        <v>0</v>
      </c>
      <c r="Z76" s="15">
        <f t="shared" si="26"/>
        <v>0</v>
      </c>
      <c r="AA76" s="17">
        <v>0</v>
      </c>
      <c r="AB76" s="17">
        <v>0</v>
      </c>
      <c r="AC76" s="15">
        <f t="shared" si="27"/>
        <v>0</v>
      </c>
      <c r="AD76" s="17">
        <v>0</v>
      </c>
      <c r="AE76" s="17">
        <v>0</v>
      </c>
      <c r="AF76" s="15">
        <f t="shared" si="28"/>
        <v>0</v>
      </c>
      <c r="AG76" s="17">
        <v>0</v>
      </c>
      <c r="AH76" s="17">
        <v>0</v>
      </c>
      <c r="AI76" s="15">
        <f t="shared" si="29"/>
        <v>0</v>
      </c>
      <c r="AJ76" s="17"/>
    </row>
    <row r="77" spans="1:36" x14ac:dyDescent="0.3">
      <c r="A77" s="15" t="s">
        <v>126</v>
      </c>
      <c r="B77" s="15">
        <v>1000</v>
      </c>
      <c r="C77" s="15" t="s">
        <v>54</v>
      </c>
      <c r="D77" s="15" t="s">
        <v>68</v>
      </c>
      <c r="E77" s="15">
        <f>'15-august-2026'!T77</f>
        <v>1</v>
      </c>
      <c r="F77" s="15">
        <f>'15-august-2026'!U77</f>
        <v>0</v>
      </c>
      <c r="G77" s="15">
        <f>'15-august-2026'!V77</f>
        <v>0</v>
      </c>
      <c r="H77" s="15">
        <f t="shared" si="20"/>
        <v>1</v>
      </c>
      <c r="I77" s="17">
        <v>1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5">
        <f t="shared" si="21"/>
        <v>0</v>
      </c>
      <c r="T77" s="15">
        <f t="shared" si="22"/>
        <v>0</v>
      </c>
      <c r="U77" s="15">
        <f t="shared" si="23"/>
        <v>0</v>
      </c>
      <c r="V77" s="15">
        <f t="shared" si="24"/>
        <v>0</v>
      </c>
      <c r="W77" s="18" t="str">
        <f t="shared" si="25"/>
        <v/>
      </c>
      <c r="X77" s="17">
        <v>0</v>
      </c>
      <c r="Y77" s="17">
        <v>0</v>
      </c>
      <c r="Z77" s="15">
        <f t="shared" si="26"/>
        <v>0</v>
      </c>
      <c r="AA77" s="17">
        <v>0</v>
      </c>
      <c r="AB77" s="17">
        <v>0</v>
      </c>
      <c r="AC77" s="15">
        <f t="shared" si="27"/>
        <v>0</v>
      </c>
      <c r="AD77" s="17">
        <v>0</v>
      </c>
      <c r="AE77" s="17">
        <v>0</v>
      </c>
      <c r="AF77" s="15">
        <f t="shared" si="28"/>
        <v>0</v>
      </c>
      <c r="AG77" s="17">
        <v>0</v>
      </c>
      <c r="AH77" s="17">
        <v>0</v>
      </c>
      <c r="AI77" s="15">
        <f t="shared" si="29"/>
        <v>0</v>
      </c>
      <c r="AJ77" s="17"/>
    </row>
    <row r="78" spans="1:36" x14ac:dyDescent="0.3">
      <c r="A78" s="15" t="s">
        <v>127</v>
      </c>
      <c r="B78" s="15">
        <v>0</v>
      </c>
      <c r="C78" s="15" t="s">
        <v>128</v>
      </c>
      <c r="D78" s="15" t="s">
        <v>55</v>
      </c>
      <c r="E78" s="15">
        <f>'15-august-2026'!T78</f>
        <v>107</v>
      </c>
      <c r="F78" s="15">
        <f>'15-august-2026'!U78</f>
        <v>6</v>
      </c>
      <c r="G78" s="15">
        <f>'15-august-2026'!V78</f>
        <v>0</v>
      </c>
      <c r="H78" s="15">
        <f t="shared" si="20"/>
        <v>113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5">
        <f t="shared" si="21"/>
        <v>113</v>
      </c>
      <c r="T78" s="15">
        <f t="shared" si="22"/>
        <v>107</v>
      </c>
      <c r="U78" s="15">
        <f t="shared" si="23"/>
        <v>6</v>
      </c>
      <c r="V78" s="15">
        <f t="shared" si="24"/>
        <v>0</v>
      </c>
      <c r="W78" s="18" t="str">
        <f t="shared" si="25"/>
        <v/>
      </c>
      <c r="X78" s="17">
        <v>0</v>
      </c>
      <c r="Y78" s="17">
        <v>0</v>
      </c>
      <c r="Z78" s="15">
        <f t="shared" si="26"/>
        <v>0</v>
      </c>
      <c r="AA78" s="17">
        <v>0</v>
      </c>
      <c r="AB78" s="17">
        <v>0</v>
      </c>
      <c r="AC78" s="15">
        <f t="shared" si="27"/>
        <v>0</v>
      </c>
      <c r="AD78" s="17">
        <v>0</v>
      </c>
      <c r="AE78" s="17">
        <v>0</v>
      </c>
      <c r="AF78" s="15">
        <f t="shared" si="28"/>
        <v>0</v>
      </c>
      <c r="AG78" s="17">
        <v>0</v>
      </c>
      <c r="AH78" s="17">
        <v>0</v>
      </c>
      <c r="AI78" s="15">
        <f t="shared" si="29"/>
        <v>0</v>
      </c>
      <c r="AJ78" s="17"/>
    </row>
    <row r="79" spans="1:36" x14ac:dyDescent="0.3">
      <c r="A79" s="15" t="s">
        <v>129</v>
      </c>
      <c r="B79" s="15">
        <v>0</v>
      </c>
      <c r="C79" s="15" t="s">
        <v>128</v>
      </c>
      <c r="D79" s="15" t="s">
        <v>55</v>
      </c>
      <c r="E79" s="15">
        <f>'15-august-2026'!T79</f>
        <v>44</v>
      </c>
      <c r="F79" s="15">
        <f>'15-august-2026'!U79</f>
        <v>4</v>
      </c>
      <c r="G79" s="15">
        <f>'15-august-2026'!V79</f>
        <v>55</v>
      </c>
      <c r="H79" s="15">
        <f t="shared" si="20"/>
        <v>103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5">
        <f t="shared" si="21"/>
        <v>103</v>
      </c>
      <c r="T79" s="15">
        <f t="shared" si="22"/>
        <v>44</v>
      </c>
      <c r="U79" s="15">
        <f t="shared" si="23"/>
        <v>4</v>
      </c>
      <c r="V79" s="15">
        <f t="shared" si="24"/>
        <v>55</v>
      </c>
      <c r="W79" s="18" t="str">
        <f t="shared" si="25"/>
        <v/>
      </c>
      <c r="X79" s="17">
        <v>0</v>
      </c>
      <c r="Y79" s="17">
        <v>0</v>
      </c>
      <c r="Z79" s="15">
        <f t="shared" si="26"/>
        <v>0</v>
      </c>
      <c r="AA79" s="17">
        <v>0</v>
      </c>
      <c r="AB79" s="17">
        <v>0</v>
      </c>
      <c r="AC79" s="15">
        <f t="shared" si="27"/>
        <v>0</v>
      </c>
      <c r="AD79" s="17">
        <v>0</v>
      </c>
      <c r="AE79" s="17">
        <v>0</v>
      </c>
      <c r="AF79" s="15">
        <f t="shared" si="28"/>
        <v>0</v>
      </c>
      <c r="AG79" s="17">
        <v>0</v>
      </c>
      <c r="AH79" s="17">
        <v>0</v>
      </c>
      <c r="AI79" s="15">
        <f t="shared" si="29"/>
        <v>0</v>
      </c>
      <c r="AJ79" s="17"/>
    </row>
    <row r="80" spans="1:36" x14ac:dyDescent="0.3">
      <c r="A80" s="15" t="s">
        <v>130</v>
      </c>
      <c r="B80" s="15">
        <v>100</v>
      </c>
      <c r="C80" s="15" t="s">
        <v>54</v>
      </c>
      <c r="D80" s="15" t="s">
        <v>55</v>
      </c>
      <c r="E80" s="15">
        <f>'15-august-2026'!T80</f>
        <v>123</v>
      </c>
      <c r="F80" s="15">
        <f>'15-august-2026'!U80</f>
        <v>111</v>
      </c>
      <c r="G80" s="15">
        <f>'15-august-2026'!V80</f>
        <v>29</v>
      </c>
      <c r="H80" s="15">
        <f t="shared" si="20"/>
        <v>263</v>
      </c>
      <c r="I80" s="17">
        <v>10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5">
        <f t="shared" si="21"/>
        <v>253</v>
      </c>
      <c r="T80" s="15">
        <f t="shared" si="22"/>
        <v>113</v>
      </c>
      <c r="U80" s="15">
        <f t="shared" si="23"/>
        <v>111</v>
      </c>
      <c r="V80" s="15">
        <f t="shared" si="24"/>
        <v>29</v>
      </c>
      <c r="W80" s="18" t="str">
        <f t="shared" si="25"/>
        <v/>
      </c>
      <c r="X80" s="17">
        <v>0</v>
      </c>
      <c r="Y80" s="17">
        <v>0</v>
      </c>
      <c r="Z80" s="15">
        <f t="shared" si="26"/>
        <v>0</v>
      </c>
      <c r="AA80" s="17">
        <v>0</v>
      </c>
      <c r="AB80" s="17">
        <v>0</v>
      </c>
      <c r="AC80" s="15">
        <f t="shared" si="27"/>
        <v>0</v>
      </c>
      <c r="AD80" s="17">
        <v>0</v>
      </c>
      <c r="AE80" s="17">
        <v>0</v>
      </c>
      <c r="AF80" s="15">
        <f t="shared" si="28"/>
        <v>0</v>
      </c>
      <c r="AG80" s="17">
        <v>0</v>
      </c>
      <c r="AH80" s="17">
        <v>0</v>
      </c>
      <c r="AI80" s="15">
        <f t="shared" si="29"/>
        <v>0</v>
      </c>
      <c r="AJ80" s="17"/>
    </row>
    <row r="81" spans="1:36" x14ac:dyDescent="0.3">
      <c r="A81" s="15" t="s">
        <v>131</v>
      </c>
      <c r="B81" s="15">
        <v>500</v>
      </c>
      <c r="C81" s="15" t="s">
        <v>54</v>
      </c>
      <c r="D81" s="15" t="s">
        <v>55</v>
      </c>
      <c r="E81" s="15">
        <f>'15-august-2026'!T81</f>
        <v>6</v>
      </c>
      <c r="F81" s="15">
        <f>'15-august-2026'!U81</f>
        <v>0</v>
      </c>
      <c r="G81" s="15">
        <f>'15-august-2026'!V81</f>
        <v>0</v>
      </c>
      <c r="H81" s="15">
        <f t="shared" si="20"/>
        <v>6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5">
        <f t="shared" si="21"/>
        <v>6</v>
      </c>
      <c r="T81" s="15">
        <f t="shared" si="22"/>
        <v>6</v>
      </c>
      <c r="U81" s="15">
        <f t="shared" si="23"/>
        <v>0</v>
      </c>
      <c r="V81" s="15">
        <f t="shared" si="24"/>
        <v>0</v>
      </c>
      <c r="W81" s="18" t="str">
        <f t="shared" si="25"/>
        <v/>
      </c>
      <c r="X81" s="17">
        <v>0</v>
      </c>
      <c r="Y81" s="17">
        <v>0</v>
      </c>
      <c r="Z81" s="15">
        <f t="shared" si="26"/>
        <v>0</v>
      </c>
      <c r="AA81" s="17">
        <v>0</v>
      </c>
      <c r="AB81" s="17">
        <v>0</v>
      </c>
      <c r="AC81" s="15">
        <f t="shared" si="27"/>
        <v>0</v>
      </c>
      <c r="AD81" s="17">
        <v>0</v>
      </c>
      <c r="AE81" s="17">
        <v>0</v>
      </c>
      <c r="AF81" s="15">
        <f t="shared" si="28"/>
        <v>0</v>
      </c>
      <c r="AG81" s="17">
        <v>0</v>
      </c>
      <c r="AH81" s="17">
        <v>0</v>
      </c>
      <c r="AI81" s="15">
        <f t="shared" si="29"/>
        <v>0</v>
      </c>
      <c r="AJ81" s="17"/>
    </row>
    <row r="82" spans="1:36" x14ac:dyDescent="0.3">
      <c r="A82" s="15" t="s">
        <v>132</v>
      </c>
      <c r="B82" s="15">
        <v>100</v>
      </c>
      <c r="C82" s="15" t="s">
        <v>54</v>
      </c>
      <c r="D82" s="15" t="s">
        <v>55</v>
      </c>
      <c r="E82" s="15">
        <f>'15-august-2026'!T82</f>
        <v>100</v>
      </c>
      <c r="F82" s="15">
        <f>'15-august-2026'!U82</f>
        <v>279</v>
      </c>
      <c r="G82" s="15">
        <f>'15-august-2026'!V82</f>
        <v>1</v>
      </c>
      <c r="H82" s="15">
        <f t="shared" si="20"/>
        <v>380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5">
        <f t="shared" si="21"/>
        <v>380</v>
      </c>
      <c r="T82" s="15">
        <f t="shared" si="22"/>
        <v>100</v>
      </c>
      <c r="U82" s="15">
        <f t="shared" si="23"/>
        <v>279</v>
      </c>
      <c r="V82" s="15">
        <f t="shared" si="24"/>
        <v>1</v>
      </c>
      <c r="W82" s="18" t="str">
        <f t="shared" si="25"/>
        <v/>
      </c>
      <c r="X82" s="17">
        <v>0</v>
      </c>
      <c r="Y82" s="17">
        <v>0</v>
      </c>
      <c r="Z82" s="15">
        <f t="shared" si="26"/>
        <v>0</v>
      </c>
      <c r="AA82" s="17">
        <v>0</v>
      </c>
      <c r="AB82" s="17">
        <v>0</v>
      </c>
      <c r="AC82" s="15">
        <f t="shared" si="27"/>
        <v>0</v>
      </c>
      <c r="AD82" s="17">
        <v>0</v>
      </c>
      <c r="AE82" s="17">
        <v>0</v>
      </c>
      <c r="AF82" s="15">
        <f t="shared" si="28"/>
        <v>0</v>
      </c>
      <c r="AG82" s="17">
        <v>0</v>
      </c>
      <c r="AH82" s="17">
        <v>0</v>
      </c>
      <c r="AI82" s="15">
        <f t="shared" si="29"/>
        <v>0</v>
      </c>
      <c r="AJ82" s="17"/>
    </row>
    <row r="83" spans="1:36" x14ac:dyDescent="0.3">
      <c r="A83" s="15" t="s">
        <v>133</v>
      </c>
      <c r="B83" s="15">
        <v>1000</v>
      </c>
      <c r="C83" s="15" t="s">
        <v>54</v>
      </c>
      <c r="D83" s="15" t="s">
        <v>55</v>
      </c>
      <c r="E83" s="15">
        <f>'15-august-2026'!T83</f>
        <v>-1</v>
      </c>
      <c r="F83" s="15">
        <f>'15-august-2026'!U83</f>
        <v>0</v>
      </c>
      <c r="G83" s="15">
        <f>'15-august-2026'!V83</f>
        <v>0</v>
      </c>
      <c r="H83" s="15">
        <f t="shared" si="20"/>
        <v>-1</v>
      </c>
      <c r="I83" s="17">
        <v>1</v>
      </c>
      <c r="J83" s="17">
        <v>0</v>
      </c>
      <c r="K83" s="17">
        <v>0</v>
      </c>
      <c r="L83" s="17">
        <v>1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1</v>
      </c>
      <c r="S83" s="15">
        <f t="shared" si="21"/>
        <v>-2</v>
      </c>
      <c r="T83" s="15">
        <f t="shared" si="22"/>
        <v>-3</v>
      </c>
      <c r="U83" s="15">
        <f t="shared" si="23"/>
        <v>0</v>
      </c>
      <c r="V83" s="15">
        <f t="shared" si="24"/>
        <v>0</v>
      </c>
      <c r="W83" s="18" t="str">
        <f t="shared" si="25"/>
        <v>NEGATIVE STOCK - CHECK ENTRIES</v>
      </c>
      <c r="X83" s="17">
        <v>0</v>
      </c>
      <c r="Y83" s="17">
        <v>0</v>
      </c>
      <c r="Z83" s="15">
        <f t="shared" si="26"/>
        <v>0</v>
      </c>
      <c r="AA83" s="17">
        <v>0</v>
      </c>
      <c r="AB83" s="17">
        <v>0</v>
      </c>
      <c r="AC83" s="15">
        <f t="shared" si="27"/>
        <v>0</v>
      </c>
      <c r="AD83" s="17">
        <v>0</v>
      </c>
      <c r="AE83" s="17">
        <v>0</v>
      </c>
      <c r="AF83" s="15">
        <f t="shared" si="28"/>
        <v>0</v>
      </c>
      <c r="AG83" s="17">
        <v>0</v>
      </c>
      <c r="AH83" s="17">
        <v>0</v>
      </c>
      <c r="AI83" s="15">
        <f t="shared" si="29"/>
        <v>0</v>
      </c>
      <c r="AJ83" s="17"/>
    </row>
    <row r="84" spans="1:36" x14ac:dyDescent="0.3">
      <c r="A84" s="15" t="s">
        <v>134</v>
      </c>
      <c r="B84" s="15">
        <v>100</v>
      </c>
      <c r="C84" s="15" t="s">
        <v>54</v>
      </c>
      <c r="D84" s="15" t="s">
        <v>57</v>
      </c>
      <c r="E84" s="15">
        <f>'15-august-2026'!T84</f>
        <v>3</v>
      </c>
      <c r="F84" s="15">
        <f>'15-august-2026'!U84</f>
        <v>0</v>
      </c>
      <c r="G84" s="15">
        <f>'15-august-2026'!V84</f>
        <v>0</v>
      </c>
      <c r="H84" s="15">
        <f t="shared" si="20"/>
        <v>3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5">
        <f t="shared" si="21"/>
        <v>3</v>
      </c>
      <c r="T84" s="15">
        <f t="shared" si="22"/>
        <v>3</v>
      </c>
      <c r="U84" s="15">
        <f t="shared" si="23"/>
        <v>0</v>
      </c>
      <c r="V84" s="15">
        <f t="shared" si="24"/>
        <v>0</v>
      </c>
      <c r="W84" s="18" t="str">
        <f t="shared" si="25"/>
        <v/>
      </c>
      <c r="X84" s="17">
        <v>0</v>
      </c>
      <c r="Y84" s="17">
        <v>0</v>
      </c>
      <c r="Z84" s="15">
        <f t="shared" si="26"/>
        <v>0</v>
      </c>
      <c r="AA84" s="17">
        <v>0</v>
      </c>
      <c r="AB84" s="17">
        <v>0</v>
      </c>
      <c r="AC84" s="15">
        <f t="shared" si="27"/>
        <v>0</v>
      </c>
      <c r="AD84" s="17">
        <v>0</v>
      </c>
      <c r="AE84" s="17">
        <v>0</v>
      </c>
      <c r="AF84" s="15">
        <f t="shared" si="28"/>
        <v>0</v>
      </c>
      <c r="AG84" s="17">
        <v>0</v>
      </c>
      <c r="AH84" s="17">
        <v>0</v>
      </c>
      <c r="AI84" s="15">
        <f t="shared" si="29"/>
        <v>0</v>
      </c>
      <c r="AJ84" s="17"/>
    </row>
    <row r="85" spans="1:36" x14ac:dyDescent="0.3">
      <c r="A85" s="15" t="s">
        <v>135</v>
      </c>
      <c r="B85" s="15">
        <v>100</v>
      </c>
      <c r="C85" s="15" t="s">
        <v>54</v>
      </c>
      <c r="D85" s="15" t="s">
        <v>57</v>
      </c>
      <c r="E85" s="15">
        <f>'15-august-2026'!T85</f>
        <v>4</v>
      </c>
      <c r="F85" s="15">
        <f>'15-august-2026'!U85</f>
        <v>0</v>
      </c>
      <c r="G85" s="15">
        <f>'15-august-2026'!V85</f>
        <v>0</v>
      </c>
      <c r="H85" s="15">
        <f t="shared" si="20"/>
        <v>4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5">
        <f t="shared" si="21"/>
        <v>4</v>
      </c>
      <c r="T85" s="15">
        <f t="shared" si="22"/>
        <v>4</v>
      </c>
      <c r="U85" s="15">
        <f t="shared" si="23"/>
        <v>0</v>
      </c>
      <c r="V85" s="15">
        <f t="shared" si="24"/>
        <v>0</v>
      </c>
      <c r="W85" s="18" t="str">
        <f t="shared" si="25"/>
        <v/>
      </c>
      <c r="X85" s="17">
        <v>0</v>
      </c>
      <c r="Y85" s="17">
        <v>0</v>
      </c>
      <c r="Z85" s="15">
        <f t="shared" si="26"/>
        <v>0</v>
      </c>
      <c r="AA85" s="17">
        <v>0</v>
      </c>
      <c r="AB85" s="17">
        <v>0</v>
      </c>
      <c r="AC85" s="15">
        <f t="shared" si="27"/>
        <v>0</v>
      </c>
      <c r="AD85" s="17">
        <v>0</v>
      </c>
      <c r="AE85" s="17">
        <v>0</v>
      </c>
      <c r="AF85" s="15">
        <f t="shared" si="28"/>
        <v>0</v>
      </c>
      <c r="AG85" s="17">
        <v>0</v>
      </c>
      <c r="AH85" s="17">
        <v>0</v>
      </c>
      <c r="AI85" s="15">
        <f t="shared" si="29"/>
        <v>0</v>
      </c>
      <c r="AJ85" s="17"/>
    </row>
    <row r="86" spans="1:36" x14ac:dyDescent="0.3">
      <c r="A86" s="15" t="s">
        <v>135</v>
      </c>
      <c r="B86" s="15">
        <v>1000</v>
      </c>
      <c r="C86" s="15" t="s">
        <v>54</v>
      </c>
      <c r="D86" s="15" t="s">
        <v>57</v>
      </c>
      <c r="E86" s="15">
        <f>'15-august-2026'!T86</f>
        <v>1</v>
      </c>
      <c r="F86" s="15">
        <f>'15-august-2026'!U86</f>
        <v>0</v>
      </c>
      <c r="G86" s="15">
        <f>'15-august-2026'!V86</f>
        <v>0</v>
      </c>
      <c r="H86" s="15">
        <f t="shared" si="20"/>
        <v>1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5">
        <f t="shared" si="21"/>
        <v>1</v>
      </c>
      <c r="T86" s="15">
        <f t="shared" si="22"/>
        <v>1</v>
      </c>
      <c r="U86" s="15">
        <f t="shared" si="23"/>
        <v>0</v>
      </c>
      <c r="V86" s="15">
        <f t="shared" si="24"/>
        <v>0</v>
      </c>
      <c r="W86" s="18" t="str">
        <f t="shared" si="25"/>
        <v/>
      </c>
      <c r="X86" s="17">
        <v>0</v>
      </c>
      <c r="Y86" s="17">
        <v>0</v>
      </c>
      <c r="Z86" s="15">
        <f t="shared" si="26"/>
        <v>0</v>
      </c>
      <c r="AA86" s="17">
        <v>0</v>
      </c>
      <c r="AB86" s="17">
        <v>0</v>
      </c>
      <c r="AC86" s="15">
        <f t="shared" si="27"/>
        <v>0</v>
      </c>
      <c r="AD86" s="17">
        <v>0</v>
      </c>
      <c r="AE86" s="17">
        <v>0</v>
      </c>
      <c r="AF86" s="15">
        <f t="shared" si="28"/>
        <v>0</v>
      </c>
      <c r="AG86" s="17">
        <v>0</v>
      </c>
      <c r="AH86" s="17">
        <v>0</v>
      </c>
      <c r="AI86" s="15">
        <f t="shared" si="29"/>
        <v>0</v>
      </c>
      <c r="AJ86" s="17"/>
    </row>
    <row r="87" spans="1:36" x14ac:dyDescent="0.3">
      <c r="A87" s="15" t="s">
        <v>136</v>
      </c>
      <c r="B87" s="15">
        <v>100000</v>
      </c>
      <c r="C87" s="15" t="s">
        <v>54</v>
      </c>
      <c r="D87" s="15" t="s">
        <v>68</v>
      </c>
      <c r="E87" s="15">
        <f>'15-august-2026'!T87</f>
        <v>1</v>
      </c>
      <c r="F87" s="15">
        <f>'15-august-2026'!U87</f>
        <v>0</v>
      </c>
      <c r="G87" s="15">
        <f>'15-august-2026'!V87</f>
        <v>0</v>
      </c>
      <c r="H87" s="15">
        <f t="shared" si="20"/>
        <v>1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5">
        <f t="shared" si="21"/>
        <v>1</v>
      </c>
      <c r="T87" s="15">
        <f t="shared" si="22"/>
        <v>1</v>
      </c>
      <c r="U87" s="15">
        <f t="shared" si="23"/>
        <v>0</v>
      </c>
      <c r="V87" s="15">
        <f t="shared" si="24"/>
        <v>0</v>
      </c>
      <c r="W87" s="18" t="str">
        <f t="shared" si="25"/>
        <v/>
      </c>
      <c r="X87" s="17">
        <v>0</v>
      </c>
      <c r="Y87" s="17">
        <v>0</v>
      </c>
      <c r="Z87" s="15">
        <f t="shared" si="26"/>
        <v>0</v>
      </c>
      <c r="AA87" s="17">
        <v>0</v>
      </c>
      <c r="AB87" s="17">
        <v>0</v>
      </c>
      <c r="AC87" s="15">
        <f t="shared" si="27"/>
        <v>0</v>
      </c>
      <c r="AD87" s="17">
        <v>0</v>
      </c>
      <c r="AE87" s="17">
        <v>0</v>
      </c>
      <c r="AF87" s="15">
        <f t="shared" si="28"/>
        <v>0</v>
      </c>
      <c r="AG87" s="17">
        <v>0</v>
      </c>
      <c r="AH87" s="17">
        <v>0</v>
      </c>
      <c r="AI87" s="15">
        <f t="shared" si="29"/>
        <v>0</v>
      </c>
      <c r="AJ87" s="17"/>
    </row>
    <row r="88" spans="1:36" x14ac:dyDescent="0.3">
      <c r="A88" s="15" t="s">
        <v>137</v>
      </c>
      <c r="B88" s="15">
        <v>1000</v>
      </c>
      <c r="C88" s="15" t="s">
        <v>54</v>
      </c>
      <c r="D88" s="15" t="s">
        <v>68</v>
      </c>
      <c r="E88" s="15">
        <f>'15-august-2026'!T88</f>
        <v>5</v>
      </c>
      <c r="F88" s="15">
        <f>'15-august-2026'!U88</f>
        <v>0</v>
      </c>
      <c r="G88" s="15">
        <f>'15-august-2026'!V88</f>
        <v>0</v>
      </c>
      <c r="H88" s="15">
        <f t="shared" si="20"/>
        <v>5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5">
        <f t="shared" si="21"/>
        <v>5</v>
      </c>
      <c r="T88" s="15">
        <f t="shared" si="22"/>
        <v>5</v>
      </c>
      <c r="U88" s="15">
        <f t="shared" si="23"/>
        <v>0</v>
      </c>
      <c r="V88" s="15">
        <f t="shared" si="24"/>
        <v>0</v>
      </c>
      <c r="W88" s="18" t="str">
        <f t="shared" si="25"/>
        <v/>
      </c>
      <c r="X88" s="17">
        <v>0</v>
      </c>
      <c r="Y88" s="17">
        <v>0</v>
      </c>
      <c r="Z88" s="15">
        <f t="shared" si="26"/>
        <v>0</v>
      </c>
      <c r="AA88" s="17">
        <v>0</v>
      </c>
      <c r="AB88" s="17">
        <v>0</v>
      </c>
      <c r="AC88" s="15">
        <f t="shared" si="27"/>
        <v>0</v>
      </c>
      <c r="AD88" s="17">
        <v>0</v>
      </c>
      <c r="AE88" s="17">
        <v>0</v>
      </c>
      <c r="AF88" s="15">
        <f t="shared" si="28"/>
        <v>0</v>
      </c>
      <c r="AG88" s="17">
        <v>0</v>
      </c>
      <c r="AH88" s="17">
        <v>0</v>
      </c>
      <c r="AI88" s="15">
        <f t="shared" si="29"/>
        <v>0</v>
      </c>
      <c r="AJ88" s="17"/>
    </row>
    <row r="89" spans="1:36" x14ac:dyDescent="0.3">
      <c r="A89" s="15" t="s">
        <v>138</v>
      </c>
      <c r="B89" s="15">
        <v>100</v>
      </c>
      <c r="C89" s="15" t="s">
        <v>54</v>
      </c>
      <c r="D89" s="15" t="s">
        <v>57</v>
      </c>
      <c r="E89" s="15">
        <f>'15-august-2026'!T89</f>
        <v>-8</v>
      </c>
      <c r="F89" s="15">
        <f>'15-august-2026'!U89</f>
        <v>0</v>
      </c>
      <c r="G89" s="15">
        <f>'15-august-2026'!V89</f>
        <v>0</v>
      </c>
      <c r="H89" s="15">
        <f t="shared" si="20"/>
        <v>-8</v>
      </c>
      <c r="I89" s="17">
        <v>2</v>
      </c>
      <c r="J89" s="17">
        <v>0</v>
      </c>
      <c r="K89" s="17">
        <v>0</v>
      </c>
      <c r="L89" s="17">
        <v>2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5">
        <f t="shared" si="21"/>
        <v>-12</v>
      </c>
      <c r="T89" s="15">
        <f t="shared" si="22"/>
        <v>-12</v>
      </c>
      <c r="U89" s="15">
        <f t="shared" si="23"/>
        <v>0</v>
      </c>
      <c r="V89" s="15">
        <f t="shared" si="24"/>
        <v>0</v>
      </c>
      <c r="W89" s="18" t="str">
        <f t="shared" si="25"/>
        <v>NEGATIVE STOCK - CHECK ENTRIES</v>
      </c>
      <c r="X89" s="17">
        <v>0</v>
      </c>
      <c r="Y89" s="17">
        <v>0</v>
      </c>
      <c r="Z89" s="15">
        <f t="shared" si="26"/>
        <v>0</v>
      </c>
      <c r="AA89" s="17">
        <v>0</v>
      </c>
      <c r="AB89" s="17">
        <v>0</v>
      </c>
      <c r="AC89" s="15">
        <f t="shared" si="27"/>
        <v>0</v>
      </c>
      <c r="AD89" s="17">
        <v>0</v>
      </c>
      <c r="AE89" s="17">
        <v>0</v>
      </c>
      <c r="AF89" s="15">
        <f t="shared" si="28"/>
        <v>0</v>
      </c>
      <c r="AG89" s="17">
        <v>0</v>
      </c>
      <c r="AH89" s="17">
        <v>0</v>
      </c>
      <c r="AI89" s="15">
        <f t="shared" si="29"/>
        <v>0</v>
      </c>
      <c r="AJ89" s="17"/>
    </row>
    <row r="90" spans="1:36" x14ac:dyDescent="0.3">
      <c r="A90" s="15" t="s">
        <v>139</v>
      </c>
      <c r="B90" s="15">
        <v>100</v>
      </c>
      <c r="C90" s="15" t="s">
        <v>54</v>
      </c>
      <c r="D90" s="15" t="s">
        <v>68</v>
      </c>
      <c r="E90" s="15">
        <f>'15-august-2026'!T90</f>
        <v>8</v>
      </c>
      <c r="F90" s="15">
        <f>'15-august-2026'!U90</f>
        <v>0</v>
      </c>
      <c r="G90" s="15">
        <f>'15-august-2026'!V90</f>
        <v>0</v>
      </c>
      <c r="H90" s="15">
        <f t="shared" si="20"/>
        <v>8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5">
        <f t="shared" si="21"/>
        <v>8</v>
      </c>
      <c r="T90" s="15">
        <f t="shared" si="22"/>
        <v>8</v>
      </c>
      <c r="U90" s="15">
        <f t="shared" si="23"/>
        <v>0</v>
      </c>
      <c r="V90" s="15">
        <f t="shared" si="24"/>
        <v>0</v>
      </c>
      <c r="W90" s="18" t="str">
        <f t="shared" si="25"/>
        <v/>
      </c>
      <c r="X90" s="17">
        <v>0</v>
      </c>
      <c r="Y90" s="17">
        <v>0</v>
      </c>
      <c r="Z90" s="15">
        <f t="shared" si="26"/>
        <v>0</v>
      </c>
      <c r="AA90" s="17">
        <v>0</v>
      </c>
      <c r="AB90" s="17">
        <v>0</v>
      </c>
      <c r="AC90" s="15">
        <f t="shared" si="27"/>
        <v>0</v>
      </c>
      <c r="AD90" s="17">
        <v>0</v>
      </c>
      <c r="AE90" s="17">
        <v>0</v>
      </c>
      <c r="AF90" s="15">
        <f t="shared" si="28"/>
        <v>0</v>
      </c>
      <c r="AG90" s="17">
        <v>0</v>
      </c>
      <c r="AH90" s="17">
        <v>0</v>
      </c>
      <c r="AI90" s="15">
        <f t="shared" si="29"/>
        <v>0</v>
      </c>
      <c r="AJ90" s="17"/>
    </row>
    <row r="91" spans="1:36" x14ac:dyDescent="0.3">
      <c r="A91" s="15" t="s">
        <v>140</v>
      </c>
      <c r="B91" s="15">
        <v>1000</v>
      </c>
      <c r="C91" s="15" t="s">
        <v>54</v>
      </c>
      <c r="D91" s="15" t="s">
        <v>68</v>
      </c>
      <c r="E91" s="15">
        <f>'15-august-2026'!T91</f>
        <v>7</v>
      </c>
      <c r="F91" s="15">
        <f>'15-august-2026'!U91</f>
        <v>0</v>
      </c>
      <c r="G91" s="15">
        <f>'15-august-2026'!V91</f>
        <v>0</v>
      </c>
      <c r="H91" s="15">
        <f t="shared" si="20"/>
        <v>7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5">
        <f t="shared" si="21"/>
        <v>7</v>
      </c>
      <c r="T91" s="15">
        <f t="shared" si="22"/>
        <v>7</v>
      </c>
      <c r="U91" s="15">
        <f t="shared" si="23"/>
        <v>0</v>
      </c>
      <c r="V91" s="15">
        <f t="shared" si="24"/>
        <v>0</v>
      </c>
      <c r="W91" s="18" t="str">
        <f t="shared" si="25"/>
        <v/>
      </c>
      <c r="X91" s="17">
        <v>0</v>
      </c>
      <c r="Y91" s="17">
        <v>0</v>
      </c>
      <c r="Z91" s="15">
        <f t="shared" si="26"/>
        <v>0</v>
      </c>
      <c r="AA91" s="17">
        <v>0</v>
      </c>
      <c r="AB91" s="17">
        <v>0</v>
      </c>
      <c r="AC91" s="15">
        <f t="shared" si="27"/>
        <v>0</v>
      </c>
      <c r="AD91" s="17">
        <v>0</v>
      </c>
      <c r="AE91" s="17">
        <v>0</v>
      </c>
      <c r="AF91" s="15">
        <f t="shared" si="28"/>
        <v>0</v>
      </c>
      <c r="AG91" s="17">
        <v>0</v>
      </c>
      <c r="AH91" s="17">
        <v>0</v>
      </c>
      <c r="AI91" s="15">
        <f t="shared" si="29"/>
        <v>0</v>
      </c>
      <c r="AJ91" s="17"/>
    </row>
    <row r="92" spans="1:36" x14ac:dyDescent="0.3">
      <c r="A92" s="15" t="s">
        <v>141</v>
      </c>
      <c r="B92" s="15">
        <v>1000</v>
      </c>
      <c r="C92" s="15" t="s">
        <v>54</v>
      </c>
      <c r="D92" s="15" t="s">
        <v>55</v>
      </c>
      <c r="E92" s="15">
        <f>'15-august-2026'!T92</f>
        <v>4</v>
      </c>
      <c r="F92" s="15">
        <f>'15-august-2026'!U92</f>
        <v>0</v>
      </c>
      <c r="G92" s="15">
        <f>'15-august-2026'!V92</f>
        <v>0</v>
      </c>
      <c r="H92" s="15">
        <f t="shared" si="20"/>
        <v>4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5">
        <f t="shared" si="21"/>
        <v>4</v>
      </c>
      <c r="T92" s="15">
        <f t="shared" si="22"/>
        <v>4</v>
      </c>
      <c r="U92" s="15">
        <f t="shared" si="23"/>
        <v>0</v>
      </c>
      <c r="V92" s="15">
        <f t="shared" si="24"/>
        <v>0</v>
      </c>
      <c r="W92" s="18" t="str">
        <f t="shared" si="25"/>
        <v/>
      </c>
      <c r="X92" s="17">
        <v>0</v>
      </c>
      <c r="Y92" s="17">
        <v>0</v>
      </c>
      <c r="Z92" s="15">
        <f t="shared" si="26"/>
        <v>0</v>
      </c>
      <c r="AA92" s="17">
        <v>0</v>
      </c>
      <c r="AB92" s="17">
        <v>0</v>
      </c>
      <c r="AC92" s="15">
        <f t="shared" si="27"/>
        <v>0</v>
      </c>
      <c r="AD92" s="17">
        <v>0</v>
      </c>
      <c r="AE92" s="17">
        <v>0</v>
      </c>
      <c r="AF92" s="15">
        <f t="shared" si="28"/>
        <v>0</v>
      </c>
      <c r="AG92" s="17">
        <v>0</v>
      </c>
      <c r="AH92" s="17">
        <v>0</v>
      </c>
      <c r="AI92" s="15">
        <f t="shared" si="29"/>
        <v>0</v>
      </c>
      <c r="AJ92" s="17"/>
    </row>
    <row r="93" spans="1:36" x14ac:dyDescent="0.3">
      <c r="A93" s="15" t="s">
        <v>142</v>
      </c>
      <c r="B93" s="15">
        <v>100</v>
      </c>
      <c r="C93" s="15" t="s">
        <v>54</v>
      </c>
      <c r="D93" s="15" t="s">
        <v>55</v>
      </c>
      <c r="E93" s="15">
        <f>'15-august-2026'!T93</f>
        <v>1</v>
      </c>
      <c r="F93" s="15">
        <f>'15-august-2026'!U93</f>
        <v>0</v>
      </c>
      <c r="G93" s="15">
        <f>'15-august-2026'!V93</f>
        <v>0</v>
      </c>
      <c r="H93" s="15">
        <f t="shared" si="20"/>
        <v>1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5">
        <f t="shared" si="21"/>
        <v>1</v>
      </c>
      <c r="T93" s="15">
        <f t="shared" si="22"/>
        <v>1</v>
      </c>
      <c r="U93" s="15">
        <f t="shared" si="23"/>
        <v>0</v>
      </c>
      <c r="V93" s="15">
        <f t="shared" si="24"/>
        <v>0</v>
      </c>
      <c r="W93" s="18" t="str">
        <f t="shared" si="25"/>
        <v/>
      </c>
      <c r="X93" s="17">
        <v>0</v>
      </c>
      <c r="Y93" s="17">
        <v>0</v>
      </c>
      <c r="Z93" s="15">
        <f t="shared" si="26"/>
        <v>0</v>
      </c>
      <c r="AA93" s="17">
        <v>0</v>
      </c>
      <c r="AB93" s="17">
        <v>0</v>
      </c>
      <c r="AC93" s="15">
        <f t="shared" si="27"/>
        <v>0</v>
      </c>
      <c r="AD93" s="17">
        <v>0</v>
      </c>
      <c r="AE93" s="17">
        <v>0</v>
      </c>
      <c r="AF93" s="15">
        <f t="shared" si="28"/>
        <v>0</v>
      </c>
      <c r="AG93" s="17">
        <v>0</v>
      </c>
      <c r="AH93" s="17">
        <v>0</v>
      </c>
      <c r="AI93" s="15">
        <f t="shared" si="29"/>
        <v>0</v>
      </c>
      <c r="AJ93" s="17"/>
    </row>
    <row r="94" spans="1:36" x14ac:dyDescent="0.3">
      <c r="A94" s="15" t="s">
        <v>143</v>
      </c>
      <c r="B94" s="15">
        <v>1000</v>
      </c>
      <c r="C94" s="15" t="s">
        <v>54</v>
      </c>
      <c r="D94" s="15" t="s">
        <v>57</v>
      </c>
      <c r="E94" s="15">
        <f>'15-august-2026'!T94</f>
        <v>1</v>
      </c>
      <c r="F94" s="15">
        <f>'15-august-2026'!U94</f>
        <v>0</v>
      </c>
      <c r="G94" s="15">
        <f>'15-august-2026'!V94</f>
        <v>0</v>
      </c>
      <c r="H94" s="15">
        <f t="shared" si="20"/>
        <v>1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5">
        <f t="shared" si="21"/>
        <v>1</v>
      </c>
      <c r="T94" s="15">
        <f t="shared" si="22"/>
        <v>1</v>
      </c>
      <c r="U94" s="15">
        <f t="shared" si="23"/>
        <v>0</v>
      </c>
      <c r="V94" s="15">
        <f t="shared" si="24"/>
        <v>0</v>
      </c>
      <c r="W94" s="18" t="str">
        <f t="shared" si="25"/>
        <v/>
      </c>
      <c r="X94" s="17">
        <v>0</v>
      </c>
      <c r="Y94" s="17">
        <v>0</v>
      </c>
      <c r="Z94" s="15">
        <f t="shared" si="26"/>
        <v>0</v>
      </c>
      <c r="AA94" s="17">
        <v>0</v>
      </c>
      <c r="AB94" s="17">
        <v>0</v>
      </c>
      <c r="AC94" s="15">
        <f t="shared" si="27"/>
        <v>0</v>
      </c>
      <c r="AD94" s="17">
        <v>0</v>
      </c>
      <c r="AE94" s="17">
        <v>0</v>
      </c>
      <c r="AF94" s="15">
        <f t="shared" si="28"/>
        <v>0</v>
      </c>
      <c r="AG94" s="17">
        <v>0</v>
      </c>
      <c r="AH94" s="17">
        <v>0</v>
      </c>
      <c r="AI94" s="15">
        <f t="shared" si="29"/>
        <v>0</v>
      </c>
      <c r="AJ94" s="17"/>
    </row>
    <row r="95" spans="1:36" x14ac:dyDescent="0.3">
      <c r="A95" s="15" t="s">
        <v>144</v>
      </c>
      <c r="B95" s="15">
        <v>1000</v>
      </c>
      <c r="C95" s="15" t="s">
        <v>54</v>
      </c>
      <c r="D95" s="15" t="s">
        <v>68</v>
      </c>
      <c r="E95" s="15">
        <f>'15-august-2026'!T95</f>
        <v>1</v>
      </c>
      <c r="F95" s="15">
        <f>'15-august-2026'!U95</f>
        <v>0</v>
      </c>
      <c r="G95" s="15">
        <f>'15-august-2026'!V95</f>
        <v>0</v>
      </c>
      <c r="H95" s="15">
        <f t="shared" si="20"/>
        <v>1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5">
        <f t="shared" si="21"/>
        <v>1</v>
      </c>
      <c r="T95" s="15">
        <f t="shared" si="22"/>
        <v>1</v>
      </c>
      <c r="U95" s="15">
        <f t="shared" si="23"/>
        <v>0</v>
      </c>
      <c r="V95" s="15">
        <f t="shared" si="24"/>
        <v>0</v>
      </c>
      <c r="W95" s="18" t="str">
        <f t="shared" si="25"/>
        <v/>
      </c>
      <c r="X95" s="17">
        <v>0</v>
      </c>
      <c r="Y95" s="17">
        <v>0</v>
      </c>
      <c r="Z95" s="15">
        <f t="shared" si="26"/>
        <v>0</v>
      </c>
      <c r="AA95" s="17">
        <v>0</v>
      </c>
      <c r="AB95" s="17">
        <v>0</v>
      </c>
      <c r="AC95" s="15">
        <f t="shared" si="27"/>
        <v>0</v>
      </c>
      <c r="AD95" s="17">
        <v>0</v>
      </c>
      <c r="AE95" s="17">
        <v>0</v>
      </c>
      <c r="AF95" s="15">
        <f t="shared" si="28"/>
        <v>0</v>
      </c>
      <c r="AG95" s="17">
        <v>0</v>
      </c>
      <c r="AH95" s="17">
        <v>0</v>
      </c>
      <c r="AI95" s="15">
        <f t="shared" si="29"/>
        <v>0</v>
      </c>
      <c r="AJ95" s="17"/>
    </row>
    <row r="96" spans="1:36" x14ac:dyDescent="0.3">
      <c r="A96" s="15" t="s">
        <v>145</v>
      </c>
      <c r="B96" s="15">
        <v>1000</v>
      </c>
      <c r="C96" s="15" t="s">
        <v>54</v>
      </c>
      <c r="D96" s="15" t="s">
        <v>68</v>
      </c>
      <c r="E96" s="15">
        <f>'15-august-2026'!T96</f>
        <v>5</v>
      </c>
      <c r="F96" s="15">
        <f>'15-august-2026'!U96</f>
        <v>0</v>
      </c>
      <c r="G96" s="15">
        <f>'15-august-2026'!V96</f>
        <v>0</v>
      </c>
      <c r="H96" s="15">
        <f t="shared" si="20"/>
        <v>5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5">
        <f t="shared" si="21"/>
        <v>5</v>
      </c>
      <c r="T96" s="15">
        <f t="shared" si="22"/>
        <v>5</v>
      </c>
      <c r="U96" s="15">
        <f t="shared" si="23"/>
        <v>0</v>
      </c>
      <c r="V96" s="15">
        <f t="shared" si="24"/>
        <v>0</v>
      </c>
      <c r="W96" s="18" t="str">
        <f t="shared" si="25"/>
        <v/>
      </c>
      <c r="X96" s="17">
        <v>0</v>
      </c>
      <c r="Y96" s="17">
        <v>0</v>
      </c>
      <c r="Z96" s="15">
        <f t="shared" si="26"/>
        <v>0</v>
      </c>
      <c r="AA96" s="17">
        <v>0</v>
      </c>
      <c r="AB96" s="17">
        <v>0</v>
      </c>
      <c r="AC96" s="15">
        <f t="shared" si="27"/>
        <v>0</v>
      </c>
      <c r="AD96" s="17">
        <v>0</v>
      </c>
      <c r="AE96" s="17">
        <v>0</v>
      </c>
      <c r="AF96" s="15">
        <f t="shared" si="28"/>
        <v>0</v>
      </c>
      <c r="AG96" s="17">
        <v>0</v>
      </c>
      <c r="AH96" s="17">
        <v>0</v>
      </c>
      <c r="AI96" s="15">
        <f t="shared" si="29"/>
        <v>0</v>
      </c>
      <c r="AJ96" s="17"/>
    </row>
    <row r="97" spans="1:36" x14ac:dyDescent="0.3">
      <c r="A97" s="15" t="s">
        <v>146</v>
      </c>
      <c r="B97" s="15">
        <v>1000</v>
      </c>
      <c r="C97" s="15" t="s">
        <v>54</v>
      </c>
      <c r="D97" s="15" t="s">
        <v>68</v>
      </c>
      <c r="E97" s="15">
        <f>'15-august-2026'!T97</f>
        <v>1</v>
      </c>
      <c r="F97" s="15">
        <f>'15-august-2026'!U97</f>
        <v>0</v>
      </c>
      <c r="G97" s="15">
        <f>'15-august-2026'!V97</f>
        <v>0</v>
      </c>
      <c r="H97" s="15">
        <f t="shared" si="20"/>
        <v>1</v>
      </c>
      <c r="I97" s="17">
        <v>1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5">
        <f t="shared" si="21"/>
        <v>0</v>
      </c>
      <c r="T97" s="15">
        <f t="shared" si="22"/>
        <v>0</v>
      </c>
      <c r="U97" s="15">
        <f t="shared" si="23"/>
        <v>0</v>
      </c>
      <c r="V97" s="15">
        <f t="shared" si="24"/>
        <v>0</v>
      </c>
      <c r="W97" s="18" t="str">
        <f t="shared" si="25"/>
        <v/>
      </c>
      <c r="X97" s="17">
        <v>0</v>
      </c>
      <c r="Y97" s="17">
        <v>0</v>
      </c>
      <c r="Z97" s="15">
        <f t="shared" si="26"/>
        <v>0</v>
      </c>
      <c r="AA97" s="17">
        <v>0</v>
      </c>
      <c r="AB97" s="17">
        <v>0</v>
      </c>
      <c r="AC97" s="15">
        <f t="shared" si="27"/>
        <v>0</v>
      </c>
      <c r="AD97" s="17">
        <v>0</v>
      </c>
      <c r="AE97" s="17">
        <v>0</v>
      </c>
      <c r="AF97" s="15">
        <f t="shared" si="28"/>
        <v>0</v>
      </c>
      <c r="AG97" s="17">
        <v>0</v>
      </c>
      <c r="AH97" s="17">
        <v>0</v>
      </c>
      <c r="AI97" s="15">
        <f t="shared" si="29"/>
        <v>0</v>
      </c>
      <c r="AJ97" s="17"/>
    </row>
    <row r="98" spans="1:36" x14ac:dyDescent="0.3">
      <c r="A98" s="15" t="s">
        <v>147</v>
      </c>
      <c r="B98" s="15">
        <v>1000</v>
      </c>
      <c r="C98" s="15" t="s">
        <v>54</v>
      </c>
      <c r="D98" s="15" t="s">
        <v>55</v>
      </c>
      <c r="E98" s="15">
        <f>'15-august-2026'!T98</f>
        <v>28</v>
      </c>
      <c r="F98" s="15">
        <f>'15-august-2026'!U98</f>
        <v>0</v>
      </c>
      <c r="G98" s="15">
        <f>'15-august-2026'!V98</f>
        <v>0</v>
      </c>
      <c r="H98" s="15">
        <f t="shared" si="20"/>
        <v>28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5">
        <f t="shared" si="21"/>
        <v>28</v>
      </c>
      <c r="T98" s="15">
        <f t="shared" si="22"/>
        <v>28</v>
      </c>
      <c r="U98" s="15">
        <f t="shared" si="23"/>
        <v>0</v>
      </c>
      <c r="V98" s="15">
        <f t="shared" si="24"/>
        <v>0</v>
      </c>
      <c r="W98" s="18" t="str">
        <f t="shared" si="25"/>
        <v/>
      </c>
      <c r="X98" s="17">
        <v>0</v>
      </c>
      <c r="Y98" s="17">
        <v>0</v>
      </c>
      <c r="Z98" s="15">
        <f t="shared" si="26"/>
        <v>0</v>
      </c>
      <c r="AA98" s="17">
        <v>0</v>
      </c>
      <c r="AB98" s="17">
        <v>0</v>
      </c>
      <c r="AC98" s="15">
        <f t="shared" si="27"/>
        <v>0</v>
      </c>
      <c r="AD98" s="17">
        <v>0</v>
      </c>
      <c r="AE98" s="17">
        <v>0</v>
      </c>
      <c r="AF98" s="15">
        <f t="shared" si="28"/>
        <v>0</v>
      </c>
      <c r="AG98" s="17">
        <v>0</v>
      </c>
      <c r="AH98" s="17">
        <v>0</v>
      </c>
      <c r="AI98" s="15">
        <f t="shared" si="29"/>
        <v>0</v>
      </c>
      <c r="AJ98" s="17"/>
    </row>
    <row r="99" spans="1:36" x14ac:dyDescent="0.3">
      <c r="A99" s="15" t="s">
        <v>148</v>
      </c>
      <c r="B99" s="15">
        <v>100</v>
      </c>
      <c r="C99" s="15" t="s">
        <v>54</v>
      </c>
      <c r="D99" s="15" t="s">
        <v>57</v>
      </c>
      <c r="E99" s="15">
        <f>'15-august-2026'!T99</f>
        <v>2</v>
      </c>
      <c r="F99" s="15">
        <f>'15-august-2026'!U99</f>
        <v>0</v>
      </c>
      <c r="G99" s="15">
        <f>'15-august-2026'!V99</f>
        <v>0</v>
      </c>
      <c r="H99" s="15">
        <f t="shared" ref="H99:H130" si="30">E99+F99+G99</f>
        <v>2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5">
        <f t="shared" ref="S99:S130" si="31">H99+O99+P99+Q99+R99-(I99+J99+K99+L99+M99+N99)</f>
        <v>2</v>
      </c>
      <c r="T99" s="15">
        <f t="shared" ref="T99:T130" si="32">E99+O99-I99-L99</f>
        <v>2</v>
      </c>
      <c r="U99" s="15">
        <f t="shared" ref="U99:U130" si="33">F99+P99-J99-M99</f>
        <v>0</v>
      </c>
      <c r="V99" s="15">
        <f t="shared" ref="V99:V130" si="34">G99+Q99-K99-N99</f>
        <v>0</v>
      </c>
      <c r="W99" s="18" t="str">
        <f t="shared" ref="W99:W130" si="35">IF(MIN(T99,U99,V99)&lt;0,"NEGATIVE STOCK - CHECK ENTRIES","")</f>
        <v/>
      </c>
      <c r="X99" s="17">
        <v>0</v>
      </c>
      <c r="Y99" s="17">
        <v>0</v>
      </c>
      <c r="Z99" s="15">
        <f t="shared" ref="Z99:Z130" si="36">X99-Y99</f>
        <v>0</v>
      </c>
      <c r="AA99" s="17">
        <v>0</v>
      </c>
      <c r="AB99" s="17">
        <v>0</v>
      </c>
      <c r="AC99" s="15">
        <f t="shared" ref="AC99:AC130" si="37">AA99-AB99</f>
        <v>0</v>
      </c>
      <c r="AD99" s="17">
        <v>0</v>
      </c>
      <c r="AE99" s="17">
        <v>0</v>
      </c>
      <c r="AF99" s="15">
        <f t="shared" ref="AF99:AF130" si="38">AD99-AE99</f>
        <v>0</v>
      </c>
      <c r="AG99" s="17">
        <v>0</v>
      </c>
      <c r="AH99" s="17">
        <v>0</v>
      </c>
      <c r="AI99" s="15">
        <f t="shared" ref="AI99:AI130" si="39">AG99-AH99</f>
        <v>0</v>
      </c>
      <c r="AJ99" s="17"/>
    </row>
    <row r="100" spans="1:36" x14ac:dyDescent="0.3">
      <c r="A100" s="15" t="s">
        <v>149</v>
      </c>
      <c r="B100" s="15">
        <v>250</v>
      </c>
      <c r="C100" s="15" t="s">
        <v>54</v>
      </c>
      <c r="D100" s="15" t="s">
        <v>55</v>
      </c>
      <c r="E100" s="15">
        <v>0</v>
      </c>
      <c r="F100" s="15">
        <v>0</v>
      </c>
      <c r="G100" s="15">
        <v>0</v>
      </c>
      <c r="H100" s="15">
        <f t="shared" si="30"/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5">
        <f t="shared" si="31"/>
        <v>0</v>
      </c>
      <c r="T100" s="15">
        <f t="shared" si="32"/>
        <v>0</v>
      </c>
      <c r="U100" s="15">
        <f t="shared" si="33"/>
        <v>0</v>
      </c>
      <c r="V100" s="15">
        <f t="shared" si="34"/>
        <v>0</v>
      </c>
      <c r="W100" s="18" t="str">
        <f t="shared" si="35"/>
        <v/>
      </c>
      <c r="X100" s="17">
        <v>0</v>
      </c>
      <c r="Y100" s="17">
        <v>0</v>
      </c>
      <c r="Z100" s="15">
        <f t="shared" si="36"/>
        <v>0</v>
      </c>
      <c r="AA100" s="17">
        <v>0</v>
      </c>
      <c r="AB100" s="17">
        <v>0</v>
      </c>
      <c r="AC100" s="15">
        <f t="shared" si="37"/>
        <v>0</v>
      </c>
      <c r="AD100" s="17">
        <v>0</v>
      </c>
      <c r="AE100" s="17">
        <v>0</v>
      </c>
      <c r="AF100" s="15">
        <f t="shared" si="38"/>
        <v>0</v>
      </c>
      <c r="AG100" s="17">
        <v>0</v>
      </c>
      <c r="AH100" s="17">
        <v>0</v>
      </c>
      <c r="AI100" s="15">
        <f t="shared" si="39"/>
        <v>0</v>
      </c>
      <c r="AJ100" s="17"/>
    </row>
    <row r="101" spans="1:36" x14ac:dyDescent="0.3">
      <c r="A101" s="15" t="s">
        <v>150</v>
      </c>
      <c r="B101" s="15">
        <v>10000</v>
      </c>
      <c r="C101" s="15" t="s">
        <v>54</v>
      </c>
      <c r="D101" s="15" t="s">
        <v>68</v>
      </c>
      <c r="E101" s="15">
        <f>'15-august-2026'!T101</f>
        <v>1</v>
      </c>
      <c r="F101" s="15">
        <f>'15-august-2026'!U101</f>
        <v>0</v>
      </c>
      <c r="G101" s="15">
        <f>'15-august-2026'!V101</f>
        <v>0</v>
      </c>
      <c r="H101" s="15">
        <f t="shared" si="30"/>
        <v>1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5">
        <f t="shared" si="31"/>
        <v>1</v>
      </c>
      <c r="T101" s="15">
        <f t="shared" si="32"/>
        <v>1</v>
      </c>
      <c r="U101" s="15">
        <f t="shared" si="33"/>
        <v>0</v>
      </c>
      <c r="V101" s="15">
        <f t="shared" si="34"/>
        <v>0</v>
      </c>
      <c r="W101" s="18" t="str">
        <f t="shared" si="35"/>
        <v/>
      </c>
      <c r="X101" s="17">
        <v>0</v>
      </c>
      <c r="Y101" s="17">
        <v>0</v>
      </c>
      <c r="Z101" s="15">
        <f t="shared" si="36"/>
        <v>0</v>
      </c>
      <c r="AA101" s="17">
        <v>0</v>
      </c>
      <c r="AB101" s="17">
        <v>0</v>
      </c>
      <c r="AC101" s="15">
        <f t="shared" si="37"/>
        <v>0</v>
      </c>
      <c r="AD101" s="17">
        <v>0</v>
      </c>
      <c r="AE101" s="17">
        <v>0</v>
      </c>
      <c r="AF101" s="15">
        <f t="shared" si="38"/>
        <v>0</v>
      </c>
      <c r="AG101" s="17">
        <v>0</v>
      </c>
      <c r="AH101" s="17">
        <v>0</v>
      </c>
      <c r="AI101" s="15">
        <f t="shared" si="39"/>
        <v>0</v>
      </c>
      <c r="AJ101" s="17"/>
    </row>
    <row r="102" spans="1:36" x14ac:dyDescent="0.3">
      <c r="A102" s="15" t="s">
        <v>151</v>
      </c>
      <c r="B102" s="15">
        <v>100000</v>
      </c>
      <c r="C102" s="15" t="s">
        <v>54</v>
      </c>
      <c r="D102" s="15" t="s">
        <v>68</v>
      </c>
      <c r="E102" s="15">
        <f>'15-august-2026'!T102</f>
        <v>2</v>
      </c>
      <c r="F102" s="15">
        <f>'15-august-2026'!U102</f>
        <v>0</v>
      </c>
      <c r="G102" s="15">
        <f>'15-august-2026'!V102</f>
        <v>0</v>
      </c>
      <c r="H102" s="15">
        <f t="shared" si="30"/>
        <v>2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5">
        <f t="shared" si="31"/>
        <v>2</v>
      </c>
      <c r="T102" s="15">
        <f t="shared" si="32"/>
        <v>2</v>
      </c>
      <c r="U102" s="15">
        <f t="shared" si="33"/>
        <v>0</v>
      </c>
      <c r="V102" s="15">
        <f t="shared" si="34"/>
        <v>0</v>
      </c>
      <c r="W102" s="18" t="str">
        <f t="shared" si="35"/>
        <v/>
      </c>
      <c r="X102" s="17">
        <v>0</v>
      </c>
      <c r="Y102" s="17">
        <v>0</v>
      </c>
      <c r="Z102" s="15">
        <f t="shared" si="36"/>
        <v>0</v>
      </c>
      <c r="AA102" s="17">
        <v>0</v>
      </c>
      <c r="AB102" s="17">
        <v>0</v>
      </c>
      <c r="AC102" s="15">
        <f t="shared" si="37"/>
        <v>0</v>
      </c>
      <c r="AD102" s="17">
        <v>0</v>
      </c>
      <c r="AE102" s="17">
        <v>0</v>
      </c>
      <c r="AF102" s="15">
        <f t="shared" si="38"/>
        <v>0</v>
      </c>
      <c r="AG102" s="17">
        <v>0</v>
      </c>
      <c r="AH102" s="17">
        <v>0</v>
      </c>
      <c r="AI102" s="15">
        <f t="shared" si="39"/>
        <v>0</v>
      </c>
      <c r="AJ102" s="17"/>
    </row>
    <row r="103" spans="1:36" x14ac:dyDescent="0.3">
      <c r="A103" s="15" t="s">
        <v>152</v>
      </c>
      <c r="B103" s="15">
        <v>500</v>
      </c>
      <c r="C103" s="15" t="s">
        <v>54</v>
      </c>
      <c r="D103" s="15" t="s">
        <v>57</v>
      </c>
      <c r="E103" s="15">
        <f>'15-august-2026'!T103</f>
        <v>1</v>
      </c>
      <c r="F103" s="15">
        <f>'15-august-2026'!U103</f>
        <v>0</v>
      </c>
      <c r="G103" s="15">
        <f>'15-august-2026'!V103</f>
        <v>0</v>
      </c>
      <c r="H103" s="15">
        <f t="shared" si="30"/>
        <v>1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5">
        <f t="shared" si="31"/>
        <v>1</v>
      </c>
      <c r="T103" s="15">
        <f t="shared" si="32"/>
        <v>1</v>
      </c>
      <c r="U103" s="15">
        <f t="shared" si="33"/>
        <v>0</v>
      </c>
      <c r="V103" s="15">
        <f t="shared" si="34"/>
        <v>0</v>
      </c>
      <c r="W103" s="18" t="str">
        <f t="shared" si="35"/>
        <v/>
      </c>
      <c r="X103" s="17">
        <v>0</v>
      </c>
      <c r="Y103" s="17">
        <v>0</v>
      </c>
      <c r="Z103" s="15">
        <f t="shared" si="36"/>
        <v>0</v>
      </c>
      <c r="AA103" s="17">
        <v>0</v>
      </c>
      <c r="AB103" s="17">
        <v>0</v>
      </c>
      <c r="AC103" s="15">
        <f t="shared" si="37"/>
        <v>0</v>
      </c>
      <c r="AD103" s="17">
        <v>0</v>
      </c>
      <c r="AE103" s="17">
        <v>0</v>
      </c>
      <c r="AF103" s="15">
        <f t="shared" si="38"/>
        <v>0</v>
      </c>
      <c r="AG103" s="17">
        <v>0</v>
      </c>
      <c r="AH103" s="17">
        <v>0</v>
      </c>
      <c r="AI103" s="15">
        <f t="shared" si="39"/>
        <v>0</v>
      </c>
      <c r="AJ103" s="17"/>
    </row>
    <row r="104" spans="1:36" x14ac:dyDescent="0.3">
      <c r="A104" s="15" t="s">
        <v>153</v>
      </c>
      <c r="B104" s="15">
        <v>100</v>
      </c>
      <c r="C104" s="15" t="s">
        <v>54</v>
      </c>
      <c r="D104" s="15" t="s">
        <v>68</v>
      </c>
      <c r="E104" s="15">
        <f>'15-august-2026'!T104</f>
        <v>0</v>
      </c>
      <c r="F104" s="15">
        <f>'15-august-2026'!U104</f>
        <v>0</v>
      </c>
      <c r="G104" s="15">
        <f>'15-august-2026'!V104</f>
        <v>0</v>
      </c>
      <c r="H104" s="15">
        <f t="shared" si="30"/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5">
        <f t="shared" si="31"/>
        <v>0</v>
      </c>
      <c r="T104" s="15">
        <f t="shared" si="32"/>
        <v>0</v>
      </c>
      <c r="U104" s="15">
        <f t="shared" si="33"/>
        <v>0</v>
      </c>
      <c r="V104" s="15">
        <f t="shared" si="34"/>
        <v>0</v>
      </c>
      <c r="W104" s="18" t="str">
        <f t="shared" si="35"/>
        <v/>
      </c>
      <c r="X104" s="17">
        <v>0</v>
      </c>
      <c r="Y104" s="17">
        <v>0</v>
      </c>
      <c r="Z104" s="15">
        <f t="shared" si="36"/>
        <v>0</v>
      </c>
      <c r="AA104" s="17">
        <v>0</v>
      </c>
      <c r="AB104" s="17">
        <v>0</v>
      </c>
      <c r="AC104" s="15">
        <f t="shared" si="37"/>
        <v>0</v>
      </c>
      <c r="AD104" s="17">
        <v>0</v>
      </c>
      <c r="AE104" s="17">
        <v>0</v>
      </c>
      <c r="AF104" s="15">
        <f t="shared" si="38"/>
        <v>0</v>
      </c>
      <c r="AG104" s="17">
        <v>0</v>
      </c>
      <c r="AH104" s="17">
        <v>0</v>
      </c>
      <c r="AI104" s="15">
        <f t="shared" si="39"/>
        <v>0</v>
      </c>
      <c r="AJ104" s="17"/>
    </row>
    <row r="105" spans="1:36" x14ac:dyDescent="0.3">
      <c r="A105" s="15" t="s">
        <v>154</v>
      </c>
      <c r="B105" s="15">
        <v>100</v>
      </c>
      <c r="C105" s="15" t="s">
        <v>54</v>
      </c>
      <c r="D105" s="15" t="s">
        <v>55</v>
      </c>
      <c r="E105" s="15">
        <f>'15-august-2026'!T105</f>
        <v>67</v>
      </c>
      <c r="F105" s="15">
        <f>'15-august-2026'!U105</f>
        <v>0</v>
      </c>
      <c r="G105" s="15">
        <f>'15-august-2026'!V105</f>
        <v>0</v>
      </c>
      <c r="H105" s="15">
        <f t="shared" si="30"/>
        <v>67</v>
      </c>
      <c r="I105" s="17">
        <v>11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5">
        <f t="shared" si="31"/>
        <v>56</v>
      </c>
      <c r="T105" s="15">
        <f t="shared" si="32"/>
        <v>56</v>
      </c>
      <c r="U105" s="15">
        <f t="shared" si="33"/>
        <v>0</v>
      </c>
      <c r="V105" s="15">
        <f t="shared" si="34"/>
        <v>0</v>
      </c>
      <c r="W105" s="18" t="str">
        <f t="shared" si="35"/>
        <v/>
      </c>
      <c r="X105" s="17">
        <v>0</v>
      </c>
      <c r="Y105" s="17">
        <v>0</v>
      </c>
      <c r="Z105" s="15">
        <f t="shared" si="36"/>
        <v>0</v>
      </c>
      <c r="AA105" s="17">
        <v>0</v>
      </c>
      <c r="AB105" s="17">
        <v>0</v>
      </c>
      <c r="AC105" s="15">
        <f t="shared" si="37"/>
        <v>0</v>
      </c>
      <c r="AD105" s="17">
        <v>0</v>
      </c>
      <c r="AE105" s="17">
        <v>0</v>
      </c>
      <c r="AF105" s="15">
        <f t="shared" si="38"/>
        <v>0</v>
      </c>
      <c r="AG105" s="17">
        <v>0</v>
      </c>
      <c r="AH105" s="17">
        <v>0</v>
      </c>
      <c r="AI105" s="15">
        <f t="shared" si="39"/>
        <v>0</v>
      </c>
      <c r="AJ105" s="17"/>
    </row>
    <row r="106" spans="1:36" x14ac:dyDescent="0.3">
      <c r="A106" s="15" t="s">
        <v>155</v>
      </c>
      <c r="B106" s="15">
        <v>100</v>
      </c>
      <c r="C106" s="15" t="s">
        <v>54</v>
      </c>
      <c r="D106" s="15" t="s">
        <v>68</v>
      </c>
      <c r="E106" s="15">
        <f>'15-august-2026'!T106</f>
        <v>1</v>
      </c>
      <c r="F106" s="15">
        <f>'15-august-2026'!U106</f>
        <v>0</v>
      </c>
      <c r="G106" s="15">
        <f>'15-august-2026'!V106</f>
        <v>0</v>
      </c>
      <c r="H106" s="15">
        <f t="shared" si="30"/>
        <v>1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5">
        <f t="shared" si="31"/>
        <v>1</v>
      </c>
      <c r="T106" s="15">
        <f t="shared" si="32"/>
        <v>1</v>
      </c>
      <c r="U106" s="15">
        <f t="shared" si="33"/>
        <v>0</v>
      </c>
      <c r="V106" s="15">
        <f t="shared" si="34"/>
        <v>0</v>
      </c>
      <c r="W106" s="18" t="str">
        <f t="shared" si="35"/>
        <v/>
      </c>
      <c r="X106" s="17">
        <v>0</v>
      </c>
      <c r="Y106" s="17">
        <v>0</v>
      </c>
      <c r="Z106" s="15">
        <f t="shared" si="36"/>
        <v>0</v>
      </c>
      <c r="AA106" s="17">
        <v>0</v>
      </c>
      <c r="AB106" s="17">
        <v>0</v>
      </c>
      <c r="AC106" s="15">
        <f t="shared" si="37"/>
        <v>0</v>
      </c>
      <c r="AD106" s="17">
        <v>0</v>
      </c>
      <c r="AE106" s="17">
        <v>0</v>
      </c>
      <c r="AF106" s="15">
        <f t="shared" si="38"/>
        <v>0</v>
      </c>
      <c r="AG106" s="17">
        <v>0</v>
      </c>
      <c r="AH106" s="17">
        <v>0</v>
      </c>
      <c r="AI106" s="15">
        <f t="shared" si="39"/>
        <v>0</v>
      </c>
      <c r="AJ106" s="17"/>
    </row>
    <row r="107" spans="1:36" x14ac:dyDescent="0.3">
      <c r="A107" s="15" t="s">
        <v>156</v>
      </c>
      <c r="B107" s="15">
        <v>2500</v>
      </c>
      <c r="C107" s="15" t="s">
        <v>54</v>
      </c>
      <c r="D107" s="15" t="s">
        <v>68</v>
      </c>
      <c r="E107" s="15">
        <f>'15-august-2026'!T107</f>
        <v>-2</v>
      </c>
      <c r="F107" s="15">
        <f>'15-august-2026'!U107</f>
        <v>0</v>
      </c>
      <c r="G107" s="15">
        <f>'15-august-2026'!V107</f>
        <v>0</v>
      </c>
      <c r="H107" s="15">
        <f t="shared" si="30"/>
        <v>-2</v>
      </c>
      <c r="I107" s="17">
        <v>1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5">
        <f t="shared" si="31"/>
        <v>-3</v>
      </c>
      <c r="T107" s="15">
        <f t="shared" si="32"/>
        <v>-3</v>
      </c>
      <c r="U107" s="15">
        <f t="shared" si="33"/>
        <v>0</v>
      </c>
      <c r="V107" s="15">
        <f t="shared" si="34"/>
        <v>0</v>
      </c>
      <c r="W107" s="18" t="str">
        <f t="shared" si="35"/>
        <v>NEGATIVE STOCK - CHECK ENTRIES</v>
      </c>
      <c r="X107" s="17">
        <v>0</v>
      </c>
      <c r="Y107" s="17">
        <v>0</v>
      </c>
      <c r="Z107" s="15">
        <f t="shared" si="36"/>
        <v>0</v>
      </c>
      <c r="AA107" s="17">
        <v>0</v>
      </c>
      <c r="AB107" s="17">
        <v>0</v>
      </c>
      <c r="AC107" s="15">
        <f t="shared" si="37"/>
        <v>0</v>
      </c>
      <c r="AD107" s="17">
        <v>0</v>
      </c>
      <c r="AE107" s="17">
        <v>0</v>
      </c>
      <c r="AF107" s="15">
        <f t="shared" si="38"/>
        <v>0</v>
      </c>
      <c r="AG107" s="17">
        <v>0</v>
      </c>
      <c r="AH107" s="17">
        <v>0</v>
      </c>
      <c r="AI107" s="15">
        <f t="shared" si="39"/>
        <v>0</v>
      </c>
      <c r="AJ107" s="17"/>
    </row>
    <row r="108" spans="1:36" x14ac:dyDescent="0.3">
      <c r="A108" s="15" t="s">
        <v>157</v>
      </c>
      <c r="B108" s="15">
        <v>100</v>
      </c>
      <c r="C108" s="15" t="s">
        <v>54</v>
      </c>
      <c r="D108" s="15" t="s">
        <v>57</v>
      </c>
      <c r="E108" s="15">
        <f>'15-august-2026'!T108</f>
        <v>2</v>
      </c>
      <c r="F108" s="15">
        <f>'15-august-2026'!U108</f>
        <v>0</v>
      </c>
      <c r="G108" s="15">
        <f>'15-august-2026'!V108</f>
        <v>0</v>
      </c>
      <c r="H108" s="15">
        <f t="shared" si="30"/>
        <v>2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5">
        <f t="shared" si="31"/>
        <v>2</v>
      </c>
      <c r="T108" s="15">
        <f t="shared" si="32"/>
        <v>2</v>
      </c>
      <c r="U108" s="15">
        <f t="shared" si="33"/>
        <v>0</v>
      </c>
      <c r="V108" s="15">
        <f t="shared" si="34"/>
        <v>0</v>
      </c>
      <c r="W108" s="18" t="str">
        <f t="shared" si="35"/>
        <v/>
      </c>
      <c r="X108" s="17">
        <v>0</v>
      </c>
      <c r="Y108" s="17">
        <v>0</v>
      </c>
      <c r="Z108" s="15">
        <f t="shared" si="36"/>
        <v>0</v>
      </c>
      <c r="AA108" s="17">
        <v>0</v>
      </c>
      <c r="AB108" s="17">
        <v>0</v>
      </c>
      <c r="AC108" s="15">
        <f t="shared" si="37"/>
        <v>0</v>
      </c>
      <c r="AD108" s="17">
        <v>0</v>
      </c>
      <c r="AE108" s="17">
        <v>0</v>
      </c>
      <c r="AF108" s="15">
        <f t="shared" si="38"/>
        <v>0</v>
      </c>
      <c r="AG108" s="17">
        <v>0</v>
      </c>
      <c r="AH108" s="17">
        <v>0</v>
      </c>
      <c r="AI108" s="15">
        <f t="shared" si="39"/>
        <v>0</v>
      </c>
      <c r="AJ108" s="17"/>
    </row>
    <row r="109" spans="1:36" x14ac:dyDescent="0.3">
      <c r="A109" s="15" t="s">
        <v>158</v>
      </c>
      <c r="B109" s="15">
        <v>100</v>
      </c>
      <c r="C109" s="15" t="s">
        <v>54</v>
      </c>
      <c r="D109" s="15" t="s">
        <v>55</v>
      </c>
      <c r="E109" s="15">
        <f>'15-august-2026'!T109</f>
        <v>27</v>
      </c>
      <c r="F109" s="15">
        <f>'15-august-2026'!U109</f>
        <v>0</v>
      </c>
      <c r="G109" s="15">
        <f>'15-august-2026'!V109</f>
        <v>0</v>
      </c>
      <c r="H109" s="15">
        <f t="shared" si="30"/>
        <v>27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5">
        <f t="shared" si="31"/>
        <v>27</v>
      </c>
      <c r="T109" s="15">
        <f t="shared" si="32"/>
        <v>27</v>
      </c>
      <c r="U109" s="15">
        <f t="shared" si="33"/>
        <v>0</v>
      </c>
      <c r="V109" s="15">
        <f t="shared" si="34"/>
        <v>0</v>
      </c>
      <c r="W109" s="18" t="str">
        <f t="shared" si="35"/>
        <v/>
      </c>
      <c r="X109" s="17">
        <v>0</v>
      </c>
      <c r="Y109" s="17">
        <v>0</v>
      </c>
      <c r="Z109" s="15">
        <f t="shared" si="36"/>
        <v>0</v>
      </c>
      <c r="AA109" s="17">
        <v>0</v>
      </c>
      <c r="AB109" s="17">
        <v>0</v>
      </c>
      <c r="AC109" s="15">
        <f t="shared" si="37"/>
        <v>0</v>
      </c>
      <c r="AD109" s="17">
        <v>0</v>
      </c>
      <c r="AE109" s="17">
        <v>0</v>
      </c>
      <c r="AF109" s="15">
        <f t="shared" si="38"/>
        <v>0</v>
      </c>
      <c r="AG109" s="17">
        <v>0</v>
      </c>
      <c r="AH109" s="17">
        <v>0</v>
      </c>
      <c r="AI109" s="15">
        <f t="shared" si="39"/>
        <v>0</v>
      </c>
      <c r="AJ109" s="17"/>
    </row>
    <row r="110" spans="1:36" x14ac:dyDescent="0.3">
      <c r="A110" s="15" t="s">
        <v>159</v>
      </c>
      <c r="B110" s="15">
        <v>100</v>
      </c>
      <c r="C110" s="15" t="s">
        <v>54</v>
      </c>
      <c r="D110" s="15" t="s">
        <v>55</v>
      </c>
      <c r="E110" s="15">
        <f>'15-august-2026'!T110</f>
        <v>99</v>
      </c>
      <c r="F110" s="15">
        <f>'15-august-2026'!U110</f>
        <v>0</v>
      </c>
      <c r="G110" s="15">
        <f>'15-august-2026'!V110</f>
        <v>0</v>
      </c>
      <c r="H110" s="15">
        <f t="shared" si="30"/>
        <v>99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5">
        <f t="shared" si="31"/>
        <v>99</v>
      </c>
      <c r="T110" s="15">
        <f t="shared" si="32"/>
        <v>99</v>
      </c>
      <c r="U110" s="15">
        <f t="shared" si="33"/>
        <v>0</v>
      </c>
      <c r="V110" s="15">
        <f t="shared" si="34"/>
        <v>0</v>
      </c>
      <c r="W110" s="18" t="str">
        <f t="shared" si="35"/>
        <v/>
      </c>
      <c r="X110" s="17">
        <v>0</v>
      </c>
      <c r="Y110" s="17">
        <v>0</v>
      </c>
      <c r="Z110" s="15">
        <f t="shared" si="36"/>
        <v>0</v>
      </c>
      <c r="AA110" s="17">
        <v>0</v>
      </c>
      <c r="AB110" s="17">
        <v>0</v>
      </c>
      <c r="AC110" s="15">
        <f t="shared" si="37"/>
        <v>0</v>
      </c>
      <c r="AD110" s="17">
        <v>0</v>
      </c>
      <c r="AE110" s="17">
        <v>0</v>
      </c>
      <c r="AF110" s="15">
        <f t="shared" si="38"/>
        <v>0</v>
      </c>
      <c r="AG110" s="17">
        <v>0</v>
      </c>
      <c r="AH110" s="17">
        <v>0</v>
      </c>
      <c r="AI110" s="15">
        <f t="shared" si="39"/>
        <v>0</v>
      </c>
      <c r="AJ110" s="17"/>
    </row>
    <row r="111" spans="1:36" x14ac:dyDescent="0.3">
      <c r="A111" s="15" t="s">
        <v>160</v>
      </c>
      <c r="B111" s="15">
        <v>100</v>
      </c>
      <c r="C111" s="15" t="s">
        <v>54</v>
      </c>
      <c r="D111" s="15" t="s">
        <v>55</v>
      </c>
      <c r="E111" s="15">
        <f>'15-august-2026'!T111</f>
        <v>116</v>
      </c>
      <c r="F111" s="15">
        <f>'15-august-2026'!U111</f>
        <v>4</v>
      </c>
      <c r="G111" s="15">
        <f>'15-august-2026'!V111</f>
        <v>5</v>
      </c>
      <c r="H111" s="15">
        <f t="shared" si="30"/>
        <v>125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5">
        <f t="shared" si="31"/>
        <v>125</v>
      </c>
      <c r="T111" s="15">
        <f t="shared" si="32"/>
        <v>116</v>
      </c>
      <c r="U111" s="15">
        <f t="shared" si="33"/>
        <v>4</v>
      </c>
      <c r="V111" s="15">
        <f t="shared" si="34"/>
        <v>5</v>
      </c>
      <c r="W111" s="18" t="str">
        <f t="shared" si="35"/>
        <v/>
      </c>
      <c r="X111" s="17">
        <v>0</v>
      </c>
      <c r="Y111" s="17">
        <v>0</v>
      </c>
      <c r="Z111" s="15">
        <f t="shared" si="36"/>
        <v>0</v>
      </c>
      <c r="AA111" s="17">
        <v>0</v>
      </c>
      <c r="AB111" s="17">
        <v>0</v>
      </c>
      <c r="AC111" s="15">
        <f t="shared" si="37"/>
        <v>0</v>
      </c>
      <c r="AD111" s="17">
        <v>0</v>
      </c>
      <c r="AE111" s="17">
        <v>0</v>
      </c>
      <c r="AF111" s="15">
        <f t="shared" si="38"/>
        <v>0</v>
      </c>
      <c r="AG111" s="17">
        <v>0</v>
      </c>
      <c r="AH111" s="17">
        <v>0</v>
      </c>
      <c r="AI111" s="15">
        <f t="shared" si="39"/>
        <v>0</v>
      </c>
      <c r="AJ111" s="17"/>
    </row>
    <row r="112" spans="1:36" x14ac:dyDescent="0.3">
      <c r="A112" s="15" t="s">
        <v>161</v>
      </c>
      <c r="B112" s="15">
        <v>100</v>
      </c>
      <c r="C112" s="15" t="s">
        <v>54</v>
      </c>
      <c r="D112" s="15" t="s">
        <v>55</v>
      </c>
      <c r="E112" s="15">
        <f>'15-august-2026'!T112</f>
        <v>159</v>
      </c>
      <c r="F112" s="15">
        <f>'15-august-2026'!U112</f>
        <v>58</v>
      </c>
      <c r="G112" s="15">
        <f>'15-august-2026'!V112</f>
        <v>3</v>
      </c>
      <c r="H112" s="15">
        <f t="shared" si="30"/>
        <v>220</v>
      </c>
      <c r="I112" s="17">
        <v>0</v>
      </c>
      <c r="J112" s="17">
        <v>0</v>
      </c>
      <c r="K112" s="17">
        <v>0</v>
      </c>
      <c r="L112" s="17">
        <v>30</v>
      </c>
      <c r="M112" s="17">
        <v>0</v>
      </c>
      <c r="N112" s="17">
        <v>0</v>
      </c>
      <c r="O112" s="17">
        <v>38</v>
      </c>
      <c r="P112" s="17">
        <v>0</v>
      </c>
      <c r="Q112" s="17">
        <v>20</v>
      </c>
      <c r="R112" s="17">
        <v>10</v>
      </c>
      <c r="S112" s="15">
        <f t="shared" si="31"/>
        <v>258</v>
      </c>
      <c r="T112" s="15">
        <f t="shared" si="32"/>
        <v>167</v>
      </c>
      <c r="U112" s="15">
        <f t="shared" si="33"/>
        <v>58</v>
      </c>
      <c r="V112" s="15">
        <f t="shared" si="34"/>
        <v>23</v>
      </c>
      <c r="W112" s="18" t="str">
        <f t="shared" si="35"/>
        <v/>
      </c>
      <c r="X112" s="17">
        <v>0</v>
      </c>
      <c r="Y112" s="17">
        <v>0</v>
      </c>
      <c r="Z112" s="15">
        <f t="shared" si="36"/>
        <v>0</v>
      </c>
      <c r="AA112" s="17">
        <v>0</v>
      </c>
      <c r="AB112" s="17">
        <v>0</v>
      </c>
      <c r="AC112" s="15">
        <f t="shared" si="37"/>
        <v>0</v>
      </c>
      <c r="AD112" s="17">
        <v>0</v>
      </c>
      <c r="AE112" s="17">
        <v>0</v>
      </c>
      <c r="AF112" s="15">
        <f t="shared" si="38"/>
        <v>0</v>
      </c>
      <c r="AG112" s="17">
        <v>0</v>
      </c>
      <c r="AH112" s="17">
        <v>0</v>
      </c>
      <c r="AI112" s="15">
        <f t="shared" si="39"/>
        <v>0</v>
      </c>
      <c r="AJ112" s="17"/>
    </row>
    <row r="113" spans="1:36" x14ac:dyDescent="0.3">
      <c r="A113" s="15" t="s">
        <v>162</v>
      </c>
      <c r="B113" s="15">
        <v>1000</v>
      </c>
      <c r="C113" s="15" t="s">
        <v>54</v>
      </c>
      <c r="D113" s="15" t="s">
        <v>55</v>
      </c>
      <c r="E113" s="15">
        <f>'15-august-2026'!T113</f>
        <v>0</v>
      </c>
      <c r="F113" s="15">
        <f>'15-august-2026'!U113</f>
        <v>7</v>
      </c>
      <c r="G113" s="15">
        <f>'15-august-2026'!V113</f>
        <v>0</v>
      </c>
      <c r="H113" s="15">
        <f t="shared" si="30"/>
        <v>7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5">
        <f t="shared" si="31"/>
        <v>7</v>
      </c>
      <c r="T113" s="15">
        <f t="shared" si="32"/>
        <v>0</v>
      </c>
      <c r="U113" s="15">
        <f t="shared" si="33"/>
        <v>7</v>
      </c>
      <c r="V113" s="15">
        <f t="shared" si="34"/>
        <v>0</v>
      </c>
      <c r="W113" s="18" t="str">
        <f t="shared" si="35"/>
        <v/>
      </c>
      <c r="X113" s="17">
        <v>0</v>
      </c>
      <c r="Y113" s="17">
        <v>0</v>
      </c>
      <c r="Z113" s="15">
        <f t="shared" si="36"/>
        <v>0</v>
      </c>
      <c r="AA113" s="17">
        <v>0</v>
      </c>
      <c r="AB113" s="17">
        <v>0</v>
      </c>
      <c r="AC113" s="15">
        <f t="shared" si="37"/>
        <v>0</v>
      </c>
      <c r="AD113" s="17">
        <v>0</v>
      </c>
      <c r="AE113" s="17">
        <v>0</v>
      </c>
      <c r="AF113" s="15">
        <f t="shared" si="38"/>
        <v>0</v>
      </c>
      <c r="AG113" s="17">
        <v>0</v>
      </c>
      <c r="AH113" s="17">
        <v>0</v>
      </c>
      <c r="AI113" s="15">
        <f t="shared" si="39"/>
        <v>0</v>
      </c>
      <c r="AJ113" s="17"/>
    </row>
    <row r="114" spans="1:36" x14ac:dyDescent="0.3">
      <c r="A114" s="15" t="s">
        <v>163</v>
      </c>
      <c r="B114" s="15">
        <v>500</v>
      </c>
      <c r="C114" s="15" t="s">
        <v>54</v>
      </c>
      <c r="D114" s="15" t="s">
        <v>55</v>
      </c>
      <c r="E114" s="15">
        <f>'15-august-2026'!T114</f>
        <v>0</v>
      </c>
      <c r="F114" s="15">
        <f>'15-august-2026'!U114</f>
        <v>2</v>
      </c>
      <c r="G114" s="15">
        <f>'15-august-2026'!V114</f>
        <v>0</v>
      </c>
      <c r="H114" s="15">
        <f t="shared" si="30"/>
        <v>2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5">
        <f t="shared" si="31"/>
        <v>2</v>
      </c>
      <c r="T114" s="15">
        <f t="shared" si="32"/>
        <v>0</v>
      </c>
      <c r="U114" s="15">
        <f t="shared" si="33"/>
        <v>2</v>
      </c>
      <c r="V114" s="15">
        <f t="shared" si="34"/>
        <v>0</v>
      </c>
      <c r="W114" s="18" t="str">
        <f t="shared" si="35"/>
        <v/>
      </c>
      <c r="X114" s="17">
        <v>0</v>
      </c>
      <c r="Y114" s="17">
        <v>0</v>
      </c>
      <c r="Z114" s="15">
        <f t="shared" si="36"/>
        <v>0</v>
      </c>
      <c r="AA114" s="17">
        <v>0</v>
      </c>
      <c r="AB114" s="17">
        <v>0</v>
      </c>
      <c r="AC114" s="15">
        <f t="shared" si="37"/>
        <v>0</v>
      </c>
      <c r="AD114" s="17">
        <v>0</v>
      </c>
      <c r="AE114" s="17">
        <v>0</v>
      </c>
      <c r="AF114" s="15">
        <f t="shared" si="38"/>
        <v>0</v>
      </c>
      <c r="AG114" s="17">
        <v>0</v>
      </c>
      <c r="AH114" s="17">
        <v>0</v>
      </c>
      <c r="AI114" s="15">
        <f t="shared" si="39"/>
        <v>0</v>
      </c>
      <c r="AJ114" s="17"/>
    </row>
    <row r="115" spans="1:36" x14ac:dyDescent="0.3">
      <c r="A115" s="15" t="s">
        <v>164</v>
      </c>
      <c r="B115" s="15">
        <v>100</v>
      </c>
      <c r="C115" s="15" t="s">
        <v>54</v>
      </c>
      <c r="D115" s="15" t="s">
        <v>68</v>
      </c>
      <c r="E115" s="15">
        <f>'15-august-2026'!T115</f>
        <v>2</v>
      </c>
      <c r="F115" s="15">
        <f>'15-august-2026'!U115</f>
        <v>0</v>
      </c>
      <c r="G115" s="15">
        <f>'15-august-2026'!V115</f>
        <v>0</v>
      </c>
      <c r="H115" s="15">
        <f t="shared" si="30"/>
        <v>2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5">
        <f t="shared" si="31"/>
        <v>2</v>
      </c>
      <c r="T115" s="15">
        <f t="shared" si="32"/>
        <v>2</v>
      </c>
      <c r="U115" s="15">
        <f t="shared" si="33"/>
        <v>0</v>
      </c>
      <c r="V115" s="15">
        <f t="shared" si="34"/>
        <v>0</v>
      </c>
      <c r="W115" s="18" t="str">
        <f t="shared" si="35"/>
        <v/>
      </c>
      <c r="X115" s="17">
        <v>0</v>
      </c>
      <c r="Y115" s="17">
        <v>0</v>
      </c>
      <c r="Z115" s="15">
        <f t="shared" si="36"/>
        <v>0</v>
      </c>
      <c r="AA115" s="17">
        <v>0</v>
      </c>
      <c r="AB115" s="17">
        <v>0</v>
      </c>
      <c r="AC115" s="15">
        <f t="shared" si="37"/>
        <v>0</v>
      </c>
      <c r="AD115" s="17">
        <v>0</v>
      </c>
      <c r="AE115" s="17">
        <v>0</v>
      </c>
      <c r="AF115" s="15">
        <f t="shared" si="38"/>
        <v>0</v>
      </c>
      <c r="AG115" s="17">
        <v>0</v>
      </c>
      <c r="AH115" s="17">
        <v>0</v>
      </c>
      <c r="AI115" s="15">
        <f t="shared" si="39"/>
        <v>0</v>
      </c>
      <c r="AJ115" s="17"/>
    </row>
    <row r="116" spans="1:36" x14ac:dyDescent="0.3">
      <c r="A116" s="15" t="s">
        <v>165</v>
      </c>
      <c r="B116" s="15">
        <v>100000</v>
      </c>
      <c r="C116" s="15" t="s">
        <v>54</v>
      </c>
      <c r="D116" s="15" t="s">
        <v>68</v>
      </c>
      <c r="E116" s="15">
        <f>'15-august-2026'!T116</f>
        <v>2</v>
      </c>
      <c r="F116" s="15">
        <f>'15-august-2026'!U116</f>
        <v>0</v>
      </c>
      <c r="G116" s="15">
        <f>'15-august-2026'!V116</f>
        <v>0</v>
      </c>
      <c r="H116" s="15">
        <f t="shared" si="30"/>
        <v>2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5">
        <f t="shared" si="31"/>
        <v>2</v>
      </c>
      <c r="T116" s="15">
        <f t="shared" si="32"/>
        <v>2</v>
      </c>
      <c r="U116" s="15">
        <f t="shared" si="33"/>
        <v>0</v>
      </c>
      <c r="V116" s="15">
        <f t="shared" si="34"/>
        <v>0</v>
      </c>
      <c r="W116" s="18" t="str">
        <f t="shared" si="35"/>
        <v/>
      </c>
      <c r="X116" s="17">
        <v>0</v>
      </c>
      <c r="Y116" s="17">
        <v>0</v>
      </c>
      <c r="Z116" s="15">
        <f t="shared" si="36"/>
        <v>0</v>
      </c>
      <c r="AA116" s="17">
        <v>0</v>
      </c>
      <c r="AB116" s="17">
        <v>0</v>
      </c>
      <c r="AC116" s="15">
        <f t="shared" si="37"/>
        <v>0</v>
      </c>
      <c r="AD116" s="17">
        <v>0</v>
      </c>
      <c r="AE116" s="17">
        <v>0</v>
      </c>
      <c r="AF116" s="15">
        <f t="shared" si="38"/>
        <v>0</v>
      </c>
      <c r="AG116" s="17">
        <v>0</v>
      </c>
      <c r="AH116" s="17">
        <v>0</v>
      </c>
      <c r="AI116" s="15">
        <f t="shared" si="39"/>
        <v>0</v>
      </c>
      <c r="AJ116" s="17"/>
    </row>
    <row r="117" spans="1:36" x14ac:dyDescent="0.3">
      <c r="A117" s="15" t="s">
        <v>165</v>
      </c>
      <c r="B117" s="15">
        <v>25000</v>
      </c>
      <c r="C117" s="15" t="s">
        <v>54</v>
      </c>
      <c r="D117" s="15" t="s">
        <v>68</v>
      </c>
      <c r="E117" s="15">
        <f>'15-august-2026'!T117</f>
        <v>-2</v>
      </c>
      <c r="F117" s="15">
        <f>'15-august-2026'!U117</f>
        <v>0</v>
      </c>
      <c r="G117" s="15">
        <f>'15-august-2026'!V117</f>
        <v>0</v>
      </c>
      <c r="H117" s="15">
        <f t="shared" si="30"/>
        <v>-2</v>
      </c>
      <c r="I117" s="17">
        <v>1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5">
        <f t="shared" si="31"/>
        <v>-3</v>
      </c>
      <c r="T117" s="15">
        <f t="shared" si="32"/>
        <v>-3</v>
      </c>
      <c r="U117" s="15">
        <f t="shared" si="33"/>
        <v>0</v>
      </c>
      <c r="V117" s="15">
        <f t="shared" si="34"/>
        <v>0</v>
      </c>
      <c r="W117" s="18" t="str">
        <f t="shared" si="35"/>
        <v>NEGATIVE STOCK - CHECK ENTRIES</v>
      </c>
      <c r="X117" s="17">
        <v>0</v>
      </c>
      <c r="Y117" s="17">
        <v>0</v>
      </c>
      <c r="Z117" s="15">
        <f t="shared" si="36"/>
        <v>0</v>
      </c>
      <c r="AA117" s="17">
        <v>0</v>
      </c>
      <c r="AB117" s="17">
        <v>0</v>
      </c>
      <c r="AC117" s="15">
        <f t="shared" si="37"/>
        <v>0</v>
      </c>
      <c r="AD117" s="17">
        <v>0</v>
      </c>
      <c r="AE117" s="17">
        <v>0</v>
      </c>
      <c r="AF117" s="15">
        <f t="shared" si="38"/>
        <v>0</v>
      </c>
      <c r="AG117" s="17">
        <v>0</v>
      </c>
      <c r="AH117" s="17">
        <v>0</v>
      </c>
      <c r="AI117" s="15">
        <f t="shared" si="39"/>
        <v>0</v>
      </c>
      <c r="AJ117" s="17"/>
    </row>
    <row r="118" spans="1:36" x14ac:dyDescent="0.3">
      <c r="A118" s="15" t="s">
        <v>166</v>
      </c>
      <c r="B118" s="15">
        <v>100000</v>
      </c>
      <c r="C118" s="15" t="s">
        <v>54</v>
      </c>
      <c r="D118" s="15" t="s">
        <v>68</v>
      </c>
      <c r="E118" s="15">
        <f>'15-august-2026'!T118</f>
        <v>2</v>
      </c>
      <c r="F118" s="15">
        <f>'15-august-2026'!U118</f>
        <v>0</v>
      </c>
      <c r="G118" s="15">
        <f>'15-august-2026'!V118</f>
        <v>0</v>
      </c>
      <c r="H118" s="15">
        <f t="shared" si="30"/>
        <v>2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5">
        <f t="shared" si="31"/>
        <v>2</v>
      </c>
      <c r="T118" s="15">
        <f t="shared" si="32"/>
        <v>2</v>
      </c>
      <c r="U118" s="15">
        <f t="shared" si="33"/>
        <v>0</v>
      </c>
      <c r="V118" s="15">
        <f t="shared" si="34"/>
        <v>0</v>
      </c>
      <c r="W118" s="18" t="str">
        <f t="shared" si="35"/>
        <v/>
      </c>
      <c r="X118" s="17">
        <v>0</v>
      </c>
      <c r="Y118" s="17">
        <v>0</v>
      </c>
      <c r="Z118" s="15">
        <f t="shared" si="36"/>
        <v>0</v>
      </c>
      <c r="AA118" s="17">
        <v>0</v>
      </c>
      <c r="AB118" s="17">
        <v>0</v>
      </c>
      <c r="AC118" s="15">
        <f t="shared" si="37"/>
        <v>0</v>
      </c>
      <c r="AD118" s="17">
        <v>0</v>
      </c>
      <c r="AE118" s="17">
        <v>0</v>
      </c>
      <c r="AF118" s="15">
        <f t="shared" si="38"/>
        <v>0</v>
      </c>
      <c r="AG118" s="17">
        <v>0</v>
      </c>
      <c r="AH118" s="17">
        <v>0</v>
      </c>
      <c r="AI118" s="15">
        <f t="shared" si="39"/>
        <v>0</v>
      </c>
      <c r="AJ118" s="17"/>
    </row>
    <row r="119" spans="1:36" x14ac:dyDescent="0.3">
      <c r="A119" s="15" t="s">
        <v>167</v>
      </c>
      <c r="B119" s="15">
        <v>100</v>
      </c>
      <c r="C119" s="15" t="s">
        <v>54</v>
      </c>
      <c r="D119" s="15" t="s">
        <v>55</v>
      </c>
      <c r="E119" s="15">
        <f>'15-august-2026'!T119</f>
        <v>94</v>
      </c>
      <c r="F119" s="15">
        <f>'15-august-2026'!U119</f>
        <v>0</v>
      </c>
      <c r="G119" s="15">
        <f>'15-august-2026'!V119</f>
        <v>5</v>
      </c>
      <c r="H119" s="15">
        <f t="shared" si="30"/>
        <v>99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5">
        <f t="shared" si="31"/>
        <v>99</v>
      </c>
      <c r="T119" s="15">
        <f t="shared" si="32"/>
        <v>94</v>
      </c>
      <c r="U119" s="15">
        <f t="shared" si="33"/>
        <v>0</v>
      </c>
      <c r="V119" s="15">
        <f t="shared" si="34"/>
        <v>5</v>
      </c>
      <c r="W119" s="18" t="str">
        <f t="shared" si="35"/>
        <v/>
      </c>
      <c r="X119" s="17">
        <v>0</v>
      </c>
      <c r="Y119" s="17">
        <v>0</v>
      </c>
      <c r="Z119" s="15">
        <f t="shared" si="36"/>
        <v>0</v>
      </c>
      <c r="AA119" s="17">
        <v>0</v>
      </c>
      <c r="AB119" s="17">
        <v>0</v>
      </c>
      <c r="AC119" s="15">
        <f t="shared" si="37"/>
        <v>0</v>
      </c>
      <c r="AD119" s="17">
        <v>0</v>
      </c>
      <c r="AE119" s="17">
        <v>0</v>
      </c>
      <c r="AF119" s="15">
        <f t="shared" si="38"/>
        <v>0</v>
      </c>
      <c r="AG119" s="17">
        <v>0</v>
      </c>
      <c r="AH119" s="17">
        <v>0</v>
      </c>
      <c r="AI119" s="15">
        <f t="shared" si="39"/>
        <v>0</v>
      </c>
      <c r="AJ119" s="17"/>
    </row>
    <row r="120" spans="1:36" x14ac:dyDescent="0.3">
      <c r="A120" s="15" t="s">
        <v>168</v>
      </c>
      <c r="B120" s="15">
        <v>100</v>
      </c>
      <c r="C120" s="15" t="s">
        <v>54</v>
      </c>
      <c r="D120" s="15" t="s">
        <v>68</v>
      </c>
      <c r="E120" s="15">
        <f>'15-august-2026'!T120</f>
        <v>1</v>
      </c>
      <c r="F120" s="15">
        <f>'15-august-2026'!U120</f>
        <v>0</v>
      </c>
      <c r="G120" s="15">
        <f>'15-august-2026'!V120</f>
        <v>0</v>
      </c>
      <c r="H120" s="15">
        <f t="shared" si="30"/>
        <v>1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5">
        <f t="shared" si="31"/>
        <v>1</v>
      </c>
      <c r="T120" s="15">
        <f t="shared" si="32"/>
        <v>1</v>
      </c>
      <c r="U120" s="15">
        <f t="shared" si="33"/>
        <v>0</v>
      </c>
      <c r="V120" s="15">
        <f t="shared" si="34"/>
        <v>0</v>
      </c>
      <c r="W120" s="18" t="str">
        <f t="shared" si="35"/>
        <v/>
      </c>
      <c r="X120" s="17">
        <v>0</v>
      </c>
      <c r="Y120" s="17">
        <v>0</v>
      </c>
      <c r="Z120" s="15">
        <f t="shared" si="36"/>
        <v>0</v>
      </c>
      <c r="AA120" s="17">
        <v>0</v>
      </c>
      <c r="AB120" s="17">
        <v>0</v>
      </c>
      <c r="AC120" s="15">
        <f t="shared" si="37"/>
        <v>0</v>
      </c>
      <c r="AD120" s="17">
        <v>0</v>
      </c>
      <c r="AE120" s="17">
        <v>0</v>
      </c>
      <c r="AF120" s="15">
        <f t="shared" si="38"/>
        <v>0</v>
      </c>
      <c r="AG120" s="17">
        <v>0</v>
      </c>
      <c r="AH120" s="17">
        <v>0</v>
      </c>
      <c r="AI120" s="15">
        <f t="shared" si="39"/>
        <v>0</v>
      </c>
      <c r="AJ120" s="17"/>
    </row>
    <row r="121" spans="1:36" x14ac:dyDescent="0.3">
      <c r="A121" s="15" t="s">
        <v>169</v>
      </c>
      <c r="B121" s="15">
        <v>1000</v>
      </c>
      <c r="C121" s="15" t="s">
        <v>54</v>
      </c>
      <c r="D121" s="15" t="s">
        <v>68</v>
      </c>
      <c r="E121" s="15">
        <f>'15-august-2026'!T121</f>
        <v>2</v>
      </c>
      <c r="F121" s="15">
        <f>'15-august-2026'!U121</f>
        <v>0</v>
      </c>
      <c r="G121" s="15">
        <f>'15-august-2026'!V121</f>
        <v>0</v>
      </c>
      <c r="H121" s="15">
        <f t="shared" si="30"/>
        <v>2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5">
        <f t="shared" si="31"/>
        <v>2</v>
      </c>
      <c r="T121" s="15">
        <f t="shared" si="32"/>
        <v>2</v>
      </c>
      <c r="U121" s="15">
        <f t="shared" si="33"/>
        <v>0</v>
      </c>
      <c r="V121" s="15">
        <f t="shared" si="34"/>
        <v>0</v>
      </c>
      <c r="W121" s="18" t="str">
        <f t="shared" si="35"/>
        <v/>
      </c>
      <c r="X121" s="17">
        <v>0</v>
      </c>
      <c r="Y121" s="17">
        <v>0</v>
      </c>
      <c r="Z121" s="15">
        <f t="shared" si="36"/>
        <v>0</v>
      </c>
      <c r="AA121" s="17">
        <v>0</v>
      </c>
      <c r="AB121" s="17">
        <v>0</v>
      </c>
      <c r="AC121" s="15">
        <f t="shared" si="37"/>
        <v>0</v>
      </c>
      <c r="AD121" s="17">
        <v>0</v>
      </c>
      <c r="AE121" s="17">
        <v>0</v>
      </c>
      <c r="AF121" s="15">
        <f t="shared" si="38"/>
        <v>0</v>
      </c>
      <c r="AG121" s="17">
        <v>0</v>
      </c>
      <c r="AH121" s="17">
        <v>0</v>
      </c>
      <c r="AI121" s="15">
        <f t="shared" si="39"/>
        <v>0</v>
      </c>
      <c r="AJ121" s="17"/>
    </row>
    <row r="122" spans="1:36" x14ac:dyDescent="0.3">
      <c r="A122" s="15" t="s">
        <v>170</v>
      </c>
      <c r="B122" s="15">
        <v>1000</v>
      </c>
      <c r="C122" s="15" t="s">
        <v>54</v>
      </c>
      <c r="D122" s="15" t="s">
        <v>55</v>
      </c>
      <c r="E122" s="15">
        <f>'15-august-2026'!T122</f>
        <v>35</v>
      </c>
      <c r="F122" s="15">
        <f>'15-august-2026'!U122</f>
        <v>0</v>
      </c>
      <c r="G122" s="15">
        <f>'15-august-2026'!V122</f>
        <v>2</v>
      </c>
      <c r="H122" s="15">
        <f t="shared" si="30"/>
        <v>37</v>
      </c>
      <c r="I122" s="17">
        <v>0</v>
      </c>
      <c r="J122" s="17">
        <v>0</v>
      </c>
      <c r="K122" s="17">
        <v>0</v>
      </c>
      <c r="L122" s="17">
        <v>15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5">
        <f t="shared" si="31"/>
        <v>22</v>
      </c>
      <c r="T122" s="15">
        <f t="shared" si="32"/>
        <v>20</v>
      </c>
      <c r="U122" s="15">
        <f t="shared" si="33"/>
        <v>0</v>
      </c>
      <c r="V122" s="15">
        <f t="shared" si="34"/>
        <v>2</v>
      </c>
      <c r="W122" s="18" t="str">
        <f t="shared" si="35"/>
        <v/>
      </c>
      <c r="X122" s="17">
        <v>0</v>
      </c>
      <c r="Y122" s="17">
        <v>0</v>
      </c>
      <c r="Z122" s="15">
        <f t="shared" si="36"/>
        <v>0</v>
      </c>
      <c r="AA122" s="17">
        <v>0</v>
      </c>
      <c r="AB122" s="17">
        <v>0</v>
      </c>
      <c r="AC122" s="15">
        <f t="shared" si="37"/>
        <v>0</v>
      </c>
      <c r="AD122" s="17">
        <v>0</v>
      </c>
      <c r="AE122" s="17">
        <v>0</v>
      </c>
      <c r="AF122" s="15">
        <f t="shared" si="38"/>
        <v>0</v>
      </c>
      <c r="AG122" s="17">
        <v>0</v>
      </c>
      <c r="AH122" s="17">
        <v>0</v>
      </c>
      <c r="AI122" s="15">
        <f t="shared" si="39"/>
        <v>0</v>
      </c>
      <c r="AJ122" s="17"/>
    </row>
    <row r="123" spans="1:36" x14ac:dyDescent="0.3">
      <c r="A123" s="15" t="s">
        <v>171</v>
      </c>
      <c r="B123" s="15">
        <v>1000</v>
      </c>
      <c r="C123" s="15" t="s">
        <v>54</v>
      </c>
      <c r="D123" s="15" t="s">
        <v>55</v>
      </c>
      <c r="E123" s="15">
        <f>'15-august-2026'!T123</f>
        <v>4</v>
      </c>
      <c r="F123" s="15">
        <f>'15-august-2026'!U123</f>
        <v>2</v>
      </c>
      <c r="G123" s="15">
        <f>'15-august-2026'!V123</f>
        <v>2</v>
      </c>
      <c r="H123" s="15">
        <f t="shared" si="30"/>
        <v>8</v>
      </c>
      <c r="I123" s="17">
        <v>0</v>
      </c>
      <c r="J123" s="17">
        <v>0</v>
      </c>
      <c r="K123" s="17">
        <v>0</v>
      </c>
      <c r="L123" s="17">
        <v>4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5">
        <f t="shared" si="31"/>
        <v>4</v>
      </c>
      <c r="T123" s="15">
        <f t="shared" si="32"/>
        <v>0</v>
      </c>
      <c r="U123" s="15">
        <f t="shared" si="33"/>
        <v>2</v>
      </c>
      <c r="V123" s="15">
        <f t="shared" si="34"/>
        <v>2</v>
      </c>
      <c r="W123" s="18" t="str">
        <f t="shared" si="35"/>
        <v/>
      </c>
      <c r="X123" s="17">
        <v>0</v>
      </c>
      <c r="Y123" s="17">
        <v>0</v>
      </c>
      <c r="Z123" s="15">
        <f t="shared" si="36"/>
        <v>0</v>
      </c>
      <c r="AA123" s="17">
        <v>0</v>
      </c>
      <c r="AB123" s="17">
        <v>0</v>
      </c>
      <c r="AC123" s="15">
        <f t="shared" si="37"/>
        <v>0</v>
      </c>
      <c r="AD123" s="17">
        <v>0</v>
      </c>
      <c r="AE123" s="17">
        <v>0</v>
      </c>
      <c r="AF123" s="15">
        <f t="shared" si="38"/>
        <v>0</v>
      </c>
      <c r="AG123" s="17">
        <v>0</v>
      </c>
      <c r="AH123" s="17">
        <v>0</v>
      </c>
      <c r="AI123" s="15">
        <f t="shared" si="39"/>
        <v>0</v>
      </c>
      <c r="AJ123" s="17"/>
    </row>
    <row r="124" spans="1:36" x14ac:dyDescent="0.3">
      <c r="A124" s="15" t="s">
        <v>172</v>
      </c>
      <c r="B124" s="15">
        <v>100</v>
      </c>
      <c r="C124" s="15" t="s">
        <v>54</v>
      </c>
      <c r="D124" s="15" t="s">
        <v>68</v>
      </c>
      <c r="E124" s="15">
        <f>'15-august-2026'!T124</f>
        <v>10</v>
      </c>
      <c r="F124" s="15">
        <f>'15-august-2026'!U124</f>
        <v>0</v>
      </c>
      <c r="G124" s="15">
        <f>'15-august-2026'!V124</f>
        <v>0</v>
      </c>
      <c r="H124" s="15">
        <f t="shared" si="30"/>
        <v>10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5">
        <f t="shared" si="31"/>
        <v>10</v>
      </c>
      <c r="T124" s="15">
        <f t="shared" si="32"/>
        <v>10</v>
      </c>
      <c r="U124" s="15">
        <f t="shared" si="33"/>
        <v>0</v>
      </c>
      <c r="V124" s="15">
        <f t="shared" si="34"/>
        <v>0</v>
      </c>
      <c r="W124" s="18" t="str">
        <f t="shared" si="35"/>
        <v/>
      </c>
      <c r="X124" s="17">
        <v>0</v>
      </c>
      <c r="Y124" s="17">
        <v>0</v>
      </c>
      <c r="Z124" s="15">
        <f t="shared" si="36"/>
        <v>0</v>
      </c>
      <c r="AA124" s="17">
        <v>0</v>
      </c>
      <c r="AB124" s="17">
        <v>0</v>
      </c>
      <c r="AC124" s="15">
        <f t="shared" si="37"/>
        <v>0</v>
      </c>
      <c r="AD124" s="17">
        <v>0</v>
      </c>
      <c r="AE124" s="17">
        <v>0</v>
      </c>
      <c r="AF124" s="15">
        <f t="shared" si="38"/>
        <v>0</v>
      </c>
      <c r="AG124" s="17">
        <v>0</v>
      </c>
      <c r="AH124" s="17">
        <v>0</v>
      </c>
      <c r="AI124" s="15">
        <f t="shared" si="39"/>
        <v>0</v>
      </c>
      <c r="AJ124" s="17"/>
    </row>
    <row r="125" spans="1:36" x14ac:dyDescent="0.3">
      <c r="A125" s="15" t="s">
        <v>173</v>
      </c>
      <c r="B125" s="15">
        <v>100</v>
      </c>
      <c r="C125" s="15" t="s">
        <v>54</v>
      </c>
      <c r="D125" s="15" t="s">
        <v>68</v>
      </c>
      <c r="E125" s="15">
        <f>'15-august-2026'!T125</f>
        <v>5</v>
      </c>
      <c r="F125" s="15">
        <f>'15-august-2026'!U125</f>
        <v>0</v>
      </c>
      <c r="G125" s="15">
        <f>'15-august-2026'!V125</f>
        <v>0</v>
      </c>
      <c r="H125" s="15">
        <f t="shared" si="30"/>
        <v>5</v>
      </c>
      <c r="I125" s="17">
        <v>1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5">
        <f t="shared" si="31"/>
        <v>4</v>
      </c>
      <c r="T125" s="15">
        <f t="shared" si="32"/>
        <v>4</v>
      </c>
      <c r="U125" s="15">
        <f t="shared" si="33"/>
        <v>0</v>
      </c>
      <c r="V125" s="15">
        <f t="shared" si="34"/>
        <v>0</v>
      </c>
      <c r="W125" s="18" t="str">
        <f t="shared" si="35"/>
        <v/>
      </c>
      <c r="X125" s="17">
        <v>0</v>
      </c>
      <c r="Y125" s="17">
        <v>0</v>
      </c>
      <c r="Z125" s="15">
        <f t="shared" si="36"/>
        <v>0</v>
      </c>
      <c r="AA125" s="17">
        <v>0</v>
      </c>
      <c r="AB125" s="17">
        <v>0</v>
      </c>
      <c r="AC125" s="15">
        <f t="shared" si="37"/>
        <v>0</v>
      </c>
      <c r="AD125" s="17">
        <v>0</v>
      </c>
      <c r="AE125" s="17">
        <v>0</v>
      </c>
      <c r="AF125" s="15">
        <f t="shared" si="38"/>
        <v>0</v>
      </c>
      <c r="AG125" s="17">
        <v>0</v>
      </c>
      <c r="AH125" s="17">
        <v>0</v>
      </c>
      <c r="AI125" s="15">
        <f t="shared" si="39"/>
        <v>0</v>
      </c>
      <c r="AJ125" s="17"/>
    </row>
    <row r="126" spans="1:36" x14ac:dyDescent="0.3">
      <c r="A126" s="15" t="s">
        <v>174</v>
      </c>
      <c r="B126" s="15">
        <v>100</v>
      </c>
      <c r="C126" s="15" t="s">
        <v>54</v>
      </c>
      <c r="D126" s="15" t="s">
        <v>68</v>
      </c>
      <c r="E126" s="15">
        <f>'15-august-2026'!T126</f>
        <v>4</v>
      </c>
      <c r="F126" s="15">
        <f>'15-august-2026'!U126</f>
        <v>0</v>
      </c>
      <c r="G126" s="15">
        <f>'15-august-2026'!V126</f>
        <v>0</v>
      </c>
      <c r="H126" s="15">
        <f t="shared" si="30"/>
        <v>4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5">
        <f t="shared" si="31"/>
        <v>4</v>
      </c>
      <c r="T126" s="15">
        <f t="shared" si="32"/>
        <v>4</v>
      </c>
      <c r="U126" s="15">
        <f t="shared" si="33"/>
        <v>0</v>
      </c>
      <c r="V126" s="15">
        <f t="shared" si="34"/>
        <v>0</v>
      </c>
      <c r="W126" s="18" t="str">
        <f t="shared" si="35"/>
        <v/>
      </c>
      <c r="X126" s="17">
        <v>0</v>
      </c>
      <c r="Y126" s="17">
        <v>0</v>
      </c>
      <c r="Z126" s="15">
        <f t="shared" si="36"/>
        <v>0</v>
      </c>
      <c r="AA126" s="17">
        <v>0</v>
      </c>
      <c r="AB126" s="17">
        <v>0</v>
      </c>
      <c r="AC126" s="15">
        <f t="shared" si="37"/>
        <v>0</v>
      </c>
      <c r="AD126" s="17">
        <v>0</v>
      </c>
      <c r="AE126" s="17">
        <v>0</v>
      </c>
      <c r="AF126" s="15">
        <f t="shared" si="38"/>
        <v>0</v>
      </c>
      <c r="AG126" s="17">
        <v>0</v>
      </c>
      <c r="AH126" s="17">
        <v>0</v>
      </c>
      <c r="AI126" s="15">
        <f t="shared" si="39"/>
        <v>0</v>
      </c>
      <c r="AJ126" s="17"/>
    </row>
    <row r="127" spans="1:36" x14ac:dyDescent="0.3">
      <c r="A127" s="15" t="s">
        <v>175</v>
      </c>
      <c r="B127" s="15">
        <v>100</v>
      </c>
      <c r="C127" s="15" t="s">
        <v>54</v>
      </c>
      <c r="D127" s="15" t="s">
        <v>57</v>
      </c>
      <c r="E127" s="15">
        <f>'15-august-2026'!T127</f>
        <v>4</v>
      </c>
      <c r="F127" s="15">
        <f>'15-august-2026'!U127</f>
        <v>0</v>
      </c>
      <c r="G127" s="15">
        <f>'15-august-2026'!V127</f>
        <v>0</v>
      </c>
      <c r="H127" s="15">
        <f t="shared" si="30"/>
        <v>4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5">
        <f t="shared" si="31"/>
        <v>4</v>
      </c>
      <c r="T127" s="15">
        <f t="shared" si="32"/>
        <v>4</v>
      </c>
      <c r="U127" s="15">
        <f t="shared" si="33"/>
        <v>0</v>
      </c>
      <c r="V127" s="15">
        <f t="shared" si="34"/>
        <v>0</v>
      </c>
      <c r="W127" s="18" t="str">
        <f t="shared" si="35"/>
        <v/>
      </c>
      <c r="X127" s="17">
        <v>0</v>
      </c>
      <c r="Y127" s="17">
        <v>0</v>
      </c>
      <c r="Z127" s="15">
        <f t="shared" si="36"/>
        <v>0</v>
      </c>
      <c r="AA127" s="17">
        <v>0</v>
      </c>
      <c r="AB127" s="17">
        <v>0</v>
      </c>
      <c r="AC127" s="15">
        <f t="shared" si="37"/>
        <v>0</v>
      </c>
      <c r="AD127" s="17">
        <v>0</v>
      </c>
      <c r="AE127" s="17">
        <v>0</v>
      </c>
      <c r="AF127" s="15">
        <f t="shared" si="38"/>
        <v>0</v>
      </c>
      <c r="AG127" s="17">
        <v>0</v>
      </c>
      <c r="AH127" s="17">
        <v>0</v>
      </c>
      <c r="AI127" s="15">
        <f t="shared" si="39"/>
        <v>0</v>
      </c>
      <c r="AJ127" s="17"/>
    </row>
    <row r="128" spans="1:36" x14ac:dyDescent="0.3">
      <c r="A128" s="15" t="s">
        <v>176</v>
      </c>
      <c r="B128" s="15" t="s">
        <v>177</v>
      </c>
      <c r="C128" s="15" t="s">
        <v>178</v>
      </c>
      <c r="D128" s="15" t="s">
        <v>55</v>
      </c>
      <c r="E128" s="15">
        <v>0</v>
      </c>
      <c r="F128" s="15">
        <v>0</v>
      </c>
      <c r="G128" s="15">
        <v>0</v>
      </c>
      <c r="H128" s="15">
        <f t="shared" si="30"/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5">
        <f t="shared" si="31"/>
        <v>0</v>
      </c>
      <c r="T128" s="15">
        <f t="shared" si="32"/>
        <v>0</v>
      </c>
      <c r="U128" s="15">
        <f t="shared" si="33"/>
        <v>0</v>
      </c>
      <c r="V128" s="15">
        <f t="shared" si="34"/>
        <v>0</v>
      </c>
      <c r="W128" s="18" t="str">
        <f t="shared" si="35"/>
        <v/>
      </c>
      <c r="X128" s="17">
        <v>0</v>
      </c>
      <c r="Y128" s="17">
        <v>0</v>
      </c>
      <c r="Z128" s="15">
        <f t="shared" si="36"/>
        <v>0</v>
      </c>
      <c r="AA128" s="17">
        <v>0</v>
      </c>
      <c r="AB128" s="17">
        <v>0</v>
      </c>
      <c r="AC128" s="15">
        <f t="shared" si="37"/>
        <v>0</v>
      </c>
      <c r="AD128" s="17">
        <v>0</v>
      </c>
      <c r="AE128" s="17">
        <v>0</v>
      </c>
      <c r="AF128" s="15">
        <f t="shared" si="38"/>
        <v>0</v>
      </c>
      <c r="AG128" s="17">
        <v>0</v>
      </c>
      <c r="AH128" s="17">
        <v>0</v>
      </c>
      <c r="AI128" s="15">
        <f t="shared" si="39"/>
        <v>0</v>
      </c>
      <c r="AJ128" s="17"/>
    </row>
    <row r="129" spans="1:36" x14ac:dyDescent="0.3">
      <c r="A129" s="15" t="s">
        <v>179</v>
      </c>
      <c r="B129" s="15">
        <v>2500</v>
      </c>
      <c r="C129" s="15" t="s">
        <v>54</v>
      </c>
      <c r="D129" s="15" t="s">
        <v>68</v>
      </c>
      <c r="E129" s="15">
        <f>'15-august-2026'!T129</f>
        <v>3</v>
      </c>
      <c r="F129" s="15">
        <f>'15-august-2026'!U129</f>
        <v>0</v>
      </c>
      <c r="G129" s="15">
        <f>'15-august-2026'!V129</f>
        <v>0</v>
      </c>
      <c r="H129" s="15">
        <f t="shared" si="30"/>
        <v>3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5">
        <f t="shared" si="31"/>
        <v>3</v>
      </c>
      <c r="T129" s="15">
        <f t="shared" si="32"/>
        <v>3</v>
      </c>
      <c r="U129" s="15">
        <f t="shared" si="33"/>
        <v>0</v>
      </c>
      <c r="V129" s="15">
        <f t="shared" si="34"/>
        <v>0</v>
      </c>
      <c r="W129" s="18" t="str">
        <f t="shared" si="35"/>
        <v/>
      </c>
      <c r="X129" s="17">
        <v>0</v>
      </c>
      <c r="Y129" s="17">
        <v>0</v>
      </c>
      <c r="Z129" s="15">
        <f t="shared" si="36"/>
        <v>0</v>
      </c>
      <c r="AA129" s="17">
        <v>0</v>
      </c>
      <c r="AB129" s="17">
        <v>0</v>
      </c>
      <c r="AC129" s="15">
        <f t="shared" si="37"/>
        <v>0</v>
      </c>
      <c r="AD129" s="17">
        <v>0</v>
      </c>
      <c r="AE129" s="17">
        <v>0</v>
      </c>
      <c r="AF129" s="15">
        <f t="shared" si="38"/>
        <v>0</v>
      </c>
      <c r="AG129" s="17">
        <v>0</v>
      </c>
      <c r="AH129" s="17">
        <v>0</v>
      </c>
      <c r="AI129" s="15">
        <f t="shared" si="39"/>
        <v>0</v>
      </c>
      <c r="AJ129" s="17"/>
    </row>
    <row r="130" spans="1:36" x14ac:dyDescent="0.3">
      <c r="A130" s="15" t="s">
        <v>180</v>
      </c>
      <c r="B130" s="15">
        <v>1000</v>
      </c>
      <c r="C130" s="15" t="s">
        <v>54</v>
      </c>
      <c r="D130" s="15" t="s">
        <v>68</v>
      </c>
      <c r="E130" s="15">
        <f>'15-august-2026'!T130</f>
        <v>2</v>
      </c>
      <c r="F130" s="15">
        <f>'15-august-2026'!U130</f>
        <v>0</v>
      </c>
      <c r="G130" s="15">
        <f>'15-august-2026'!V130</f>
        <v>0</v>
      </c>
      <c r="H130" s="15">
        <f t="shared" si="30"/>
        <v>2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5">
        <f t="shared" si="31"/>
        <v>2</v>
      </c>
      <c r="T130" s="15">
        <f t="shared" si="32"/>
        <v>2</v>
      </c>
      <c r="U130" s="15">
        <f t="shared" si="33"/>
        <v>0</v>
      </c>
      <c r="V130" s="15">
        <f t="shared" si="34"/>
        <v>0</v>
      </c>
      <c r="W130" s="18" t="str">
        <f t="shared" si="35"/>
        <v/>
      </c>
      <c r="X130" s="17">
        <v>0</v>
      </c>
      <c r="Y130" s="17">
        <v>0</v>
      </c>
      <c r="Z130" s="15">
        <f t="shared" si="36"/>
        <v>0</v>
      </c>
      <c r="AA130" s="17">
        <v>0</v>
      </c>
      <c r="AB130" s="17">
        <v>0</v>
      </c>
      <c r="AC130" s="15">
        <f t="shared" si="37"/>
        <v>0</v>
      </c>
      <c r="AD130" s="17">
        <v>0</v>
      </c>
      <c r="AE130" s="17">
        <v>0</v>
      </c>
      <c r="AF130" s="15">
        <f t="shared" si="38"/>
        <v>0</v>
      </c>
      <c r="AG130" s="17">
        <v>0</v>
      </c>
      <c r="AH130" s="17">
        <v>0</v>
      </c>
      <c r="AI130" s="15">
        <f t="shared" si="39"/>
        <v>0</v>
      </c>
      <c r="AJ130" s="17"/>
    </row>
    <row r="131" spans="1:36" x14ac:dyDescent="0.3">
      <c r="A131" s="15" t="s">
        <v>181</v>
      </c>
      <c r="B131" s="15">
        <v>100</v>
      </c>
      <c r="C131" s="15" t="s">
        <v>54</v>
      </c>
      <c r="D131" s="15" t="s">
        <v>57</v>
      </c>
      <c r="E131" s="15">
        <f>'15-august-2026'!T131</f>
        <v>7</v>
      </c>
      <c r="F131" s="15">
        <f>'15-august-2026'!U131</f>
        <v>0</v>
      </c>
      <c r="G131" s="15">
        <f>'15-august-2026'!V131</f>
        <v>0</v>
      </c>
      <c r="H131" s="15">
        <f t="shared" ref="H131:H162" si="40">E131+F131+G131</f>
        <v>7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5">
        <f t="shared" ref="S131:S162" si="41">H131+O131+P131+Q131+R131-(I131+J131+K131+L131+M131+N131)</f>
        <v>7</v>
      </c>
      <c r="T131" s="15">
        <f t="shared" ref="T131:T162" si="42">E131+O131-I131-L131</f>
        <v>7</v>
      </c>
      <c r="U131" s="15">
        <f t="shared" ref="U131:U162" si="43">F131+P131-J131-M131</f>
        <v>0</v>
      </c>
      <c r="V131" s="15">
        <f t="shared" ref="V131:V162" si="44">G131+Q131-K131-N131</f>
        <v>0</v>
      </c>
      <c r="W131" s="18" t="str">
        <f t="shared" ref="W131:W162" si="45">IF(MIN(T131,U131,V131)&lt;0,"NEGATIVE STOCK - CHECK ENTRIES","")</f>
        <v/>
      </c>
      <c r="X131" s="17">
        <v>0</v>
      </c>
      <c r="Y131" s="17">
        <v>0</v>
      </c>
      <c r="Z131" s="15">
        <f t="shared" ref="Z131:Z162" si="46">X131-Y131</f>
        <v>0</v>
      </c>
      <c r="AA131" s="17">
        <v>0</v>
      </c>
      <c r="AB131" s="17">
        <v>0</v>
      </c>
      <c r="AC131" s="15">
        <f t="shared" ref="AC131:AC162" si="47">AA131-AB131</f>
        <v>0</v>
      </c>
      <c r="AD131" s="17">
        <v>0</v>
      </c>
      <c r="AE131" s="17">
        <v>0</v>
      </c>
      <c r="AF131" s="15">
        <f t="shared" ref="AF131:AF162" si="48">AD131-AE131</f>
        <v>0</v>
      </c>
      <c r="AG131" s="17">
        <v>0</v>
      </c>
      <c r="AH131" s="17">
        <v>0</v>
      </c>
      <c r="AI131" s="15">
        <f t="shared" ref="AI131:AI162" si="49">AG131-AH131</f>
        <v>0</v>
      </c>
      <c r="AJ131" s="17"/>
    </row>
    <row r="132" spans="1:36" x14ac:dyDescent="0.3">
      <c r="A132" s="15" t="s">
        <v>182</v>
      </c>
      <c r="B132" s="15">
        <v>1000</v>
      </c>
      <c r="C132" s="15" t="s">
        <v>54</v>
      </c>
      <c r="D132" s="15" t="s">
        <v>68</v>
      </c>
      <c r="E132" s="15">
        <f>'15-august-2026'!T132</f>
        <v>4</v>
      </c>
      <c r="F132" s="15">
        <f>'15-august-2026'!U132</f>
        <v>0</v>
      </c>
      <c r="G132" s="15">
        <f>'15-august-2026'!V132</f>
        <v>0</v>
      </c>
      <c r="H132" s="15">
        <f t="shared" si="40"/>
        <v>4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5">
        <f t="shared" si="41"/>
        <v>4</v>
      </c>
      <c r="T132" s="15">
        <f t="shared" si="42"/>
        <v>4</v>
      </c>
      <c r="U132" s="15">
        <f t="shared" si="43"/>
        <v>0</v>
      </c>
      <c r="V132" s="15">
        <f t="shared" si="44"/>
        <v>0</v>
      </c>
      <c r="W132" s="18" t="str">
        <f t="shared" si="45"/>
        <v/>
      </c>
      <c r="X132" s="17">
        <v>0</v>
      </c>
      <c r="Y132" s="17">
        <v>0</v>
      </c>
      <c r="Z132" s="15">
        <f t="shared" si="46"/>
        <v>0</v>
      </c>
      <c r="AA132" s="17">
        <v>0</v>
      </c>
      <c r="AB132" s="17">
        <v>0</v>
      </c>
      <c r="AC132" s="15">
        <f t="shared" si="47"/>
        <v>0</v>
      </c>
      <c r="AD132" s="17">
        <v>0</v>
      </c>
      <c r="AE132" s="17">
        <v>0</v>
      </c>
      <c r="AF132" s="15">
        <f t="shared" si="48"/>
        <v>0</v>
      </c>
      <c r="AG132" s="17">
        <v>0</v>
      </c>
      <c r="AH132" s="17">
        <v>0</v>
      </c>
      <c r="AI132" s="15">
        <f t="shared" si="49"/>
        <v>0</v>
      </c>
      <c r="AJ132" s="17"/>
    </row>
    <row r="133" spans="1:36" x14ac:dyDescent="0.3">
      <c r="A133" s="15" t="s">
        <v>183</v>
      </c>
      <c r="B133" s="15">
        <v>100</v>
      </c>
      <c r="C133" s="15" t="s">
        <v>54</v>
      </c>
      <c r="D133" s="15" t="s">
        <v>68</v>
      </c>
      <c r="E133" s="15">
        <f>'15-august-2026'!T133</f>
        <v>2</v>
      </c>
      <c r="F133" s="15">
        <f>'15-august-2026'!U133</f>
        <v>0</v>
      </c>
      <c r="G133" s="15">
        <f>'15-august-2026'!V133</f>
        <v>0</v>
      </c>
      <c r="H133" s="15">
        <f t="shared" si="40"/>
        <v>2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5">
        <f t="shared" si="41"/>
        <v>2</v>
      </c>
      <c r="T133" s="15">
        <f t="shared" si="42"/>
        <v>2</v>
      </c>
      <c r="U133" s="15">
        <f t="shared" si="43"/>
        <v>0</v>
      </c>
      <c r="V133" s="15">
        <f t="shared" si="44"/>
        <v>0</v>
      </c>
      <c r="W133" s="18" t="str">
        <f t="shared" si="45"/>
        <v/>
      </c>
      <c r="X133" s="17">
        <v>0</v>
      </c>
      <c r="Y133" s="17">
        <v>0</v>
      </c>
      <c r="Z133" s="15">
        <f t="shared" si="46"/>
        <v>0</v>
      </c>
      <c r="AA133" s="17">
        <v>0</v>
      </c>
      <c r="AB133" s="17">
        <v>0</v>
      </c>
      <c r="AC133" s="15">
        <f t="shared" si="47"/>
        <v>0</v>
      </c>
      <c r="AD133" s="17">
        <v>0</v>
      </c>
      <c r="AE133" s="17">
        <v>0</v>
      </c>
      <c r="AF133" s="15">
        <f t="shared" si="48"/>
        <v>0</v>
      </c>
      <c r="AG133" s="17">
        <v>0</v>
      </c>
      <c r="AH133" s="17">
        <v>0</v>
      </c>
      <c r="AI133" s="15">
        <f t="shared" si="49"/>
        <v>0</v>
      </c>
      <c r="AJ133" s="17"/>
    </row>
    <row r="134" spans="1:36" x14ac:dyDescent="0.3">
      <c r="A134" s="15" t="s">
        <v>184</v>
      </c>
      <c r="B134" s="15">
        <v>1000</v>
      </c>
      <c r="C134" s="15" t="s">
        <v>54</v>
      </c>
      <c r="D134" s="15" t="s">
        <v>55</v>
      </c>
      <c r="E134" s="15">
        <f>'15-august-2026'!T134</f>
        <v>14</v>
      </c>
      <c r="F134" s="15">
        <f>'15-august-2026'!U134</f>
        <v>6</v>
      </c>
      <c r="G134" s="15">
        <f>'15-august-2026'!V134</f>
        <v>0</v>
      </c>
      <c r="H134" s="15">
        <f t="shared" si="40"/>
        <v>20</v>
      </c>
      <c r="I134" s="17">
        <v>1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5">
        <f t="shared" si="41"/>
        <v>19</v>
      </c>
      <c r="T134" s="15">
        <f t="shared" si="42"/>
        <v>13</v>
      </c>
      <c r="U134" s="15">
        <f t="shared" si="43"/>
        <v>6</v>
      </c>
      <c r="V134" s="15">
        <f t="shared" si="44"/>
        <v>0</v>
      </c>
      <c r="W134" s="18" t="str">
        <f t="shared" si="45"/>
        <v/>
      </c>
      <c r="X134" s="17">
        <v>0</v>
      </c>
      <c r="Y134" s="17">
        <v>0</v>
      </c>
      <c r="Z134" s="15">
        <f t="shared" si="46"/>
        <v>0</v>
      </c>
      <c r="AA134" s="17">
        <v>0</v>
      </c>
      <c r="AB134" s="17">
        <v>0</v>
      </c>
      <c r="AC134" s="15">
        <f t="shared" si="47"/>
        <v>0</v>
      </c>
      <c r="AD134" s="17">
        <v>0</v>
      </c>
      <c r="AE134" s="17">
        <v>0</v>
      </c>
      <c r="AF134" s="15">
        <f t="shared" si="48"/>
        <v>0</v>
      </c>
      <c r="AG134" s="17">
        <v>0</v>
      </c>
      <c r="AH134" s="17">
        <v>0</v>
      </c>
      <c r="AI134" s="15">
        <f t="shared" si="49"/>
        <v>0</v>
      </c>
      <c r="AJ134" s="17"/>
    </row>
    <row r="135" spans="1:36" x14ac:dyDescent="0.3">
      <c r="A135" s="15" t="s">
        <v>185</v>
      </c>
      <c r="B135" s="15">
        <v>100</v>
      </c>
      <c r="C135" s="15" t="s">
        <v>54</v>
      </c>
      <c r="D135" s="15" t="s">
        <v>68</v>
      </c>
      <c r="E135" s="15">
        <f>'15-august-2026'!T135</f>
        <v>6</v>
      </c>
      <c r="F135" s="15">
        <f>'15-august-2026'!U135</f>
        <v>0</v>
      </c>
      <c r="G135" s="15">
        <f>'15-august-2026'!V135</f>
        <v>0</v>
      </c>
      <c r="H135" s="15">
        <f t="shared" si="40"/>
        <v>6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5">
        <f t="shared" si="41"/>
        <v>6</v>
      </c>
      <c r="T135" s="15">
        <f t="shared" si="42"/>
        <v>6</v>
      </c>
      <c r="U135" s="15">
        <f t="shared" si="43"/>
        <v>0</v>
      </c>
      <c r="V135" s="15">
        <f t="shared" si="44"/>
        <v>0</v>
      </c>
      <c r="W135" s="18" t="str">
        <f t="shared" si="45"/>
        <v/>
      </c>
      <c r="X135" s="17">
        <v>0</v>
      </c>
      <c r="Y135" s="17">
        <v>0</v>
      </c>
      <c r="Z135" s="15">
        <f t="shared" si="46"/>
        <v>0</v>
      </c>
      <c r="AA135" s="17">
        <v>0</v>
      </c>
      <c r="AB135" s="17">
        <v>0</v>
      </c>
      <c r="AC135" s="15">
        <f t="shared" si="47"/>
        <v>0</v>
      </c>
      <c r="AD135" s="17">
        <v>0</v>
      </c>
      <c r="AE135" s="17">
        <v>0</v>
      </c>
      <c r="AF135" s="15">
        <f t="shared" si="48"/>
        <v>0</v>
      </c>
      <c r="AG135" s="17">
        <v>0</v>
      </c>
      <c r="AH135" s="17">
        <v>0</v>
      </c>
      <c r="AI135" s="15">
        <f t="shared" si="49"/>
        <v>0</v>
      </c>
      <c r="AJ135" s="17"/>
    </row>
    <row r="136" spans="1:36" x14ac:dyDescent="0.3">
      <c r="A136" s="15" t="s">
        <v>186</v>
      </c>
      <c r="B136" s="15">
        <v>100</v>
      </c>
      <c r="C136" s="15" t="s">
        <v>54</v>
      </c>
      <c r="D136" s="15" t="s">
        <v>57</v>
      </c>
      <c r="E136" s="15">
        <f>'15-august-2026'!T136</f>
        <v>4</v>
      </c>
      <c r="F136" s="15">
        <f>'15-august-2026'!U136</f>
        <v>0</v>
      </c>
      <c r="G136" s="15">
        <f>'15-august-2026'!V136</f>
        <v>0</v>
      </c>
      <c r="H136" s="15">
        <f t="shared" si="40"/>
        <v>4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5">
        <f t="shared" si="41"/>
        <v>4</v>
      </c>
      <c r="T136" s="15">
        <f t="shared" si="42"/>
        <v>4</v>
      </c>
      <c r="U136" s="15">
        <f t="shared" si="43"/>
        <v>0</v>
      </c>
      <c r="V136" s="15">
        <f t="shared" si="44"/>
        <v>0</v>
      </c>
      <c r="W136" s="18" t="str">
        <f t="shared" si="45"/>
        <v/>
      </c>
      <c r="X136" s="17">
        <v>0</v>
      </c>
      <c r="Y136" s="17">
        <v>0</v>
      </c>
      <c r="Z136" s="15">
        <f t="shared" si="46"/>
        <v>0</v>
      </c>
      <c r="AA136" s="17">
        <v>0</v>
      </c>
      <c r="AB136" s="17">
        <v>0</v>
      </c>
      <c r="AC136" s="15">
        <f t="shared" si="47"/>
        <v>0</v>
      </c>
      <c r="AD136" s="17">
        <v>0</v>
      </c>
      <c r="AE136" s="17">
        <v>0</v>
      </c>
      <c r="AF136" s="15">
        <f t="shared" si="48"/>
        <v>0</v>
      </c>
      <c r="AG136" s="17">
        <v>0</v>
      </c>
      <c r="AH136" s="17">
        <v>0</v>
      </c>
      <c r="AI136" s="15">
        <f t="shared" si="49"/>
        <v>0</v>
      </c>
      <c r="AJ136" s="17"/>
    </row>
    <row r="137" spans="1:36" x14ac:dyDescent="0.3">
      <c r="A137" s="15" t="s">
        <v>187</v>
      </c>
      <c r="B137" s="15">
        <v>1000</v>
      </c>
      <c r="C137" s="15" t="s">
        <v>54</v>
      </c>
      <c r="D137" s="15" t="s">
        <v>68</v>
      </c>
      <c r="E137" s="15">
        <f>'15-august-2026'!T137</f>
        <v>1</v>
      </c>
      <c r="F137" s="15">
        <f>'15-august-2026'!U137</f>
        <v>0</v>
      </c>
      <c r="G137" s="15">
        <f>'15-august-2026'!V137</f>
        <v>0</v>
      </c>
      <c r="H137" s="15">
        <f t="shared" si="40"/>
        <v>1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5">
        <f t="shared" si="41"/>
        <v>1</v>
      </c>
      <c r="T137" s="15">
        <f t="shared" si="42"/>
        <v>1</v>
      </c>
      <c r="U137" s="15">
        <f t="shared" si="43"/>
        <v>0</v>
      </c>
      <c r="V137" s="15">
        <f t="shared" si="44"/>
        <v>0</v>
      </c>
      <c r="W137" s="18" t="str">
        <f t="shared" si="45"/>
        <v/>
      </c>
      <c r="X137" s="17">
        <v>0</v>
      </c>
      <c r="Y137" s="17">
        <v>0</v>
      </c>
      <c r="Z137" s="15">
        <f t="shared" si="46"/>
        <v>0</v>
      </c>
      <c r="AA137" s="17">
        <v>0</v>
      </c>
      <c r="AB137" s="17">
        <v>0</v>
      </c>
      <c r="AC137" s="15">
        <f t="shared" si="47"/>
        <v>0</v>
      </c>
      <c r="AD137" s="17">
        <v>0</v>
      </c>
      <c r="AE137" s="17">
        <v>0</v>
      </c>
      <c r="AF137" s="15">
        <f t="shared" si="48"/>
        <v>0</v>
      </c>
      <c r="AG137" s="17">
        <v>0</v>
      </c>
      <c r="AH137" s="17">
        <v>0</v>
      </c>
      <c r="AI137" s="15">
        <f t="shared" si="49"/>
        <v>0</v>
      </c>
      <c r="AJ137" s="17"/>
    </row>
    <row r="138" spans="1:36" x14ac:dyDescent="0.3">
      <c r="A138" s="15" t="s">
        <v>188</v>
      </c>
      <c r="B138" s="15">
        <v>100</v>
      </c>
      <c r="C138" s="15" t="s">
        <v>54</v>
      </c>
      <c r="D138" s="15" t="s">
        <v>57</v>
      </c>
      <c r="E138" s="15">
        <f>'15-august-2026'!T138</f>
        <v>3</v>
      </c>
      <c r="F138" s="15">
        <f>'15-august-2026'!U138</f>
        <v>0</v>
      </c>
      <c r="G138" s="15">
        <f>'15-august-2026'!V138</f>
        <v>0</v>
      </c>
      <c r="H138" s="15">
        <f t="shared" si="40"/>
        <v>3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5">
        <f t="shared" si="41"/>
        <v>3</v>
      </c>
      <c r="T138" s="15">
        <f t="shared" si="42"/>
        <v>3</v>
      </c>
      <c r="U138" s="15">
        <f t="shared" si="43"/>
        <v>0</v>
      </c>
      <c r="V138" s="15">
        <f t="shared" si="44"/>
        <v>0</v>
      </c>
      <c r="W138" s="18" t="str">
        <f t="shared" si="45"/>
        <v/>
      </c>
      <c r="X138" s="17">
        <v>0</v>
      </c>
      <c r="Y138" s="17">
        <v>0</v>
      </c>
      <c r="Z138" s="15">
        <f t="shared" si="46"/>
        <v>0</v>
      </c>
      <c r="AA138" s="17">
        <v>0</v>
      </c>
      <c r="AB138" s="17">
        <v>0</v>
      </c>
      <c r="AC138" s="15">
        <f t="shared" si="47"/>
        <v>0</v>
      </c>
      <c r="AD138" s="17">
        <v>0</v>
      </c>
      <c r="AE138" s="17">
        <v>0</v>
      </c>
      <c r="AF138" s="15">
        <f t="shared" si="48"/>
        <v>0</v>
      </c>
      <c r="AG138" s="17">
        <v>0</v>
      </c>
      <c r="AH138" s="17">
        <v>0</v>
      </c>
      <c r="AI138" s="15">
        <f t="shared" si="49"/>
        <v>0</v>
      </c>
      <c r="AJ138" s="17"/>
    </row>
    <row r="139" spans="1:36" x14ac:dyDescent="0.3">
      <c r="A139" s="15" t="s">
        <v>189</v>
      </c>
      <c r="B139" s="15">
        <v>100</v>
      </c>
      <c r="C139" s="15" t="s">
        <v>54</v>
      </c>
      <c r="D139" s="15" t="s">
        <v>68</v>
      </c>
      <c r="E139" s="15">
        <f>'15-august-2026'!T139</f>
        <v>1</v>
      </c>
      <c r="F139" s="15">
        <f>'15-august-2026'!U139</f>
        <v>0</v>
      </c>
      <c r="G139" s="15">
        <f>'15-august-2026'!V139</f>
        <v>0</v>
      </c>
      <c r="H139" s="15">
        <f t="shared" si="40"/>
        <v>1</v>
      </c>
      <c r="I139" s="17">
        <v>1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5">
        <f t="shared" si="41"/>
        <v>0</v>
      </c>
      <c r="T139" s="15">
        <f t="shared" si="42"/>
        <v>0</v>
      </c>
      <c r="U139" s="15">
        <f t="shared" si="43"/>
        <v>0</v>
      </c>
      <c r="V139" s="15">
        <f t="shared" si="44"/>
        <v>0</v>
      </c>
      <c r="W139" s="18" t="str">
        <f t="shared" si="45"/>
        <v/>
      </c>
      <c r="X139" s="17">
        <v>0</v>
      </c>
      <c r="Y139" s="17">
        <v>0</v>
      </c>
      <c r="Z139" s="15">
        <f t="shared" si="46"/>
        <v>0</v>
      </c>
      <c r="AA139" s="17">
        <v>0</v>
      </c>
      <c r="AB139" s="17">
        <v>0</v>
      </c>
      <c r="AC139" s="15">
        <f t="shared" si="47"/>
        <v>0</v>
      </c>
      <c r="AD139" s="17">
        <v>0</v>
      </c>
      <c r="AE139" s="17">
        <v>0</v>
      </c>
      <c r="AF139" s="15">
        <f t="shared" si="48"/>
        <v>0</v>
      </c>
      <c r="AG139" s="17">
        <v>0</v>
      </c>
      <c r="AH139" s="17">
        <v>0</v>
      </c>
      <c r="AI139" s="15">
        <f t="shared" si="49"/>
        <v>0</v>
      </c>
      <c r="AJ139" s="17"/>
    </row>
    <row r="140" spans="1:36" x14ac:dyDescent="0.3">
      <c r="A140" s="15" t="s">
        <v>190</v>
      </c>
      <c r="B140" s="15">
        <v>100</v>
      </c>
      <c r="C140" s="15" t="s">
        <v>54</v>
      </c>
      <c r="D140" s="15" t="s">
        <v>57</v>
      </c>
      <c r="E140" s="15">
        <f>'15-august-2026'!T140</f>
        <v>4</v>
      </c>
      <c r="F140" s="15">
        <f>'15-august-2026'!U140</f>
        <v>-6</v>
      </c>
      <c r="G140" s="15">
        <f>'15-august-2026'!V140</f>
        <v>-8</v>
      </c>
      <c r="H140" s="15">
        <f t="shared" si="40"/>
        <v>-10</v>
      </c>
      <c r="I140" s="17">
        <v>0</v>
      </c>
      <c r="J140" s="17">
        <v>0</v>
      </c>
      <c r="K140" s="17">
        <v>0</v>
      </c>
      <c r="L140" s="17">
        <v>0</v>
      </c>
      <c r="M140" s="17">
        <v>2</v>
      </c>
      <c r="N140" s="17">
        <v>2</v>
      </c>
      <c r="O140" s="17">
        <v>0</v>
      </c>
      <c r="P140" s="17">
        <v>0</v>
      </c>
      <c r="Q140" s="17">
        <v>0</v>
      </c>
      <c r="R140" s="17">
        <v>0</v>
      </c>
      <c r="S140" s="15">
        <f t="shared" si="41"/>
        <v>-14</v>
      </c>
      <c r="T140" s="15">
        <f t="shared" si="42"/>
        <v>4</v>
      </c>
      <c r="U140" s="15">
        <f t="shared" si="43"/>
        <v>-8</v>
      </c>
      <c r="V140" s="15">
        <f t="shared" si="44"/>
        <v>-10</v>
      </c>
      <c r="W140" s="18" t="str">
        <f t="shared" si="45"/>
        <v>NEGATIVE STOCK - CHECK ENTRIES</v>
      </c>
      <c r="X140" s="17">
        <v>0</v>
      </c>
      <c r="Y140" s="17">
        <v>0</v>
      </c>
      <c r="Z140" s="15">
        <f t="shared" si="46"/>
        <v>0</v>
      </c>
      <c r="AA140" s="17">
        <v>0</v>
      </c>
      <c r="AB140" s="17">
        <v>0</v>
      </c>
      <c r="AC140" s="15">
        <f t="shared" si="47"/>
        <v>0</v>
      </c>
      <c r="AD140" s="17">
        <v>0</v>
      </c>
      <c r="AE140" s="17">
        <v>0</v>
      </c>
      <c r="AF140" s="15">
        <f t="shared" si="48"/>
        <v>0</v>
      </c>
      <c r="AG140" s="17">
        <v>0</v>
      </c>
      <c r="AH140" s="17">
        <v>0</v>
      </c>
      <c r="AI140" s="15">
        <f t="shared" si="49"/>
        <v>0</v>
      </c>
      <c r="AJ140" s="17"/>
    </row>
    <row r="141" spans="1:36" x14ac:dyDescent="0.3">
      <c r="A141" s="15" t="s">
        <v>191</v>
      </c>
      <c r="B141" s="15">
        <v>100</v>
      </c>
      <c r="C141" s="15" t="s">
        <v>54</v>
      </c>
      <c r="D141" s="15" t="s">
        <v>68</v>
      </c>
      <c r="E141" s="15">
        <f>'15-august-2026'!T141</f>
        <v>2</v>
      </c>
      <c r="F141" s="15">
        <f>'15-august-2026'!U141</f>
        <v>0</v>
      </c>
      <c r="G141" s="15">
        <f>'15-august-2026'!V141</f>
        <v>0</v>
      </c>
      <c r="H141" s="15">
        <f t="shared" si="40"/>
        <v>2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5">
        <f t="shared" si="41"/>
        <v>2</v>
      </c>
      <c r="T141" s="15">
        <f t="shared" si="42"/>
        <v>2</v>
      </c>
      <c r="U141" s="15">
        <f t="shared" si="43"/>
        <v>0</v>
      </c>
      <c r="V141" s="15">
        <f t="shared" si="44"/>
        <v>0</v>
      </c>
      <c r="W141" s="18" t="str">
        <f t="shared" si="45"/>
        <v/>
      </c>
      <c r="X141" s="17">
        <v>0</v>
      </c>
      <c r="Y141" s="17">
        <v>0</v>
      </c>
      <c r="Z141" s="15">
        <f t="shared" si="46"/>
        <v>0</v>
      </c>
      <c r="AA141" s="17">
        <v>0</v>
      </c>
      <c r="AB141" s="17">
        <v>0</v>
      </c>
      <c r="AC141" s="15">
        <f t="shared" si="47"/>
        <v>0</v>
      </c>
      <c r="AD141" s="17">
        <v>0</v>
      </c>
      <c r="AE141" s="17">
        <v>0</v>
      </c>
      <c r="AF141" s="15">
        <f t="shared" si="48"/>
        <v>0</v>
      </c>
      <c r="AG141" s="17">
        <v>0</v>
      </c>
      <c r="AH141" s="17">
        <v>0</v>
      </c>
      <c r="AI141" s="15">
        <f t="shared" si="49"/>
        <v>0</v>
      </c>
      <c r="AJ141" s="17"/>
    </row>
    <row r="142" spans="1:36" x14ac:dyDescent="0.3">
      <c r="A142" s="15" t="s">
        <v>192</v>
      </c>
      <c r="B142" s="15">
        <v>100</v>
      </c>
      <c r="C142" s="15" t="s">
        <v>54</v>
      </c>
      <c r="D142" s="15" t="s">
        <v>55</v>
      </c>
      <c r="E142" s="15">
        <f>'15-august-2026'!T142</f>
        <v>3983</v>
      </c>
      <c r="F142" s="15">
        <f>'15-august-2026'!U142</f>
        <v>303</v>
      </c>
      <c r="G142" s="15">
        <f>'15-august-2026'!V142</f>
        <v>20</v>
      </c>
      <c r="H142" s="15">
        <f t="shared" si="40"/>
        <v>4306</v>
      </c>
      <c r="I142" s="17">
        <v>115</v>
      </c>
      <c r="J142" s="17">
        <v>34</v>
      </c>
      <c r="K142" s="17">
        <v>0</v>
      </c>
      <c r="L142" s="17">
        <v>89</v>
      </c>
      <c r="M142" s="17">
        <v>0</v>
      </c>
      <c r="N142" s="17">
        <v>0</v>
      </c>
      <c r="O142" s="17">
        <v>24</v>
      </c>
      <c r="P142" s="17">
        <v>0</v>
      </c>
      <c r="Q142" s="17">
        <v>25</v>
      </c>
      <c r="R142" s="17">
        <v>125</v>
      </c>
      <c r="S142" s="15">
        <f t="shared" si="41"/>
        <v>4242</v>
      </c>
      <c r="T142" s="15">
        <f t="shared" si="42"/>
        <v>3803</v>
      </c>
      <c r="U142" s="15">
        <f t="shared" si="43"/>
        <v>269</v>
      </c>
      <c r="V142" s="15">
        <f t="shared" si="44"/>
        <v>45</v>
      </c>
      <c r="W142" s="18" t="str">
        <f t="shared" si="45"/>
        <v/>
      </c>
      <c r="X142" s="17">
        <v>0</v>
      </c>
      <c r="Y142" s="17">
        <v>0</v>
      </c>
      <c r="Z142" s="15">
        <f t="shared" si="46"/>
        <v>0</v>
      </c>
      <c r="AA142" s="17">
        <v>0</v>
      </c>
      <c r="AB142" s="17">
        <v>0</v>
      </c>
      <c r="AC142" s="15">
        <f t="shared" si="47"/>
        <v>0</v>
      </c>
      <c r="AD142" s="17">
        <v>0</v>
      </c>
      <c r="AE142" s="17">
        <v>0</v>
      </c>
      <c r="AF142" s="15">
        <f t="shared" si="48"/>
        <v>0</v>
      </c>
      <c r="AG142" s="17">
        <v>0</v>
      </c>
      <c r="AH142" s="17">
        <v>0</v>
      </c>
      <c r="AI142" s="15">
        <f t="shared" si="49"/>
        <v>0</v>
      </c>
      <c r="AJ142" s="17"/>
    </row>
    <row r="143" spans="1:36" x14ac:dyDescent="0.3">
      <c r="A143" s="15" t="s">
        <v>192</v>
      </c>
      <c r="B143" s="15">
        <v>500</v>
      </c>
      <c r="C143" s="15" t="s">
        <v>54</v>
      </c>
      <c r="D143" s="15" t="s">
        <v>55</v>
      </c>
      <c r="E143" s="15">
        <f>'15-august-2026'!T143</f>
        <v>1</v>
      </c>
      <c r="F143" s="15">
        <f>'15-august-2026'!U143</f>
        <v>0</v>
      </c>
      <c r="G143" s="15">
        <f>'15-august-2026'!V143</f>
        <v>0</v>
      </c>
      <c r="H143" s="15">
        <f t="shared" si="40"/>
        <v>1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5">
        <f t="shared" si="41"/>
        <v>1</v>
      </c>
      <c r="T143" s="15">
        <f t="shared" si="42"/>
        <v>1</v>
      </c>
      <c r="U143" s="15">
        <f t="shared" si="43"/>
        <v>0</v>
      </c>
      <c r="V143" s="15">
        <f t="shared" si="44"/>
        <v>0</v>
      </c>
      <c r="W143" s="18" t="str">
        <f t="shared" si="45"/>
        <v/>
      </c>
      <c r="X143" s="17">
        <v>0</v>
      </c>
      <c r="Y143" s="17">
        <v>0</v>
      </c>
      <c r="Z143" s="15">
        <f t="shared" si="46"/>
        <v>0</v>
      </c>
      <c r="AA143" s="17">
        <v>0</v>
      </c>
      <c r="AB143" s="17">
        <v>0</v>
      </c>
      <c r="AC143" s="15">
        <f t="shared" si="47"/>
        <v>0</v>
      </c>
      <c r="AD143" s="17">
        <v>0</v>
      </c>
      <c r="AE143" s="17">
        <v>0</v>
      </c>
      <c r="AF143" s="15">
        <f t="shared" si="48"/>
        <v>0</v>
      </c>
      <c r="AG143" s="17">
        <v>0</v>
      </c>
      <c r="AH143" s="17">
        <v>0</v>
      </c>
      <c r="AI143" s="15">
        <f t="shared" si="49"/>
        <v>0</v>
      </c>
      <c r="AJ143" s="17"/>
    </row>
    <row r="144" spans="1:36" x14ac:dyDescent="0.3">
      <c r="A144" s="15" t="s">
        <v>193</v>
      </c>
      <c r="B144" s="15">
        <v>100</v>
      </c>
      <c r="C144" s="15" t="s">
        <v>54</v>
      </c>
      <c r="D144" s="15" t="s">
        <v>57</v>
      </c>
      <c r="E144" s="15">
        <f>'15-august-2026'!T144</f>
        <v>1</v>
      </c>
      <c r="F144" s="15">
        <f>'15-august-2026'!U144</f>
        <v>0</v>
      </c>
      <c r="G144" s="15">
        <f>'15-august-2026'!V144</f>
        <v>0</v>
      </c>
      <c r="H144" s="15">
        <f t="shared" si="40"/>
        <v>1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5">
        <f t="shared" si="41"/>
        <v>1</v>
      </c>
      <c r="T144" s="15">
        <f t="shared" si="42"/>
        <v>1</v>
      </c>
      <c r="U144" s="15">
        <f t="shared" si="43"/>
        <v>0</v>
      </c>
      <c r="V144" s="15">
        <f t="shared" si="44"/>
        <v>0</v>
      </c>
      <c r="W144" s="18" t="str">
        <f t="shared" si="45"/>
        <v/>
      </c>
      <c r="X144" s="17">
        <v>0</v>
      </c>
      <c r="Y144" s="17">
        <v>0</v>
      </c>
      <c r="Z144" s="15">
        <f t="shared" si="46"/>
        <v>0</v>
      </c>
      <c r="AA144" s="17">
        <v>0</v>
      </c>
      <c r="AB144" s="17">
        <v>0</v>
      </c>
      <c r="AC144" s="15">
        <f t="shared" si="47"/>
        <v>0</v>
      </c>
      <c r="AD144" s="17">
        <v>0</v>
      </c>
      <c r="AE144" s="17">
        <v>0</v>
      </c>
      <c r="AF144" s="15">
        <f t="shared" si="48"/>
        <v>0</v>
      </c>
      <c r="AG144" s="17">
        <v>0</v>
      </c>
      <c r="AH144" s="17">
        <v>0</v>
      </c>
      <c r="AI144" s="15">
        <f t="shared" si="49"/>
        <v>0</v>
      </c>
      <c r="AJ144" s="17"/>
    </row>
    <row r="145" spans="1:36" x14ac:dyDescent="0.3">
      <c r="A145" s="15" t="s">
        <v>194</v>
      </c>
      <c r="B145" s="15">
        <v>1000</v>
      </c>
      <c r="C145" s="15"/>
      <c r="D145" s="15" t="s">
        <v>55</v>
      </c>
      <c r="E145" s="15">
        <f>'15-august-2026'!T145</f>
        <v>0</v>
      </c>
      <c r="F145" s="15">
        <f>'15-august-2026'!U145</f>
        <v>0</v>
      </c>
      <c r="G145" s="15">
        <f>'15-august-2026'!V145</f>
        <v>0</v>
      </c>
      <c r="H145" s="15">
        <f t="shared" si="40"/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5">
        <f t="shared" si="41"/>
        <v>0</v>
      </c>
      <c r="T145" s="15">
        <f t="shared" si="42"/>
        <v>0</v>
      </c>
      <c r="U145" s="15">
        <f t="shared" si="43"/>
        <v>0</v>
      </c>
      <c r="V145" s="15">
        <f t="shared" si="44"/>
        <v>0</v>
      </c>
      <c r="W145" s="18" t="str">
        <f t="shared" si="45"/>
        <v/>
      </c>
      <c r="X145" s="17">
        <v>0</v>
      </c>
      <c r="Y145" s="17">
        <v>0</v>
      </c>
      <c r="Z145" s="15">
        <f t="shared" si="46"/>
        <v>0</v>
      </c>
      <c r="AA145" s="17">
        <v>0</v>
      </c>
      <c r="AB145" s="17">
        <v>0</v>
      </c>
      <c r="AC145" s="15">
        <f t="shared" si="47"/>
        <v>0</v>
      </c>
      <c r="AD145" s="17">
        <v>0</v>
      </c>
      <c r="AE145" s="17">
        <v>0</v>
      </c>
      <c r="AF145" s="15">
        <f t="shared" si="48"/>
        <v>0</v>
      </c>
      <c r="AG145" s="17">
        <v>0</v>
      </c>
      <c r="AH145" s="17">
        <v>0</v>
      </c>
      <c r="AI145" s="15">
        <f t="shared" si="49"/>
        <v>0</v>
      </c>
      <c r="AJ145" s="17"/>
    </row>
    <row r="146" spans="1:36" x14ac:dyDescent="0.3">
      <c r="A146" s="15" t="s">
        <v>195</v>
      </c>
      <c r="B146" s="15">
        <v>1000</v>
      </c>
      <c r="C146" s="15" t="s">
        <v>54</v>
      </c>
      <c r="D146" s="15" t="s">
        <v>68</v>
      </c>
      <c r="E146" s="15">
        <f>'15-august-2026'!T146</f>
        <v>2</v>
      </c>
      <c r="F146" s="15">
        <f>'15-august-2026'!U146</f>
        <v>0</v>
      </c>
      <c r="G146" s="15">
        <f>'15-august-2026'!V146</f>
        <v>0</v>
      </c>
      <c r="H146" s="15">
        <f t="shared" si="40"/>
        <v>2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5">
        <f t="shared" si="41"/>
        <v>2</v>
      </c>
      <c r="T146" s="15">
        <f t="shared" si="42"/>
        <v>2</v>
      </c>
      <c r="U146" s="15">
        <f t="shared" si="43"/>
        <v>0</v>
      </c>
      <c r="V146" s="15">
        <f t="shared" si="44"/>
        <v>0</v>
      </c>
      <c r="W146" s="18" t="str">
        <f t="shared" si="45"/>
        <v/>
      </c>
      <c r="X146" s="17">
        <v>0</v>
      </c>
      <c r="Y146" s="17">
        <v>0</v>
      </c>
      <c r="Z146" s="15">
        <f t="shared" si="46"/>
        <v>0</v>
      </c>
      <c r="AA146" s="17">
        <v>0</v>
      </c>
      <c r="AB146" s="17">
        <v>0</v>
      </c>
      <c r="AC146" s="15">
        <f t="shared" si="47"/>
        <v>0</v>
      </c>
      <c r="AD146" s="17">
        <v>0</v>
      </c>
      <c r="AE146" s="17">
        <v>0</v>
      </c>
      <c r="AF146" s="15">
        <f t="shared" si="48"/>
        <v>0</v>
      </c>
      <c r="AG146" s="17">
        <v>0</v>
      </c>
      <c r="AH146" s="17">
        <v>0</v>
      </c>
      <c r="AI146" s="15">
        <f t="shared" si="49"/>
        <v>0</v>
      </c>
      <c r="AJ146" s="17"/>
    </row>
    <row r="147" spans="1:36" x14ac:dyDescent="0.3">
      <c r="A147" s="15" t="s">
        <v>196</v>
      </c>
      <c r="B147" s="15">
        <v>100</v>
      </c>
      <c r="C147" s="15" t="s">
        <v>54</v>
      </c>
      <c r="D147" s="15" t="s">
        <v>55</v>
      </c>
      <c r="E147" s="15">
        <f>'15-august-2026'!T147</f>
        <v>340</v>
      </c>
      <c r="F147" s="15">
        <f>'15-august-2026'!U147</f>
        <v>130</v>
      </c>
      <c r="G147" s="15">
        <f>'15-august-2026'!V147</f>
        <v>14</v>
      </c>
      <c r="H147" s="15">
        <f t="shared" si="40"/>
        <v>484</v>
      </c>
      <c r="I147" s="17">
        <v>72</v>
      </c>
      <c r="J147" s="17">
        <v>0</v>
      </c>
      <c r="K147" s="17">
        <v>0</v>
      </c>
      <c r="L147" s="17">
        <v>52</v>
      </c>
      <c r="M147" s="17">
        <v>3</v>
      </c>
      <c r="N147" s="17">
        <v>0</v>
      </c>
      <c r="O147" s="17">
        <v>0</v>
      </c>
      <c r="P147" s="17">
        <v>0</v>
      </c>
      <c r="Q147" s="17">
        <v>0</v>
      </c>
      <c r="R147" s="17">
        <v>52</v>
      </c>
      <c r="S147" s="15">
        <f t="shared" si="41"/>
        <v>409</v>
      </c>
      <c r="T147" s="15">
        <f t="shared" si="42"/>
        <v>216</v>
      </c>
      <c r="U147" s="15">
        <f t="shared" si="43"/>
        <v>127</v>
      </c>
      <c r="V147" s="15">
        <f t="shared" si="44"/>
        <v>14</v>
      </c>
      <c r="W147" s="18" t="str">
        <f t="shared" si="45"/>
        <v/>
      </c>
      <c r="X147" s="17">
        <v>0</v>
      </c>
      <c r="Y147" s="17">
        <v>0</v>
      </c>
      <c r="Z147" s="15">
        <f t="shared" si="46"/>
        <v>0</v>
      </c>
      <c r="AA147" s="17">
        <v>0</v>
      </c>
      <c r="AB147" s="17">
        <v>0</v>
      </c>
      <c r="AC147" s="15">
        <f t="shared" si="47"/>
        <v>0</v>
      </c>
      <c r="AD147" s="17">
        <v>0</v>
      </c>
      <c r="AE147" s="17">
        <v>0</v>
      </c>
      <c r="AF147" s="15">
        <f t="shared" si="48"/>
        <v>0</v>
      </c>
      <c r="AG147" s="17">
        <v>0</v>
      </c>
      <c r="AH147" s="17">
        <v>0</v>
      </c>
      <c r="AI147" s="15">
        <f t="shared" si="49"/>
        <v>0</v>
      </c>
      <c r="AJ147" s="17"/>
    </row>
    <row r="148" spans="1:36" x14ac:dyDescent="0.3">
      <c r="A148" s="15" t="s">
        <v>197</v>
      </c>
      <c r="B148" s="15">
        <v>100</v>
      </c>
      <c r="C148" s="15" t="s">
        <v>54</v>
      </c>
      <c r="D148" s="15" t="s">
        <v>55</v>
      </c>
      <c r="E148" s="15">
        <f>'15-august-2026'!T148</f>
        <v>0</v>
      </c>
      <c r="F148" s="15">
        <f>'15-august-2026'!U148</f>
        <v>0</v>
      </c>
      <c r="G148" s="15">
        <f>'15-august-2026'!V148</f>
        <v>0</v>
      </c>
      <c r="H148" s="15">
        <f t="shared" si="40"/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5">
        <f t="shared" si="41"/>
        <v>0</v>
      </c>
      <c r="T148" s="15">
        <f t="shared" si="42"/>
        <v>0</v>
      </c>
      <c r="U148" s="15">
        <f t="shared" si="43"/>
        <v>0</v>
      </c>
      <c r="V148" s="15">
        <f t="shared" si="44"/>
        <v>0</v>
      </c>
      <c r="W148" s="18" t="str">
        <f t="shared" si="45"/>
        <v/>
      </c>
      <c r="X148" s="17">
        <v>0</v>
      </c>
      <c r="Y148" s="17">
        <v>0</v>
      </c>
      <c r="Z148" s="15">
        <f t="shared" si="46"/>
        <v>0</v>
      </c>
      <c r="AA148" s="17">
        <v>0</v>
      </c>
      <c r="AB148" s="17">
        <v>0</v>
      </c>
      <c r="AC148" s="15">
        <f t="shared" si="47"/>
        <v>0</v>
      </c>
      <c r="AD148" s="17">
        <v>0</v>
      </c>
      <c r="AE148" s="17">
        <v>0</v>
      </c>
      <c r="AF148" s="15">
        <f t="shared" si="48"/>
        <v>0</v>
      </c>
      <c r="AG148" s="17">
        <v>0</v>
      </c>
      <c r="AH148" s="17">
        <v>0</v>
      </c>
      <c r="AI148" s="15">
        <f t="shared" si="49"/>
        <v>0</v>
      </c>
      <c r="AJ148" s="17"/>
    </row>
    <row r="149" spans="1:36" x14ac:dyDescent="0.3">
      <c r="A149" s="15" t="s">
        <v>198</v>
      </c>
      <c r="B149" s="15">
        <v>100</v>
      </c>
      <c r="C149" s="15" t="s">
        <v>54</v>
      </c>
      <c r="D149" s="15" t="s">
        <v>55</v>
      </c>
      <c r="E149" s="15">
        <f>'15-august-2026'!T149</f>
        <v>1</v>
      </c>
      <c r="F149" s="15">
        <f>'15-august-2026'!U149</f>
        <v>11</v>
      </c>
      <c r="G149" s="15">
        <f>'15-august-2026'!V149</f>
        <v>34</v>
      </c>
      <c r="H149" s="15">
        <f t="shared" si="40"/>
        <v>46</v>
      </c>
      <c r="I149" s="17">
        <v>100</v>
      </c>
      <c r="J149" s="17">
        <v>17</v>
      </c>
      <c r="K149" s="17">
        <v>0</v>
      </c>
      <c r="L149" s="17">
        <v>0</v>
      </c>
      <c r="M149" s="17">
        <v>50</v>
      </c>
      <c r="N149" s="17">
        <v>0</v>
      </c>
      <c r="O149" s="17">
        <v>45</v>
      </c>
      <c r="P149" s="17">
        <v>0</v>
      </c>
      <c r="Q149" s="17">
        <v>0</v>
      </c>
      <c r="R149" s="17">
        <v>0</v>
      </c>
      <c r="S149" s="15">
        <f t="shared" si="41"/>
        <v>-76</v>
      </c>
      <c r="T149" s="15">
        <f t="shared" si="42"/>
        <v>-54</v>
      </c>
      <c r="U149" s="15">
        <f t="shared" si="43"/>
        <v>-56</v>
      </c>
      <c r="V149" s="15">
        <f t="shared" si="44"/>
        <v>34</v>
      </c>
      <c r="W149" s="18" t="str">
        <f t="shared" si="45"/>
        <v>NEGATIVE STOCK - CHECK ENTRIES</v>
      </c>
      <c r="X149" s="17">
        <v>0</v>
      </c>
      <c r="Y149" s="17">
        <v>0</v>
      </c>
      <c r="Z149" s="15">
        <f t="shared" si="46"/>
        <v>0</v>
      </c>
      <c r="AA149" s="17">
        <v>0</v>
      </c>
      <c r="AB149" s="17">
        <v>0</v>
      </c>
      <c r="AC149" s="15">
        <f t="shared" si="47"/>
        <v>0</v>
      </c>
      <c r="AD149" s="17">
        <v>0</v>
      </c>
      <c r="AE149" s="17">
        <v>0</v>
      </c>
      <c r="AF149" s="15">
        <f t="shared" si="48"/>
        <v>0</v>
      </c>
      <c r="AG149" s="17">
        <v>0</v>
      </c>
      <c r="AH149" s="17">
        <v>0</v>
      </c>
      <c r="AI149" s="15">
        <f t="shared" si="49"/>
        <v>0</v>
      </c>
      <c r="AJ149" s="17"/>
    </row>
    <row r="150" spans="1:36" x14ac:dyDescent="0.3">
      <c r="A150" s="15" t="s">
        <v>199</v>
      </c>
      <c r="B150" s="15">
        <v>500</v>
      </c>
      <c r="C150" s="15" t="s">
        <v>54</v>
      </c>
      <c r="D150" s="15" t="s">
        <v>55</v>
      </c>
      <c r="E150" s="15">
        <f>'15-august-2026'!T150</f>
        <v>0</v>
      </c>
      <c r="F150" s="15">
        <f>'15-august-2026'!U150</f>
        <v>1</v>
      </c>
      <c r="G150" s="15">
        <f>'15-august-2026'!V150</f>
        <v>1</v>
      </c>
      <c r="H150" s="15">
        <f t="shared" si="40"/>
        <v>2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5">
        <f t="shared" si="41"/>
        <v>2</v>
      </c>
      <c r="T150" s="15">
        <f t="shared" si="42"/>
        <v>0</v>
      </c>
      <c r="U150" s="15">
        <f t="shared" si="43"/>
        <v>1</v>
      </c>
      <c r="V150" s="15">
        <f t="shared" si="44"/>
        <v>1</v>
      </c>
      <c r="W150" s="18" t="str">
        <f t="shared" si="45"/>
        <v/>
      </c>
      <c r="X150" s="17">
        <v>0</v>
      </c>
      <c r="Y150" s="17">
        <v>0</v>
      </c>
      <c r="Z150" s="15">
        <f t="shared" si="46"/>
        <v>0</v>
      </c>
      <c r="AA150" s="17">
        <v>0</v>
      </c>
      <c r="AB150" s="17">
        <v>0</v>
      </c>
      <c r="AC150" s="15">
        <f t="shared" si="47"/>
        <v>0</v>
      </c>
      <c r="AD150" s="17">
        <v>0</v>
      </c>
      <c r="AE150" s="17">
        <v>0</v>
      </c>
      <c r="AF150" s="15">
        <f t="shared" si="48"/>
        <v>0</v>
      </c>
      <c r="AG150" s="17">
        <v>0</v>
      </c>
      <c r="AH150" s="17">
        <v>0</v>
      </c>
      <c r="AI150" s="15">
        <f t="shared" si="49"/>
        <v>0</v>
      </c>
      <c r="AJ150" s="17"/>
    </row>
    <row r="151" spans="1:36" x14ac:dyDescent="0.3">
      <c r="A151" s="15" t="s">
        <v>200</v>
      </c>
      <c r="B151" s="15">
        <v>100</v>
      </c>
      <c r="C151" s="15" t="s">
        <v>54</v>
      </c>
      <c r="D151" s="15" t="s">
        <v>55</v>
      </c>
      <c r="E151" s="15">
        <f>'15-august-2026'!T151</f>
        <v>191</v>
      </c>
      <c r="F151" s="15">
        <f>'15-august-2026'!U151</f>
        <v>67</v>
      </c>
      <c r="G151" s="15">
        <f>'15-august-2026'!V151</f>
        <v>26</v>
      </c>
      <c r="H151" s="15">
        <f t="shared" si="40"/>
        <v>284</v>
      </c>
      <c r="I151" s="17">
        <v>5</v>
      </c>
      <c r="J151" s="17">
        <v>0</v>
      </c>
      <c r="K151" s="17">
        <v>0</v>
      </c>
      <c r="L151" s="17">
        <v>40</v>
      </c>
      <c r="M151" s="17">
        <v>10</v>
      </c>
      <c r="N151" s="17">
        <v>0</v>
      </c>
      <c r="O151" s="17">
        <v>10</v>
      </c>
      <c r="P151" s="17">
        <v>0</v>
      </c>
      <c r="Q151" s="17">
        <v>10</v>
      </c>
      <c r="R151" s="17">
        <v>0</v>
      </c>
      <c r="S151" s="15">
        <f t="shared" si="41"/>
        <v>249</v>
      </c>
      <c r="T151" s="15">
        <f t="shared" si="42"/>
        <v>156</v>
      </c>
      <c r="U151" s="15">
        <f t="shared" si="43"/>
        <v>57</v>
      </c>
      <c r="V151" s="15">
        <f t="shared" si="44"/>
        <v>36</v>
      </c>
      <c r="W151" s="18" t="str">
        <f t="shared" si="45"/>
        <v/>
      </c>
      <c r="X151" s="17">
        <v>0</v>
      </c>
      <c r="Y151" s="17">
        <v>0</v>
      </c>
      <c r="Z151" s="15">
        <f t="shared" si="46"/>
        <v>0</v>
      </c>
      <c r="AA151" s="17">
        <v>0</v>
      </c>
      <c r="AB151" s="17">
        <v>0</v>
      </c>
      <c r="AC151" s="15">
        <f t="shared" si="47"/>
        <v>0</v>
      </c>
      <c r="AD151" s="17">
        <v>0</v>
      </c>
      <c r="AE151" s="17">
        <v>0</v>
      </c>
      <c r="AF151" s="15">
        <f t="shared" si="48"/>
        <v>0</v>
      </c>
      <c r="AG151" s="17">
        <v>0</v>
      </c>
      <c r="AH151" s="17">
        <v>0</v>
      </c>
      <c r="AI151" s="15">
        <f t="shared" si="49"/>
        <v>0</v>
      </c>
      <c r="AJ151" s="17"/>
    </row>
    <row r="152" spans="1:36" x14ac:dyDescent="0.3">
      <c r="A152" s="15" t="s">
        <v>201</v>
      </c>
      <c r="B152" s="15">
        <v>100</v>
      </c>
      <c r="C152" s="15" t="s">
        <v>54</v>
      </c>
      <c r="D152" s="15" t="s">
        <v>55</v>
      </c>
      <c r="E152" s="15">
        <f>'15-august-2026'!T152</f>
        <v>5</v>
      </c>
      <c r="F152" s="15">
        <f>'15-august-2026'!U152</f>
        <v>57</v>
      </c>
      <c r="G152" s="15">
        <f>'15-august-2026'!V152</f>
        <v>25</v>
      </c>
      <c r="H152" s="15">
        <f t="shared" si="40"/>
        <v>87</v>
      </c>
      <c r="I152" s="17">
        <v>1</v>
      </c>
      <c r="J152" s="17">
        <v>16</v>
      </c>
      <c r="K152" s="17">
        <v>0</v>
      </c>
      <c r="L152" s="17">
        <v>0</v>
      </c>
      <c r="M152" s="17">
        <v>10</v>
      </c>
      <c r="N152" s="17">
        <v>0</v>
      </c>
      <c r="O152" s="17">
        <v>20</v>
      </c>
      <c r="P152" s="17">
        <v>0</v>
      </c>
      <c r="Q152" s="17">
        <v>10</v>
      </c>
      <c r="R152" s="17">
        <v>0</v>
      </c>
      <c r="S152" s="15">
        <f t="shared" si="41"/>
        <v>90</v>
      </c>
      <c r="T152" s="15">
        <f t="shared" si="42"/>
        <v>24</v>
      </c>
      <c r="U152" s="15">
        <f t="shared" si="43"/>
        <v>31</v>
      </c>
      <c r="V152" s="15">
        <f t="shared" si="44"/>
        <v>35</v>
      </c>
      <c r="W152" s="18" t="str">
        <f t="shared" si="45"/>
        <v/>
      </c>
      <c r="X152" s="17">
        <v>0</v>
      </c>
      <c r="Y152" s="17">
        <v>0</v>
      </c>
      <c r="Z152" s="15">
        <f t="shared" si="46"/>
        <v>0</v>
      </c>
      <c r="AA152" s="17">
        <v>0</v>
      </c>
      <c r="AB152" s="17">
        <v>0</v>
      </c>
      <c r="AC152" s="15">
        <f t="shared" si="47"/>
        <v>0</v>
      </c>
      <c r="AD152" s="17">
        <v>0</v>
      </c>
      <c r="AE152" s="17">
        <v>0</v>
      </c>
      <c r="AF152" s="15">
        <f t="shared" si="48"/>
        <v>0</v>
      </c>
      <c r="AG152" s="17">
        <v>0</v>
      </c>
      <c r="AH152" s="17">
        <v>0</v>
      </c>
      <c r="AI152" s="15">
        <f t="shared" si="49"/>
        <v>0</v>
      </c>
      <c r="AJ152" s="17"/>
    </row>
    <row r="153" spans="1:36" x14ac:dyDescent="0.3">
      <c r="A153" s="15" t="s">
        <v>202</v>
      </c>
      <c r="B153" s="15">
        <v>100</v>
      </c>
      <c r="C153" s="15" t="s">
        <v>54</v>
      </c>
      <c r="D153" s="15" t="s">
        <v>55</v>
      </c>
      <c r="E153" s="15">
        <f>'15-august-2026'!T153</f>
        <v>13</v>
      </c>
      <c r="F153" s="15">
        <f>'15-august-2026'!U153</f>
        <v>0</v>
      </c>
      <c r="G153" s="15">
        <f>'15-august-2026'!V153</f>
        <v>0</v>
      </c>
      <c r="H153" s="15">
        <f t="shared" si="40"/>
        <v>13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5">
        <f t="shared" si="41"/>
        <v>13</v>
      </c>
      <c r="T153" s="15">
        <f t="shared" si="42"/>
        <v>13</v>
      </c>
      <c r="U153" s="15">
        <f t="shared" si="43"/>
        <v>0</v>
      </c>
      <c r="V153" s="15">
        <f t="shared" si="44"/>
        <v>0</v>
      </c>
      <c r="W153" s="18" t="str">
        <f t="shared" si="45"/>
        <v/>
      </c>
      <c r="X153" s="17">
        <v>0</v>
      </c>
      <c r="Y153" s="17">
        <v>0</v>
      </c>
      <c r="Z153" s="15">
        <f t="shared" si="46"/>
        <v>0</v>
      </c>
      <c r="AA153" s="17">
        <v>0</v>
      </c>
      <c r="AB153" s="17">
        <v>0</v>
      </c>
      <c r="AC153" s="15">
        <f t="shared" si="47"/>
        <v>0</v>
      </c>
      <c r="AD153" s="17">
        <v>0</v>
      </c>
      <c r="AE153" s="17">
        <v>0</v>
      </c>
      <c r="AF153" s="15">
        <f t="shared" si="48"/>
        <v>0</v>
      </c>
      <c r="AG153" s="17">
        <v>0</v>
      </c>
      <c r="AH153" s="17">
        <v>0</v>
      </c>
      <c r="AI153" s="15">
        <f t="shared" si="49"/>
        <v>0</v>
      </c>
      <c r="AJ153" s="17"/>
    </row>
    <row r="154" spans="1:36" x14ac:dyDescent="0.3">
      <c r="A154" s="15" t="s">
        <v>203</v>
      </c>
      <c r="B154" s="15">
        <v>100</v>
      </c>
      <c r="C154" s="15" t="s">
        <v>54</v>
      </c>
      <c r="D154" s="15" t="s">
        <v>55</v>
      </c>
      <c r="E154" s="15">
        <f>'15-august-2026'!T154</f>
        <v>13</v>
      </c>
      <c r="F154" s="15">
        <f>'15-august-2026'!U154</f>
        <v>0</v>
      </c>
      <c r="G154" s="15">
        <f>'15-august-2026'!V154</f>
        <v>0</v>
      </c>
      <c r="H154" s="15">
        <f t="shared" si="40"/>
        <v>13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5">
        <f t="shared" si="41"/>
        <v>13</v>
      </c>
      <c r="T154" s="15">
        <f t="shared" si="42"/>
        <v>13</v>
      </c>
      <c r="U154" s="15">
        <f t="shared" si="43"/>
        <v>0</v>
      </c>
      <c r="V154" s="15">
        <f t="shared" si="44"/>
        <v>0</v>
      </c>
      <c r="W154" s="18" t="str">
        <f t="shared" si="45"/>
        <v/>
      </c>
      <c r="X154" s="17">
        <v>0</v>
      </c>
      <c r="Y154" s="17">
        <v>0</v>
      </c>
      <c r="Z154" s="15">
        <f t="shared" si="46"/>
        <v>0</v>
      </c>
      <c r="AA154" s="17">
        <v>0</v>
      </c>
      <c r="AB154" s="17">
        <v>0</v>
      </c>
      <c r="AC154" s="15">
        <f t="shared" si="47"/>
        <v>0</v>
      </c>
      <c r="AD154" s="17">
        <v>0</v>
      </c>
      <c r="AE154" s="17">
        <v>0</v>
      </c>
      <c r="AF154" s="15">
        <f t="shared" si="48"/>
        <v>0</v>
      </c>
      <c r="AG154" s="17">
        <v>0</v>
      </c>
      <c r="AH154" s="17">
        <v>0</v>
      </c>
      <c r="AI154" s="15">
        <f t="shared" si="49"/>
        <v>0</v>
      </c>
      <c r="AJ154" s="17"/>
    </row>
    <row r="155" spans="1:36" x14ac:dyDescent="0.3">
      <c r="A155" s="15" t="s">
        <v>204</v>
      </c>
      <c r="B155" s="15">
        <v>10000</v>
      </c>
      <c r="C155" s="15" t="s">
        <v>54</v>
      </c>
      <c r="D155" s="15" t="s">
        <v>55</v>
      </c>
      <c r="E155" s="15">
        <v>0</v>
      </c>
      <c r="F155" s="15">
        <v>0</v>
      </c>
      <c r="G155" s="15">
        <v>0</v>
      </c>
      <c r="H155" s="15">
        <f t="shared" si="40"/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5">
        <f t="shared" si="41"/>
        <v>0</v>
      </c>
      <c r="T155" s="15">
        <f t="shared" si="42"/>
        <v>0</v>
      </c>
      <c r="U155" s="15">
        <f t="shared" si="43"/>
        <v>0</v>
      </c>
      <c r="V155" s="15">
        <f t="shared" si="44"/>
        <v>0</v>
      </c>
      <c r="W155" s="18" t="str">
        <f t="shared" si="45"/>
        <v/>
      </c>
      <c r="X155" s="17">
        <v>0</v>
      </c>
      <c r="Y155" s="17">
        <v>0</v>
      </c>
      <c r="Z155" s="15">
        <f t="shared" si="46"/>
        <v>0</v>
      </c>
      <c r="AA155" s="17">
        <v>0</v>
      </c>
      <c r="AB155" s="17">
        <v>0</v>
      </c>
      <c r="AC155" s="15">
        <f t="shared" si="47"/>
        <v>0</v>
      </c>
      <c r="AD155" s="17">
        <v>0</v>
      </c>
      <c r="AE155" s="17">
        <v>0</v>
      </c>
      <c r="AF155" s="15">
        <f t="shared" si="48"/>
        <v>0</v>
      </c>
      <c r="AG155" s="17">
        <v>0</v>
      </c>
      <c r="AH155" s="17">
        <v>0</v>
      </c>
      <c r="AI155" s="15">
        <f t="shared" si="49"/>
        <v>0</v>
      </c>
      <c r="AJ155" s="17"/>
    </row>
    <row r="156" spans="1:36" x14ac:dyDescent="0.3">
      <c r="A156" s="15" t="s">
        <v>205</v>
      </c>
      <c r="B156" s="15">
        <v>1000</v>
      </c>
      <c r="C156" s="15" t="s">
        <v>54</v>
      </c>
      <c r="D156" s="15" t="s">
        <v>57</v>
      </c>
      <c r="E156" s="15">
        <f>'15-august-2026'!T156</f>
        <v>5</v>
      </c>
      <c r="F156" s="15">
        <f>'15-august-2026'!U156</f>
        <v>0</v>
      </c>
      <c r="G156" s="15">
        <f>'15-august-2026'!V156</f>
        <v>0</v>
      </c>
      <c r="H156" s="15">
        <f t="shared" si="40"/>
        <v>5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5">
        <f t="shared" si="41"/>
        <v>5</v>
      </c>
      <c r="T156" s="15">
        <f t="shared" si="42"/>
        <v>5</v>
      </c>
      <c r="U156" s="15">
        <f t="shared" si="43"/>
        <v>0</v>
      </c>
      <c r="V156" s="15">
        <f t="shared" si="44"/>
        <v>0</v>
      </c>
      <c r="W156" s="18" t="str">
        <f t="shared" si="45"/>
        <v/>
      </c>
      <c r="X156" s="17">
        <v>0</v>
      </c>
      <c r="Y156" s="17">
        <v>0</v>
      </c>
      <c r="Z156" s="15">
        <f t="shared" si="46"/>
        <v>0</v>
      </c>
      <c r="AA156" s="17">
        <v>0</v>
      </c>
      <c r="AB156" s="17">
        <v>0</v>
      </c>
      <c r="AC156" s="15">
        <f t="shared" si="47"/>
        <v>0</v>
      </c>
      <c r="AD156" s="17">
        <v>0</v>
      </c>
      <c r="AE156" s="17">
        <v>0</v>
      </c>
      <c r="AF156" s="15">
        <f t="shared" si="48"/>
        <v>0</v>
      </c>
      <c r="AG156" s="17">
        <v>0</v>
      </c>
      <c r="AH156" s="17">
        <v>0</v>
      </c>
      <c r="AI156" s="15">
        <f t="shared" si="49"/>
        <v>0</v>
      </c>
      <c r="AJ156" s="17"/>
    </row>
    <row r="157" spans="1:36" x14ac:dyDescent="0.3">
      <c r="A157" s="15" t="s">
        <v>206</v>
      </c>
      <c r="B157" s="15">
        <v>1000</v>
      </c>
      <c r="C157" s="15" t="s">
        <v>54</v>
      </c>
      <c r="D157" s="15" t="s">
        <v>57</v>
      </c>
      <c r="E157" s="15">
        <f>'15-august-2026'!T157</f>
        <v>-4</v>
      </c>
      <c r="F157" s="15">
        <f>'15-august-2026'!U157</f>
        <v>0</v>
      </c>
      <c r="G157" s="15">
        <f>'15-august-2026'!V157</f>
        <v>0</v>
      </c>
      <c r="H157" s="15">
        <f t="shared" si="40"/>
        <v>-4</v>
      </c>
      <c r="I157" s="17">
        <v>2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5">
        <f t="shared" si="41"/>
        <v>-6</v>
      </c>
      <c r="T157" s="15">
        <f t="shared" si="42"/>
        <v>-6</v>
      </c>
      <c r="U157" s="15">
        <f t="shared" si="43"/>
        <v>0</v>
      </c>
      <c r="V157" s="15">
        <f t="shared" si="44"/>
        <v>0</v>
      </c>
      <c r="W157" s="18" t="str">
        <f t="shared" si="45"/>
        <v>NEGATIVE STOCK - CHECK ENTRIES</v>
      </c>
      <c r="X157" s="17">
        <v>0</v>
      </c>
      <c r="Y157" s="17">
        <v>0</v>
      </c>
      <c r="Z157" s="15">
        <f t="shared" si="46"/>
        <v>0</v>
      </c>
      <c r="AA157" s="17">
        <v>0</v>
      </c>
      <c r="AB157" s="17">
        <v>0</v>
      </c>
      <c r="AC157" s="15">
        <f t="shared" si="47"/>
        <v>0</v>
      </c>
      <c r="AD157" s="17">
        <v>0</v>
      </c>
      <c r="AE157" s="17">
        <v>0</v>
      </c>
      <c r="AF157" s="15">
        <f t="shared" si="48"/>
        <v>0</v>
      </c>
      <c r="AG157" s="17">
        <v>0</v>
      </c>
      <c r="AH157" s="17">
        <v>0</v>
      </c>
      <c r="AI157" s="15">
        <f t="shared" si="49"/>
        <v>0</v>
      </c>
      <c r="AJ157" s="17"/>
    </row>
    <row r="158" spans="1:36" x14ac:dyDescent="0.3">
      <c r="A158" s="15" t="s">
        <v>207</v>
      </c>
      <c r="B158" s="15">
        <v>1000</v>
      </c>
      <c r="C158" s="15" t="s">
        <v>54</v>
      </c>
      <c r="D158" s="15" t="s">
        <v>68</v>
      </c>
      <c r="E158" s="15">
        <f>'15-august-2026'!T158</f>
        <v>3</v>
      </c>
      <c r="F158" s="15">
        <f>'15-august-2026'!U158</f>
        <v>0</v>
      </c>
      <c r="G158" s="15">
        <f>'15-august-2026'!V158</f>
        <v>0</v>
      </c>
      <c r="H158" s="15">
        <f t="shared" si="40"/>
        <v>3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5">
        <f t="shared" si="41"/>
        <v>3</v>
      </c>
      <c r="T158" s="15">
        <f t="shared" si="42"/>
        <v>3</v>
      </c>
      <c r="U158" s="15">
        <f t="shared" si="43"/>
        <v>0</v>
      </c>
      <c r="V158" s="15">
        <f t="shared" si="44"/>
        <v>0</v>
      </c>
      <c r="W158" s="18" t="str">
        <f t="shared" si="45"/>
        <v/>
      </c>
      <c r="X158" s="17">
        <v>0</v>
      </c>
      <c r="Y158" s="17">
        <v>0</v>
      </c>
      <c r="Z158" s="15">
        <f t="shared" si="46"/>
        <v>0</v>
      </c>
      <c r="AA158" s="17">
        <v>0</v>
      </c>
      <c r="AB158" s="17">
        <v>0</v>
      </c>
      <c r="AC158" s="15">
        <f t="shared" si="47"/>
        <v>0</v>
      </c>
      <c r="AD158" s="17">
        <v>0</v>
      </c>
      <c r="AE158" s="17">
        <v>0</v>
      </c>
      <c r="AF158" s="15">
        <f t="shared" si="48"/>
        <v>0</v>
      </c>
      <c r="AG158" s="17">
        <v>0</v>
      </c>
      <c r="AH158" s="17">
        <v>0</v>
      </c>
      <c r="AI158" s="15">
        <f t="shared" si="49"/>
        <v>0</v>
      </c>
      <c r="AJ158" s="17"/>
    </row>
    <row r="159" spans="1:36" x14ac:dyDescent="0.3">
      <c r="A159" s="15" t="s">
        <v>208</v>
      </c>
      <c r="B159" s="15">
        <v>1000</v>
      </c>
      <c r="C159" s="15" t="s">
        <v>54</v>
      </c>
      <c r="D159" s="15" t="s">
        <v>68</v>
      </c>
      <c r="E159" s="15">
        <f>'15-august-2026'!T159</f>
        <v>9</v>
      </c>
      <c r="F159" s="15">
        <f>'15-august-2026'!U159</f>
        <v>0</v>
      </c>
      <c r="G159" s="15">
        <f>'15-august-2026'!V159</f>
        <v>0</v>
      </c>
      <c r="H159" s="15">
        <f t="shared" si="40"/>
        <v>9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5">
        <f t="shared" si="41"/>
        <v>9</v>
      </c>
      <c r="T159" s="15">
        <f t="shared" si="42"/>
        <v>9</v>
      </c>
      <c r="U159" s="15">
        <f t="shared" si="43"/>
        <v>0</v>
      </c>
      <c r="V159" s="15">
        <f t="shared" si="44"/>
        <v>0</v>
      </c>
      <c r="W159" s="18" t="str">
        <f t="shared" si="45"/>
        <v/>
      </c>
      <c r="X159" s="17">
        <v>0</v>
      </c>
      <c r="Y159" s="17">
        <v>0</v>
      </c>
      <c r="Z159" s="15">
        <f t="shared" si="46"/>
        <v>0</v>
      </c>
      <c r="AA159" s="17">
        <v>0</v>
      </c>
      <c r="AB159" s="17">
        <v>0</v>
      </c>
      <c r="AC159" s="15">
        <f t="shared" si="47"/>
        <v>0</v>
      </c>
      <c r="AD159" s="17">
        <v>0</v>
      </c>
      <c r="AE159" s="17">
        <v>0</v>
      </c>
      <c r="AF159" s="15">
        <f t="shared" si="48"/>
        <v>0</v>
      </c>
      <c r="AG159" s="17">
        <v>0</v>
      </c>
      <c r="AH159" s="17">
        <v>0</v>
      </c>
      <c r="AI159" s="15">
        <f t="shared" si="49"/>
        <v>0</v>
      </c>
      <c r="AJ159" s="17"/>
    </row>
    <row r="160" spans="1:36" x14ac:dyDescent="0.3">
      <c r="A160" s="15" t="s">
        <v>209</v>
      </c>
      <c r="B160" s="15">
        <v>100</v>
      </c>
      <c r="C160" s="15" t="s">
        <v>54</v>
      </c>
      <c r="D160" s="15" t="s">
        <v>57</v>
      </c>
      <c r="E160" s="15">
        <f>'15-august-2026'!T160</f>
        <v>1</v>
      </c>
      <c r="F160" s="15">
        <f>'15-august-2026'!U160</f>
        <v>0</v>
      </c>
      <c r="G160" s="15">
        <f>'15-august-2026'!V160</f>
        <v>0</v>
      </c>
      <c r="H160" s="15">
        <f t="shared" si="40"/>
        <v>1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5">
        <f t="shared" si="41"/>
        <v>1</v>
      </c>
      <c r="T160" s="15">
        <f t="shared" si="42"/>
        <v>1</v>
      </c>
      <c r="U160" s="15">
        <f t="shared" si="43"/>
        <v>0</v>
      </c>
      <c r="V160" s="15">
        <f t="shared" si="44"/>
        <v>0</v>
      </c>
      <c r="W160" s="18" t="str">
        <f t="shared" si="45"/>
        <v/>
      </c>
      <c r="X160" s="17">
        <v>0</v>
      </c>
      <c r="Y160" s="17">
        <v>0</v>
      </c>
      <c r="Z160" s="15">
        <f t="shared" si="46"/>
        <v>0</v>
      </c>
      <c r="AA160" s="17">
        <v>0</v>
      </c>
      <c r="AB160" s="17">
        <v>0</v>
      </c>
      <c r="AC160" s="15">
        <f t="shared" si="47"/>
        <v>0</v>
      </c>
      <c r="AD160" s="17">
        <v>0</v>
      </c>
      <c r="AE160" s="17">
        <v>0</v>
      </c>
      <c r="AF160" s="15">
        <f t="shared" si="48"/>
        <v>0</v>
      </c>
      <c r="AG160" s="17">
        <v>0</v>
      </c>
      <c r="AH160" s="17">
        <v>0</v>
      </c>
      <c r="AI160" s="15">
        <f t="shared" si="49"/>
        <v>0</v>
      </c>
      <c r="AJ160" s="17"/>
    </row>
    <row r="161" spans="1:36" x14ac:dyDescent="0.3">
      <c r="A161" s="15" t="s">
        <v>210</v>
      </c>
      <c r="B161" s="15">
        <v>1000</v>
      </c>
      <c r="C161" s="15" t="s">
        <v>54</v>
      </c>
      <c r="D161" s="15" t="s">
        <v>68</v>
      </c>
      <c r="E161" s="15">
        <f>'15-august-2026'!T161</f>
        <v>3</v>
      </c>
      <c r="F161" s="15">
        <f>'15-august-2026'!U161</f>
        <v>0</v>
      </c>
      <c r="G161" s="15">
        <f>'15-august-2026'!V161</f>
        <v>0</v>
      </c>
      <c r="H161" s="15">
        <f t="shared" si="40"/>
        <v>3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5">
        <f t="shared" si="41"/>
        <v>3</v>
      </c>
      <c r="T161" s="15">
        <f t="shared" si="42"/>
        <v>3</v>
      </c>
      <c r="U161" s="15">
        <f t="shared" si="43"/>
        <v>0</v>
      </c>
      <c r="V161" s="15">
        <f t="shared" si="44"/>
        <v>0</v>
      </c>
      <c r="W161" s="18" t="str">
        <f t="shared" si="45"/>
        <v/>
      </c>
      <c r="X161" s="17">
        <v>0</v>
      </c>
      <c r="Y161" s="17">
        <v>0</v>
      </c>
      <c r="Z161" s="15">
        <f t="shared" si="46"/>
        <v>0</v>
      </c>
      <c r="AA161" s="17">
        <v>0</v>
      </c>
      <c r="AB161" s="17">
        <v>0</v>
      </c>
      <c r="AC161" s="15">
        <f t="shared" si="47"/>
        <v>0</v>
      </c>
      <c r="AD161" s="17">
        <v>0</v>
      </c>
      <c r="AE161" s="17">
        <v>0</v>
      </c>
      <c r="AF161" s="15">
        <f t="shared" si="48"/>
        <v>0</v>
      </c>
      <c r="AG161" s="17">
        <v>0</v>
      </c>
      <c r="AH161" s="17">
        <v>0</v>
      </c>
      <c r="AI161" s="15">
        <f t="shared" si="49"/>
        <v>0</v>
      </c>
      <c r="AJ161" s="17"/>
    </row>
    <row r="162" spans="1:36" x14ac:dyDescent="0.3">
      <c r="A162" s="15" t="s">
        <v>211</v>
      </c>
      <c r="B162" s="15">
        <v>100</v>
      </c>
      <c r="C162" s="15" t="s">
        <v>54</v>
      </c>
      <c r="D162" s="15" t="s">
        <v>55</v>
      </c>
      <c r="E162" s="15">
        <f>'15-august-2026'!T162</f>
        <v>87</v>
      </c>
      <c r="F162" s="15">
        <f>'15-august-2026'!U162</f>
        <v>149</v>
      </c>
      <c r="G162" s="15">
        <f>'15-august-2026'!V162</f>
        <v>3</v>
      </c>
      <c r="H162" s="15">
        <f t="shared" si="40"/>
        <v>239</v>
      </c>
      <c r="I162" s="17">
        <v>80</v>
      </c>
      <c r="J162" s="17">
        <v>0</v>
      </c>
      <c r="K162" s="17">
        <v>0</v>
      </c>
      <c r="L162" s="17">
        <v>0</v>
      </c>
      <c r="M162" s="17">
        <v>100</v>
      </c>
      <c r="N162" s="17">
        <v>0</v>
      </c>
      <c r="O162" s="17">
        <v>121</v>
      </c>
      <c r="P162" s="17">
        <v>0</v>
      </c>
      <c r="Q162" s="17">
        <v>0</v>
      </c>
      <c r="R162" s="17">
        <v>0</v>
      </c>
      <c r="S162" s="15">
        <f t="shared" si="41"/>
        <v>180</v>
      </c>
      <c r="T162" s="15">
        <f t="shared" si="42"/>
        <v>128</v>
      </c>
      <c r="U162" s="15">
        <f t="shared" si="43"/>
        <v>49</v>
      </c>
      <c r="V162" s="15">
        <f t="shared" si="44"/>
        <v>3</v>
      </c>
      <c r="W162" s="18" t="str">
        <f t="shared" si="45"/>
        <v/>
      </c>
      <c r="X162" s="17">
        <v>0</v>
      </c>
      <c r="Y162" s="17">
        <v>0</v>
      </c>
      <c r="Z162" s="15">
        <f t="shared" si="46"/>
        <v>0</v>
      </c>
      <c r="AA162" s="17">
        <v>0</v>
      </c>
      <c r="AB162" s="17">
        <v>0</v>
      </c>
      <c r="AC162" s="15">
        <f t="shared" si="47"/>
        <v>0</v>
      </c>
      <c r="AD162" s="17">
        <v>0</v>
      </c>
      <c r="AE162" s="17">
        <v>0</v>
      </c>
      <c r="AF162" s="15">
        <f t="shared" si="48"/>
        <v>0</v>
      </c>
      <c r="AG162" s="17">
        <v>0</v>
      </c>
      <c r="AH162" s="17">
        <v>0</v>
      </c>
      <c r="AI162" s="15">
        <f t="shared" si="49"/>
        <v>0</v>
      </c>
      <c r="AJ162" s="17"/>
    </row>
    <row r="163" spans="1:36" x14ac:dyDescent="0.3">
      <c r="A163" s="15" t="s">
        <v>212</v>
      </c>
      <c r="B163" s="15">
        <v>100</v>
      </c>
      <c r="C163" s="15" t="s">
        <v>54</v>
      </c>
      <c r="D163" s="15" t="s">
        <v>55</v>
      </c>
      <c r="E163" s="15">
        <f>'15-august-2026'!T163</f>
        <v>11</v>
      </c>
      <c r="F163" s="15">
        <f>'15-august-2026'!U163</f>
        <v>6</v>
      </c>
      <c r="G163" s="15">
        <f>'15-august-2026'!V163</f>
        <v>3</v>
      </c>
      <c r="H163" s="15">
        <f t="shared" ref="H163:H194" si="50">E163+F163+G163</f>
        <v>20</v>
      </c>
      <c r="I163" s="17">
        <v>1</v>
      </c>
      <c r="J163" s="17">
        <v>0</v>
      </c>
      <c r="K163" s="17">
        <v>0</v>
      </c>
      <c r="L163" s="17">
        <v>4</v>
      </c>
      <c r="M163" s="17">
        <v>0</v>
      </c>
      <c r="N163" s="17">
        <v>0</v>
      </c>
      <c r="O163" s="17">
        <v>5</v>
      </c>
      <c r="P163" s="17">
        <v>0</v>
      </c>
      <c r="Q163" s="17">
        <v>0</v>
      </c>
      <c r="R163" s="17">
        <v>0</v>
      </c>
      <c r="S163" s="15">
        <f t="shared" ref="S163:S194" si="51">H163+O163+P163+Q163+R163-(I163+J163+K163+L163+M163+N163)</f>
        <v>20</v>
      </c>
      <c r="T163" s="15">
        <f t="shared" ref="T163:T199" si="52">E163+O163-I163-L163</f>
        <v>11</v>
      </c>
      <c r="U163" s="15">
        <f t="shared" ref="U163:U199" si="53">F163+P163-J163-M163</f>
        <v>6</v>
      </c>
      <c r="V163" s="15">
        <f t="shared" ref="V163:V199" si="54">G163+Q163-K163-N163</f>
        <v>3</v>
      </c>
      <c r="W163" s="18" t="str">
        <f t="shared" ref="W163:W194" si="55">IF(MIN(T163,U163,V163)&lt;0,"NEGATIVE STOCK - CHECK ENTRIES","")</f>
        <v/>
      </c>
      <c r="X163" s="17">
        <v>0</v>
      </c>
      <c r="Y163" s="17">
        <v>0</v>
      </c>
      <c r="Z163" s="15">
        <f t="shared" ref="Z163:Z194" si="56">X163-Y163</f>
        <v>0</v>
      </c>
      <c r="AA163" s="17">
        <v>0</v>
      </c>
      <c r="AB163" s="17">
        <v>0</v>
      </c>
      <c r="AC163" s="15">
        <f t="shared" ref="AC163:AC194" si="57">AA163-AB163</f>
        <v>0</v>
      </c>
      <c r="AD163" s="17">
        <v>0</v>
      </c>
      <c r="AE163" s="17">
        <v>0</v>
      </c>
      <c r="AF163" s="15">
        <f t="shared" ref="AF163:AF194" si="58">AD163-AE163</f>
        <v>0</v>
      </c>
      <c r="AG163" s="17">
        <v>0</v>
      </c>
      <c r="AH163" s="17">
        <v>0</v>
      </c>
      <c r="AI163" s="15">
        <f t="shared" ref="AI163:AI194" si="59">AG163-AH163</f>
        <v>0</v>
      </c>
      <c r="AJ163" s="17"/>
    </row>
    <row r="164" spans="1:36" x14ac:dyDescent="0.3">
      <c r="A164" s="15" t="s">
        <v>213</v>
      </c>
      <c r="B164" s="15">
        <v>100</v>
      </c>
      <c r="C164" s="15" t="s">
        <v>54</v>
      </c>
      <c r="D164" s="15" t="s">
        <v>55</v>
      </c>
      <c r="E164" s="15">
        <f>'15-august-2026'!T164</f>
        <v>397</v>
      </c>
      <c r="F164" s="15">
        <f>'15-august-2026'!U164</f>
        <v>85</v>
      </c>
      <c r="G164" s="15">
        <f>'15-august-2026'!V164</f>
        <v>8</v>
      </c>
      <c r="H164" s="15">
        <f t="shared" si="50"/>
        <v>490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125</v>
      </c>
      <c r="P164" s="17">
        <v>0</v>
      </c>
      <c r="Q164" s="17">
        <v>0</v>
      </c>
      <c r="R164" s="17">
        <v>0</v>
      </c>
      <c r="S164" s="15">
        <f t="shared" si="51"/>
        <v>615</v>
      </c>
      <c r="T164" s="15">
        <f t="shared" si="52"/>
        <v>522</v>
      </c>
      <c r="U164" s="15">
        <f t="shared" si="53"/>
        <v>85</v>
      </c>
      <c r="V164" s="15">
        <f t="shared" si="54"/>
        <v>8</v>
      </c>
      <c r="W164" s="18" t="str">
        <f t="shared" si="55"/>
        <v/>
      </c>
      <c r="X164" s="17">
        <v>0</v>
      </c>
      <c r="Y164" s="17">
        <v>0</v>
      </c>
      <c r="Z164" s="15">
        <f t="shared" si="56"/>
        <v>0</v>
      </c>
      <c r="AA164" s="17">
        <v>0</v>
      </c>
      <c r="AB164" s="17">
        <v>0</v>
      </c>
      <c r="AC164" s="15">
        <f t="shared" si="57"/>
        <v>0</v>
      </c>
      <c r="AD164" s="17">
        <v>0</v>
      </c>
      <c r="AE164" s="17">
        <v>0</v>
      </c>
      <c r="AF164" s="15">
        <f t="shared" si="58"/>
        <v>0</v>
      </c>
      <c r="AG164" s="17">
        <v>0</v>
      </c>
      <c r="AH164" s="17">
        <v>0</v>
      </c>
      <c r="AI164" s="15">
        <f t="shared" si="59"/>
        <v>0</v>
      </c>
      <c r="AJ164" s="17"/>
    </row>
    <row r="165" spans="1:36" x14ac:dyDescent="0.3">
      <c r="A165" s="15" t="s">
        <v>213</v>
      </c>
      <c r="B165" s="15">
        <v>1000</v>
      </c>
      <c r="C165" s="15" t="s">
        <v>54</v>
      </c>
      <c r="D165" s="15" t="s">
        <v>55</v>
      </c>
      <c r="E165" s="15">
        <f>'15-august-2026'!T165</f>
        <v>474</v>
      </c>
      <c r="F165" s="15">
        <f>'15-august-2026'!U165</f>
        <v>131</v>
      </c>
      <c r="G165" s="15">
        <f>'15-august-2026'!V165</f>
        <v>0</v>
      </c>
      <c r="H165" s="15">
        <f t="shared" si="50"/>
        <v>605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7</v>
      </c>
      <c r="P165" s="17">
        <v>0</v>
      </c>
      <c r="Q165" s="17">
        <v>0</v>
      </c>
      <c r="R165" s="17">
        <v>0</v>
      </c>
      <c r="S165" s="15">
        <f t="shared" si="51"/>
        <v>612</v>
      </c>
      <c r="T165" s="15">
        <f t="shared" si="52"/>
        <v>481</v>
      </c>
      <c r="U165" s="15">
        <f t="shared" si="53"/>
        <v>131</v>
      </c>
      <c r="V165" s="15">
        <f t="shared" si="54"/>
        <v>0</v>
      </c>
      <c r="W165" s="18" t="str">
        <f t="shared" si="55"/>
        <v/>
      </c>
      <c r="X165" s="17">
        <v>0</v>
      </c>
      <c r="Y165" s="17">
        <v>0</v>
      </c>
      <c r="Z165" s="15">
        <f t="shared" si="56"/>
        <v>0</v>
      </c>
      <c r="AA165" s="17">
        <v>0</v>
      </c>
      <c r="AB165" s="17">
        <v>0</v>
      </c>
      <c r="AC165" s="15">
        <f t="shared" si="57"/>
        <v>0</v>
      </c>
      <c r="AD165" s="17">
        <v>0</v>
      </c>
      <c r="AE165" s="17">
        <v>0</v>
      </c>
      <c r="AF165" s="15">
        <f t="shared" si="58"/>
        <v>0</v>
      </c>
      <c r="AG165" s="17">
        <v>0</v>
      </c>
      <c r="AH165" s="17">
        <v>0</v>
      </c>
      <c r="AI165" s="15">
        <f t="shared" si="59"/>
        <v>0</v>
      </c>
      <c r="AJ165" s="17"/>
    </row>
    <row r="166" spans="1:36" x14ac:dyDescent="0.3">
      <c r="A166" s="15" t="s">
        <v>213</v>
      </c>
      <c r="B166" s="15">
        <v>500</v>
      </c>
      <c r="C166" s="15" t="s">
        <v>54</v>
      </c>
      <c r="D166" s="15" t="s">
        <v>55</v>
      </c>
      <c r="E166" s="15">
        <f>'15-august-2026'!T166</f>
        <v>110</v>
      </c>
      <c r="F166" s="15">
        <f>'15-august-2026'!U166</f>
        <v>0</v>
      </c>
      <c r="G166" s="15">
        <f>'15-august-2026'!V166</f>
        <v>0</v>
      </c>
      <c r="H166" s="15">
        <f t="shared" si="50"/>
        <v>110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5">
        <f t="shared" si="51"/>
        <v>110</v>
      </c>
      <c r="T166" s="15">
        <f t="shared" si="52"/>
        <v>110</v>
      </c>
      <c r="U166" s="15">
        <f t="shared" si="53"/>
        <v>0</v>
      </c>
      <c r="V166" s="15">
        <f t="shared" si="54"/>
        <v>0</v>
      </c>
      <c r="W166" s="18" t="str">
        <f t="shared" si="55"/>
        <v/>
      </c>
      <c r="X166" s="17">
        <v>0</v>
      </c>
      <c r="Y166" s="17">
        <v>0</v>
      </c>
      <c r="Z166" s="15">
        <f t="shared" si="56"/>
        <v>0</v>
      </c>
      <c r="AA166" s="17">
        <v>0</v>
      </c>
      <c r="AB166" s="17">
        <v>0</v>
      </c>
      <c r="AC166" s="15">
        <f t="shared" si="57"/>
        <v>0</v>
      </c>
      <c r="AD166" s="17">
        <v>0</v>
      </c>
      <c r="AE166" s="17">
        <v>0</v>
      </c>
      <c r="AF166" s="15">
        <f t="shared" si="58"/>
        <v>0</v>
      </c>
      <c r="AG166" s="17">
        <v>0</v>
      </c>
      <c r="AH166" s="17">
        <v>0</v>
      </c>
      <c r="AI166" s="15">
        <f t="shared" si="59"/>
        <v>0</v>
      </c>
      <c r="AJ166" s="17"/>
    </row>
    <row r="167" spans="1:36" x14ac:dyDescent="0.3">
      <c r="A167" s="15" t="s">
        <v>214</v>
      </c>
      <c r="B167" s="15">
        <v>1000</v>
      </c>
      <c r="C167" s="15" t="s">
        <v>54</v>
      </c>
      <c r="D167" s="15" t="s">
        <v>55</v>
      </c>
      <c r="E167" s="15">
        <f>'15-august-2026'!T167</f>
        <v>23</v>
      </c>
      <c r="F167" s="15">
        <f>'15-august-2026'!U167</f>
        <v>0</v>
      </c>
      <c r="G167" s="15">
        <f>'15-august-2026'!V167</f>
        <v>2</v>
      </c>
      <c r="H167" s="15">
        <f t="shared" si="50"/>
        <v>25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5">
        <f t="shared" si="51"/>
        <v>25</v>
      </c>
      <c r="T167" s="15">
        <f t="shared" si="52"/>
        <v>23</v>
      </c>
      <c r="U167" s="15">
        <f t="shared" si="53"/>
        <v>0</v>
      </c>
      <c r="V167" s="15">
        <f t="shared" si="54"/>
        <v>2</v>
      </c>
      <c r="W167" s="18" t="str">
        <f t="shared" si="55"/>
        <v/>
      </c>
      <c r="X167" s="17">
        <v>0</v>
      </c>
      <c r="Y167" s="17">
        <v>0</v>
      </c>
      <c r="Z167" s="15">
        <f t="shared" si="56"/>
        <v>0</v>
      </c>
      <c r="AA167" s="17">
        <v>0</v>
      </c>
      <c r="AB167" s="17">
        <v>0</v>
      </c>
      <c r="AC167" s="15">
        <f t="shared" si="57"/>
        <v>0</v>
      </c>
      <c r="AD167" s="17">
        <v>0</v>
      </c>
      <c r="AE167" s="17">
        <v>0</v>
      </c>
      <c r="AF167" s="15">
        <f t="shared" si="58"/>
        <v>0</v>
      </c>
      <c r="AG167" s="17">
        <v>0</v>
      </c>
      <c r="AH167" s="17">
        <v>0</v>
      </c>
      <c r="AI167" s="15">
        <f t="shared" si="59"/>
        <v>0</v>
      </c>
      <c r="AJ167" s="17"/>
    </row>
    <row r="168" spans="1:36" x14ac:dyDescent="0.3">
      <c r="A168" s="15" t="s">
        <v>215</v>
      </c>
      <c r="B168" s="15">
        <v>100</v>
      </c>
      <c r="C168" s="15" t="s">
        <v>54</v>
      </c>
      <c r="D168" s="15" t="s">
        <v>55</v>
      </c>
      <c r="E168" s="15">
        <f>'15-august-2026'!T168</f>
        <v>363</v>
      </c>
      <c r="F168" s="15">
        <f>'15-august-2026'!U168</f>
        <v>642</v>
      </c>
      <c r="G168" s="15">
        <f>'15-august-2026'!V168</f>
        <v>0</v>
      </c>
      <c r="H168" s="15">
        <f t="shared" si="50"/>
        <v>1005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5">
        <f t="shared" si="51"/>
        <v>1005</v>
      </c>
      <c r="T168" s="15">
        <f t="shared" si="52"/>
        <v>363</v>
      </c>
      <c r="U168" s="15">
        <f t="shared" si="53"/>
        <v>642</v>
      </c>
      <c r="V168" s="15">
        <f t="shared" si="54"/>
        <v>0</v>
      </c>
      <c r="W168" s="18" t="str">
        <f t="shared" si="55"/>
        <v/>
      </c>
      <c r="X168" s="17">
        <v>0</v>
      </c>
      <c r="Y168" s="17">
        <v>0</v>
      </c>
      <c r="Z168" s="15">
        <f t="shared" si="56"/>
        <v>0</v>
      </c>
      <c r="AA168" s="17">
        <v>0</v>
      </c>
      <c r="AB168" s="17">
        <v>0</v>
      </c>
      <c r="AC168" s="15">
        <f t="shared" si="57"/>
        <v>0</v>
      </c>
      <c r="AD168" s="17">
        <v>0</v>
      </c>
      <c r="AE168" s="17">
        <v>0</v>
      </c>
      <c r="AF168" s="15">
        <f t="shared" si="58"/>
        <v>0</v>
      </c>
      <c r="AG168" s="17">
        <v>0</v>
      </c>
      <c r="AH168" s="17">
        <v>0</v>
      </c>
      <c r="AI168" s="15">
        <f t="shared" si="59"/>
        <v>0</v>
      </c>
      <c r="AJ168" s="17"/>
    </row>
    <row r="169" spans="1:36" x14ac:dyDescent="0.3">
      <c r="A169" s="15" t="s">
        <v>216</v>
      </c>
      <c r="B169" s="15">
        <v>100</v>
      </c>
      <c r="C169" s="15" t="s">
        <v>54</v>
      </c>
      <c r="D169" s="15" t="s">
        <v>55</v>
      </c>
      <c r="E169" s="15">
        <f>'15-august-2026'!T169</f>
        <v>0</v>
      </c>
      <c r="F169" s="15">
        <f>'15-august-2026'!U169</f>
        <v>9</v>
      </c>
      <c r="G169" s="15">
        <f>'15-august-2026'!V169</f>
        <v>0</v>
      </c>
      <c r="H169" s="15">
        <f t="shared" si="50"/>
        <v>9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5">
        <f t="shared" si="51"/>
        <v>9</v>
      </c>
      <c r="T169" s="15">
        <f t="shared" si="52"/>
        <v>0</v>
      </c>
      <c r="U169" s="15">
        <f t="shared" si="53"/>
        <v>9</v>
      </c>
      <c r="V169" s="15">
        <f t="shared" si="54"/>
        <v>0</v>
      </c>
      <c r="W169" s="18" t="str">
        <f t="shared" si="55"/>
        <v/>
      </c>
      <c r="X169" s="17">
        <v>0</v>
      </c>
      <c r="Y169" s="17">
        <v>0</v>
      </c>
      <c r="Z169" s="15">
        <f t="shared" si="56"/>
        <v>0</v>
      </c>
      <c r="AA169" s="17">
        <v>0</v>
      </c>
      <c r="AB169" s="17">
        <v>0</v>
      </c>
      <c r="AC169" s="15">
        <f t="shared" si="57"/>
        <v>0</v>
      </c>
      <c r="AD169" s="17">
        <v>0</v>
      </c>
      <c r="AE169" s="17">
        <v>0</v>
      </c>
      <c r="AF169" s="15">
        <f t="shared" si="58"/>
        <v>0</v>
      </c>
      <c r="AG169" s="17">
        <v>0</v>
      </c>
      <c r="AH169" s="17">
        <v>0</v>
      </c>
      <c r="AI169" s="15">
        <f t="shared" si="59"/>
        <v>0</v>
      </c>
      <c r="AJ169" s="17"/>
    </row>
    <row r="170" spans="1:36" x14ac:dyDescent="0.3">
      <c r="A170" s="15" t="s">
        <v>217</v>
      </c>
      <c r="B170" s="15">
        <v>100</v>
      </c>
      <c r="C170" s="15" t="s">
        <v>54</v>
      </c>
      <c r="D170" s="15" t="s">
        <v>55</v>
      </c>
      <c r="E170" s="15">
        <f>'15-august-2026'!T170</f>
        <v>2</v>
      </c>
      <c r="F170" s="15">
        <f>'15-august-2026'!U170</f>
        <v>5</v>
      </c>
      <c r="G170" s="15">
        <f>'15-august-2026'!V170</f>
        <v>0</v>
      </c>
      <c r="H170" s="15">
        <f t="shared" si="50"/>
        <v>7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20</v>
      </c>
      <c r="P170" s="17">
        <v>0</v>
      </c>
      <c r="Q170" s="17">
        <v>0</v>
      </c>
      <c r="R170" s="17">
        <v>0</v>
      </c>
      <c r="S170" s="15">
        <f t="shared" si="51"/>
        <v>27</v>
      </c>
      <c r="T170" s="15">
        <f t="shared" si="52"/>
        <v>22</v>
      </c>
      <c r="U170" s="15">
        <f t="shared" si="53"/>
        <v>5</v>
      </c>
      <c r="V170" s="15">
        <f t="shared" si="54"/>
        <v>0</v>
      </c>
      <c r="W170" s="18" t="str">
        <f t="shared" si="55"/>
        <v/>
      </c>
      <c r="X170" s="17">
        <v>0</v>
      </c>
      <c r="Y170" s="17">
        <v>0</v>
      </c>
      <c r="Z170" s="15">
        <f t="shared" si="56"/>
        <v>0</v>
      </c>
      <c r="AA170" s="17">
        <v>0</v>
      </c>
      <c r="AB170" s="17">
        <v>0</v>
      </c>
      <c r="AC170" s="15">
        <f t="shared" si="57"/>
        <v>0</v>
      </c>
      <c r="AD170" s="17">
        <v>0</v>
      </c>
      <c r="AE170" s="17">
        <v>0</v>
      </c>
      <c r="AF170" s="15">
        <f t="shared" si="58"/>
        <v>0</v>
      </c>
      <c r="AG170" s="17">
        <v>0</v>
      </c>
      <c r="AH170" s="17">
        <v>0</v>
      </c>
      <c r="AI170" s="15">
        <f t="shared" si="59"/>
        <v>0</v>
      </c>
      <c r="AJ170" s="17"/>
    </row>
    <row r="171" spans="1:36" x14ac:dyDescent="0.3">
      <c r="A171" s="15" t="s">
        <v>218</v>
      </c>
      <c r="B171" s="15">
        <v>100</v>
      </c>
      <c r="C171" s="15" t="s">
        <v>54</v>
      </c>
      <c r="D171" s="15" t="s">
        <v>55</v>
      </c>
      <c r="E171" s="15">
        <f>'15-august-2026'!T171</f>
        <v>254</v>
      </c>
      <c r="F171" s="15">
        <f>'15-august-2026'!U171</f>
        <v>43</v>
      </c>
      <c r="G171" s="15">
        <f>'15-august-2026'!V171</f>
        <v>1</v>
      </c>
      <c r="H171" s="15">
        <f t="shared" si="50"/>
        <v>298</v>
      </c>
      <c r="I171" s="17">
        <v>0</v>
      </c>
      <c r="J171" s="17">
        <v>0</v>
      </c>
      <c r="K171" s="17">
        <v>0</v>
      </c>
      <c r="L171" s="17">
        <v>10</v>
      </c>
      <c r="M171" s="17">
        <v>7</v>
      </c>
      <c r="N171" s="17">
        <v>0</v>
      </c>
      <c r="O171" s="17">
        <v>8</v>
      </c>
      <c r="P171" s="17">
        <v>0</v>
      </c>
      <c r="Q171" s="17">
        <v>7</v>
      </c>
      <c r="R171" s="17">
        <v>0</v>
      </c>
      <c r="S171" s="15">
        <f t="shared" si="51"/>
        <v>296</v>
      </c>
      <c r="T171" s="15">
        <f t="shared" si="52"/>
        <v>252</v>
      </c>
      <c r="U171" s="15">
        <f t="shared" si="53"/>
        <v>36</v>
      </c>
      <c r="V171" s="15">
        <f t="shared" si="54"/>
        <v>8</v>
      </c>
      <c r="W171" s="18" t="str">
        <f t="shared" si="55"/>
        <v/>
      </c>
      <c r="X171" s="17">
        <v>0</v>
      </c>
      <c r="Y171" s="17">
        <v>0</v>
      </c>
      <c r="Z171" s="15">
        <f t="shared" si="56"/>
        <v>0</v>
      </c>
      <c r="AA171" s="17">
        <v>0</v>
      </c>
      <c r="AB171" s="17">
        <v>0</v>
      </c>
      <c r="AC171" s="15">
        <f t="shared" si="57"/>
        <v>0</v>
      </c>
      <c r="AD171" s="17">
        <v>0</v>
      </c>
      <c r="AE171" s="17">
        <v>0</v>
      </c>
      <c r="AF171" s="15">
        <f t="shared" si="58"/>
        <v>0</v>
      </c>
      <c r="AG171" s="17">
        <v>0</v>
      </c>
      <c r="AH171" s="17">
        <v>0</v>
      </c>
      <c r="AI171" s="15">
        <f t="shared" si="59"/>
        <v>0</v>
      </c>
      <c r="AJ171" s="17"/>
    </row>
    <row r="172" spans="1:36" x14ac:dyDescent="0.3">
      <c r="A172" s="15" t="s">
        <v>219</v>
      </c>
      <c r="B172" s="15">
        <v>100</v>
      </c>
      <c r="C172" s="15" t="s">
        <v>54</v>
      </c>
      <c r="D172" s="15" t="s">
        <v>55</v>
      </c>
      <c r="E172" s="15">
        <f>'15-august-2026'!T172</f>
        <v>32</v>
      </c>
      <c r="F172" s="15">
        <f>'15-august-2026'!U172</f>
        <v>1</v>
      </c>
      <c r="G172" s="15">
        <f>'15-august-2026'!V172</f>
        <v>0</v>
      </c>
      <c r="H172" s="15">
        <f t="shared" si="50"/>
        <v>33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5">
        <f t="shared" si="51"/>
        <v>33</v>
      </c>
      <c r="T172" s="15">
        <f t="shared" si="52"/>
        <v>32</v>
      </c>
      <c r="U172" s="15">
        <f t="shared" si="53"/>
        <v>1</v>
      </c>
      <c r="V172" s="15">
        <f t="shared" si="54"/>
        <v>0</v>
      </c>
      <c r="W172" s="18" t="str">
        <f t="shared" si="55"/>
        <v/>
      </c>
      <c r="X172" s="17">
        <v>0</v>
      </c>
      <c r="Y172" s="17">
        <v>0</v>
      </c>
      <c r="Z172" s="15">
        <f t="shared" si="56"/>
        <v>0</v>
      </c>
      <c r="AA172" s="17">
        <v>0</v>
      </c>
      <c r="AB172" s="17">
        <v>0</v>
      </c>
      <c r="AC172" s="15">
        <f t="shared" si="57"/>
        <v>0</v>
      </c>
      <c r="AD172" s="17">
        <v>0</v>
      </c>
      <c r="AE172" s="17">
        <v>0</v>
      </c>
      <c r="AF172" s="15">
        <f t="shared" si="58"/>
        <v>0</v>
      </c>
      <c r="AG172" s="17">
        <v>0</v>
      </c>
      <c r="AH172" s="17">
        <v>0</v>
      </c>
      <c r="AI172" s="15">
        <f t="shared" si="59"/>
        <v>0</v>
      </c>
      <c r="AJ172" s="17"/>
    </row>
    <row r="173" spans="1:36" x14ac:dyDescent="0.3">
      <c r="A173" s="15" t="s">
        <v>220</v>
      </c>
      <c r="B173" s="15">
        <v>1000</v>
      </c>
      <c r="C173" s="15" t="s">
        <v>54</v>
      </c>
      <c r="D173" s="15" t="s">
        <v>57</v>
      </c>
      <c r="E173" s="15">
        <f>'15-august-2026'!T173</f>
        <v>5</v>
      </c>
      <c r="F173" s="15">
        <f>'15-august-2026'!U173</f>
        <v>0</v>
      </c>
      <c r="G173" s="15">
        <f>'15-august-2026'!V173</f>
        <v>0</v>
      </c>
      <c r="H173" s="15">
        <f t="shared" si="50"/>
        <v>5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5">
        <f t="shared" si="51"/>
        <v>5</v>
      </c>
      <c r="T173" s="15">
        <f t="shared" si="52"/>
        <v>5</v>
      </c>
      <c r="U173" s="15">
        <f t="shared" si="53"/>
        <v>0</v>
      </c>
      <c r="V173" s="15">
        <f t="shared" si="54"/>
        <v>0</v>
      </c>
      <c r="W173" s="18" t="str">
        <f t="shared" si="55"/>
        <v/>
      </c>
      <c r="X173" s="17">
        <v>0</v>
      </c>
      <c r="Y173" s="17">
        <v>0</v>
      </c>
      <c r="Z173" s="15">
        <f t="shared" si="56"/>
        <v>0</v>
      </c>
      <c r="AA173" s="17">
        <v>0</v>
      </c>
      <c r="AB173" s="17">
        <v>0</v>
      </c>
      <c r="AC173" s="15">
        <f t="shared" si="57"/>
        <v>0</v>
      </c>
      <c r="AD173" s="17">
        <v>0</v>
      </c>
      <c r="AE173" s="17">
        <v>0</v>
      </c>
      <c r="AF173" s="15">
        <f t="shared" si="58"/>
        <v>0</v>
      </c>
      <c r="AG173" s="17">
        <v>0</v>
      </c>
      <c r="AH173" s="17">
        <v>0</v>
      </c>
      <c r="AI173" s="15">
        <f t="shared" si="59"/>
        <v>0</v>
      </c>
      <c r="AJ173" s="17"/>
    </row>
    <row r="174" spans="1:36" x14ac:dyDescent="0.3">
      <c r="A174" s="15" t="s">
        <v>221</v>
      </c>
      <c r="B174" s="15">
        <v>1000</v>
      </c>
      <c r="C174" s="15" t="s">
        <v>54</v>
      </c>
      <c r="D174" s="15" t="s">
        <v>68</v>
      </c>
      <c r="E174" s="15">
        <f>'15-august-2026'!T174</f>
        <v>2</v>
      </c>
      <c r="F174" s="15">
        <f>'15-august-2026'!U174</f>
        <v>0</v>
      </c>
      <c r="G174" s="15">
        <f>'15-august-2026'!V174</f>
        <v>0</v>
      </c>
      <c r="H174" s="15">
        <f t="shared" si="50"/>
        <v>2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5">
        <f t="shared" si="51"/>
        <v>2</v>
      </c>
      <c r="T174" s="15">
        <f t="shared" si="52"/>
        <v>2</v>
      </c>
      <c r="U174" s="15">
        <f t="shared" si="53"/>
        <v>0</v>
      </c>
      <c r="V174" s="15">
        <f t="shared" si="54"/>
        <v>0</v>
      </c>
      <c r="W174" s="18" t="str">
        <f t="shared" si="55"/>
        <v/>
      </c>
      <c r="X174" s="17">
        <v>0</v>
      </c>
      <c r="Y174" s="17">
        <v>0</v>
      </c>
      <c r="Z174" s="15">
        <f t="shared" si="56"/>
        <v>0</v>
      </c>
      <c r="AA174" s="17">
        <v>0</v>
      </c>
      <c r="AB174" s="17">
        <v>0</v>
      </c>
      <c r="AC174" s="15">
        <f t="shared" si="57"/>
        <v>0</v>
      </c>
      <c r="AD174" s="17">
        <v>0</v>
      </c>
      <c r="AE174" s="17">
        <v>0</v>
      </c>
      <c r="AF174" s="15">
        <f t="shared" si="58"/>
        <v>0</v>
      </c>
      <c r="AG174" s="17">
        <v>0</v>
      </c>
      <c r="AH174" s="17">
        <v>0</v>
      </c>
      <c r="AI174" s="15">
        <f t="shared" si="59"/>
        <v>0</v>
      </c>
      <c r="AJ174" s="17"/>
    </row>
    <row r="175" spans="1:36" x14ac:dyDescent="0.3">
      <c r="A175" s="15" t="s">
        <v>222</v>
      </c>
      <c r="B175" s="15">
        <v>1000</v>
      </c>
      <c r="C175" s="15" t="s">
        <v>54</v>
      </c>
      <c r="D175" s="15" t="s">
        <v>68</v>
      </c>
      <c r="E175" s="15">
        <f>'15-august-2026'!T175</f>
        <v>2</v>
      </c>
      <c r="F175" s="15">
        <f>'15-august-2026'!U175</f>
        <v>0</v>
      </c>
      <c r="G175" s="15">
        <f>'15-august-2026'!V175</f>
        <v>0</v>
      </c>
      <c r="H175" s="15">
        <f t="shared" si="50"/>
        <v>2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5">
        <f t="shared" si="51"/>
        <v>2</v>
      </c>
      <c r="T175" s="15">
        <f t="shared" si="52"/>
        <v>2</v>
      </c>
      <c r="U175" s="15">
        <f t="shared" si="53"/>
        <v>0</v>
      </c>
      <c r="V175" s="15">
        <f t="shared" si="54"/>
        <v>0</v>
      </c>
      <c r="W175" s="18" t="str">
        <f t="shared" si="55"/>
        <v/>
      </c>
      <c r="X175" s="17">
        <v>0</v>
      </c>
      <c r="Y175" s="17">
        <v>0</v>
      </c>
      <c r="Z175" s="15">
        <f t="shared" si="56"/>
        <v>0</v>
      </c>
      <c r="AA175" s="17">
        <v>0</v>
      </c>
      <c r="AB175" s="17">
        <v>0</v>
      </c>
      <c r="AC175" s="15">
        <f t="shared" si="57"/>
        <v>0</v>
      </c>
      <c r="AD175" s="17">
        <v>0</v>
      </c>
      <c r="AE175" s="17">
        <v>0</v>
      </c>
      <c r="AF175" s="15">
        <f t="shared" si="58"/>
        <v>0</v>
      </c>
      <c r="AG175" s="17">
        <v>0</v>
      </c>
      <c r="AH175" s="17">
        <v>0</v>
      </c>
      <c r="AI175" s="15">
        <f t="shared" si="59"/>
        <v>0</v>
      </c>
      <c r="AJ175" s="17"/>
    </row>
    <row r="176" spans="1:36" x14ac:dyDescent="0.3">
      <c r="A176" s="15" t="s">
        <v>223</v>
      </c>
      <c r="B176" s="15">
        <v>100</v>
      </c>
      <c r="C176" s="15" t="s">
        <v>54</v>
      </c>
      <c r="D176" s="15" t="s">
        <v>57</v>
      </c>
      <c r="E176" s="15">
        <f>'15-august-2026'!T176</f>
        <v>1</v>
      </c>
      <c r="F176" s="15">
        <f>'15-august-2026'!U176</f>
        <v>0</v>
      </c>
      <c r="G176" s="15">
        <f>'15-august-2026'!V176</f>
        <v>0</v>
      </c>
      <c r="H176" s="15">
        <f t="shared" si="50"/>
        <v>1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5">
        <f t="shared" si="51"/>
        <v>1</v>
      </c>
      <c r="T176" s="15">
        <f t="shared" si="52"/>
        <v>1</v>
      </c>
      <c r="U176" s="15">
        <f t="shared" si="53"/>
        <v>0</v>
      </c>
      <c r="V176" s="15">
        <f t="shared" si="54"/>
        <v>0</v>
      </c>
      <c r="W176" s="18" t="str">
        <f t="shared" si="55"/>
        <v/>
      </c>
      <c r="X176" s="17">
        <v>0</v>
      </c>
      <c r="Y176" s="17">
        <v>0</v>
      </c>
      <c r="Z176" s="15">
        <f t="shared" si="56"/>
        <v>0</v>
      </c>
      <c r="AA176" s="17">
        <v>0</v>
      </c>
      <c r="AB176" s="17">
        <v>0</v>
      </c>
      <c r="AC176" s="15">
        <f t="shared" si="57"/>
        <v>0</v>
      </c>
      <c r="AD176" s="17">
        <v>0</v>
      </c>
      <c r="AE176" s="17">
        <v>0</v>
      </c>
      <c r="AF176" s="15">
        <f t="shared" si="58"/>
        <v>0</v>
      </c>
      <c r="AG176" s="17">
        <v>0</v>
      </c>
      <c r="AH176" s="17">
        <v>0</v>
      </c>
      <c r="AI176" s="15">
        <f t="shared" si="59"/>
        <v>0</v>
      </c>
      <c r="AJ176" s="17"/>
    </row>
    <row r="177" spans="1:36" x14ac:dyDescent="0.3">
      <c r="A177" s="15" t="s">
        <v>224</v>
      </c>
      <c r="B177" s="15" t="s">
        <v>225</v>
      </c>
      <c r="C177" s="15" t="s">
        <v>54</v>
      </c>
      <c r="D177" s="15" t="s">
        <v>55</v>
      </c>
      <c r="E177" s="15">
        <f>'15-august-2026'!T177</f>
        <v>0</v>
      </c>
      <c r="F177" s="15">
        <f>'15-august-2026'!U177</f>
        <v>4</v>
      </c>
      <c r="G177" s="15">
        <f>'15-august-2026'!V177</f>
        <v>0</v>
      </c>
      <c r="H177" s="15">
        <f t="shared" si="50"/>
        <v>4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5">
        <f t="shared" si="51"/>
        <v>4</v>
      </c>
      <c r="T177" s="15">
        <f t="shared" si="52"/>
        <v>0</v>
      </c>
      <c r="U177" s="15">
        <f t="shared" si="53"/>
        <v>4</v>
      </c>
      <c r="V177" s="15">
        <f t="shared" si="54"/>
        <v>0</v>
      </c>
      <c r="W177" s="18" t="str">
        <f t="shared" si="55"/>
        <v/>
      </c>
      <c r="X177" s="17">
        <v>0</v>
      </c>
      <c r="Y177" s="17">
        <v>0</v>
      </c>
      <c r="Z177" s="15">
        <f t="shared" si="56"/>
        <v>0</v>
      </c>
      <c r="AA177" s="17">
        <v>0</v>
      </c>
      <c r="AB177" s="17">
        <v>0</v>
      </c>
      <c r="AC177" s="15">
        <f t="shared" si="57"/>
        <v>0</v>
      </c>
      <c r="AD177" s="17">
        <v>0</v>
      </c>
      <c r="AE177" s="17">
        <v>0</v>
      </c>
      <c r="AF177" s="15">
        <f t="shared" si="58"/>
        <v>0</v>
      </c>
      <c r="AG177" s="17">
        <v>0</v>
      </c>
      <c r="AH177" s="17">
        <v>0</v>
      </c>
      <c r="AI177" s="15">
        <f t="shared" si="59"/>
        <v>0</v>
      </c>
      <c r="AJ177" s="17"/>
    </row>
    <row r="178" spans="1:36" x14ac:dyDescent="0.3">
      <c r="A178" s="15" t="s">
        <v>226</v>
      </c>
      <c r="B178" s="15">
        <v>100</v>
      </c>
      <c r="C178" s="15" t="s">
        <v>54</v>
      </c>
      <c r="D178" s="15" t="s">
        <v>68</v>
      </c>
      <c r="E178" s="15">
        <f>'15-august-2026'!T178</f>
        <v>2</v>
      </c>
      <c r="F178" s="15">
        <f>'15-august-2026'!U178</f>
        <v>0</v>
      </c>
      <c r="G178" s="15">
        <f>'15-august-2026'!V178</f>
        <v>0</v>
      </c>
      <c r="H178" s="15">
        <f t="shared" si="50"/>
        <v>2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5">
        <f t="shared" si="51"/>
        <v>2</v>
      </c>
      <c r="T178" s="15">
        <f t="shared" si="52"/>
        <v>2</v>
      </c>
      <c r="U178" s="15">
        <f t="shared" si="53"/>
        <v>0</v>
      </c>
      <c r="V178" s="15">
        <f t="shared" si="54"/>
        <v>0</v>
      </c>
      <c r="W178" s="18" t="str">
        <f t="shared" si="55"/>
        <v/>
      </c>
      <c r="X178" s="17">
        <v>0</v>
      </c>
      <c r="Y178" s="17">
        <v>0</v>
      </c>
      <c r="Z178" s="15">
        <f t="shared" si="56"/>
        <v>0</v>
      </c>
      <c r="AA178" s="17">
        <v>0</v>
      </c>
      <c r="AB178" s="17">
        <v>0</v>
      </c>
      <c r="AC178" s="15">
        <f t="shared" si="57"/>
        <v>0</v>
      </c>
      <c r="AD178" s="17">
        <v>0</v>
      </c>
      <c r="AE178" s="17">
        <v>0</v>
      </c>
      <c r="AF178" s="15">
        <f t="shared" si="58"/>
        <v>0</v>
      </c>
      <c r="AG178" s="17">
        <v>0</v>
      </c>
      <c r="AH178" s="17">
        <v>0</v>
      </c>
      <c r="AI178" s="15">
        <f t="shared" si="59"/>
        <v>0</v>
      </c>
      <c r="AJ178" s="17"/>
    </row>
    <row r="179" spans="1:36" x14ac:dyDescent="0.3">
      <c r="A179" s="15" t="s">
        <v>227</v>
      </c>
      <c r="B179" s="15">
        <v>100</v>
      </c>
      <c r="C179" s="15" t="s">
        <v>54</v>
      </c>
      <c r="D179" s="15" t="s">
        <v>55</v>
      </c>
      <c r="E179" s="15">
        <f>'15-august-2026'!T179</f>
        <v>81</v>
      </c>
      <c r="F179" s="15">
        <f>'15-august-2026'!U179</f>
        <v>0</v>
      </c>
      <c r="G179" s="15">
        <f>'15-august-2026'!V179</f>
        <v>0</v>
      </c>
      <c r="H179" s="15">
        <f t="shared" si="50"/>
        <v>81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5">
        <f t="shared" si="51"/>
        <v>81</v>
      </c>
      <c r="T179" s="15">
        <f t="shared" si="52"/>
        <v>81</v>
      </c>
      <c r="U179" s="15">
        <f t="shared" si="53"/>
        <v>0</v>
      </c>
      <c r="V179" s="15">
        <f t="shared" si="54"/>
        <v>0</v>
      </c>
      <c r="W179" s="18" t="str">
        <f t="shared" si="55"/>
        <v/>
      </c>
      <c r="X179" s="17">
        <v>0</v>
      </c>
      <c r="Y179" s="17">
        <v>0</v>
      </c>
      <c r="Z179" s="15">
        <f t="shared" si="56"/>
        <v>0</v>
      </c>
      <c r="AA179" s="17">
        <v>0</v>
      </c>
      <c r="AB179" s="17">
        <v>0</v>
      </c>
      <c r="AC179" s="15">
        <f t="shared" si="57"/>
        <v>0</v>
      </c>
      <c r="AD179" s="17">
        <v>0</v>
      </c>
      <c r="AE179" s="17">
        <v>0</v>
      </c>
      <c r="AF179" s="15">
        <f t="shared" si="58"/>
        <v>0</v>
      </c>
      <c r="AG179" s="17">
        <v>0</v>
      </c>
      <c r="AH179" s="17">
        <v>0</v>
      </c>
      <c r="AI179" s="15">
        <f t="shared" si="59"/>
        <v>0</v>
      </c>
      <c r="AJ179" s="17"/>
    </row>
    <row r="180" spans="1:36" x14ac:dyDescent="0.3">
      <c r="A180" s="15" t="s">
        <v>228</v>
      </c>
      <c r="B180" s="15">
        <v>1000</v>
      </c>
      <c r="C180" s="15" t="s">
        <v>54</v>
      </c>
      <c r="D180" s="15" t="s">
        <v>57</v>
      </c>
      <c r="E180" s="15">
        <f>'15-august-2026'!T180</f>
        <v>5</v>
      </c>
      <c r="F180" s="15">
        <f>'15-august-2026'!U180</f>
        <v>0</v>
      </c>
      <c r="G180" s="15">
        <f>'15-august-2026'!V180</f>
        <v>0</v>
      </c>
      <c r="H180" s="15">
        <f t="shared" si="50"/>
        <v>5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5">
        <f t="shared" si="51"/>
        <v>5</v>
      </c>
      <c r="T180" s="15">
        <f t="shared" si="52"/>
        <v>5</v>
      </c>
      <c r="U180" s="15">
        <f t="shared" si="53"/>
        <v>0</v>
      </c>
      <c r="V180" s="15">
        <f t="shared" si="54"/>
        <v>0</v>
      </c>
      <c r="W180" s="18" t="str">
        <f t="shared" si="55"/>
        <v/>
      </c>
      <c r="X180" s="17">
        <v>0</v>
      </c>
      <c r="Y180" s="17">
        <v>0</v>
      </c>
      <c r="Z180" s="15">
        <f t="shared" si="56"/>
        <v>0</v>
      </c>
      <c r="AA180" s="17">
        <v>0</v>
      </c>
      <c r="AB180" s="17">
        <v>0</v>
      </c>
      <c r="AC180" s="15">
        <f t="shared" si="57"/>
        <v>0</v>
      </c>
      <c r="AD180" s="17">
        <v>0</v>
      </c>
      <c r="AE180" s="17">
        <v>0</v>
      </c>
      <c r="AF180" s="15">
        <f t="shared" si="58"/>
        <v>0</v>
      </c>
      <c r="AG180" s="17">
        <v>0</v>
      </c>
      <c r="AH180" s="17">
        <v>0</v>
      </c>
      <c r="AI180" s="15">
        <f t="shared" si="59"/>
        <v>0</v>
      </c>
      <c r="AJ180" s="17"/>
    </row>
    <row r="181" spans="1:36" x14ac:dyDescent="0.3">
      <c r="A181" s="15" t="s">
        <v>229</v>
      </c>
      <c r="B181" s="15">
        <v>100</v>
      </c>
      <c r="C181" s="15" t="s">
        <v>54</v>
      </c>
      <c r="D181" s="15" t="s">
        <v>68</v>
      </c>
      <c r="E181" s="15">
        <f>'15-august-2026'!T181</f>
        <v>3</v>
      </c>
      <c r="F181" s="15">
        <f>'15-august-2026'!U181</f>
        <v>0</v>
      </c>
      <c r="G181" s="15">
        <f>'15-august-2026'!V181</f>
        <v>0</v>
      </c>
      <c r="H181" s="15">
        <f t="shared" si="50"/>
        <v>3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5">
        <f t="shared" si="51"/>
        <v>3</v>
      </c>
      <c r="T181" s="15">
        <f t="shared" si="52"/>
        <v>3</v>
      </c>
      <c r="U181" s="15">
        <f t="shared" si="53"/>
        <v>0</v>
      </c>
      <c r="V181" s="15">
        <f t="shared" si="54"/>
        <v>0</v>
      </c>
      <c r="W181" s="18" t="str">
        <f t="shared" si="55"/>
        <v/>
      </c>
      <c r="X181" s="17">
        <v>0</v>
      </c>
      <c r="Y181" s="17">
        <v>0</v>
      </c>
      <c r="Z181" s="15">
        <f t="shared" si="56"/>
        <v>0</v>
      </c>
      <c r="AA181" s="17">
        <v>0</v>
      </c>
      <c r="AB181" s="17">
        <v>0</v>
      </c>
      <c r="AC181" s="15">
        <f t="shared" si="57"/>
        <v>0</v>
      </c>
      <c r="AD181" s="17">
        <v>0</v>
      </c>
      <c r="AE181" s="17">
        <v>0</v>
      </c>
      <c r="AF181" s="15">
        <f t="shared" si="58"/>
        <v>0</v>
      </c>
      <c r="AG181" s="17">
        <v>0</v>
      </c>
      <c r="AH181" s="17">
        <v>0</v>
      </c>
      <c r="AI181" s="15">
        <f t="shared" si="59"/>
        <v>0</v>
      </c>
      <c r="AJ181" s="17"/>
    </row>
    <row r="182" spans="1:36" x14ac:dyDescent="0.3">
      <c r="A182" s="15" t="s">
        <v>230</v>
      </c>
      <c r="B182" s="15">
        <v>1000</v>
      </c>
      <c r="C182" s="15" t="s">
        <v>54</v>
      </c>
      <c r="D182" s="15" t="s">
        <v>68</v>
      </c>
      <c r="E182" s="15">
        <f>'15-august-2026'!T182</f>
        <v>2</v>
      </c>
      <c r="F182" s="15">
        <f>'15-august-2026'!U182</f>
        <v>0</v>
      </c>
      <c r="G182" s="15">
        <f>'15-august-2026'!V182</f>
        <v>0</v>
      </c>
      <c r="H182" s="15">
        <f t="shared" si="50"/>
        <v>2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5">
        <f t="shared" si="51"/>
        <v>2</v>
      </c>
      <c r="T182" s="15">
        <f t="shared" si="52"/>
        <v>2</v>
      </c>
      <c r="U182" s="15">
        <f t="shared" si="53"/>
        <v>0</v>
      </c>
      <c r="V182" s="15">
        <f t="shared" si="54"/>
        <v>0</v>
      </c>
      <c r="W182" s="18" t="str">
        <f t="shared" si="55"/>
        <v/>
      </c>
      <c r="X182" s="17">
        <v>0</v>
      </c>
      <c r="Y182" s="17">
        <v>0</v>
      </c>
      <c r="Z182" s="15">
        <f t="shared" si="56"/>
        <v>0</v>
      </c>
      <c r="AA182" s="17">
        <v>0</v>
      </c>
      <c r="AB182" s="17">
        <v>0</v>
      </c>
      <c r="AC182" s="15">
        <f t="shared" si="57"/>
        <v>0</v>
      </c>
      <c r="AD182" s="17">
        <v>0</v>
      </c>
      <c r="AE182" s="17">
        <v>0</v>
      </c>
      <c r="AF182" s="15">
        <f t="shared" si="58"/>
        <v>0</v>
      </c>
      <c r="AG182" s="17">
        <v>0</v>
      </c>
      <c r="AH182" s="17">
        <v>0</v>
      </c>
      <c r="AI182" s="15">
        <f t="shared" si="59"/>
        <v>0</v>
      </c>
      <c r="AJ182" s="17"/>
    </row>
    <row r="183" spans="1:36" x14ac:dyDescent="0.3">
      <c r="A183" s="15" t="s">
        <v>231</v>
      </c>
      <c r="B183" s="15">
        <v>100</v>
      </c>
      <c r="C183" s="15" t="s">
        <v>54</v>
      </c>
      <c r="D183" s="15" t="s">
        <v>57</v>
      </c>
      <c r="E183" s="15">
        <f>'15-august-2026'!T183</f>
        <v>1</v>
      </c>
      <c r="F183" s="15">
        <f>'15-august-2026'!U183</f>
        <v>0</v>
      </c>
      <c r="G183" s="15">
        <f>'15-august-2026'!V183</f>
        <v>0</v>
      </c>
      <c r="H183" s="15">
        <f t="shared" si="50"/>
        <v>1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5">
        <f t="shared" si="51"/>
        <v>1</v>
      </c>
      <c r="T183" s="15">
        <f t="shared" si="52"/>
        <v>1</v>
      </c>
      <c r="U183" s="15">
        <f t="shared" si="53"/>
        <v>0</v>
      </c>
      <c r="V183" s="15">
        <f t="shared" si="54"/>
        <v>0</v>
      </c>
      <c r="W183" s="18" t="str">
        <f t="shared" si="55"/>
        <v/>
      </c>
      <c r="X183" s="17">
        <v>0</v>
      </c>
      <c r="Y183" s="17">
        <v>0</v>
      </c>
      <c r="Z183" s="15">
        <f t="shared" si="56"/>
        <v>0</v>
      </c>
      <c r="AA183" s="17">
        <v>0</v>
      </c>
      <c r="AB183" s="17">
        <v>0</v>
      </c>
      <c r="AC183" s="15">
        <f t="shared" si="57"/>
        <v>0</v>
      </c>
      <c r="AD183" s="17">
        <v>0</v>
      </c>
      <c r="AE183" s="17">
        <v>0</v>
      </c>
      <c r="AF183" s="15">
        <f t="shared" si="58"/>
        <v>0</v>
      </c>
      <c r="AG183" s="17">
        <v>0</v>
      </c>
      <c r="AH183" s="17">
        <v>0</v>
      </c>
      <c r="AI183" s="15">
        <f t="shared" si="59"/>
        <v>0</v>
      </c>
      <c r="AJ183" s="17"/>
    </row>
    <row r="184" spans="1:36" x14ac:dyDescent="0.3">
      <c r="A184" s="15" t="s">
        <v>232</v>
      </c>
      <c r="B184" s="15">
        <v>100000</v>
      </c>
      <c r="C184" s="15" t="s">
        <v>54</v>
      </c>
      <c r="D184" s="15" t="s">
        <v>68</v>
      </c>
      <c r="E184" s="15">
        <f>'15-august-2026'!T184</f>
        <v>2</v>
      </c>
      <c r="F184" s="15">
        <f>'15-august-2026'!U184</f>
        <v>0</v>
      </c>
      <c r="G184" s="15">
        <f>'15-august-2026'!V184</f>
        <v>0</v>
      </c>
      <c r="H184" s="15">
        <f t="shared" si="50"/>
        <v>2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5">
        <f t="shared" si="51"/>
        <v>2</v>
      </c>
      <c r="T184" s="15">
        <f t="shared" si="52"/>
        <v>2</v>
      </c>
      <c r="U184" s="15">
        <f t="shared" si="53"/>
        <v>0</v>
      </c>
      <c r="V184" s="15">
        <f t="shared" si="54"/>
        <v>0</v>
      </c>
      <c r="W184" s="18" t="str">
        <f t="shared" si="55"/>
        <v/>
      </c>
      <c r="X184" s="17">
        <v>0</v>
      </c>
      <c r="Y184" s="17">
        <v>0</v>
      </c>
      <c r="Z184" s="15">
        <f t="shared" si="56"/>
        <v>0</v>
      </c>
      <c r="AA184" s="17">
        <v>0</v>
      </c>
      <c r="AB184" s="17">
        <v>0</v>
      </c>
      <c r="AC184" s="15">
        <f t="shared" si="57"/>
        <v>0</v>
      </c>
      <c r="AD184" s="17">
        <v>0</v>
      </c>
      <c r="AE184" s="17">
        <v>0</v>
      </c>
      <c r="AF184" s="15">
        <f t="shared" si="58"/>
        <v>0</v>
      </c>
      <c r="AG184" s="17">
        <v>0</v>
      </c>
      <c r="AH184" s="17">
        <v>0</v>
      </c>
      <c r="AI184" s="15">
        <f t="shared" si="59"/>
        <v>0</v>
      </c>
      <c r="AJ184" s="17"/>
    </row>
    <row r="185" spans="1:36" x14ac:dyDescent="0.3">
      <c r="A185" s="15" t="s">
        <v>233</v>
      </c>
      <c r="B185" s="15">
        <v>100</v>
      </c>
      <c r="C185" s="15" t="s">
        <v>54</v>
      </c>
      <c r="D185" s="15" t="s">
        <v>57</v>
      </c>
      <c r="E185" s="15">
        <f>'15-august-2026'!T185</f>
        <v>3</v>
      </c>
      <c r="F185" s="15">
        <f>'15-august-2026'!U185</f>
        <v>0</v>
      </c>
      <c r="G185" s="15">
        <f>'15-august-2026'!V185</f>
        <v>0</v>
      </c>
      <c r="H185" s="15">
        <f t="shared" si="50"/>
        <v>3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5">
        <f t="shared" si="51"/>
        <v>3</v>
      </c>
      <c r="T185" s="15">
        <f t="shared" si="52"/>
        <v>3</v>
      </c>
      <c r="U185" s="15">
        <f t="shared" si="53"/>
        <v>0</v>
      </c>
      <c r="V185" s="15">
        <f t="shared" si="54"/>
        <v>0</v>
      </c>
      <c r="W185" s="18" t="str">
        <f t="shared" si="55"/>
        <v/>
      </c>
      <c r="X185" s="17">
        <v>0</v>
      </c>
      <c r="Y185" s="17">
        <v>0</v>
      </c>
      <c r="Z185" s="15">
        <f t="shared" si="56"/>
        <v>0</v>
      </c>
      <c r="AA185" s="17">
        <v>0</v>
      </c>
      <c r="AB185" s="17">
        <v>0</v>
      </c>
      <c r="AC185" s="15">
        <f t="shared" si="57"/>
        <v>0</v>
      </c>
      <c r="AD185" s="17">
        <v>0</v>
      </c>
      <c r="AE185" s="17">
        <v>0</v>
      </c>
      <c r="AF185" s="15">
        <f t="shared" si="58"/>
        <v>0</v>
      </c>
      <c r="AG185" s="17">
        <v>0</v>
      </c>
      <c r="AH185" s="17">
        <v>0</v>
      </c>
      <c r="AI185" s="15">
        <f t="shared" si="59"/>
        <v>0</v>
      </c>
      <c r="AJ185" s="17"/>
    </row>
    <row r="186" spans="1:36" x14ac:dyDescent="0.3">
      <c r="A186" s="15" t="s">
        <v>234</v>
      </c>
      <c r="B186" s="15">
        <v>1000</v>
      </c>
      <c r="C186" s="15" t="s">
        <v>54</v>
      </c>
      <c r="D186" s="15" t="s">
        <v>68</v>
      </c>
      <c r="E186" s="15">
        <f>'15-august-2026'!T186</f>
        <v>2</v>
      </c>
      <c r="F186" s="15">
        <f>'15-august-2026'!U186</f>
        <v>0</v>
      </c>
      <c r="G186" s="15">
        <f>'15-august-2026'!V186</f>
        <v>0</v>
      </c>
      <c r="H186" s="15">
        <f t="shared" si="50"/>
        <v>2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5">
        <f t="shared" si="51"/>
        <v>2</v>
      </c>
      <c r="T186" s="15">
        <f t="shared" si="52"/>
        <v>2</v>
      </c>
      <c r="U186" s="15">
        <f t="shared" si="53"/>
        <v>0</v>
      </c>
      <c r="V186" s="15">
        <f t="shared" si="54"/>
        <v>0</v>
      </c>
      <c r="W186" s="18" t="str">
        <f t="shared" si="55"/>
        <v/>
      </c>
      <c r="X186" s="17">
        <v>0</v>
      </c>
      <c r="Y186" s="17">
        <v>0</v>
      </c>
      <c r="Z186" s="15">
        <f t="shared" si="56"/>
        <v>0</v>
      </c>
      <c r="AA186" s="17">
        <v>0</v>
      </c>
      <c r="AB186" s="17">
        <v>0</v>
      </c>
      <c r="AC186" s="15">
        <f t="shared" si="57"/>
        <v>0</v>
      </c>
      <c r="AD186" s="17">
        <v>0</v>
      </c>
      <c r="AE186" s="17">
        <v>0</v>
      </c>
      <c r="AF186" s="15">
        <f t="shared" si="58"/>
        <v>0</v>
      </c>
      <c r="AG186" s="17">
        <v>0</v>
      </c>
      <c r="AH186" s="17">
        <v>0</v>
      </c>
      <c r="AI186" s="15">
        <f t="shared" si="59"/>
        <v>0</v>
      </c>
      <c r="AJ186" s="17"/>
    </row>
    <row r="187" spans="1:36" x14ac:dyDescent="0.3">
      <c r="A187" s="15" t="s">
        <v>235</v>
      </c>
      <c r="B187" s="15">
        <v>100000</v>
      </c>
      <c r="C187" s="15" t="s">
        <v>54</v>
      </c>
      <c r="D187" s="15" t="s">
        <v>68</v>
      </c>
      <c r="E187" s="15">
        <f>'15-august-2026'!T187</f>
        <v>3</v>
      </c>
      <c r="F187" s="15">
        <f>'15-august-2026'!U187</f>
        <v>0</v>
      </c>
      <c r="G187" s="15">
        <f>'15-august-2026'!V187</f>
        <v>0</v>
      </c>
      <c r="H187" s="15">
        <f t="shared" si="50"/>
        <v>3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5">
        <f t="shared" si="51"/>
        <v>3</v>
      </c>
      <c r="T187" s="15">
        <f t="shared" si="52"/>
        <v>3</v>
      </c>
      <c r="U187" s="15">
        <f t="shared" si="53"/>
        <v>0</v>
      </c>
      <c r="V187" s="15">
        <f t="shared" si="54"/>
        <v>0</v>
      </c>
      <c r="W187" s="18" t="str">
        <f t="shared" si="55"/>
        <v/>
      </c>
      <c r="X187" s="17">
        <v>0</v>
      </c>
      <c r="Y187" s="17">
        <v>0</v>
      </c>
      <c r="Z187" s="15">
        <f t="shared" si="56"/>
        <v>0</v>
      </c>
      <c r="AA187" s="17">
        <v>0</v>
      </c>
      <c r="AB187" s="17">
        <v>0</v>
      </c>
      <c r="AC187" s="15">
        <f t="shared" si="57"/>
        <v>0</v>
      </c>
      <c r="AD187" s="17">
        <v>0</v>
      </c>
      <c r="AE187" s="17">
        <v>0</v>
      </c>
      <c r="AF187" s="15">
        <f t="shared" si="58"/>
        <v>0</v>
      </c>
      <c r="AG187" s="17">
        <v>0</v>
      </c>
      <c r="AH187" s="17">
        <v>0</v>
      </c>
      <c r="AI187" s="15">
        <f t="shared" si="59"/>
        <v>0</v>
      </c>
      <c r="AJ187" s="17"/>
    </row>
    <row r="188" spans="1:36" x14ac:dyDescent="0.3">
      <c r="A188" s="15" t="s">
        <v>236</v>
      </c>
      <c r="B188" s="15">
        <v>1000</v>
      </c>
      <c r="C188" s="15" t="s">
        <v>54</v>
      </c>
      <c r="D188" s="15" t="s">
        <v>55</v>
      </c>
      <c r="E188" s="15">
        <f>'15-august-2026'!T188</f>
        <v>12</v>
      </c>
      <c r="F188" s="15">
        <f>'15-august-2026'!U188</f>
        <v>0</v>
      </c>
      <c r="G188" s="15">
        <f>'15-august-2026'!V188</f>
        <v>0</v>
      </c>
      <c r="H188" s="15">
        <f t="shared" si="50"/>
        <v>12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5">
        <f t="shared" si="51"/>
        <v>12</v>
      </c>
      <c r="T188" s="15">
        <f t="shared" si="52"/>
        <v>12</v>
      </c>
      <c r="U188" s="15">
        <f t="shared" si="53"/>
        <v>0</v>
      </c>
      <c r="V188" s="15">
        <f t="shared" si="54"/>
        <v>0</v>
      </c>
      <c r="W188" s="18" t="str">
        <f t="shared" si="55"/>
        <v/>
      </c>
      <c r="X188" s="17">
        <v>0</v>
      </c>
      <c r="Y188" s="17">
        <v>0</v>
      </c>
      <c r="Z188" s="15">
        <f t="shared" si="56"/>
        <v>0</v>
      </c>
      <c r="AA188" s="17">
        <v>0</v>
      </c>
      <c r="AB188" s="17">
        <v>0</v>
      </c>
      <c r="AC188" s="15">
        <f t="shared" si="57"/>
        <v>0</v>
      </c>
      <c r="AD188" s="17">
        <v>0</v>
      </c>
      <c r="AE188" s="17">
        <v>0</v>
      </c>
      <c r="AF188" s="15">
        <f t="shared" si="58"/>
        <v>0</v>
      </c>
      <c r="AG188" s="17">
        <v>0</v>
      </c>
      <c r="AH188" s="17">
        <v>0</v>
      </c>
      <c r="AI188" s="15">
        <f t="shared" si="59"/>
        <v>0</v>
      </c>
      <c r="AJ188" s="17"/>
    </row>
    <row r="189" spans="1:36" x14ac:dyDescent="0.3">
      <c r="A189" s="15" t="s">
        <v>237</v>
      </c>
      <c r="B189" s="15">
        <v>1000</v>
      </c>
      <c r="C189" s="15" t="s">
        <v>54</v>
      </c>
      <c r="D189" s="15" t="s">
        <v>55</v>
      </c>
      <c r="E189" s="15">
        <f>'15-august-2026'!T189</f>
        <v>1</v>
      </c>
      <c r="F189" s="15">
        <f>'15-august-2026'!U189</f>
        <v>27</v>
      </c>
      <c r="G189" s="15">
        <f>'15-august-2026'!V189</f>
        <v>0</v>
      </c>
      <c r="H189" s="15">
        <f t="shared" si="50"/>
        <v>28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5">
        <f t="shared" si="51"/>
        <v>28</v>
      </c>
      <c r="T189" s="15">
        <f t="shared" si="52"/>
        <v>1</v>
      </c>
      <c r="U189" s="15">
        <f t="shared" si="53"/>
        <v>27</v>
      </c>
      <c r="V189" s="15">
        <f t="shared" si="54"/>
        <v>0</v>
      </c>
      <c r="W189" s="18" t="str">
        <f t="shared" si="55"/>
        <v/>
      </c>
      <c r="X189" s="17">
        <v>0</v>
      </c>
      <c r="Y189" s="17">
        <v>0</v>
      </c>
      <c r="Z189" s="15">
        <f t="shared" si="56"/>
        <v>0</v>
      </c>
      <c r="AA189" s="17">
        <v>0</v>
      </c>
      <c r="AB189" s="17">
        <v>0</v>
      </c>
      <c r="AC189" s="15">
        <f t="shared" si="57"/>
        <v>0</v>
      </c>
      <c r="AD189" s="17">
        <v>0</v>
      </c>
      <c r="AE189" s="17">
        <v>0</v>
      </c>
      <c r="AF189" s="15">
        <f t="shared" si="58"/>
        <v>0</v>
      </c>
      <c r="AG189" s="17">
        <v>0</v>
      </c>
      <c r="AH189" s="17">
        <v>0</v>
      </c>
      <c r="AI189" s="15">
        <f t="shared" si="59"/>
        <v>0</v>
      </c>
      <c r="AJ189" s="17"/>
    </row>
    <row r="190" spans="1:36" x14ac:dyDescent="0.3">
      <c r="A190" s="15" t="s">
        <v>238</v>
      </c>
      <c r="B190" s="15">
        <v>1000</v>
      </c>
      <c r="C190" s="15" t="s">
        <v>54</v>
      </c>
      <c r="D190" s="15" t="s">
        <v>55</v>
      </c>
      <c r="E190" s="15">
        <f>'15-august-2026'!T190</f>
        <v>4</v>
      </c>
      <c r="F190" s="15">
        <f>'15-august-2026'!U190</f>
        <v>0</v>
      </c>
      <c r="G190" s="15">
        <f>'15-august-2026'!V190</f>
        <v>0</v>
      </c>
      <c r="H190" s="15">
        <f t="shared" si="50"/>
        <v>4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5">
        <f t="shared" si="51"/>
        <v>4</v>
      </c>
      <c r="T190" s="15">
        <f t="shared" si="52"/>
        <v>4</v>
      </c>
      <c r="U190" s="15">
        <f t="shared" si="53"/>
        <v>0</v>
      </c>
      <c r="V190" s="15">
        <f t="shared" si="54"/>
        <v>0</v>
      </c>
      <c r="W190" s="18" t="str">
        <f t="shared" si="55"/>
        <v/>
      </c>
      <c r="X190" s="17">
        <v>0</v>
      </c>
      <c r="Y190" s="17">
        <v>0</v>
      </c>
      <c r="Z190" s="15">
        <f t="shared" si="56"/>
        <v>0</v>
      </c>
      <c r="AA190" s="17">
        <v>0</v>
      </c>
      <c r="AB190" s="17">
        <v>0</v>
      </c>
      <c r="AC190" s="15">
        <f t="shared" si="57"/>
        <v>0</v>
      </c>
      <c r="AD190" s="17">
        <v>0</v>
      </c>
      <c r="AE190" s="17">
        <v>0</v>
      </c>
      <c r="AF190" s="15">
        <f t="shared" si="58"/>
        <v>0</v>
      </c>
      <c r="AG190" s="17">
        <v>0</v>
      </c>
      <c r="AH190" s="17">
        <v>0</v>
      </c>
      <c r="AI190" s="15">
        <f t="shared" si="59"/>
        <v>0</v>
      </c>
      <c r="AJ190" s="17"/>
    </row>
    <row r="191" spans="1:36" x14ac:dyDescent="0.3">
      <c r="A191" s="15" t="s">
        <v>239</v>
      </c>
      <c r="B191" s="15">
        <v>1000</v>
      </c>
      <c r="C191" s="15" t="s">
        <v>54</v>
      </c>
      <c r="D191" s="15" t="s">
        <v>55</v>
      </c>
      <c r="E191" s="15">
        <v>0</v>
      </c>
      <c r="F191" s="15">
        <v>0</v>
      </c>
      <c r="G191" s="15">
        <v>0</v>
      </c>
      <c r="H191" s="15">
        <f t="shared" si="50"/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5">
        <f t="shared" si="51"/>
        <v>0</v>
      </c>
      <c r="T191" s="15">
        <f t="shared" si="52"/>
        <v>0</v>
      </c>
      <c r="U191" s="15">
        <f t="shared" si="53"/>
        <v>0</v>
      </c>
      <c r="V191" s="15">
        <f t="shared" si="54"/>
        <v>0</v>
      </c>
      <c r="W191" s="18" t="str">
        <f t="shared" si="55"/>
        <v/>
      </c>
      <c r="X191" s="17">
        <v>0</v>
      </c>
      <c r="Y191" s="17">
        <v>0</v>
      </c>
      <c r="Z191" s="15">
        <f t="shared" si="56"/>
        <v>0</v>
      </c>
      <c r="AA191" s="17">
        <v>0</v>
      </c>
      <c r="AB191" s="17">
        <v>0</v>
      </c>
      <c r="AC191" s="15">
        <f t="shared" si="57"/>
        <v>0</v>
      </c>
      <c r="AD191" s="17">
        <v>0</v>
      </c>
      <c r="AE191" s="17">
        <v>0</v>
      </c>
      <c r="AF191" s="15">
        <f t="shared" si="58"/>
        <v>0</v>
      </c>
      <c r="AG191" s="17">
        <v>0</v>
      </c>
      <c r="AH191" s="17">
        <v>0</v>
      </c>
      <c r="AI191" s="15">
        <f t="shared" si="59"/>
        <v>0</v>
      </c>
      <c r="AJ191" s="17"/>
    </row>
    <row r="192" spans="1:36" x14ac:dyDescent="0.3">
      <c r="A192" s="15" t="s">
        <v>239</v>
      </c>
      <c r="B192" s="15">
        <v>2500</v>
      </c>
      <c r="C192" s="15" t="s">
        <v>54</v>
      </c>
      <c r="D192" s="15" t="s">
        <v>55</v>
      </c>
      <c r="E192" s="15">
        <f>'15-august-2026'!T192</f>
        <v>0</v>
      </c>
      <c r="F192" s="15">
        <f>'15-august-2026'!U192</f>
        <v>0</v>
      </c>
      <c r="G192" s="15">
        <f>'15-august-2026'!V192</f>
        <v>0</v>
      </c>
      <c r="H192" s="15">
        <f t="shared" si="50"/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5">
        <f t="shared" si="51"/>
        <v>0</v>
      </c>
      <c r="T192" s="15">
        <f t="shared" si="52"/>
        <v>0</v>
      </c>
      <c r="U192" s="15">
        <f t="shared" si="53"/>
        <v>0</v>
      </c>
      <c r="V192" s="15">
        <f t="shared" si="54"/>
        <v>0</v>
      </c>
      <c r="W192" s="18" t="str">
        <f t="shared" si="55"/>
        <v/>
      </c>
      <c r="X192" s="17">
        <v>0</v>
      </c>
      <c r="Y192" s="17">
        <v>0</v>
      </c>
      <c r="Z192" s="15">
        <f t="shared" si="56"/>
        <v>0</v>
      </c>
      <c r="AA192" s="17">
        <v>0</v>
      </c>
      <c r="AB192" s="17">
        <v>0</v>
      </c>
      <c r="AC192" s="15">
        <f t="shared" si="57"/>
        <v>0</v>
      </c>
      <c r="AD192" s="17">
        <v>0</v>
      </c>
      <c r="AE192" s="17">
        <v>0</v>
      </c>
      <c r="AF192" s="15">
        <f t="shared" si="58"/>
        <v>0</v>
      </c>
      <c r="AG192" s="17">
        <v>0</v>
      </c>
      <c r="AH192" s="17">
        <v>0</v>
      </c>
      <c r="AI192" s="15">
        <f t="shared" si="59"/>
        <v>0</v>
      </c>
      <c r="AJ192" s="17"/>
    </row>
    <row r="193" spans="1:36" x14ac:dyDescent="0.3">
      <c r="A193" s="15" t="s">
        <v>240</v>
      </c>
      <c r="B193" s="15">
        <v>100</v>
      </c>
      <c r="C193" s="15" t="s">
        <v>54</v>
      </c>
      <c r="D193" s="15" t="s">
        <v>55</v>
      </c>
      <c r="E193" s="15">
        <f>'15-august-2026'!T193</f>
        <v>34</v>
      </c>
      <c r="F193" s="15">
        <f>'15-august-2026'!U193</f>
        <v>0</v>
      </c>
      <c r="G193" s="15">
        <f>'15-august-2026'!V193</f>
        <v>0</v>
      </c>
      <c r="H193" s="15">
        <f t="shared" si="50"/>
        <v>34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4</v>
      </c>
      <c r="P193" s="17">
        <v>0</v>
      </c>
      <c r="Q193" s="17">
        <v>0</v>
      </c>
      <c r="R193" s="17">
        <v>0</v>
      </c>
      <c r="S193" s="15">
        <f t="shared" si="51"/>
        <v>38</v>
      </c>
      <c r="T193" s="15">
        <f t="shared" si="52"/>
        <v>38</v>
      </c>
      <c r="U193" s="15">
        <f t="shared" si="53"/>
        <v>0</v>
      </c>
      <c r="V193" s="15">
        <f t="shared" si="54"/>
        <v>0</v>
      </c>
      <c r="W193" s="18" t="str">
        <f t="shared" si="55"/>
        <v/>
      </c>
      <c r="X193" s="17">
        <v>0</v>
      </c>
      <c r="Y193" s="17">
        <v>0</v>
      </c>
      <c r="Z193" s="15">
        <f t="shared" si="56"/>
        <v>0</v>
      </c>
      <c r="AA193" s="17">
        <v>0</v>
      </c>
      <c r="AB193" s="17">
        <v>0</v>
      </c>
      <c r="AC193" s="15">
        <f t="shared" si="57"/>
        <v>0</v>
      </c>
      <c r="AD193" s="17">
        <v>0</v>
      </c>
      <c r="AE193" s="17">
        <v>0</v>
      </c>
      <c r="AF193" s="15">
        <f t="shared" si="58"/>
        <v>0</v>
      </c>
      <c r="AG193" s="17">
        <v>0</v>
      </c>
      <c r="AH193" s="17">
        <v>0</v>
      </c>
      <c r="AI193" s="15">
        <f t="shared" si="59"/>
        <v>0</v>
      </c>
      <c r="AJ193" s="17"/>
    </row>
    <row r="194" spans="1:36" x14ac:dyDescent="0.3">
      <c r="A194" s="15" t="s">
        <v>240</v>
      </c>
      <c r="B194" s="15">
        <v>1000</v>
      </c>
      <c r="C194" s="15" t="s">
        <v>54</v>
      </c>
      <c r="D194" s="15" t="s">
        <v>55</v>
      </c>
      <c r="E194" s="15">
        <f>'15-august-2026'!T194</f>
        <v>14</v>
      </c>
      <c r="F194" s="15">
        <f>'15-august-2026'!U194</f>
        <v>0</v>
      </c>
      <c r="G194" s="15">
        <f>'15-august-2026'!V194</f>
        <v>0</v>
      </c>
      <c r="H194" s="15">
        <f t="shared" si="50"/>
        <v>14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5">
        <f t="shared" si="51"/>
        <v>14</v>
      </c>
      <c r="T194" s="15">
        <f t="shared" si="52"/>
        <v>14</v>
      </c>
      <c r="U194" s="15">
        <f t="shared" si="53"/>
        <v>0</v>
      </c>
      <c r="V194" s="15">
        <f t="shared" si="54"/>
        <v>0</v>
      </c>
      <c r="W194" s="18" t="str">
        <f t="shared" si="55"/>
        <v/>
      </c>
      <c r="X194" s="17">
        <v>0</v>
      </c>
      <c r="Y194" s="17">
        <v>0</v>
      </c>
      <c r="Z194" s="15">
        <f t="shared" si="56"/>
        <v>0</v>
      </c>
      <c r="AA194" s="17">
        <v>0</v>
      </c>
      <c r="AB194" s="17">
        <v>0</v>
      </c>
      <c r="AC194" s="15">
        <f t="shared" si="57"/>
        <v>0</v>
      </c>
      <c r="AD194" s="17">
        <v>0</v>
      </c>
      <c r="AE194" s="17">
        <v>0</v>
      </c>
      <c r="AF194" s="15">
        <f t="shared" si="58"/>
        <v>0</v>
      </c>
      <c r="AG194" s="17">
        <v>0</v>
      </c>
      <c r="AH194" s="17">
        <v>0</v>
      </c>
      <c r="AI194" s="15">
        <f t="shared" si="59"/>
        <v>0</v>
      </c>
      <c r="AJ194" s="17"/>
    </row>
    <row r="195" spans="1:36" x14ac:dyDescent="0.3">
      <c r="A195" s="15" t="s">
        <v>241</v>
      </c>
      <c r="B195" s="15">
        <v>25000</v>
      </c>
      <c r="C195" s="15" t="s">
        <v>54</v>
      </c>
      <c r="D195" s="15" t="s">
        <v>68</v>
      </c>
      <c r="E195" s="15">
        <f>'15-august-2026'!T195</f>
        <v>-4</v>
      </c>
      <c r="F195" s="15">
        <f>'15-august-2026'!U195</f>
        <v>0</v>
      </c>
      <c r="G195" s="15">
        <f>'15-august-2026'!V195</f>
        <v>0</v>
      </c>
      <c r="H195" s="15">
        <f t="shared" ref="H195:H199" si="60">E195+F195+G195</f>
        <v>-4</v>
      </c>
      <c r="I195" s="17">
        <v>2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5">
        <f t="shared" ref="S195:S199" si="61">H195+O195+P195+Q195+R195-(I195+J195+K195+L195+M195+N195)</f>
        <v>-6</v>
      </c>
      <c r="T195" s="15">
        <f t="shared" si="52"/>
        <v>-6</v>
      </c>
      <c r="U195" s="15">
        <f t="shared" si="53"/>
        <v>0</v>
      </c>
      <c r="V195" s="15">
        <f t="shared" si="54"/>
        <v>0</v>
      </c>
      <c r="W195" s="18" t="str">
        <f t="shared" ref="W195:W199" si="62">IF(MIN(T195,U195,V195)&lt;0,"NEGATIVE STOCK - CHECK ENTRIES","")</f>
        <v>NEGATIVE STOCK - CHECK ENTRIES</v>
      </c>
      <c r="X195" s="17">
        <v>0</v>
      </c>
      <c r="Y195" s="17">
        <v>0</v>
      </c>
      <c r="Z195" s="15">
        <f t="shared" ref="Z195:Z199" si="63">X195-Y195</f>
        <v>0</v>
      </c>
      <c r="AA195" s="17">
        <v>0</v>
      </c>
      <c r="AB195" s="17">
        <v>0</v>
      </c>
      <c r="AC195" s="15">
        <f t="shared" ref="AC195:AC199" si="64">AA195-AB195</f>
        <v>0</v>
      </c>
      <c r="AD195" s="17">
        <v>0</v>
      </c>
      <c r="AE195" s="17">
        <v>0</v>
      </c>
      <c r="AF195" s="15">
        <f t="shared" ref="AF195:AF199" si="65">AD195-AE195</f>
        <v>0</v>
      </c>
      <c r="AG195" s="17">
        <v>0</v>
      </c>
      <c r="AH195" s="17">
        <v>0</v>
      </c>
      <c r="AI195" s="15">
        <f t="shared" ref="AI195:AI199" si="66">AG195-AH195</f>
        <v>0</v>
      </c>
      <c r="AJ195" s="17"/>
    </row>
    <row r="196" spans="1:36" x14ac:dyDescent="0.3">
      <c r="A196" s="15" t="s">
        <v>242</v>
      </c>
      <c r="B196" s="15">
        <v>100</v>
      </c>
      <c r="C196" s="15" t="s">
        <v>54</v>
      </c>
      <c r="D196" s="15" t="s">
        <v>68</v>
      </c>
      <c r="E196" s="15">
        <f>'15-august-2026'!T196</f>
        <v>6</v>
      </c>
      <c r="F196" s="15">
        <f>'15-august-2026'!U196</f>
        <v>0</v>
      </c>
      <c r="G196" s="15">
        <f>'15-august-2026'!V196</f>
        <v>0</v>
      </c>
      <c r="H196" s="15">
        <f t="shared" si="60"/>
        <v>6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5">
        <f t="shared" si="61"/>
        <v>6</v>
      </c>
      <c r="T196" s="15">
        <f t="shared" si="52"/>
        <v>6</v>
      </c>
      <c r="U196" s="15">
        <f t="shared" si="53"/>
        <v>0</v>
      </c>
      <c r="V196" s="15">
        <f t="shared" si="54"/>
        <v>0</v>
      </c>
      <c r="W196" s="18" t="str">
        <f t="shared" si="62"/>
        <v/>
      </c>
      <c r="X196" s="17">
        <v>0</v>
      </c>
      <c r="Y196" s="17">
        <v>0</v>
      </c>
      <c r="Z196" s="15">
        <f t="shared" si="63"/>
        <v>0</v>
      </c>
      <c r="AA196" s="17">
        <v>0</v>
      </c>
      <c r="AB196" s="17">
        <v>0</v>
      </c>
      <c r="AC196" s="15">
        <f t="shared" si="64"/>
        <v>0</v>
      </c>
      <c r="AD196" s="17">
        <v>0</v>
      </c>
      <c r="AE196" s="17">
        <v>0</v>
      </c>
      <c r="AF196" s="15">
        <f t="shared" si="65"/>
        <v>0</v>
      </c>
      <c r="AG196" s="17">
        <v>0</v>
      </c>
      <c r="AH196" s="17">
        <v>0</v>
      </c>
      <c r="AI196" s="15">
        <f t="shared" si="66"/>
        <v>0</v>
      </c>
      <c r="AJ196" s="17"/>
    </row>
    <row r="197" spans="1:36" x14ac:dyDescent="0.3">
      <c r="A197" s="15" t="s">
        <v>243</v>
      </c>
      <c r="B197" s="15">
        <v>100000</v>
      </c>
      <c r="C197" s="15" t="s">
        <v>54</v>
      </c>
      <c r="D197" s="15" t="s">
        <v>57</v>
      </c>
      <c r="E197" s="15">
        <f>'15-august-2026'!T197</f>
        <v>6</v>
      </c>
      <c r="F197" s="15">
        <f>'15-august-2026'!U197</f>
        <v>0</v>
      </c>
      <c r="G197" s="15">
        <f>'15-august-2026'!V197</f>
        <v>0</v>
      </c>
      <c r="H197" s="15">
        <f t="shared" si="60"/>
        <v>6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5">
        <f t="shared" si="61"/>
        <v>6</v>
      </c>
      <c r="T197" s="15">
        <f t="shared" si="52"/>
        <v>6</v>
      </c>
      <c r="U197" s="15">
        <f t="shared" si="53"/>
        <v>0</v>
      </c>
      <c r="V197" s="15">
        <f t="shared" si="54"/>
        <v>0</v>
      </c>
      <c r="W197" s="18" t="str">
        <f t="shared" si="62"/>
        <v/>
      </c>
      <c r="X197" s="17">
        <v>0</v>
      </c>
      <c r="Y197" s="17">
        <v>0</v>
      </c>
      <c r="Z197" s="15">
        <f t="shared" si="63"/>
        <v>0</v>
      </c>
      <c r="AA197" s="17">
        <v>0</v>
      </c>
      <c r="AB197" s="17">
        <v>0</v>
      </c>
      <c r="AC197" s="15">
        <f t="shared" si="64"/>
        <v>0</v>
      </c>
      <c r="AD197" s="17">
        <v>0</v>
      </c>
      <c r="AE197" s="17">
        <v>0</v>
      </c>
      <c r="AF197" s="15">
        <f t="shared" si="65"/>
        <v>0</v>
      </c>
      <c r="AG197" s="17">
        <v>0</v>
      </c>
      <c r="AH197" s="17">
        <v>0</v>
      </c>
      <c r="AI197" s="15">
        <f t="shared" si="66"/>
        <v>0</v>
      </c>
      <c r="AJ197" s="17"/>
    </row>
    <row r="198" spans="1:36" x14ac:dyDescent="0.3">
      <c r="A198" s="15" t="s">
        <v>244</v>
      </c>
      <c r="B198" s="15">
        <v>100000</v>
      </c>
      <c r="C198" s="15"/>
      <c r="D198" s="15" t="s">
        <v>55</v>
      </c>
      <c r="E198" s="15">
        <f>'15-august-2026'!T198</f>
        <v>0</v>
      </c>
      <c r="F198" s="15">
        <f>'15-august-2026'!U198</f>
        <v>0</v>
      </c>
      <c r="G198" s="15">
        <f>'15-august-2026'!V198</f>
        <v>0</v>
      </c>
      <c r="H198" s="15">
        <f t="shared" si="60"/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5">
        <f t="shared" si="61"/>
        <v>0</v>
      </c>
      <c r="T198" s="15">
        <f t="shared" si="52"/>
        <v>0</v>
      </c>
      <c r="U198" s="15">
        <f t="shared" si="53"/>
        <v>0</v>
      </c>
      <c r="V198" s="15">
        <f t="shared" si="54"/>
        <v>0</v>
      </c>
      <c r="W198" s="18" t="str">
        <f t="shared" si="62"/>
        <v/>
      </c>
      <c r="X198" s="17">
        <v>0</v>
      </c>
      <c r="Y198" s="17">
        <v>0</v>
      </c>
      <c r="Z198" s="15">
        <f t="shared" si="63"/>
        <v>0</v>
      </c>
      <c r="AA198" s="17">
        <v>0</v>
      </c>
      <c r="AB198" s="17">
        <v>0</v>
      </c>
      <c r="AC198" s="15">
        <f t="shared" si="64"/>
        <v>0</v>
      </c>
      <c r="AD198" s="17">
        <v>0</v>
      </c>
      <c r="AE198" s="17">
        <v>0</v>
      </c>
      <c r="AF198" s="15">
        <f t="shared" si="65"/>
        <v>0</v>
      </c>
      <c r="AG198" s="17">
        <v>0</v>
      </c>
      <c r="AH198" s="17">
        <v>0</v>
      </c>
      <c r="AI198" s="15">
        <f t="shared" si="66"/>
        <v>0</v>
      </c>
      <c r="AJ198" s="17"/>
    </row>
    <row r="199" spans="1:36" x14ac:dyDescent="0.3">
      <c r="A199" s="15" t="s">
        <v>245</v>
      </c>
      <c r="B199" s="15">
        <v>25000</v>
      </c>
      <c r="C199" s="15" t="s">
        <v>54</v>
      </c>
      <c r="D199" s="15" t="s">
        <v>57</v>
      </c>
      <c r="E199" s="15">
        <f>'15-august-2026'!T199</f>
        <v>2</v>
      </c>
      <c r="F199" s="15">
        <f>'15-august-2026'!U199</f>
        <v>0</v>
      </c>
      <c r="G199" s="15">
        <f>'15-august-2026'!V199</f>
        <v>0</v>
      </c>
      <c r="H199" s="15">
        <f t="shared" si="60"/>
        <v>2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5">
        <f t="shared" si="61"/>
        <v>2</v>
      </c>
      <c r="T199" s="15">
        <f t="shared" si="52"/>
        <v>2</v>
      </c>
      <c r="U199" s="15">
        <f t="shared" si="53"/>
        <v>0</v>
      </c>
      <c r="V199" s="15">
        <f t="shared" si="54"/>
        <v>0</v>
      </c>
      <c r="W199" s="18" t="str">
        <f t="shared" si="62"/>
        <v/>
      </c>
      <c r="X199" s="17">
        <v>0</v>
      </c>
      <c r="Y199" s="17">
        <v>0</v>
      </c>
      <c r="Z199" s="15">
        <f t="shared" si="63"/>
        <v>0</v>
      </c>
      <c r="AA199" s="17">
        <v>0</v>
      </c>
      <c r="AB199" s="17">
        <v>0</v>
      </c>
      <c r="AC199" s="15">
        <f t="shared" si="64"/>
        <v>0</v>
      </c>
      <c r="AD199" s="17">
        <v>0</v>
      </c>
      <c r="AE199" s="17">
        <v>0</v>
      </c>
      <c r="AF199" s="15">
        <f t="shared" si="65"/>
        <v>0</v>
      </c>
      <c r="AG199" s="17">
        <v>0</v>
      </c>
      <c r="AH199" s="17">
        <v>0</v>
      </c>
      <c r="AI199" s="15">
        <f t="shared" si="66"/>
        <v>0</v>
      </c>
      <c r="AJ199" s="17"/>
    </row>
  </sheetData>
  <mergeCells count="5">
    <mergeCell ref="A1:D1"/>
    <mergeCell ref="E1:H1"/>
    <mergeCell ref="I1:R1"/>
    <mergeCell ref="S1:V1"/>
    <mergeCell ref="X1:AI1"/>
  </mergeCells>
  <conditionalFormatting sqref="T3:V199">
    <cfRule type="expression" dxfId="11" priority="3">
      <formula>T3&lt;0</formula>
    </cfRule>
  </conditionalFormatting>
  <conditionalFormatting sqref="W3:W199">
    <cfRule type="expression" dxfId="10" priority="2">
      <formula>W3&lt;&gt;""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4279-5732-4348-B32E-A9CFCB8B8253}">
  <dimension ref="A1:AP201"/>
  <sheetViews>
    <sheetView showGridLines="0" zoomScaleNormal="100" workbookViewId="0">
      <pane xSplit="4" ySplit="2" topLeftCell="S3" activePane="bottomRight" state="frozen"/>
      <selection pane="topRight" activeCell="E1" sqref="E1"/>
      <selection pane="bottomLeft" activeCell="A3" sqref="A3"/>
      <selection pane="bottomRight" activeCell="E1" sqref="E1:G1"/>
    </sheetView>
  </sheetViews>
  <sheetFormatPr defaultColWidth="8.6640625" defaultRowHeight="14.4" x14ac:dyDescent="0.3"/>
  <cols>
    <col min="1" max="1" width="30" customWidth="1"/>
    <col min="2" max="2" width="10" customWidth="1"/>
    <col min="3" max="3" width="12" customWidth="1"/>
    <col min="4" max="4" width="17.21875" customWidth="1"/>
    <col min="5" max="17" width="11" customWidth="1"/>
    <col min="18" max="23" width="14.44140625" customWidth="1"/>
    <col min="24" max="39" width="11" customWidth="1"/>
    <col min="40" max="40" width="30.88671875" customWidth="1"/>
    <col min="41" max="41" width="12.6640625" customWidth="1"/>
    <col min="42" max="42" width="16.88671875" bestFit="1" customWidth="1"/>
  </cols>
  <sheetData>
    <row r="1" spans="1:42" ht="19.5" customHeight="1" x14ac:dyDescent="0.3">
      <c r="A1" s="40" t="s">
        <v>246</v>
      </c>
      <c r="B1" s="40"/>
      <c r="C1" s="40"/>
      <c r="D1" s="40"/>
      <c r="E1" s="41" t="s">
        <v>247</v>
      </c>
      <c r="F1" s="41"/>
      <c r="G1" s="41"/>
      <c r="H1" s="42" t="s">
        <v>248</v>
      </c>
      <c r="I1" s="42"/>
      <c r="J1" s="42"/>
      <c r="K1" s="42"/>
      <c r="L1" s="42"/>
      <c r="M1" s="42"/>
      <c r="N1" s="42"/>
      <c r="O1" s="42"/>
      <c r="P1" s="42"/>
      <c r="Q1" s="42"/>
      <c r="R1" s="47" t="s">
        <v>288</v>
      </c>
      <c r="S1" s="47"/>
      <c r="T1" s="47"/>
      <c r="U1" s="47"/>
      <c r="V1" s="47"/>
      <c r="W1" s="47"/>
      <c r="X1" s="41" t="s">
        <v>249</v>
      </c>
      <c r="Y1" s="41"/>
      <c r="Z1" s="41"/>
      <c r="AA1" s="3" t="s">
        <v>250</v>
      </c>
      <c r="AB1" s="43" t="s">
        <v>251</v>
      </c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" t="s">
        <v>252</v>
      </c>
      <c r="AO1" s="52" t="s">
        <v>323</v>
      </c>
      <c r="AP1" s="52"/>
    </row>
    <row r="2" spans="1:42" ht="33.75" customHeight="1" x14ac:dyDescent="0.3">
      <c r="A2" s="4" t="s">
        <v>45</v>
      </c>
      <c r="B2" s="4" t="s">
        <v>46</v>
      </c>
      <c r="C2" s="4" t="s">
        <v>47</v>
      </c>
      <c r="D2" s="4" t="s">
        <v>48</v>
      </c>
      <c r="E2" s="3" t="s">
        <v>253</v>
      </c>
      <c r="F2" s="3" t="s">
        <v>254</v>
      </c>
      <c r="G2" s="3" t="s">
        <v>256</v>
      </c>
      <c r="H2" s="2" t="s">
        <v>257</v>
      </c>
      <c r="I2" s="2" t="s">
        <v>258</v>
      </c>
      <c r="J2" s="2" t="s">
        <v>259</v>
      </c>
      <c r="K2" s="2" t="s">
        <v>260</v>
      </c>
      <c r="L2" s="2" t="s">
        <v>261</v>
      </c>
      <c r="M2" s="2" t="s">
        <v>262</v>
      </c>
      <c r="N2" s="2" t="s">
        <v>263</v>
      </c>
      <c r="O2" s="2" t="s">
        <v>264</v>
      </c>
      <c r="P2" s="2" t="s">
        <v>265</v>
      </c>
      <c r="Q2" s="2" t="s">
        <v>266</v>
      </c>
      <c r="R2" s="19" t="s">
        <v>289</v>
      </c>
      <c r="S2" s="19" t="s">
        <v>290</v>
      </c>
      <c r="T2" s="19" t="s">
        <v>291</v>
      </c>
      <c r="U2" s="19" t="s">
        <v>292</v>
      </c>
      <c r="V2" s="19" t="s">
        <v>293</v>
      </c>
      <c r="W2" s="19" t="s">
        <v>294</v>
      </c>
      <c r="X2" s="3" t="s">
        <v>267</v>
      </c>
      <c r="Y2" s="3" t="s">
        <v>268</v>
      </c>
      <c r="Z2" s="3" t="s">
        <v>269</v>
      </c>
      <c r="AA2" s="3" t="s">
        <v>271</v>
      </c>
      <c r="AB2" s="1" t="s">
        <v>272</v>
      </c>
      <c r="AC2" s="1" t="s">
        <v>273</v>
      </c>
      <c r="AD2" s="1" t="s">
        <v>274</v>
      </c>
      <c r="AE2" s="1" t="s">
        <v>275</v>
      </c>
      <c r="AF2" s="1" t="s">
        <v>276</v>
      </c>
      <c r="AG2" s="1" t="s">
        <v>277</v>
      </c>
      <c r="AH2" s="1" t="s">
        <v>278</v>
      </c>
      <c r="AI2" s="1" t="s">
        <v>279</v>
      </c>
      <c r="AJ2" s="1" t="s">
        <v>280</v>
      </c>
      <c r="AK2" s="1" t="s">
        <v>281</v>
      </c>
      <c r="AL2" s="1" t="s">
        <v>282</v>
      </c>
      <c r="AM2" s="1" t="s">
        <v>283</v>
      </c>
      <c r="AN2" s="4" t="s">
        <v>284</v>
      </c>
      <c r="AO2" s="51" t="s">
        <v>324</v>
      </c>
      <c r="AP2" s="51" t="s">
        <v>325</v>
      </c>
    </row>
    <row r="3" spans="1:42" x14ac:dyDescent="0.3">
      <c r="A3" s="15" t="s">
        <v>53</v>
      </c>
      <c r="B3" s="15">
        <v>1000</v>
      </c>
      <c r="C3" s="15" t="s">
        <v>54</v>
      </c>
      <c r="D3" s="15" t="s">
        <v>55</v>
      </c>
      <c r="E3" s="17">
        <v>1</v>
      </c>
      <c r="F3" s="17">
        <v>0</v>
      </c>
      <c r="G3" s="15">
        <f t="shared" ref="G3:G34" si="0">E3+F3</f>
        <v>1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20">
        <v>0</v>
      </c>
      <c r="S3" s="20">
        <v>0</v>
      </c>
      <c r="T3" s="20">
        <v>0</v>
      </c>
      <c r="U3" s="17"/>
      <c r="V3" s="17"/>
      <c r="W3" s="20">
        <f t="shared" ref="W3:W34" si="1">R3+S3+T3</f>
        <v>0</v>
      </c>
      <c r="X3" s="21">
        <f t="shared" ref="X3:X43" si="2">Y3+Z3</f>
        <v>1</v>
      </c>
      <c r="Y3" s="15">
        <f t="shared" ref="Y3:Y43" si="3">AO3+AP3</f>
        <v>1</v>
      </c>
      <c r="Z3" s="15">
        <f t="shared" ref="Z3:Z34" si="4">F3+O3+IF($V3="Moro",$W3,0)-I3-L3</f>
        <v>0</v>
      </c>
      <c r="AA3" s="18" t="str">
        <f t="shared" ref="AA3:AA34" si="5">IF(AND(V3&gt;0,U3=""),"IMPORT NEEDS DESTINATION",IF(MIN(Y3,Z3)&lt;0,"NEGATIVE STOCK - CHECK ENTRIES",""))</f>
        <v/>
      </c>
      <c r="AB3" s="17">
        <v>0</v>
      </c>
      <c r="AC3" s="17">
        <v>0</v>
      </c>
      <c r="AD3" s="15">
        <f t="shared" ref="AD3" si="6">AB3-AC3</f>
        <v>0</v>
      </c>
      <c r="AE3" s="17">
        <v>0</v>
      </c>
      <c r="AF3" s="17">
        <v>0</v>
      </c>
      <c r="AG3" s="15">
        <f t="shared" ref="AG3" si="7">AE3-AF3</f>
        <v>0</v>
      </c>
      <c r="AH3" s="17">
        <v>0</v>
      </c>
      <c r="AI3" s="17">
        <v>0</v>
      </c>
      <c r="AJ3" s="15">
        <f t="shared" ref="AJ3" si="8">AH3-AI3</f>
        <v>0</v>
      </c>
      <c r="AK3" s="17">
        <v>0</v>
      </c>
      <c r="AL3" s="17">
        <v>0</v>
      </c>
      <c r="AM3" s="15">
        <f t="shared" ref="AM3" si="9">AK3-AL3</f>
        <v>0</v>
      </c>
      <c r="AN3" s="17"/>
      <c r="AO3" s="53">
        <f t="shared" ref="AO3:AO34" si="10">E3+N3+IF($V3="Arusha",$W3,0)-H3-K3</f>
        <v>1</v>
      </c>
      <c r="AP3" s="53">
        <f>IF($A3="",0,IF(COUNTIFS([1]Sheet1!$A$2:$A$190,$A3,[1]Sheet1!$B$2:$B$190,$B3,[1]Sheet1!$C$2:$C$190,"&gt;=0")=0,0,SUMIFS([1]Sheet1!$C$2:$C$190,[1]Sheet1!$A$2:$A$190,$A3,[1]Sheet1!$B$2:$B$190,$B3)-$AO3))</f>
        <v>0</v>
      </c>
    </row>
    <row r="4" spans="1:42" x14ac:dyDescent="0.3">
      <c r="A4" s="15" t="s">
        <v>58</v>
      </c>
      <c r="B4" s="15">
        <v>100</v>
      </c>
      <c r="C4" s="15" t="s">
        <v>54</v>
      </c>
      <c r="D4" s="15" t="s">
        <v>55</v>
      </c>
      <c r="E4" s="15" cm="1">
        <f t="array" ref="E4">IFERROR(_xlfn.XLOOKUP($A4&amp;"|"&amp;$B4&amp;"|"&amp;$D4,'21-AUGUST-2026'!$A$3:$A$199&amp;"|"&amp;'21-AUGUST-2026'!$B$3:$B$199&amp;"|"&amp;'21-AUGUST-2026'!$D$3:$D$199,'21-AUGUST-2026'!$T$3:$T$199,_xlfn.XLOOKUP($A4&amp;"|"&amp;$B4,'21-AUGUST-2026'!$A$3:$A$199&amp;"|"&amp;'21-AUGUST-2026'!$B$3:$B$199,'21-AUGUST-2026'!$T$3:$T$199,0)),0)</f>
        <v>1</v>
      </c>
      <c r="F4" s="15" cm="1">
        <f t="array" ref="F4">IFERROR(_xlfn.XLOOKUP($A4&amp;"|"&amp;$B4&amp;"|"&amp;$D4,'21-AUGUST-2026'!$A$3:$A$199&amp;"|"&amp;'21-AUGUST-2026'!$B$3:$B$199&amp;"|"&amp;'21-AUGUST-2026'!$D$3:$D$199,'21-AUGUST-2026'!$U$3:$U$199,_xlfn.XLOOKUP($A4&amp;"|"&amp;$B4,'21-AUGUST-2026'!$A$3:$A$199&amp;"|"&amp;'21-AUGUST-2026'!$B$3:$B$199,'21-AUGUST-2026'!$U$3:$U$199,0)),0)</f>
        <v>113</v>
      </c>
      <c r="G4" s="15">
        <f t="shared" si="0"/>
        <v>114</v>
      </c>
      <c r="H4" s="17">
        <v>12</v>
      </c>
      <c r="I4" s="17">
        <v>160</v>
      </c>
      <c r="J4" s="17">
        <v>0</v>
      </c>
      <c r="K4" s="17">
        <v>60</v>
      </c>
      <c r="L4" s="17">
        <v>0</v>
      </c>
      <c r="M4" s="17">
        <v>0</v>
      </c>
      <c r="N4" s="17">
        <v>71</v>
      </c>
      <c r="O4" s="17">
        <v>50</v>
      </c>
      <c r="P4" s="17">
        <v>0</v>
      </c>
      <c r="Q4" s="17">
        <v>0</v>
      </c>
      <c r="R4" s="20">
        <v>0</v>
      </c>
      <c r="S4" s="20">
        <v>0</v>
      </c>
      <c r="T4" s="20">
        <v>0</v>
      </c>
      <c r="U4" s="17"/>
      <c r="V4" s="17"/>
      <c r="W4" s="20">
        <f t="shared" si="1"/>
        <v>0</v>
      </c>
      <c r="X4" s="21">
        <f t="shared" si="2"/>
        <v>3</v>
      </c>
      <c r="Y4" s="15">
        <f t="shared" si="3"/>
        <v>0</v>
      </c>
      <c r="Z4" s="15">
        <f t="shared" si="4"/>
        <v>3</v>
      </c>
      <c r="AA4" s="18" t="str">
        <f t="shared" si="5"/>
        <v/>
      </c>
      <c r="AB4" s="17">
        <v>10</v>
      </c>
      <c r="AC4" s="17">
        <v>0</v>
      </c>
      <c r="AD4" s="15">
        <f t="shared" ref="AD4:AD35" si="11">AB4-AC4</f>
        <v>10</v>
      </c>
      <c r="AE4" s="17">
        <v>0</v>
      </c>
      <c r="AF4" s="17">
        <v>0</v>
      </c>
      <c r="AG4" s="15">
        <f t="shared" ref="AG4:AG35" si="12">AE4-AF4</f>
        <v>0</v>
      </c>
      <c r="AH4" s="17">
        <v>0</v>
      </c>
      <c r="AI4" s="17">
        <v>0</v>
      </c>
      <c r="AJ4" s="15">
        <f t="shared" ref="AJ4:AJ35" si="13">AH4-AI4</f>
        <v>0</v>
      </c>
      <c r="AK4" s="17">
        <v>0</v>
      </c>
      <c r="AL4" s="17">
        <v>0</v>
      </c>
      <c r="AM4" s="15">
        <f t="shared" ref="AM4:AM35" si="14">AK4-AL4</f>
        <v>0</v>
      </c>
      <c r="AN4" s="17"/>
      <c r="AO4" s="53">
        <f t="shared" si="10"/>
        <v>0</v>
      </c>
      <c r="AP4" s="53">
        <f>IF($A4="",0,IF(COUNTIFS([1]Sheet1!$A$2:$A$190,$A4,[1]Sheet1!$B$2:$B$190,$B4,[1]Sheet1!$C$2:$C$190,"&gt;=0")=0,0,SUMIFS([1]Sheet1!$C$2:$C$190,[1]Sheet1!$A$2:$A$190,$A4,[1]Sheet1!$B$2:$B$190,$B4)-$AO4))</f>
        <v>0</v>
      </c>
    </row>
    <row r="5" spans="1:42" x14ac:dyDescent="0.3">
      <c r="A5" s="15" t="s">
        <v>59</v>
      </c>
      <c r="B5" s="15">
        <v>100</v>
      </c>
      <c r="C5" s="15" t="s">
        <v>54</v>
      </c>
      <c r="D5" s="15" t="s">
        <v>55</v>
      </c>
      <c r="E5" s="15" cm="1">
        <f t="array" ref="E5">IFERROR(_xlfn.XLOOKUP($A5&amp;"|"&amp;$B5&amp;"|"&amp;$D5,'21-AUGUST-2026'!$A$3:$A$199&amp;"|"&amp;'21-AUGUST-2026'!$B$3:$B$199&amp;"|"&amp;'21-AUGUST-2026'!$D$3:$D$199,'21-AUGUST-2026'!$T$3:$T$199,_xlfn.XLOOKUP($A5&amp;"|"&amp;$B5,'21-AUGUST-2026'!$A$3:$A$199&amp;"|"&amp;'21-AUGUST-2026'!$B$3:$B$199,'21-AUGUST-2026'!$T$3:$T$199,0)),0)</f>
        <v>0</v>
      </c>
      <c r="F5" s="15" cm="1">
        <f t="array" ref="F5">IFERROR(_xlfn.XLOOKUP($A5&amp;"|"&amp;$B5&amp;"|"&amp;$D5,'21-AUGUST-2026'!$A$3:$A$199&amp;"|"&amp;'21-AUGUST-2026'!$B$3:$B$199&amp;"|"&amp;'21-AUGUST-2026'!$D$3:$D$199,'21-AUGUST-2026'!$U$3:$U$199,_xlfn.XLOOKUP($A5&amp;"|"&amp;$B5,'21-AUGUST-2026'!$A$3:$A$199&amp;"|"&amp;'21-AUGUST-2026'!$B$3:$B$199,'21-AUGUST-2026'!$U$3:$U$199,0)),0)</f>
        <v>0</v>
      </c>
      <c r="G5" s="15">
        <f t="shared" si="0"/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20">
        <v>0</v>
      </c>
      <c r="S5" s="20">
        <v>0</v>
      </c>
      <c r="T5" s="20">
        <v>0</v>
      </c>
      <c r="U5" s="17"/>
      <c r="V5" s="17"/>
      <c r="W5" s="20">
        <f t="shared" si="1"/>
        <v>0</v>
      </c>
      <c r="X5" s="21">
        <f t="shared" si="2"/>
        <v>0</v>
      </c>
      <c r="Y5" s="15">
        <f t="shared" si="3"/>
        <v>0</v>
      </c>
      <c r="Z5" s="15">
        <f t="shared" si="4"/>
        <v>0</v>
      </c>
      <c r="AA5" s="18" t="str">
        <f t="shared" si="5"/>
        <v/>
      </c>
      <c r="AB5" s="17">
        <v>0</v>
      </c>
      <c r="AC5" s="17">
        <v>20</v>
      </c>
      <c r="AD5" s="15">
        <f t="shared" si="11"/>
        <v>-20</v>
      </c>
      <c r="AE5" s="17">
        <v>0</v>
      </c>
      <c r="AF5" s="17">
        <v>0</v>
      </c>
      <c r="AG5" s="15">
        <f t="shared" si="12"/>
        <v>0</v>
      </c>
      <c r="AH5" s="17">
        <v>0</v>
      </c>
      <c r="AI5" s="17">
        <v>0</v>
      </c>
      <c r="AJ5" s="15">
        <f t="shared" si="13"/>
        <v>0</v>
      </c>
      <c r="AK5" s="17">
        <v>0</v>
      </c>
      <c r="AL5" s="17">
        <v>0</v>
      </c>
      <c r="AM5" s="15">
        <f t="shared" si="14"/>
        <v>0</v>
      </c>
      <c r="AN5" s="17"/>
      <c r="AO5" s="53">
        <f t="shared" si="10"/>
        <v>0</v>
      </c>
      <c r="AP5" s="53">
        <f>IF($A5="",0,IF(COUNTIFS([1]Sheet1!$A$2:$A$190,$A5,[1]Sheet1!$B$2:$B$190,$B5,[1]Sheet1!$C$2:$C$190,"&gt;=0")=0,0,SUMIFS([1]Sheet1!$C$2:$C$190,[1]Sheet1!$A$2:$A$190,$A5,[1]Sheet1!$B$2:$B$190,$B5)-$AO5))</f>
        <v>0</v>
      </c>
    </row>
    <row r="6" spans="1:42" x14ac:dyDescent="0.3">
      <c r="A6" s="15" t="s">
        <v>60</v>
      </c>
      <c r="B6" s="15">
        <v>100</v>
      </c>
      <c r="C6" s="15" t="s">
        <v>54</v>
      </c>
      <c r="D6" s="15" t="s">
        <v>55</v>
      </c>
      <c r="E6" s="15" cm="1">
        <f t="array" ref="E6">IFERROR(_xlfn.XLOOKUP($A6&amp;"|"&amp;$B6&amp;"|"&amp;$D6,'21-AUGUST-2026'!$A$3:$A$199&amp;"|"&amp;'21-AUGUST-2026'!$B$3:$B$199&amp;"|"&amp;'21-AUGUST-2026'!$D$3:$D$199,'21-AUGUST-2026'!$T$3:$T$199,_xlfn.XLOOKUP($A6&amp;"|"&amp;$B6,'21-AUGUST-2026'!$A$3:$A$199&amp;"|"&amp;'21-AUGUST-2026'!$B$3:$B$199,'21-AUGUST-2026'!$T$3:$T$199,0)),0)</f>
        <v>0</v>
      </c>
      <c r="F6" s="15" cm="1">
        <f t="array" ref="F6">IFERROR(_xlfn.XLOOKUP($A6&amp;"|"&amp;$B6&amp;"|"&amp;$D6,'21-AUGUST-2026'!$A$3:$A$199&amp;"|"&amp;'21-AUGUST-2026'!$B$3:$B$199&amp;"|"&amp;'21-AUGUST-2026'!$D$3:$D$199,'21-AUGUST-2026'!$U$3:$U$199,_xlfn.XLOOKUP($A6&amp;"|"&amp;$B6,'21-AUGUST-2026'!$A$3:$A$199&amp;"|"&amp;'21-AUGUST-2026'!$B$3:$B$199,'21-AUGUST-2026'!$U$3:$U$199,0)),0)</f>
        <v>20</v>
      </c>
      <c r="G6" s="15">
        <f t="shared" si="0"/>
        <v>20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20">
        <v>0</v>
      </c>
      <c r="S6" s="20">
        <v>0</v>
      </c>
      <c r="T6" s="20">
        <v>0</v>
      </c>
      <c r="U6" s="17"/>
      <c r="V6" s="17"/>
      <c r="W6" s="20">
        <f t="shared" si="1"/>
        <v>0</v>
      </c>
      <c r="X6" s="21">
        <f t="shared" si="2"/>
        <v>20</v>
      </c>
      <c r="Y6" s="15">
        <f t="shared" si="3"/>
        <v>0</v>
      </c>
      <c r="Z6" s="15">
        <f t="shared" si="4"/>
        <v>20</v>
      </c>
      <c r="AA6" s="18" t="str">
        <f t="shared" si="5"/>
        <v/>
      </c>
      <c r="AB6" s="17">
        <v>0</v>
      </c>
      <c r="AC6" s="17">
        <v>0</v>
      </c>
      <c r="AD6" s="15">
        <f t="shared" si="11"/>
        <v>0</v>
      </c>
      <c r="AE6" s="17">
        <v>0</v>
      </c>
      <c r="AF6" s="17">
        <v>0</v>
      </c>
      <c r="AG6" s="15">
        <f t="shared" si="12"/>
        <v>0</v>
      </c>
      <c r="AH6" s="17">
        <v>0</v>
      </c>
      <c r="AI6" s="17">
        <v>0</v>
      </c>
      <c r="AJ6" s="15">
        <f t="shared" si="13"/>
        <v>0</v>
      </c>
      <c r="AK6" s="17">
        <v>0</v>
      </c>
      <c r="AL6" s="17">
        <v>0</v>
      </c>
      <c r="AM6" s="15">
        <f t="shared" si="14"/>
        <v>0</v>
      </c>
      <c r="AN6" s="17" t="s">
        <v>286</v>
      </c>
      <c r="AO6" s="53">
        <f t="shared" si="10"/>
        <v>0</v>
      </c>
      <c r="AP6" s="53">
        <f>IF($A6="",0,IF(COUNTIFS([1]Sheet1!$A$2:$A$190,$A6,[1]Sheet1!$B$2:$B$190,$B6,[1]Sheet1!$C$2:$C$190,"&gt;=0")=0,0,SUMIFS([1]Sheet1!$C$2:$C$190,[1]Sheet1!$A$2:$A$190,$A6,[1]Sheet1!$B$2:$B$190,$B6)-$AO6))</f>
        <v>0</v>
      </c>
    </row>
    <row r="7" spans="1:42" x14ac:dyDescent="0.3">
      <c r="A7" s="15" t="s">
        <v>61</v>
      </c>
      <c r="B7" s="15">
        <v>100</v>
      </c>
      <c r="C7" s="15" t="s">
        <v>54</v>
      </c>
      <c r="D7" s="15" t="s">
        <v>55</v>
      </c>
      <c r="E7" s="15" cm="1">
        <f t="array" ref="E7">IFERROR(_xlfn.XLOOKUP($A7&amp;"|"&amp;$B7&amp;"|"&amp;$D7,'21-AUGUST-2026'!$A$3:$A$199&amp;"|"&amp;'21-AUGUST-2026'!$B$3:$B$199&amp;"|"&amp;'21-AUGUST-2026'!$D$3:$D$199,'21-AUGUST-2026'!$T$3:$T$199,_xlfn.XLOOKUP($A7&amp;"|"&amp;$B7,'21-AUGUST-2026'!$A$3:$A$199&amp;"|"&amp;'21-AUGUST-2026'!$B$3:$B$199,'21-AUGUST-2026'!$T$3:$T$199,0)),0)</f>
        <v>5</v>
      </c>
      <c r="F7" s="15" cm="1">
        <f t="array" ref="F7">IFERROR(_xlfn.XLOOKUP($A7&amp;"|"&amp;$B7&amp;"|"&amp;$D7,'21-AUGUST-2026'!$A$3:$A$199&amp;"|"&amp;'21-AUGUST-2026'!$B$3:$B$199&amp;"|"&amp;'21-AUGUST-2026'!$D$3:$D$199,'21-AUGUST-2026'!$U$3:$U$199,_xlfn.XLOOKUP($A7&amp;"|"&amp;$B7,'21-AUGUST-2026'!$A$3:$A$199&amp;"|"&amp;'21-AUGUST-2026'!$B$3:$B$199,'21-AUGUST-2026'!$U$3:$U$199,0)),0)</f>
        <v>17</v>
      </c>
      <c r="G7" s="15">
        <f t="shared" si="0"/>
        <v>22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20">
        <v>0</v>
      </c>
      <c r="S7" s="20">
        <v>0</v>
      </c>
      <c r="T7" s="20">
        <v>0</v>
      </c>
      <c r="U7" s="17"/>
      <c r="V7" s="17"/>
      <c r="W7" s="20">
        <f t="shared" si="1"/>
        <v>0</v>
      </c>
      <c r="X7" s="21">
        <f t="shared" si="2"/>
        <v>22</v>
      </c>
      <c r="Y7" s="15">
        <f t="shared" si="3"/>
        <v>5</v>
      </c>
      <c r="Z7" s="15">
        <f t="shared" si="4"/>
        <v>17</v>
      </c>
      <c r="AA7" s="18" t="str">
        <f t="shared" si="5"/>
        <v/>
      </c>
      <c r="AB7" s="17">
        <v>0</v>
      </c>
      <c r="AC7" s="17">
        <v>0</v>
      </c>
      <c r="AD7" s="15">
        <f t="shared" si="11"/>
        <v>0</v>
      </c>
      <c r="AE7" s="17">
        <v>0</v>
      </c>
      <c r="AF7" s="17">
        <v>0</v>
      </c>
      <c r="AG7" s="15">
        <f t="shared" si="12"/>
        <v>0</v>
      </c>
      <c r="AH7" s="17">
        <v>0</v>
      </c>
      <c r="AI7" s="17">
        <v>0</v>
      </c>
      <c r="AJ7" s="15">
        <f t="shared" si="13"/>
        <v>0</v>
      </c>
      <c r="AK7" s="17">
        <v>0</v>
      </c>
      <c r="AL7" s="17">
        <v>0</v>
      </c>
      <c r="AM7" s="15">
        <f t="shared" si="14"/>
        <v>0</v>
      </c>
      <c r="AN7" s="17" t="s">
        <v>287</v>
      </c>
      <c r="AO7" s="53">
        <f t="shared" si="10"/>
        <v>5</v>
      </c>
      <c r="AP7" s="53">
        <f>IF($A7="",0,IF(COUNTIFS([1]Sheet1!$A$2:$A$190,$A7,[1]Sheet1!$B$2:$B$190,$B7,[1]Sheet1!$C$2:$C$190,"&gt;=0")=0,0,SUMIFS([1]Sheet1!$C$2:$C$190,[1]Sheet1!$A$2:$A$190,$A7,[1]Sheet1!$B$2:$B$190,$B7)-$AO7))</f>
        <v>0</v>
      </c>
    </row>
    <row r="8" spans="1:42" x14ac:dyDescent="0.3">
      <c r="A8" s="15" t="s">
        <v>62</v>
      </c>
      <c r="B8" s="15">
        <v>100</v>
      </c>
      <c r="C8" s="15" t="s">
        <v>54</v>
      </c>
      <c r="D8" s="15" t="s">
        <v>55</v>
      </c>
      <c r="E8" s="15" cm="1">
        <f t="array" ref="E8">IFERROR(_xlfn.XLOOKUP($A8&amp;"|"&amp;$B8&amp;"|"&amp;$D8,'21-AUGUST-2026'!$A$3:$A$199&amp;"|"&amp;'21-AUGUST-2026'!$B$3:$B$199&amp;"|"&amp;'21-AUGUST-2026'!$D$3:$D$199,'21-AUGUST-2026'!$T$3:$T$199,_xlfn.XLOOKUP($A8&amp;"|"&amp;$B8,'21-AUGUST-2026'!$A$3:$A$199&amp;"|"&amp;'21-AUGUST-2026'!$B$3:$B$199,'21-AUGUST-2026'!$T$3:$T$199,0)),0)</f>
        <v>0</v>
      </c>
      <c r="F8" s="15" cm="1">
        <f t="array" ref="F8">IFERROR(_xlfn.XLOOKUP($A8&amp;"|"&amp;$B8&amp;"|"&amp;$D8,'21-AUGUST-2026'!$A$3:$A$199&amp;"|"&amp;'21-AUGUST-2026'!$B$3:$B$199&amp;"|"&amp;'21-AUGUST-2026'!$D$3:$D$199,'21-AUGUST-2026'!$U$3:$U$199,_xlfn.XLOOKUP($A8&amp;"|"&amp;$B8,'21-AUGUST-2026'!$A$3:$A$199&amp;"|"&amp;'21-AUGUST-2026'!$B$3:$B$199,'21-AUGUST-2026'!$U$3:$U$199,0)),0)</f>
        <v>0</v>
      </c>
      <c r="G8" s="15">
        <f t="shared" si="0"/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150</v>
      </c>
      <c r="O8" s="17">
        <v>0</v>
      </c>
      <c r="P8" s="17">
        <v>0</v>
      </c>
      <c r="Q8" s="17">
        <v>0</v>
      </c>
      <c r="R8" s="20">
        <v>0</v>
      </c>
      <c r="S8" s="20">
        <v>0</v>
      </c>
      <c r="T8" s="20">
        <v>0</v>
      </c>
      <c r="U8" s="17"/>
      <c r="V8" s="17"/>
      <c r="W8" s="20">
        <f t="shared" si="1"/>
        <v>0</v>
      </c>
      <c r="X8" s="21">
        <f t="shared" si="2"/>
        <v>150</v>
      </c>
      <c r="Y8" s="15">
        <f t="shared" si="3"/>
        <v>150</v>
      </c>
      <c r="Z8" s="15">
        <f t="shared" si="4"/>
        <v>0</v>
      </c>
      <c r="AA8" s="18" t="str">
        <f t="shared" si="5"/>
        <v/>
      </c>
      <c r="AB8" s="17">
        <v>0</v>
      </c>
      <c r="AC8" s="17">
        <v>0</v>
      </c>
      <c r="AD8" s="15">
        <f t="shared" si="11"/>
        <v>0</v>
      </c>
      <c r="AE8" s="17">
        <v>0</v>
      </c>
      <c r="AF8" s="17">
        <v>0</v>
      </c>
      <c r="AG8" s="15">
        <f t="shared" si="12"/>
        <v>0</v>
      </c>
      <c r="AH8" s="17">
        <v>0</v>
      </c>
      <c r="AI8" s="17">
        <v>0</v>
      </c>
      <c r="AJ8" s="15">
        <f t="shared" si="13"/>
        <v>0</v>
      </c>
      <c r="AK8" s="17">
        <v>0</v>
      </c>
      <c r="AL8" s="17">
        <v>0</v>
      </c>
      <c r="AM8" s="15">
        <f t="shared" si="14"/>
        <v>0</v>
      </c>
      <c r="AN8" s="17"/>
      <c r="AO8" s="53">
        <f t="shared" si="10"/>
        <v>150</v>
      </c>
      <c r="AP8" s="53">
        <f>IF($A8="",0,IF(COUNTIFS([1]Sheet1!$A$2:$A$190,$A8,[1]Sheet1!$B$2:$B$190,$B8,[1]Sheet1!$C$2:$C$190,"&gt;=0")=0,0,SUMIFS([1]Sheet1!$C$2:$C$190,[1]Sheet1!$A$2:$A$190,$A8,[1]Sheet1!$B$2:$B$190,$B8)-$AO8))</f>
        <v>0</v>
      </c>
    </row>
    <row r="9" spans="1:42" x14ac:dyDescent="0.3">
      <c r="A9" s="15" t="s">
        <v>62</v>
      </c>
      <c r="B9" s="15">
        <v>500</v>
      </c>
      <c r="C9" s="15" t="s">
        <v>54</v>
      </c>
      <c r="D9" s="15" t="s">
        <v>55</v>
      </c>
      <c r="E9" s="15">
        <v>0</v>
      </c>
      <c r="F9" s="15" cm="1">
        <f t="array" ref="F9">IFERROR(_xlfn.XLOOKUP($A9&amp;"|"&amp;$B9&amp;"|"&amp;$D9,'21-AUGUST-2026'!$A$3:$A$199&amp;"|"&amp;'21-AUGUST-2026'!$B$3:$B$199&amp;"|"&amp;'21-AUGUST-2026'!$D$3:$D$199,'21-AUGUST-2026'!$U$3:$U$199,_xlfn.XLOOKUP($A9&amp;"|"&amp;$B9,'21-AUGUST-2026'!$A$3:$A$199&amp;"|"&amp;'21-AUGUST-2026'!$B$3:$B$199,'21-AUGUST-2026'!$U$3:$U$199,0)),0)</f>
        <v>0</v>
      </c>
      <c r="G9" s="15">
        <f t="shared" si="0"/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20">
        <v>0</v>
      </c>
      <c r="S9" s="20">
        <v>0</v>
      </c>
      <c r="T9" s="20">
        <v>0</v>
      </c>
      <c r="U9" s="17"/>
      <c r="V9" s="17"/>
      <c r="W9" s="20">
        <f t="shared" si="1"/>
        <v>0</v>
      </c>
      <c r="X9" s="21">
        <f t="shared" si="2"/>
        <v>0</v>
      </c>
      <c r="Y9" s="15">
        <f t="shared" si="3"/>
        <v>0</v>
      </c>
      <c r="Z9" s="15">
        <f t="shared" si="4"/>
        <v>0</v>
      </c>
      <c r="AA9" s="18" t="str">
        <f t="shared" si="5"/>
        <v/>
      </c>
      <c r="AB9" s="17">
        <v>0</v>
      </c>
      <c r="AC9" s="17">
        <v>0</v>
      </c>
      <c r="AD9" s="15">
        <f t="shared" si="11"/>
        <v>0</v>
      </c>
      <c r="AE9" s="17">
        <v>0</v>
      </c>
      <c r="AF9" s="17">
        <v>0</v>
      </c>
      <c r="AG9" s="15">
        <f t="shared" si="12"/>
        <v>0</v>
      </c>
      <c r="AH9" s="17">
        <v>0</v>
      </c>
      <c r="AI9" s="17">
        <v>0</v>
      </c>
      <c r="AJ9" s="15">
        <f t="shared" si="13"/>
        <v>0</v>
      </c>
      <c r="AK9" s="17">
        <v>0</v>
      </c>
      <c r="AL9" s="17">
        <v>0</v>
      </c>
      <c r="AM9" s="15">
        <f t="shared" si="14"/>
        <v>0</v>
      </c>
      <c r="AN9" s="17"/>
      <c r="AO9" s="53">
        <f t="shared" si="10"/>
        <v>0</v>
      </c>
      <c r="AP9" s="53">
        <f>IF($A9="",0,IF(COUNTIFS([1]Sheet1!$A$2:$A$190,$A9,[1]Sheet1!$B$2:$B$190,$B9,[1]Sheet1!$C$2:$C$190,"&gt;=0")=0,0,SUMIFS([1]Sheet1!$C$2:$C$190,[1]Sheet1!$A$2:$A$190,$A9,[1]Sheet1!$B$2:$B$190,$B9)-$AO9))</f>
        <v>0</v>
      </c>
    </row>
    <row r="10" spans="1:42" x14ac:dyDescent="0.3">
      <c r="A10" s="15" t="s">
        <v>63</v>
      </c>
      <c r="B10" s="15">
        <v>100</v>
      </c>
      <c r="C10" s="15" t="s">
        <v>54</v>
      </c>
      <c r="D10" s="15" t="s">
        <v>55</v>
      </c>
      <c r="E10" s="15" cm="1">
        <f t="array" ref="E10">IFERROR(_xlfn.XLOOKUP($A10&amp;"|"&amp;$B10&amp;"|"&amp;$D10,'21-AUGUST-2026'!$A$3:$A$199&amp;"|"&amp;'21-AUGUST-2026'!$B$3:$B$199&amp;"|"&amp;'21-AUGUST-2026'!$D$3:$D$199,'21-AUGUST-2026'!$T$3:$T$199,_xlfn.XLOOKUP($A10&amp;"|"&amp;$B10,'21-AUGUST-2026'!$A$3:$A$199&amp;"|"&amp;'21-AUGUST-2026'!$B$3:$B$199,'21-AUGUST-2026'!$T$3:$T$199,0)),0)</f>
        <v>330</v>
      </c>
      <c r="F10" s="15" cm="1">
        <f t="array" ref="F10">IFERROR(_xlfn.XLOOKUP($A10&amp;"|"&amp;$B10&amp;"|"&amp;$D10,'21-AUGUST-2026'!$A$3:$A$199&amp;"|"&amp;'21-AUGUST-2026'!$B$3:$B$199&amp;"|"&amp;'21-AUGUST-2026'!$D$3:$D$199,'21-AUGUST-2026'!$U$3:$U$199,_xlfn.XLOOKUP($A10&amp;"|"&amp;$B10,'21-AUGUST-2026'!$A$3:$A$199&amp;"|"&amp;'21-AUGUST-2026'!$B$3:$B$199,'21-AUGUST-2026'!$U$3:$U$199,0)),0)</f>
        <v>178</v>
      </c>
      <c r="G10" s="15">
        <f t="shared" si="0"/>
        <v>508</v>
      </c>
      <c r="H10" s="17">
        <v>0</v>
      </c>
      <c r="I10" s="17">
        <v>0</v>
      </c>
      <c r="J10" s="17">
        <v>0</v>
      </c>
      <c r="K10" s="17">
        <v>7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20">
        <v>0</v>
      </c>
      <c r="S10" s="20">
        <v>0</v>
      </c>
      <c r="T10" s="20">
        <v>0</v>
      </c>
      <c r="U10" s="17"/>
      <c r="V10" s="17"/>
      <c r="W10" s="20">
        <f t="shared" si="1"/>
        <v>0</v>
      </c>
      <c r="X10" s="21">
        <f t="shared" si="2"/>
        <v>508</v>
      </c>
      <c r="Y10" s="15">
        <f t="shared" si="3"/>
        <v>330</v>
      </c>
      <c r="Z10" s="15">
        <f t="shared" si="4"/>
        <v>178</v>
      </c>
      <c r="AA10" s="18" t="str">
        <f t="shared" si="5"/>
        <v/>
      </c>
      <c r="AB10" s="17">
        <v>0</v>
      </c>
      <c r="AC10" s="17">
        <v>0</v>
      </c>
      <c r="AD10" s="15">
        <f t="shared" si="11"/>
        <v>0</v>
      </c>
      <c r="AE10" s="17">
        <v>7</v>
      </c>
      <c r="AF10" s="17">
        <v>7</v>
      </c>
      <c r="AG10" s="15">
        <f t="shared" si="12"/>
        <v>0</v>
      </c>
      <c r="AH10" s="17">
        <v>0</v>
      </c>
      <c r="AI10" s="17">
        <v>0</v>
      </c>
      <c r="AJ10" s="15">
        <f t="shared" si="13"/>
        <v>0</v>
      </c>
      <c r="AK10" s="17">
        <v>0</v>
      </c>
      <c r="AL10" s="17">
        <v>0</v>
      </c>
      <c r="AM10" s="15">
        <f t="shared" si="14"/>
        <v>0</v>
      </c>
      <c r="AN10" s="17"/>
      <c r="AO10" s="53">
        <f t="shared" si="10"/>
        <v>323</v>
      </c>
      <c r="AP10" s="53">
        <f>IF($A10="",0,IF(COUNTIFS([1]Sheet1!$A$2:$A$190,$A10,[1]Sheet1!$B$2:$B$190,$B10,[1]Sheet1!$C$2:$C$190,"&gt;=0")=0,0,SUMIFS([1]Sheet1!$C$2:$C$190,[1]Sheet1!$A$2:$A$190,$A10,[1]Sheet1!$B$2:$B$190,$B10)-$AO10))</f>
        <v>7</v>
      </c>
    </row>
    <row r="11" spans="1:42" x14ac:dyDescent="0.3">
      <c r="A11" s="15" t="s">
        <v>64</v>
      </c>
      <c r="B11" s="15">
        <v>500</v>
      </c>
      <c r="C11" s="15" t="s">
        <v>54</v>
      </c>
      <c r="D11" s="15" t="s">
        <v>55</v>
      </c>
      <c r="E11" s="15" cm="1">
        <f t="array" ref="E11">IFERROR(_xlfn.XLOOKUP($A11&amp;"|"&amp;$B11&amp;"|"&amp;$D11,'21-AUGUST-2026'!$A$3:$A$199&amp;"|"&amp;'21-AUGUST-2026'!$B$3:$B$199&amp;"|"&amp;'21-AUGUST-2026'!$D$3:$D$199,'21-AUGUST-2026'!$T$3:$T$199,_xlfn.XLOOKUP($A11&amp;"|"&amp;$B11,'21-AUGUST-2026'!$A$3:$A$199&amp;"|"&amp;'21-AUGUST-2026'!$B$3:$B$199,'21-AUGUST-2026'!$T$3:$T$199,0)),0)</f>
        <v>8</v>
      </c>
      <c r="F11" s="15" cm="1">
        <f t="array" ref="F11">IFERROR(_xlfn.XLOOKUP($A11&amp;"|"&amp;$B11&amp;"|"&amp;$D11,'21-AUGUST-2026'!$A$3:$A$199&amp;"|"&amp;'21-AUGUST-2026'!$B$3:$B$199&amp;"|"&amp;'21-AUGUST-2026'!$D$3:$D$199,'21-AUGUST-2026'!$U$3:$U$199,_xlfn.XLOOKUP($A11&amp;"|"&amp;$B11,'21-AUGUST-2026'!$A$3:$A$199&amp;"|"&amp;'21-AUGUST-2026'!$B$3:$B$199,'21-AUGUST-2026'!$U$3:$U$199,0)),0)</f>
        <v>0</v>
      </c>
      <c r="G11" s="15">
        <f t="shared" si="0"/>
        <v>8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20">
        <v>0</v>
      </c>
      <c r="S11" s="20">
        <v>0</v>
      </c>
      <c r="T11" s="20">
        <v>0</v>
      </c>
      <c r="U11" s="17"/>
      <c r="V11" s="17"/>
      <c r="W11" s="20">
        <f t="shared" si="1"/>
        <v>0</v>
      </c>
      <c r="X11" s="21">
        <f t="shared" si="2"/>
        <v>8</v>
      </c>
      <c r="Y11" s="15">
        <f t="shared" si="3"/>
        <v>8</v>
      </c>
      <c r="Z11" s="15">
        <f t="shared" si="4"/>
        <v>0</v>
      </c>
      <c r="AA11" s="18" t="str">
        <f t="shared" si="5"/>
        <v/>
      </c>
      <c r="AB11" s="17">
        <v>0</v>
      </c>
      <c r="AC11" s="17">
        <v>0</v>
      </c>
      <c r="AD11" s="15">
        <f t="shared" si="11"/>
        <v>0</v>
      </c>
      <c r="AE11" s="17">
        <v>0</v>
      </c>
      <c r="AF11" s="17">
        <v>0</v>
      </c>
      <c r="AG11" s="15">
        <f t="shared" si="12"/>
        <v>0</v>
      </c>
      <c r="AH11" s="17">
        <v>0</v>
      </c>
      <c r="AI11" s="17">
        <v>0</v>
      </c>
      <c r="AJ11" s="15">
        <f t="shared" si="13"/>
        <v>0</v>
      </c>
      <c r="AK11" s="17">
        <v>0</v>
      </c>
      <c r="AL11" s="17">
        <v>0</v>
      </c>
      <c r="AM11" s="15">
        <f t="shared" si="14"/>
        <v>0</v>
      </c>
      <c r="AN11" s="17"/>
      <c r="AO11" s="53">
        <f t="shared" si="10"/>
        <v>8</v>
      </c>
      <c r="AP11" s="53">
        <f>IF($A11="",0,IF(COUNTIFS([1]Sheet1!$A$2:$A$190,$A11,[1]Sheet1!$B$2:$B$190,$B11,[1]Sheet1!$C$2:$C$190,"&gt;=0")=0,0,SUMIFS([1]Sheet1!$C$2:$C$190,[1]Sheet1!$A$2:$A$190,$A11,[1]Sheet1!$B$2:$B$190,$B11)-$AO11))</f>
        <v>0</v>
      </c>
    </row>
    <row r="12" spans="1:42" x14ac:dyDescent="0.3">
      <c r="A12" s="15" t="s">
        <v>65</v>
      </c>
      <c r="B12" s="15">
        <v>100</v>
      </c>
      <c r="C12" s="15" t="s">
        <v>54</v>
      </c>
      <c r="D12" s="15" t="s">
        <v>55</v>
      </c>
      <c r="E12" s="15" cm="1">
        <f t="array" ref="E12">IFERROR(_xlfn.XLOOKUP($A12&amp;"|"&amp;$B12&amp;"|"&amp;$D12,'21-AUGUST-2026'!$A$3:$A$199&amp;"|"&amp;'21-AUGUST-2026'!$B$3:$B$199&amp;"|"&amp;'21-AUGUST-2026'!$D$3:$D$199,'21-AUGUST-2026'!$T$3:$T$199,_xlfn.XLOOKUP($A12&amp;"|"&amp;$B12,'21-AUGUST-2026'!$A$3:$A$199&amp;"|"&amp;'21-AUGUST-2026'!$B$3:$B$199,'21-AUGUST-2026'!$T$3:$T$199,0)),0)</f>
        <v>4340</v>
      </c>
      <c r="F12" s="15" cm="1">
        <f t="array" ref="F12">IFERROR(_xlfn.XLOOKUP($A12&amp;"|"&amp;$B12&amp;"|"&amp;$D12,'21-AUGUST-2026'!$A$3:$A$199&amp;"|"&amp;'21-AUGUST-2026'!$B$3:$B$199&amp;"|"&amp;'21-AUGUST-2026'!$D$3:$D$199,'21-AUGUST-2026'!$U$3:$U$199,_xlfn.XLOOKUP($A12&amp;"|"&amp;$B12,'21-AUGUST-2026'!$A$3:$A$199&amp;"|"&amp;'21-AUGUST-2026'!$B$3:$B$199,'21-AUGUST-2026'!$U$3:$U$199,0)),0)</f>
        <v>71</v>
      </c>
      <c r="G12" s="15">
        <f t="shared" si="0"/>
        <v>4411</v>
      </c>
      <c r="H12" s="17">
        <v>3</v>
      </c>
      <c r="I12" s="17">
        <v>3</v>
      </c>
      <c r="J12" s="17">
        <v>0</v>
      </c>
      <c r="K12" s="17">
        <v>905</v>
      </c>
      <c r="L12" s="17">
        <v>2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20">
        <v>0</v>
      </c>
      <c r="S12" s="20">
        <v>0</v>
      </c>
      <c r="T12" s="20">
        <v>0</v>
      </c>
      <c r="U12" s="17"/>
      <c r="V12" s="17"/>
      <c r="W12" s="20">
        <f t="shared" si="1"/>
        <v>0</v>
      </c>
      <c r="X12" s="21">
        <f t="shared" si="2"/>
        <v>4391</v>
      </c>
      <c r="Y12" s="15">
        <f t="shared" si="3"/>
        <v>4325</v>
      </c>
      <c r="Z12" s="15">
        <f t="shared" si="4"/>
        <v>66</v>
      </c>
      <c r="AA12" s="18" t="str">
        <f t="shared" si="5"/>
        <v/>
      </c>
      <c r="AB12" s="17">
        <v>200</v>
      </c>
      <c r="AC12" s="17">
        <v>250</v>
      </c>
      <c r="AD12" s="15">
        <f t="shared" si="11"/>
        <v>-50</v>
      </c>
      <c r="AE12" s="17">
        <v>625</v>
      </c>
      <c r="AF12" s="17">
        <v>45</v>
      </c>
      <c r="AG12" s="15">
        <f t="shared" si="12"/>
        <v>580</v>
      </c>
      <c r="AH12" s="17">
        <v>82</v>
      </c>
      <c r="AI12" s="17">
        <v>82</v>
      </c>
      <c r="AJ12" s="15">
        <f t="shared" si="13"/>
        <v>0</v>
      </c>
      <c r="AK12" s="17">
        <v>0</v>
      </c>
      <c r="AL12" s="17">
        <v>0</v>
      </c>
      <c r="AM12" s="15">
        <f t="shared" si="14"/>
        <v>0</v>
      </c>
      <c r="AN12" s="17"/>
      <c r="AO12" s="53">
        <f t="shared" si="10"/>
        <v>3432</v>
      </c>
      <c r="AP12" s="53">
        <f>IF($A12="",0,IF(COUNTIFS([1]Sheet1!$A$2:$A$190,$A12,[1]Sheet1!$B$2:$B$190,$B12,[1]Sheet1!$C$2:$C$190,"&gt;=0")=0,0,SUMIFS([1]Sheet1!$C$2:$C$190,[1]Sheet1!$A$2:$A$190,$A12,[1]Sheet1!$B$2:$B$190,$B12)-$AO12))</f>
        <v>893</v>
      </c>
    </row>
    <row r="13" spans="1:42" x14ac:dyDescent="0.3">
      <c r="A13" s="15" t="s">
        <v>65</v>
      </c>
      <c r="B13" s="15">
        <v>500</v>
      </c>
      <c r="C13" s="15" t="s">
        <v>54</v>
      </c>
      <c r="D13" s="15" t="s">
        <v>55</v>
      </c>
      <c r="E13" s="15" cm="1">
        <f t="array" ref="E13">IFERROR(_xlfn.XLOOKUP($A13&amp;"|"&amp;$B13&amp;"|"&amp;$D13,'21-AUGUST-2026'!$A$3:$A$199&amp;"|"&amp;'21-AUGUST-2026'!$B$3:$B$199&amp;"|"&amp;'21-AUGUST-2026'!$D$3:$D$199,'21-AUGUST-2026'!$T$3:$T$199,_xlfn.XLOOKUP($A13&amp;"|"&amp;$B13,'21-AUGUST-2026'!$A$3:$A$199&amp;"|"&amp;'21-AUGUST-2026'!$B$3:$B$199,'21-AUGUST-2026'!$T$3:$T$199,0)),0)</f>
        <v>0</v>
      </c>
      <c r="F13" s="15" cm="1">
        <f t="array" ref="F13">IFERROR(_xlfn.XLOOKUP($A13&amp;"|"&amp;$B13&amp;"|"&amp;$D13,'21-AUGUST-2026'!$A$3:$A$199&amp;"|"&amp;'21-AUGUST-2026'!$B$3:$B$199&amp;"|"&amp;'21-AUGUST-2026'!$D$3:$D$199,'21-AUGUST-2026'!$U$3:$U$199,_xlfn.XLOOKUP($A13&amp;"|"&amp;$B13,'21-AUGUST-2026'!$A$3:$A$199&amp;"|"&amp;'21-AUGUST-2026'!$B$3:$B$199,'21-AUGUST-2026'!$U$3:$U$199,0)),0)</f>
        <v>0</v>
      </c>
      <c r="G13" s="15">
        <f t="shared" si="0"/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20">
        <v>0</v>
      </c>
      <c r="S13" s="20">
        <v>0</v>
      </c>
      <c r="T13" s="20">
        <v>0</v>
      </c>
      <c r="U13" s="17"/>
      <c r="V13" s="17"/>
      <c r="W13" s="20">
        <f t="shared" si="1"/>
        <v>0</v>
      </c>
      <c r="X13" s="21">
        <f t="shared" si="2"/>
        <v>0</v>
      </c>
      <c r="Y13" s="15">
        <f t="shared" si="3"/>
        <v>0</v>
      </c>
      <c r="Z13" s="15">
        <f t="shared" si="4"/>
        <v>0</v>
      </c>
      <c r="AA13" s="18" t="str">
        <f t="shared" si="5"/>
        <v/>
      </c>
      <c r="AB13" s="17">
        <v>0</v>
      </c>
      <c r="AC13" s="17">
        <v>0</v>
      </c>
      <c r="AD13" s="15">
        <f t="shared" si="11"/>
        <v>0</v>
      </c>
      <c r="AE13" s="17">
        <v>0</v>
      </c>
      <c r="AF13" s="17">
        <v>0</v>
      </c>
      <c r="AG13" s="15">
        <f t="shared" si="12"/>
        <v>0</v>
      </c>
      <c r="AH13" s="17">
        <v>0</v>
      </c>
      <c r="AI13" s="17">
        <v>0</v>
      </c>
      <c r="AJ13" s="15">
        <f t="shared" si="13"/>
        <v>0</v>
      </c>
      <c r="AK13" s="17">
        <v>0</v>
      </c>
      <c r="AL13" s="17">
        <v>0</v>
      </c>
      <c r="AM13" s="15">
        <f t="shared" si="14"/>
        <v>0</v>
      </c>
      <c r="AN13" s="17"/>
      <c r="AO13" s="53">
        <f t="shared" si="10"/>
        <v>0</v>
      </c>
      <c r="AP13" s="53">
        <f>IF($A13="",0,IF(COUNTIFS([1]Sheet1!$A$2:$A$190,$A13,[1]Sheet1!$B$2:$B$190,$B13,[1]Sheet1!$C$2:$C$190,"&gt;=0")=0,0,SUMIFS([1]Sheet1!$C$2:$C$190,[1]Sheet1!$A$2:$A$190,$A13,[1]Sheet1!$B$2:$B$190,$B13)-$AO13))</f>
        <v>0</v>
      </c>
    </row>
    <row r="14" spans="1:42" x14ac:dyDescent="0.3">
      <c r="A14" s="15" t="s">
        <v>66</v>
      </c>
      <c r="B14" s="15">
        <v>100</v>
      </c>
      <c r="C14" s="15" t="s">
        <v>54</v>
      </c>
      <c r="D14" s="15" t="s">
        <v>55</v>
      </c>
      <c r="E14" s="15" cm="1">
        <f t="array" ref="E14">IFERROR(_xlfn.XLOOKUP($A14&amp;"|"&amp;$B14&amp;"|"&amp;$D14,'21-AUGUST-2026'!$A$3:$A$199&amp;"|"&amp;'21-AUGUST-2026'!$B$3:$B$199&amp;"|"&amp;'21-AUGUST-2026'!$D$3:$D$199,'21-AUGUST-2026'!$T$3:$T$199,_xlfn.XLOOKUP($A14&amp;"|"&amp;$B14,'21-AUGUST-2026'!$A$3:$A$199&amp;"|"&amp;'21-AUGUST-2026'!$B$3:$B$199,'21-AUGUST-2026'!$T$3:$T$199,0)),0)</f>
        <v>23</v>
      </c>
      <c r="F14" s="15" cm="1">
        <f t="array" ref="F14">IFERROR(_xlfn.XLOOKUP($A14&amp;"|"&amp;$B14&amp;"|"&amp;$D14,'21-AUGUST-2026'!$A$3:$A$199&amp;"|"&amp;'21-AUGUST-2026'!$B$3:$B$199&amp;"|"&amp;'21-AUGUST-2026'!$D$3:$D$199,'21-AUGUST-2026'!$U$3:$U$199,_xlfn.XLOOKUP($A14&amp;"|"&amp;$B14,'21-AUGUST-2026'!$A$3:$A$199&amp;"|"&amp;'21-AUGUST-2026'!$B$3:$B$199,'21-AUGUST-2026'!$U$3:$U$199,0)),0)</f>
        <v>40</v>
      </c>
      <c r="G14" s="15">
        <f t="shared" si="0"/>
        <v>63</v>
      </c>
      <c r="H14" s="17">
        <v>23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20">
        <v>0</v>
      </c>
      <c r="S14" s="20">
        <v>0</v>
      </c>
      <c r="T14" s="20">
        <v>0</v>
      </c>
      <c r="U14" s="17"/>
      <c r="V14" s="17"/>
      <c r="W14" s="20">
        <f t="shared" si="1"/>
        <v>0</v>
      </c>
      <c r="X14" s="21">
        <f t="shared" si="2"/>
        <v>63</v>
      </c>
      <c r="Y14" s="15">
        <f t="shared" si="3"/>
        <v>23</v>
      </c>
      <c r="Z14" s="15">
        <f t="shared" si="4"/>
        <v>40</v>
      </c>
      <c r="AA14" s="18" t="str">
        <f t="shared" si="5"/>
        <v/>
      </c>
      <c r="AB14" s="17">
        <v>0</v>
      </c>
      <c r="AC14" s="17">
        <v>0</v>
      </c>
      <c r="AD14" s="15">
        <f t="shared" si="11"/>
        <v>0</v>
      </c>
      <c r="AE14" s="17">
        <v>0</v>
      </c>
      <c r="AF14" s="17">
        <v>0</v>
      </c>
      <c r="AG14" s="15">
        <f t="shared" si="12"/>
        <v>0</v>
      </c>
      <c r="AH14" s="17">
        <v>0</v>
      </c>
      <c r="AI14" s="17">
        <v>0</v>
      </c>
      <c r="AJ14" s="15">
        <f t="shared" si="13"/>
        <v>0</v>
      </c>
      <c r="AK14" s="17">
        <v>0</v>
      </c>
      <c r="AL14" s="17">
        <v>0</v>
      </c>
      <c r="AM14" s="15">
        <f t="shared" si="14"/>
        <v>0</v>
      </c>
      <c r="AN14" s="17"/>
      <c r="AO14" s="53">
        <f t="shared" si="10"/>
        <v>0</v>
      </c>
      <c r="AP14" s="53">
        <f>IF($A14="",0,IF(COUNTIFS([1]Sheet1!$A$2:$A$190,$A14,[1]Sheet1!$B$2:$B$190,$B14,[1]Sheet1!$C$2:$C$190,"&gt;=0")=0,0,SUMIFS([1]Sheet1!$C$2:$C$190,[1]Sheet1!$A$2:$A$190,$A14,[1]Sheet1!$B$2:$B$190,$B14)-$AO14))</f>
        <v>23</v>
      </c>
    </row>
    <row r="15" spans="1:42" x14ac:dyDescent="0.3">
      <c r="A15" s="15" t="s">
        <v>66</v>
      </c>
      <c r="B15" s="15">
        <v>1000</v>
      </c>
      <c r="C15" s="15" t="s">
        <v>54</v>
      </c>
      <c r="D15" s="15" t="s">
        <v>55</v>
      </c>
      <c r="E15" s="15" cm="1">
        <f t="array" ref="E15">IFERROR(_xlfn.XLOOKUP($A15&amp;"|"&amp;$B15&amp;"|"&amp;$D15,'21-AUGUST-2026'!$A$3:$A$199&amp;"|"&amp;'21-AUGUST-2026'!$B$3:$B$199&amp;"|"&amp;'21-AUGUST-2026'!$D$3:$D$199,'21-AUGUST-2026'!$T$3:$T$199,_xlfn.XLOOKUP($A15&amp;"|"&amp;$B15,'21-AUGUST-2026'!$A$3:$A$199&amp;"|"&amp;'21-AUGUST-2026'!$B$3:$B$199,'21-AUGUST-2026'!$T$3:$T$199,0)),0)</f>
        <v>0</v>
      </c>
      <c r="F15" s="15" cm="1">
        <f t="array" ref="F15">IFERROR(_xlfn.XLOOKUP($A15&amp;"|"&amp;$B15&amp;"|"&amp;$D15,'21-AUGUST-2026'!$A$3:$A$199&amp;"|"&amp;'21-AUGUST-2026'!$B$3:$B$199&amp;"|"&amp;'21-AUGUST-2026'!$D$3:$D$199,'21-AUGUST-2026'!$U$3:$U$199,_xlfn.XLOOKUP($A15&amp;"|"&amp;$B15,'21-AUGUST-2026'!$A$3:$A$199&amp;"|"&amp;'21-AUGUST-2026'!$B$3:$B$199,'21-AUGUST-2026'!$U$3:$U$199,0)),0)</f>
        <v>0</v>
      </c>
      <c r="G15" s="15">
        <f t="shared" si="0"/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20">
        <v>0</v>
      </c>
      <c r="S15" s="20">
        <v>0</v>
      </c>
      <c r="T15" s="20">
        <v>0</v>
      </c>
      <c r="U15" s="17"/>
      <c r="V15" s="17"/>
      <c r="W15" s="20">
        <f t="shared" si="1"/>
        <v>0</v>
      </c>
      <c r="X15" s="21">
        <f t="shared" si="2"/>
        <v>0</v>
      </c>
      <c r="Y15" s="15">
        <f t="shared" si="3"/>
        <v>0</v>
      </c>
      <c r="Z15" s="15">
        <f t="shared" si="4"/>
        <v>0</v>
      </c>
      <c r="AA15" s="18" t="str">
        <f t="shared" si="5"/>
        <v/>
      </c>
      <c r="AB15" s="17">
        <v>0</v>
      </c>
      <c r="AC15" s="17">
        <v>0</v>
      </c>
      <c r="AD15" s="15">
        <f t="shared" si="11"/>
        <v>0</v>
      </c>
      <c r="AE15" s="17">
        <v>0</v>
      </c>
      <c r="AF15" s="17">
        <v>0</v>
      </c>
      <c r="AG15" s="15">
        <f t="shared" si="12"/>
        <v>0</v>
      </c>
      <c r="AH15" s="17">
        <v>0</v>
      </c>
      <c r="AI15" s="17">
        <v>0</v>
      </c>
      <c r="AJ15" s="15">
        <f t="shared" si="13"/>
        <v>0</v>
      </c>
      <c r="AK15" s="17">
        <v>0</v>
      </c>
      <c r="AL15" s="17">
        <v>0</v>
      </c>
      <c r="AM15" s="15">
        <f t="shared" si="14"/>
        <v>0</v>
      </c>
      <c r="AN15" s="17"/>
      <c r="AO15" s="53">
        <f t="shared" si="10"/>
        <v>0</v>
      </c>
      <c r="AP15" s="53">
        <f>IF($A15="",0,IF(COUNTIFS([1]Sheet1!$A$2:$A$190,$A15,[1]Sheet1!$B$2:$B$190,$B15,[1]Sheet1!$C$2:$C$190,"&gt;=0")=0,0,SUMIFS([1]Sheet1!$C$2:$C$190,[1]Sheet1!$A$2:$A$190,$A15,[1]Sheet1!$B$2:$B$190,$B15)-$AO15))</f>
        <v>0</v>
      </c>
    </row>
    <row r="16" spans="1:42" x14ac:dyDescent="0.3">
      <c r="A16" s="15" t="s">
        <v>70</v>
      </c>
      <c r="B16" s="15">
        <v>1000</v>
      </c>
      <c r="C16" s="15" t="s">
        <v>54</v>
      </c>
      <c r="D16" s="15" t="s">
        <v>55</v>
      </c>
      <c r="E16" s="15">
        <f>SUMIFS('21-AUGUST-2026'!$T$3:$T$199,'21-AUGUST-2026'!$A$3:$A$199,$A16,'21-AUGUST-2026'!$B$3:$B$199,$B16)</f>
        <v>9</v>
      </c>
      <c r="F16" s="15">
        <f>SUMIFS('21-AUGUST-2026'!$U$3:$U$199,'21-AUGUST-2026'!$A$3:$A$199,$A16,'21-AUGUST-2026'!$B$3:$B$199,$B16)</f>
        <v>0</v>
      </c>
      <c r="G16" s="15">
        <f t="shared" si="0"/>
        <v>9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20">
        <v>0</v>
      </c>
      <c r="S16" s="20">
        <v>0</v>
      </c>
      <c r="T16" s="20">
        <v>0</v>
      </c>
      <c r="U16" s="17"/>
      <c r="V16" s="17"/>
      <c r="W16" s="20">
        <f t="shared" si="1"/>
        <v>0</v>
      </c>
      <c r="X16" s="21">
        <f t="shared" si="2"/>
        <v>9</v>
      </c>
      <c r="Y16" s="15">
        <f t="shared" si="3"/>
        <v>9</v>
      </c>
      <c r="Z16" s="15">
        <f t="shared" si="4"/>
        <v>0</v>
      </c>
      <c r="AA16" s="18" t="str">
        <f t="shared" si="5"/>
        <v/>
      </c>
      <c r="AB16" s="17">
        <v>0</v>
      </c>
      <c r="AC16" s="17">
        <v>0</v>
      </c>
      <c r="AD16" s="15">
        <f t="shared" si="11"/>
        <v>0</v>
      </c>
      <c r="AE16" s="17">
        <v>0</v>
      </c>
      <c r="AF16" s="17">
        <v>0</v>
      </c>
      <c r="AG16" s="15">
        <f t="shared" si="12"/>
        <v>0</v>
      </c>
      <c r="AH16" s="17">
        <v>0</v>
      </c>
      <c r="AI16" s="17">
        <v>0</v>
      </c>
      <c r="AJ16" s="15">
        <f t="shared" si="13"/>
        <v>0</v>
      </c>
      <c r="AK16" s="17">
        <v>0</v>
      </c>
      <c r="AL16" s="17">
        <v>0</v>
      </c>
      <c r="AM16" s="15">
        <f t="shared" si="14"/>
        <v>0</v>
      </c>
      <c r="AN16" s="17" t="s">
        <v>326</v>
      </c>
      <c r="AO16" s="53">
        <f t="shared" si="10"/>
        <v>9</v>
      </c>
      <c r="AP16" s="53">
        <f>IF($A16="",0,IF(COUNTIFS([1]Sheet1!$A$2:$A$190,$A16,[1]Sheet1!$B$2:$B$190,$B16,[1]Sheet1!$C$2:$C$190,"&gt;=0")=0,0,SUMIFS([1]Sheet1!$C$2:$C$190,[1]Sheet1!$A$2:$A$190,$A16,[1]Sheet1!$B$2:$B$190,$B16)-$AO16))</f>
        <v>0</v>
      </c>
    </row>
    <row r="17" spans="1:42" x14ac:dyDescent="0.3">
      <c r="A17" s="15" t="s">
        <v>71</v>
      </c>
      <c r="B17" s="15">
        <v>100</v>
      </c>
      <c r="C17" s="15" t="s">
        <v>54</v>
      </c>
      <c r="D17" s="15" t="s">
        <v>55</v>
      </c>
      <c r="E17" s="15" cm="1">
        <f t="array" ref="E17">IFERROR(_xlfn.XLOOKUP($A17&amp;"|"&amp;$B17&amp;"|"&amp;$D17,'21-AUGUST-2026'!$A$3:$A$199&amp;"|"&amp;'21-AUGUST-2026'!$B$3:$B$199&amp;"|"&amp;'21-AUGUST-2026'!$D$3:$D$199,'21-AUGUST-2026'!$T$3:$T$199,_xlfn.XLOOKUP($A17&amp;"|"&amp;$B17,'21-AUGUST-2026'!$A$3:$A$199&amp;"|"&amp;'21-AUGUST-2026'!$B$3:$B$199,'21-AUGUST-2026'!$T$3:$T$199,0)),0)</f>
        <v>4</v>
      </c>
      <c r="F17" s="15" cm="1">
        <f t="array" ref="F17">IFERROR(_xlfn.XLOOKUP($A17&amp;"|"&amp;$B17&amp;"|"&amp;$D17,'21-AUGUST-2026'!$A$3:$A$199&amp;"|"&amp;'21-AUGUST-2026'!$B$3:$B$199&amp;"|"&amp;'21-AUGUST-2026'!$D$3:$D$199,'21-AUGUST-2026'!$U$3:$U$199,_xlfn.XLOOKUP($A17&amp;"|"&amp;$B17,'21-AUGUST-2026'!$A$3:$A$199&amp;"|"&amp;'21-AUGUST-2026'!$B$3:$B$199,'21-AUGUST-2026'!$U$3:$U$199,0)),0)</f>
        <v>0</v>
      </c>
      <c r="G17" s="15">
        <f t="shared" si="0"/>
        <v>4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20">
        <v>0</v>
      </c>
      <c r="S17" s="20">
        <v>0</v>
      </c>
      <c r="T17" s="20">
        <v>0</v>
      </c>
      <c r="U17" s="17"/>
      <c r="V17" s="17"/>
      <c r="W17" s="20">
        <f t="shared" si="1"/>
        <v>0</v>
      </c>
      <c r="X17" s="21">
        <f t="shared" si="2"/>
        <v>4</v>
      </c>
      <c r="Y17" s="15">
        <f t="shared" si="3"/>
        <v>4</v>
      </c>
      <c r="Z17" s="15">
        <f t="shared" si="4"/>
        <v>0</v>
      </c>
      <c r="AA17" s="18" t="str">
        <f t="shared" si="5"/>
        <v/>
      </c>
      <c r="AB17" s="17">
        <v>0</v>
      </c>
      <c r="AC17" s="17">
        <v>0</v>
      </c>
      <c r="AD17" s="15">
        <f t="shared" si="11"/>
        <v>0</v>
      </c>
      <c r="AE17" s="17">
        <v>0</v>
      </c>
      <c r="AF17" s="17">
        <v>0</v>
      </c>
      <c r="AG17" s="15">
        <f t="shared" si="12"/>
        <v>0</v>
      </c>
      <c r="AH17" s="17">
        <v>0</v>
      </c>
      <c r="AI17" s="17">
        <v>0</v>
      </c>
      <c r="AJ17" s="15">
        <f t="shared" si="13"/>
        <v>0</v>
      </c>
      <c r="AK17" s="17">
        <v>0</v>
      </c>
      <c r="AL17" s="17">
        <v>0</v>
      </c>
      <c r="AM17" s="15">
        <f t="shared" si="14"/>
        <v>0</v>
      </c>
      <c r="AN17" s="17"/>
      <c r="AO17" s="53">
        <f t="shared" si="10"/>
        <v>4</v>
      </c>
      <c r="AP17" s="53">
        <f>IF($A17="",0,IF(COUNTIFS([1]Sheet1!$A$2:$A$190,$A17,[1]Sheet1!$B$2:$B$190,$B17,[1]Sheet1!$C$2:$C$190,"&gt;=0")=0,0,SUMIFS([1]Sheet1!$C$2:$C$190,[1]Sheet1!$A$2:$A$190,$A17,[1]Sheet1!$B$2:$B$190,$B17)-$AO17))</f>
        <v>0</v>
      </c>
    </row>
    <row r="18" spans="1:42" x14ac:dyDescent="0.3">
      <c r="A18" s="15" t="s">
        <v>71</v>
      </c>
      <c r="B18" s="15">
        <v>1000</v>
      </c>
      <c r="C18" s="15" t="s">
        <v>54</v>
      </c>
      <c r="D18" s="15" t="s">
        <v>55</v>
      </c>
      <c r="E18" s="15" cm="1">
        <f t="array" ref="E18">IFERROR(_xlfn.XLOOKUP($A18&amp;"|"&amp;$B18&amp;"|"&amp;$D18,'21-AUGUST-2026'!$A$3:$A$199&amp;"|"&amp;'21-AUGUST-2026'!$B$3:$B$199&amp;"|"&amp;'21-AUGUST-2026'!$D$3:$D$199,'21-AUGUST-2026'!$T$3:$T$199,_xlfn.XLOOKUP($A18&amp;"|"&amp;$B18,'21-AUGUST-2026'!$A$3:$A$199&amp;"|"&amp;'21-AUGUST-2026'!$B$3:$B$199,'21-AUGUST-2026'!$T$3:$T$199,0)),0)</f>
        <v>8</v>
      </c>
      <c r="F18" s="15" cm="1">
        <f t="array" ref="F18">IFERROR(_xlfn.XLOOKUP($A18&amp;"|"&amp;$B18&amp;"|"&amp;$D18,'21-AUGUST-2026'!$A$3:$A$199&amp;"|"&amp;'21-AUGUST-2026'!$B$3:$B$199&amp;"|"&amp;'21-AUGUST-2026'!$D$3:$D$199,'21-AUGUST-2026'!$U$3:$U$199,_xlfn.XLOOKUP($A18&amp;"|"&amp;$B18,'21-AUGUST-2026'!$A$3:$A$199&amp;"|"&amp;'21-AUGUST-2026'!$B$3:$B$199,'21-AUGUST-2026'!$U$3:$U$199,0)),0)</f>
        <v>0</v>
      </c>
      <c r="G18" s="15">
        <f t="shared" si="0"/>
        <v>8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20">
        <v>0</v>
      </c>
      <c r="S18" s="20">
        <v>0</v>
      </c>
      <c r="T18" s="20">
        <v>0</v>
      </c>
      <c r="U18" s="17"/>
      <c r="V18" s="17"/>
      <c r="W18" s="20">
        <f t="shared" si="1"/>
        <v>0</v>
      </c>
      <c r="X18" s="21">
        <f t="shared" si="2"/>
        <v>8</v>
      </c>
      <c r="Y18" s="15">
        <f t="shared" si="3"/>
        <v>8</v>
      </c>
      <c r="Z18" s="15">
        <f t="shared" si="4"/>
        <v>0</v>
      </c>
      <c r="AA18" s="18" t="str">
        <f t="shared" si="5"/>
        <v/>
      </c>
      <c r="AB18" s="17">
        <v>0</v>
      </c>
      <c r="AC18" s="17">
        <v>0</v>
      </c>
      <c r="AD18" s="15">
        <f t="shared" si="11"/>
        <v>0</v>
      </c>
      <c r="AE18" s="17">
        <v>0</v>
      </c>
      <c r="AF18" s="17">
        <v>0</v>
      </c>
      <c r="AG18" s="15">
        <f t="shared" si="12"/>
        <v>0</v>
      </c>
      <c r="AH18" s="17">
        <v>0</v>
      </c>
      <c r="AI18" s="17">
        <v>0</v>
      </c>
      <c r="AJ18" s="15">
        <f t="shared" si="13"/>
        <v>0</v>
      </c>
      <c r="AK18" s="17">
        <v>0</v>
      </c>
      <c r="AL18" s="17">
        <v>0</v>
      </c>
      <c r="AM18" s="15">
        <f t="shared" si="14"/>
        <v>0</v>
      </c>
      <c r="AN18" s="17"/>
      <c r="AO18" s="53">
        <f t="shared" si="10"/>
        <v>8</v>
      </c>
      <c r="AP18" s="53">
        <f>IF($A18="",0,IF(COUNTIFS([1]Sheet1!$A$2:$A$190,$A18,[1]Sheet1!$B$2:$B$190,$B18,[1]Sheet1!$C$2:$C$190,"&gt;=0")=0,0,SUMIFS([1]Sheet1!$C$2:$C$190,[1]Sheet1!$A$2:$A$190,$A18,[1]Sheet1!$B$2:$B$190,$B18)-$AO18))</f>
        <v>0</v>
      </c>
    </row>
    <row r="19" spans="1:42" x14ac:dyDescent="0.3">
      <c r="A19" s="15" t="s">
        <v>73</v>
      </c>
      <c r="B19" s="15">
        <v>100</v>
      </c>
      <c r="C19" s="15" t="s">
        <v>54</v>
      </c>
      <c r="D19" s="15" t="s">
        <v>55</v>
      </c>
      <c r="E19" s="15" cm="1">
        <f t="array" ref="E19">IFERROR(_xlfn.XLOOKUP($A19&amp;"|"&amp;$B19&amp;"|"&amp;$D19,'21-AUGUST-2026'!$A$3:$A$199&amp;"|"&amp;'21-AUGUST-2026'!$B$3:$B$199&amp;"|"&amp;'21-AUGUST-2026'!$D$3:$D$199,'21-AUGUST-2026'!$T$3:$T$199,_xlfn.XLOOKUP($A19&amp;"|"&amp;$B19,'21-AUGUST-2026'!$A$3:$A$199&amp;"|"&amp;'21-AUGUST-2026'!$B$3:$B$199,'21-AUGUST-2026'!$T$3:$T$199,0)),0)</f>
        <v>1</v>
      </c>
      <c r="F19" s="15" cm="1">
        <f t="array" ref="F19">IFERROR(_xlfn.XLOOKUP($A19&amp;"|"&amp;$B19&amp;"|"&amp;$D19,'21-AUGUST-2026'!$A$3:$A$199&amp;"|"&amp;'21-AUGUST-2026'!$B$3:$B$199&amp;"|"&amp;'21-AUGUST-2026'!$D$3:$D$199,'21-AUGUST-2026'!$U$3:$U$199,_xlfn.XLOOKUP($A19&amp;"|"&amp;$B19,'21-AUGUST-2026'!$A$3:$A$199&amp;"|"&amp;'21-AUGUST-2026'!$B$3:$B$199,'21-AUGUST-2026'!$U$3:$U$199,0)),0)</f>
        <v>138</v>
      </c>
      <c r="G19" s="15">
        <f t="shared" si="0"/>
        <v>139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20">
        <v>0</v>
      </c>
      <c r="S19" s="20">
        <v>0</v>
      </c>
      <c r="T19" s="20">
        <v>0</v>
      </c>
      <c r="U19" s="17"/>
      <c r="V19" s="17"/>
      <c r="W19" s="20">
        <f t="shared" si="1"/>
        <v>0</v>
      </c>
      <c r="X19" s="21">
        <f t="shared" si="2"/>
        <v>139</v>
      </c>
      <c r="Y19" s="15">
        <f t="shared" si="3"/>
        <v>1</v>
      </c>
      <c r="Z19" s="15">
        <f t="shared" si="4"/>
        <v>138</v>
      </c>
      <c r="AA19" s="18" t="str">
        <f t="shared" si="5"/>
        <v/>
      </c>
      <c r="AB19" s="17">
        <v>0</v>
      </c>
      <c r="AC19" s="17">
        <v>0</v>
      </c>
      <c r="AD19" s="15">
        <f t="shared" si="11"/>
        <v>0</v>
      </c>
      <c r="AE19" s="17">
        <v>0</v>
      </c>
      <c r="AF19" s="17">
        <v>0</v>
      </c>
      <c r="AG19" s="15">
        <f t="shared" si="12"/>
        <v>0</v>
      </c>
      <c r="AH19" s="17">
        <v>0</v>
      </c>
      <c r="AI19" s="17">
        <v>0</v>
      </c>
      <c r="AJ19" s="15">
        <f t="shared" si="13"/>
        <v>0</v>
      </c>
      <c r="AK19" s="17">
        <v>0</v>
      </c>
      <c r="AL19" s="17">
        <v>0</v>
      </c>
      <c r="AM19" s="15">
        <f t="shared" si="14"/>
        <v>0</v>
      </c>
      <c r="AN19" s="17"/>
      <c r="AO19" s="53">
        <f t="shared" si="10"/>
        <v>1</v>
      </c>
      <c r="AP19" s="53">
        <f>IF($A19="",0,IF(COUNTIFS([1]Sheet1!$A$2:$A$190,$A19,[1]Sheet1!$B$2:$B$190,$B19,[1]Sheet1!$C$2:$C$190,"&gt;=0")=0,0,SUMIFS([1]Sheet1!$C$2:$C$190,[1]Sheet1!$A$2:$A$190,$A19,[1]Sheet1!$B$2:$B$190,$B19)-$AO19))</f>
        <v>0</v>
      </c>
    </row>
    <row r="20" spans="1:42" x14ac:dyDescent="0.3">
      <c r="A20" s="15" t="s">
        <v>74</v>
      </c>
      <c r="B20" s="15">
        <v>100</v>
      </c>
      <c r="C20" s="15" t="s">
        <v>54</v>
      </c>
      <c r="D20" s="15" t="s">
        <v>55</v>
      </c>
      <c r="E20" s="15" cm="1">
        <f t="array" ref="E20">IFERROR(_xlfn.XLOOKUP($A20&amp;"|"&amp;$B20&amp;"|"&amp;$D20,'21-AUGUST-2026'!$A$3:$A$199&amp;"|"&amp;'21-AUGUST-2026'!$B$3:$B$199&amp;"|"&amp;'21-AUGUST-2026'!$D$3:$D$199,'21-AUGUST-2026'!$T$3:$T$199,_xlfn.XLOOKUP($A20&amp;"|"&amp;$B20,'21-AUGUST-2026'!$A$3:$A$199&amp;"|"&amp;'21-AUGUST-2026'!$B$3:$B$199,'21-AUGUST-2026'!$T$3:$T$199,0)),0)</f>
        <v>79</v>
      </c>
      <c r="F20" s="15" cm="1">
        <f t="array" ref="F20">IFERROR(_xlfn.XLOOKUP($A20&amp;"|"&amp;$B20&amp;"|"&amp;$D20,'21-AUGUST-2026'!$A$3:$A$199&amp;"|"&amp;'21-AUGUST-2026'!$B$3:$B$199&amp;"|"&amp;'21-AUGUST-2026'!$D$3:$D$199,'21-AUGUST-2026'!$U$3:$U$199,_xlfn.XLOOKUP($A20&amp;"|"&amp;$B20,'21-AUGUST-2026'!$A$3:$A$199&amp;"|"&amp;'21-AUGUST-2026'!$B$3:$B$199,'21-AUGUST-2026'!$U$3:$U$199,0)),0)</f>
        <v>15</v>
      </c>
      <c r="G20" s="15">
        <f t="shared" si="0"/>
        <v>94</v>
      </c>
      <c r="H20" s="17">
        <v>0</v>
      </c>
      <c r="I20" s="17">
        <v>0</v>
      </c>
      <c r="J20" s="17">
        <v>0</v>
      </c>
      <c r="K20" s="17">
        <v>8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20">
        <v>0</v>
      </c>
      <c r="S20" s="20">
        <v>0</v>
      </c>
      <c r="T20" s="20">
        <v>0</v>
      </c>
      <c r="U20" s="17"/>
      <c r="V20" s="17"/>
      <c r="W20" s="20">
        <f t="shared" si="1"/>
        <v>0</v>
      </c>
      <c r="X20" s="21">
        <f t="shared" si="2"/>
        <v>92</v>
      </c>
      <c r="Y20" s="15">
        <f t="shared" si="3"/>
        <v>77</v>
      </c>
      <c r="Z20" s="15">
        <f t="shared" si="4"/>
        <v>15</v>
      </c>
      <c r="AA20" s="18" t="str">
        <f t="shared" si="5"/>
        <v/>
      </c>
      <c r="AB20" s="17">
        <v>0</v>
      </c>
      <c r="AC20" s="17">
        <v>0</v>
      </c>
      <c r="AD20" s="15">
        <f t="shared" si="11"/>
        <v>0</v>
      </c>
      <c r="AE20" s="17">
        <v>8</v>
      </c>
      <c r="AF20" s="17">
        <v>0</v>
      </c>
      <c r="AG20" s="15">
        <f t="shared" si="12"/>
        <v>8</v>
      </c>
      <c r="AH20" s="17">
        <v>0</v>
      </c>
      <c r="AI20" s="17">
        <v>0</v>
      </c>
      <c r="AJ20" s="15">
        <f t="shared" si="13"/>
        <v>0</v>
      </c>
      <c r="AK20" s="17">
        <v>0</v>
      </c>
      <c r="AL20" s="17">
        <v>0</v>
      </c>
      <c r="AM20" s="15">
        <f t="shared" si="14"/>
        <v>0</v>
      </c>
      <c r="AN20" s="17"/>
      <c r="AO20" s="53">
        <f t="shared" si="10"/>
        <v>71</v>
      </c>
      <c r="AP20" s="53">
        <f>IF($A20="",0,IF(COUNTIFS([1]Sheet1!$A$2:$A$190,$A20,[1]Sheet1!$B$2:$B$190,$B20,[1]Sheet1!$C$2:$C$190,"&gt;=0")=0,0,SUMIFS([1]Sheet1!$C$2:$C$190,[1]Sheet1!$A$2:$A$190,$A20,[1]Sheet1!$B$2:$B$190,$B20)-$AO20))</f>
        <v>6</v>
      </c>
    </row>
    <row r="21" spans="1:42" x14ac:dyDescent="0.3">
      <c r="A21" s="15" t="s">
        <v>77</v>
      </c>
      <c r="B21" s="15">
        <v>100</v>
      </c>
      <c r="C21" s="15" t="s">
        <v>54</v>
      </c>
      <c r="D21" s="15" t="s">
        <v>55</v>
      </c>
      <c r="E21" s="15" cm="1">
        <f t="array" ref="E21">IFERROR(_xlfn.XLOOKUP($A21&amp;"|"&amp;$B21&amp;"|"&amp;$D21,'21-AUGUST-2026'!$A$3:$A$199&amp;"|"&amp;'21-AUGUST-2026'!$B$3:$B$199&amp;"|"&amp;'21-AUGUST-2026'!$D$3:$D$199,'21-AUGUST-2026'!$T$3:$T$199,_xlfn.XLOOKUP($A21&amp;"|"&amp;$B21,'21-AUGUST-2026'!$A$3:$A$199&amp;"|"&amp;'21-AUGUST-2026'!$B$3:$B$199,'21-AUGUST-2026'!$T$3:$T$199,0)),0)</f>
        <v>0</v>
      </c>
      <c r="F21" s="15" cm="1">
        <f t="array" ref="F21">IFERROR(_xlfn.XLOOKUP($A21&amp;"|"&amp;$B21&amp;"|"&amp;$D21,'21-AUGUST-2026'!$A$3:$A$199&amp;"|"&amp;'21-AUGUST-2026'!$B$3:$B$199&amp;"|"&amp;'21-AUGUST-2026'!$D$3:$D$199,'21-AUGUST-2026'!$U$3:$U$199,_xlfn.XLOOKUP($A21&amp;"|"&amp;$B21,'21-AUGUST-2026'!$A$3:$A$199&amp;"|"&amp;'21-AUGUST-2026'!$B$3:$B$199,'21-AUGUST-2026'!$U$3:$U$199,0)),0)</f>
        <v>0</v>
      </c>
      <c r="G21" s="15">
        <f t="shared" si="0"/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20">
        <v>0</v>
      </c>
      <c r="S21" s="20">
        <v>0</v>
      </c>
      <c r="T21" s="20">
        <v>0</v>
      </c>
      <c r="U21" s="17"/>
      <c r="V21" s="17"/>
      <c r="W21" s="20">
        <f t="shared" si="1"/>
        <v>0</v>
      </c>
      <c r="X21" s="21">
        <f t="shared" si="2"/>
        <v>0</v>
      </c>
      <c r="Y21" s="15">
        <f t="shared" si="3"/>
        <v>0</v>
      </c>
      <c r="Z21" s="15">
        <f t="shared" si="4"/>
        <v>0</v>
      </c>
      <c r="AA21" s="18" t="str">
        <f t="shared" si="5"/>
        <v/>
      </c>
      <c r="AB21" s="17">
        <v>0</v>
      </c>
      <c r="AC21" s="17">
        <v>0</v>
      </c>
      <c r="AD21" s="15">
        <f t="shared" si="11"/>
        <v>0</v>
      </c>
      <c r="AE21" s="17">
        <v>0</v>
      </c>
      <c r="AF21" s="17">
        <v>0</v>
      </c>
      <c r="AG21" s="15">
        <f t="shared" si="12"/>
        <v>0</v>
      </c>
      <c r="AH21" s="17">
        <v>0</v>
      </c>
      <c r="AI21" s="17">
        <v>0</v>
      </c>
      <c r="AJ21" s="15">
        <f t="shared" si="13"/>
        <v>0</v>
      </c>
      <c r="AK21" s="17">
        <v>0</v>
      </c>
      <c r="AL21" s="17">
        <v>0</v>
      </c>
      <c r="AM21" s="15">
        <f t="shared" si="14"/>
        <v>0</v>
      </c>
      <c r="AN21" s="17"/>
      <c r="AO21" s="53">
        <f t="shared" si="10"/>
        <v>0</v>
      </c>
      <c r="AP21" s="53">
        <f>IF($A21="",0,IF(COUNTIFS([1]Sheet1!$A$2:$A$190,$A21,[1]Sheet1!$B$2:$B$190,$B21,[1]Sheet1!$C$2:$C$190,"&gt;=0")=0,0,SUMIFS([1]Sheet1!$C$2:$C$190,[1]Sheet1!$A$2:$A$190,$A21,[1]Sheet1!$B$2:$B$190,$B21)-$AO21))</f>
        <v>0</v>
      </c>
    </row>
    <row r="22" spans="1:42" x14ac:dyDescent="0.3">
      <c r="A22" s="15" t="s">
        <v>78</v>
      </c>
      <c r="B22" s="15">
        <v>1000</v>
      </c>
      <c r="C22" s="15" t="s">
        <v>54</v>
      </c>
      <c r="D22" s="15" t="s">
        <v>55</v>
      </c>
      <c r="E22" s="15" cm="1">
        <f t="array" ref="E22">IFERROR(_xlfn.XLOOKUP($A22&amp;"|"&amp;$B22&amp;"|"&amp;$D22,'21-AUGUST-2026'!$A$3:$A$199&amp;"|"&amp;'21-AUGUST-2026'!$B$3:$B$199&amp;"|"&amp;'21-AUGUST-2026'!$D$3:$D$199,'21-AUGUST-2026'!$T$3:$T$199,_xlfn.XLOOKUP($A22&amp;"|"&amp;$B22,'21-AUGUST-2026'!$A$3:$A$199&amp;"|"&amp;'21-AUGUST-2026'!$B$3:$B$199,'21-AUGUST-2026'!$T$3:$T$199,0)),0)</f>
        <v>4</v>
      </c>
      <c r="F22" s="15" cm="1">
        <f t="array" ref="F22">IFERROR(_xlfn.XLOOKUP($A22&amp;"|"&amp;$B22&amp;"|"&amp;$D22,'21-AUGUST-2026'!$A$3:$A$199&amp;"|"&amp;'21-AUGUST-2026'!$B$3:$B$199&amp;"|"&amp;'21-AUGUST-2026'!$D$3:$D$199,'21-AUGUST-2026'!$U$3:$U$199,_xlfn.XLOOKUP($A22&amp;"|"&amp;$B22,'21-AUGUST-2026'!$A$3:$A$199&amp;"|"&amp;'21-AUGUST-2026'!$B$3:$B$199,'21-AUGUST-2026'!$U$3:$U$199,0)),0)</f>
        <v>4</v>
      </c>
      <c r="G22" s="15">
        <f t="shared" si="0"/>
        <v>8</v>
      </c>
      <c r="H22" s="17">
        <v>0</v>
      </c>
      <c r="I22" s="17">
        <v>0</v>
      </c>
      <c r="J22" s="17">
        <v>0</v>
      </c>
      <c r="K22" s="17">
        <v>3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20">
        <v>0</v>
      </c>
      <c r="S22" s="20">
        <v>0</v>
      </c>
      <c r="T22" s="20">
        <v>0</v>
      </c>
      <c r="U22" s="17"/>
      <c r="V22" s="17"/>
      <c r="W22" s="20">
        <f t="shared" si="1"/>
        <v>0</v>
      </c>
      <c r="X22" s="21">
        <f t="shared" si="2"/>
        <v>4</v>
      </c>
      <c r="Y22" s="15">
        <f t="shared" si="3"/>
        <v>0</v>
      </c>
      <c r="Z22" s="15">
        <f t="shared" si="4"/>
        <v>4</v>
      </c>
      <c r="AA22" s="18" t="str">
        <f t="shared" si="5"/>
        <v/>
      </c>
      <c r="AB22" s="17">
        <v>3</v>
      </c>
      <c r="AC22" s="17">
        <v>3</v>
      </c>
      <c r="AD22" s="15">
        <f t="shared" si="11"/>
        <v>0</v>
      </c>
      <c r="AE22" s="17">
        <v>0</v>
      </c>
      <c r="AF22" s="17">
        <v>0</v>
      </c>
      <c r="AG22" s="15">
        <f t="shared" si="12"/>
        <v>0</v>
      </c>
      <c r="AH22" s="17">
        <v>0</v>
      </c>
      <c r="AI22" s="17">
        <v>0</v>
      </c>
      <c r="AJ22" s="15">
        <f t="shared" si="13"/>
        <v>0</v>
      </c>
      <c r="AK22" s="17">
        <v>0</v>
      </c>
      <c r="AL22" s="17">
        <v>0</v>
      </c>
      <c r="AM22" s="15">
        <f t="shared" si="14"/>
        <v>0</v>
      </c>
      <c r="AN22" s="17"/>
      <c r="AO22" s="53">
        <f t="shared" si="10"/>
        <v>1</v>
      </c>
      <c r="AP22" s="53">
        <f>IF($A22="",0,IF(COUNTIFS([1]Sheet1!$A$2:$A$190,$A22,[1]Sheet1!$B$2:$B$190,$B22,[1]Sheet1!$C$2:$C$190,"&gt;=0")=0,0,SUMIFS([1]Sheet1!$C$2:$C$190,[1]Sheet1!$A$2:$A$190,$A22,[1]Sheet1!$B$2:$B$190,$B22)-$AO22))</f>
        <v>-1</v>
      </c>
    </row>
    <row r="23" spans="1:42" x14ac:dyDescent="0.3">
      <c r="A23" s="15" t="s">
        <v>79</v>
      </c>
      <c r="B23" s="15">
        <v>1000</v>
      </c>
      <c r="C23" s="15" t="s">
        <v>54</v>
      </c>
      <c r="D23" s="15" t="s">
        <v>55</v>
      </c>
      <c r="E23" s="15" cm="1">
        <f t="array" ref="E23">IFERROR(_xlfn.XLOOKUP($A23&amp;"|"&amp;$B23&amp;"|"&amp;$D23,'21-AUGUST-2026'!$A$3:$A$199&amp;"|"&amp;'21-AUGUST-2026'!$B$3:$B$199&amp;"|"&amp;'21-AUGUST-2026'!$D$3:$D$199,'21-AUGUST-2026'!$T$3:$T$199,_xlfn.XLOOKUP($A23&amp;"|"&amp;$B23,'21-AUGUST-2026'!$A$3:$A$199&amp;"|"&amp;'21-AUGUST-2026'!$B$3:$B$199,'21-AUGUST-2026'!$T$3:$T$199,0)),0)</f>
        <v>24</v>
      </c>
      <c r="F23" s="15" cm="1">
        <f t="array" ref="F23">IFERROR(_xlfn.XLOOKUP($A23&amp;"|"&amp;$B23&amp;"|"&amp;$D23,'21-AUGUST-2026'!$A$3:$A$199&amp;"|"&amp;'21-AUGUST-2026'!$B$3:$B$199&amp;"|"&amp;'21-AUGUST-2026'!$D$3:$D$199,'21-AUGUST-2026'!$U$3:$U$199,_xlfn.XLOOKUP($A23&amp;"|"&amp;$B23,'21-AUGUST-2026'!$A$3:$A$199&amp;"|"&amp;'21-AUGUST-2026'!$B$3:$B$199,'21-AUGUST-2026'!$U$3:$U$199,0)),0)</f>
        <v>2</v>
      </c>
      <c r="G23" s="15">
        <f t="shared" si="0"/>
        <v>26</v>
      </c>
      <c r="H23" s="17">
        <v>0</v>
      </c>
      <c r="I23" s="17">
        <v>0</v>
      </c>
      <c r="J23" s="17">
        <v>0</v>
      </c>
      <c r="K23" s="17">
        <v>1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20">
        <v>0</v>
      </c>
      <c r="S23" s="20">
        <v>0</v>
      </c>
      <c r="T23" s="20">
        <v>0</v>
      </c>
      <c r="U23" s="17"/>
      <c r="V23" s="17"/>
      <c r="W23" s="20">
        <f t="shared" si="1"/>
        <v>0</v>
      </c>
      <c r="X23" s="21">
        <f t="shared" si="2"/>
        <v>25</v>
      </c>
      <c r="Y23" s="15">
        <f t="shared" si="3"/>
        <v>23</v>
      </c>
      <c r="Z23" s="15">
        <f t="shared" si="4"/>
        <v>2</v>
      </c>
      <c r="AA23" s="18" t="str">
        <f t="shared" si="5"/>
        <v/>
      </c>
      <c r="AB23" s="17">
        <v>1</v>
      </c>
      <c r="AC23" s="17">
        <v>0</v>
      </c>
      <c r="AD23" s="15">
        <f t="shared" si="11"/>
        <v>1</v>
      </c>
      <c r="AE23" s="17">
        <v>0</v>
      </c>
      <c r="AF23" s="17">
        <v>0</v>
      </c>
      <c r="AG23" s="15">
        <f t="shared" si="12"/>
        <v>0</v>
      </c>
      <c r="AH23" s="17">
        <v>0</v>
      </c>
      <c r="AI23" s="17">
        <v>0</v>
      </c>
      <c r="AJ23" s="15">
        <f t="shared" si="13"/>
        <v>0</v>
      </c>
      <c r="AK23" s="17">
        <v>0</v>
      </c>
      <c r="AL23" s="17">
        <v>0</v>
      </c>
      <c r="AM23" s="15">
        <f t="shared" si="14"/>
        <v>0</v>
      </c>
      <c r="AN23" s="17"/>
      <c r="AO23" s="53">
        <f t="shared" si="10"/>
        <v>23</v>
      </c>
      <c r="AP23" s="53">
        <f>IF($A23="",0,IF(COUNTIFS([1]Sheet1!$A$2:$A$190,$A23,[1]Sheet1!$B$2:$B$190,$B23,[1]Sheet1!$C$2:$C$190,"&gt;=0")=0,0,SUMIFS([1]Sheet1!$C$2:$C$190,[1]Sheet1!$A$2:$A$190,$A23,[1]Sheet1!$B$2:$B$190,$B23)-$AO23))</f>
        <v>0</v>
      </c>
    </row>
    <row r="24" spans="1:42" x14ac:dyDescent="0.3">
      <c r="A24" s="15" t="s">
        <v>80</v>
      </c>
      <c r="B24" s="15">
        <v>25000</v>
      </c>
      <c r="C24" s="15" t="s">
        <v>54</v>
      </c>
      <c r="D24" s="15" t="s">
        <v>55</v>
      </c>
      <c r="E24" s="15" cm="1">
        <f t="array" ref="E24">IFERROR(_xlfn.XLOOKUP($A24&amp;"|"&amp;$B24&amp;"|"&amp;$D24,'21-AUGUST-2026'!$A$3:$A$199&amp;"|"&amp;'21-AUGUST-2026'!$B$3:$B$199&amp;"|"&amp;'21-AUGUST-2026'!$D$3:$D$199,'21-AUGUST-2026'!$T$3:$T$199,_xlfn.XLOOKUP($A24&amp;"|"&amp;$B24,'21-AUGUST-2026'!$A$3:$A$199&amp;"|"&amp;'21-AUGUST-2026'!$B$3:$B$199,'21-AUGUST-2026'!$T$3:$T$199,0)),0)</f>
        <v>4</v>
      </c>
      <c r="F24" s="15" cm="1">
        <f t="array" ref="F24">IFERROR(_xlfn.XLOOKUP($A24&amp;"|"&amp;$B24&amp;"|"&amp;$D24,'21-AUGUST-2026'!$A$3:$A$199&amp;"|"&amp;'21-AUGUST-2026'!$B$3:$B$199&amp;"|"&amp;'21-AUGUST-2026'!$D$3:$D$199,'21-AUGUST-2026'!$U$3:$U$199,_xlfn.XLOOKUP($A24&amp;"|"&amp;$B24,'21-AUGUST-2026'!$A$3:$A$199&amp;"|"&amp;'21-AUGUST-2026'!$B$3:$B$199,'21-AUGUST-2026'!$U$3:$U$199,0)),0)</f>
        <v>0</v>
      </c>
      <c r="G24" s="15">
        <f t="shared" si="0"/>
        <v>4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20">
        <v>0</v>
      </c>
      <c r="S24" s="20">
        <v>0</v>
      </c>
      <c r="T24" s="20">
        <v>0</v>
      </c>
      <c r="U24" s="17"/>
      <c r="V24" s="17"/>
      <c r="W24" s="20">
        <f t="shared" si="1"/>
        <v>0</v>
      </c>
      <c r="X24" s="21">
        <f t="shared" si="2"/>
        <v>4</v>
      </c>
      <c r="Y24" s="15">
        <f t="shared" si="3"/>
        <v>4</v>
      </c>
      <c r="Z24" s="15">
        <f t="shared" si="4"/>
        <v>0</v>
      </c>
      <c r="AA24" s="18" t="str">
        <f t="shared" si="5"/>
        <v/>
      </c>
      <c r="AB24" s="17">
        <v>0</v>
      </c>
      <c r="AC24" s="17">
        <v>0</v>
      </c>
      <c r="AD24" s="15">
        <f t="shared" si="11"/>
        <v>0</v>
      </c>
      <c r="AE24" s="17">
        <v>0</v>
      </c>
      <c r="AF24" s="17">
        <v>0</v>
      </c>
      <c r="AG24" s="15">
        <f t="shared" si="12"/>
        <v>0</v>
      </c>
      <c r="AH24" s="17">
        <v>0</v>
      </c>
      <c r="AI24" s="17">
        <v>0</v>
      </c>
      <c r="AJ24" s="15">
        <f t="shared" si="13"/>
        <v>0</v>
      </c>
      <c r="AK24" s="17">
        <v>0</v>
      </c>
      <c r="AL24" s="17">
        <v>0</v>
      </c>
      <c r="AM24" s="15">
        <f t="shared" si="14"/>
        <v>0</v>
      </c>
      <c r="AN24" s="17" t="s">
        <v>287</v>
      </c>
      <c r="AO24" s="53">
        <f t="shared" si="10"/>
        <v>4</v>
      </c>
      <c r="AP24" s="53">
        <f>IF($A24="",0,IF(COUNTIFS([1]Sheet1!$A$2:$A$190,$A24,[1]Sheet1!$B$2:$B$190,$B24,[1]Sheet1!$C$2:$C$190,"&gt;=0")=0,0,SUMIFS([1]Sheet1!$C$2:$C$190,[1]Sheet1!$A$2:$A$190,$A24,[1]Sheet1!$B$2:$B$190,$B24)-$AO24))</f>
        <v>0</v>
      </c>
    </row>
    <row r="25" spans="1:42" x14ac:dyDescent="0.3">
      <c r="A25" s="15" t="s">
        <v>81</v>
      </c>
      <c r="B25" s="15">
        <v>25000</v>
      </c>
      <c r="C25" s="15" t="s">
        <v>54</v>
      </c>
      <c r="D25" s="15" t="s">
        <v>55</v>
      </c>
      <c r="E25" s="15" cm="1">
        <f t="array" ref="E25">IFERROR(_xlfn.XLOOKUP($A25&amp;"|"&amp;$B25&amp;"|"&amp;$D25,'21-AUGUST-2026'!$A$3:$A$199&amp;"|"&amp;'21-AUGUST-2026'!$B$3:$B$199&amp;"|"&amp;'21-AUGUST-2026'!$D$3:$D$199,'21-AUGUST-2026'!$T$3:$T$199,_xlfn.XLOOKUP($A25&amp;"|"&amp;$B25,'21-AUGUST-2026'!$A$3:$A$199&amp;"|"&amp;'21-AUGUST-2026'!$B$3:$B$199,'21-AUGUST-2026'!$T$3:$T$199,0)),0)</f>
        <v>2</v>
      </c>
      <c r="F25" s="15" cm="1">
        <f t="array" ref="F25">IFERROR(_xlfn.XLOOKUP($A25&amp;"|"&amp;$B25&amp;"|"&amp;$D25,'21-AUGUST-2026'!$A$3:$A$199&amp;"|"&amp;'21-AUGUST-2026'!$B$3:$B$199&amp;"|"&amp;'21-AUGUST-2026'!$D$3:$D$199,'21-AUGUST-2026'!$U$3:$U$199,_xlfn.XLOOKUP($A25&amp;"|"&amp;$B25,'21-AUGUST-2026'!$A$3:$A$199&amp;"|"&amp;'21-AUGUST-2026'!$B$3:$B$199,'21-AUGUST-2026'!$U$3:$U$199,0)),0)</f>
        <v>3</v>
      </c>
      <c r="G25" s="15">
        <f t="shared" si="0"/>
        <v>5</v>
      </c>
      <c r="H25" s="17">
        <v>0</v>
      </c>
      <c r="I25" s="17">
        <v>0</v>
      </c>
      <c r="J25" s="17">
        <v>0</v>
      </c>
      <c r="K25" s="17">
        <v>2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20">
        <v>0</v>
      </c>
      <c r="S25" s="20">
        <v>0</v>
      </c>
      <c r="T25" s="20">
        <v>0</v>
      </c>
      <c r="U25" s="17"/>
      <c r="V25" s="17"/>
      <c r="W25" s="20">
        <f t="shared" si="1"/>
        <v>0</v>
      </c>
      <c r="X25" s="21">
        <f t="shared" si="2"/>
        <v>5</v>
      </c>
      <c r="Y25" s="15">
        <f t="shared" si="3"/>
        <v>2</v>
      </c>
      <c r="Z25" s="15">
        <f t="shared" si="4"/>
        <v>3</v>
      </c>
      <c r="AA25" s="18" t="str">
        <f t="shared" si="5"/>
        <v/>
      </c>
      <c r="AB25" s="17">
        <v>0</v>
      </c>
      <c r="AC25" s="17">
        <v>0</v>
      </c>
      <c r="AD25" s="15">
        <f t="shared" si="11"/>
        <v>0</v>
      </c>
      <c r="AE25" s="17">
        <v>2</v>
      </c>
      <c r="AF25" s="17">
        <v>0</v>
      </c>
      <c r="AG25" s="15">
        <f t="shared" si="12"/>
        <v>2</v>
      </c>
      <c r="AH25" s="17">
        <v>0</v>
      </c>
      <c r="AI25" s="17">
        <v>0</v>
      </c>
      <c r="AJ25" s="15">
        <f t="shared" si="13"/>
        <v>0</v>
      </c>
      <c r="AK25" s="17">
        <v>0</v>
      </c>
      <c r="AL25" s="17">
        <v>0</v>
      </c>
      <c r="AM25" s="15">
        <f t="shared" si="14"/>
        <v>0</v>
      </c>
      <c r="AN25" s="17"/>
      <c r="AO25" s="53">
        <f t="shared" si="10"/>
        <v>0</v>
      </c>
      <c r="AP25" s="53">
        <f>IF($A25="",0,IF(COUNTIFS([1]Sheet1!$A$2:$A$190,$A25,[1]Sheet1!$B$2:$B$190,$B25,[1]Sheet1!$C$2:$C$190,"&gt;=0")=0,0,SUMIFS([1]Sheet1!$C$2:$C$190,[1]Sheet1!$A$2:$A$190,$A25,[1]Sheet1!$B$2:$B$190,$B25)-$AO25))</f>
        <v>2</v>
      </c>
    </row>
    <row r="26" spans="1:42" x14ac:dyDescent="0.3">
      <c r="A26" s="15" t="s">
        <v>84</v>
      </c>
      <c r="B26" s="15">
        <v>1000</v>
      </c>
      <c r="C26" s="15" t="s">
        <v>54</v>
      </c>
      <c r="D26" s="15" t="s">
        <v>55</v>
      </c>
      <c r="E26" s="15" cm="1">
        <f t="array" ref="E26">IFERROR(_xlfn.XLOOKUP($A26&amp;"|"&amp;$B26&amp;"|"&amp;$D26,'21-AUGUST-2026'!$A$3:$A$199&amp;"|"&amp;'21-AUGUST-2026'!$B$3:$B$199&amp;"|"&amp;'21-AUGUST-2026'!$D$3:$D$199,'21-AUGUST-2026'!$T$3:$T$199,_xlfn.XLOOKUP($A26&amp;"|"&amp;$B26,'21-AUGUST-2026'!$A$3:$A$199&amp;"|"&amp;'21-AUGUST-2026'!$B$3:$B$199,'21-AUGUST-2026'!$T$3:$T$199,0)),0)</f>
        <v>10</v>
      </c>
      <c r="F26" s="15" cm="1">
        <f t="array" ref="F26">IFERROR(_xlfn.XLOOKUP($A26&amp;"|"&amp;$B26&amp;"|"&amp;$D26,'21-AUGUST-2026'!$A$3:$A$199&amp;"|"&amp;'21-AUGUST-2026'!$B$3:$B$199&amp;"|"&amp;'21-AUGUST-2026'!$D$3:$D$199,'21-AUGUST-2026'!$U$3:$U$199,_xlfn.XLOOKUP($A26&amp;"|"&amp;$B26,'21-AUGUST-2026'!$A$3:$A$199&amp;"|"&amp;'21-AUGUST-2026'!$B$3:$B$199,'21-AUGUST-2026'!$U$3:$U$199,0)),0)</f>
        <v>0</v>
      </c>
      <c r="G26" s="15">
        <f t="shared" si="0"/>
        <v>10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20">
        <v>0</v>
      </c>
      <c r="S26" s="20">
        <v>0</v>
      </c>
      <c r="T26" s="20">
        <v>0</v>
      </c>
      <c r="U26" s="17"/>
      <c r="V26" s="17"/>
      <c r="W26" s="20">
        <f t="shared" si="1"/>
        <v>0</v>
      </c>
      <c r="X26" s="21">
        <f t="shared" si="2"/>
        <v>10</v>
      </c>
      <c r="Y26" s="15">
        <f t="shared" si="3"/>
        <v>10</v>
      </c>
      <c r="Z26" s="15">
        <f t="shared" si="4"/>
        <v>0</v>
      </c>
      <c r="AA26" s="18" t="str">
        <f t="shared" si="5"/>
        <v/>
      </c>
      <c r="AB26" s="17">
        <v>0</v>
      </c>
      <c r="AC26" s="17">
        <v>0</v>
      </c>
      <c r="AD26" s="15">
        <f t="shared" si="11"/>
        <v>0</v>
      </c>
      <c r="AE26" s="17">
        <v>0</v>
      </c>
      <c r="AF26" s="17">
        <v>0</v>
      </c>
      <c r="AG26" s="15">
        <f t="shared" si="12"/>
        <v>0</v>
      </c>
      <c r="AH26" s="17">
        <v>0</v>
      </c>
      <c r="AI26" s="17">
        <v>0</v>
      </c>
      <c r="AJ26" s="15">
        <f t="shared" si="13"/>
        <v>0</v>
      </c>
      <c r="AK26" s="17">
        <v>0</v>
      </c>
      <c r="AL26" s="17">
        <v>0</v>
      </c>
      <c r="AM26" s="15">
        <f t="shared" si="14"/>
        <v>0</v>
      </c>
      <c r="AN26" s="17"/>
      <c r="AO26" s="53">
        <f t="shared" si="10"/>
        <v>10</v>
      </c>
      <c r="AP26" s="53">
        <f>IF($A26="",0,IF(COUNTIFS([1]Sheet1!$A$2:$A$190,$A26,[1]Sheet1!$B$2:$B$190,$B26,[1]Sheet1!$C$2:$C$190,"&gt;=0")=0,0,SUMIFS([1]Sheet1!$C$2:$C$190,[1]Sheet1!$A$2:$A$190,$A26,[1]Sheet1!$B$2:$B$190,$B26)-$AO26))</f>
        <v>0</v>
      </c>
    </row>
    <row r="27" spans="1:42" x14ac:dyDescent="0.3">
      <c r="A27" s="15" t="s">
        <v>89</v>
      </c>
      <c r="B27" s="15">
        <v>100</v>
      </c>
      <c r="C27" s="15" t="s">
        <v>54</v>
      </c>
      <c r="D27" s="15" t="s">
        <v>55</v>
      </c>
      <c r="E27" s="15" cm="1">
        <f t="array" ref="E27">IFERROR(_xlfn.XLOOKUP($A27&amp;"|"&amp;$B27&amp;"|"&amp;$D27,'21-AUGUST-2026'!$A$3:$A$199&amp;"|"&amp;'21-AUGUST-2026'!$B$3:$B$199&amp;"|"&amp;'21-AUGUST-2026'!$D$3:$D$199,'21-AUGUST-2026'!$T$3:$T$199,_xlfn.XLOOKUP($A27&amp;"|"&amp;$B27,'21-AUGUST-2026'!$A$3:$A$199&amp;"|"&amp;'21-AUGUST-2026'!$B$3:$B$199,'21-AUGUST-2026'!$T$3:$T$199,0)),0)</f>
        <v>9</v>
      </c>
      <c r="F27" s="15" cm="1">
        <f t="array" ref="F27">IFERROR(_xlfn.XLOOKUP($A27&amp;"|"&amp;$B27&amp;"|"&amp;$D27,'21-AUGUST-2026'!$A$3:$A$199&amp;"|"&amp;'21-AUGUST-2026'!$B$3:$B$199&amp;"|"&amp;'21-AUGUST-2026'!$D$3:$D$199,'21-AUGUST-2026'!$U$3:$U$199,_xlfn.XLOOKUP($A27&amp;"|"&amp;$B27,'21-AUGUST-2026'!$A$3:$A$199&amp;"|"&amp;'21-AUGUST-2026'!$B$3:$B$199,'21-AUGUST-2026'!$U$3:$U$199,0)),0)</f>
        <v>0</v>
      </c>
      <c r="G27" s="15">
        <f t="shared" si="0"/>
        <v>9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20">
        <v>0</v>
      </c>
      <c r="S27" s="20">
        <v>0</v>
      </c>
      <c r="T27" s="20">
        <v>0</v>
      </c>
      <c r="U27" s="17"/>
      <c r="V27" s="17"/>
      <c r="W27" s="20">
        <f t="shared" si="1"/>
        <v>0</v>
      </c>
      <c r="X27" s="21">
        <f t="shared" si="2"/>
        <v>9</v>
      </c>
      <c r="Y27" s="15">
        <f t="shared" si="3"/>
        <v>9</v>
      </c>
      <c r="Z27" s="15">
        <f t="shared" si="4"/>
        <v>0</v>
      </c>
      <c r="AA27" s="18" t="str">
        <f t="shared" si="5"/>
        <v/>
      </c>
      <c r="AB27" s="17">
        <v>0</v>
      </c>
      <c r="AC27" s="17">
        <v>0</v>
      </c>
      <c r="AD27" s="15">
        <f t="shared" si="11"/>
        <v>0</v>
      </c>
      <c r="AE27" s="17">
        <v>0</v>
      </c>
      <c r="AF27" s="17">
        <v>0</v>
      </c>
      <c r="AG27" s="15">
        <f t="shared" si="12"/>
        <v>0</v>
      </c>
      <c r="AH27" s="17">
        <v>0</v>
      </c>
      <c r="AI27" s="17">
        <v>0</v>
      </c>
      <c r="AJ27" s="15">
        <f t="shared" si="13"/>
        <v>0</v>
      </c>
      <c r="AK27" s="17">
        <v>0</v>
      </c>
      <c r="AL27" s="17">
        <v>0</v>
      </c>
      <c r="AM27" s="15">
        <f t="shared" si="14"/>
        <v>0</v>
      </c>
      <c r="AN27" s="17"/>
      <c r="AO27" s="53">
        <f t="shared" si="10"/>
        <v>9</v>
      </c>
      <c r="AP27" s="53">
        <f>IF($A27="",0,IF(COUNTIFS([1]Sheet1!$A$2:$A$190,$A27,[1]Sheet1!$B$2:$B$190,$B27,[1]Sheet1!$C$2:$C$190,"&gt;=0")=0,0,SUMIFS([1]Sheet1!$C$2:$C$190,[1]Sheet1!$A$2:$A$190,$A27,[1]Sheet1!$B$2:$B$190,$B27)-$AO27))</f>
        <v>0</v>
      </c>
    </row>
    <row r="28" spans="1:42" x14ac:dyDescent="0.3">
      <c r="A28" s="15" t="s">
        <v>91</v>
      </c>
      <c r="B28" s="15">
        <v>1000</v>
      </c>
      <c r="C28" s="15" t="s">
        <v>54</v>
      </c>
      <c r="D28" s="15" t="s">
        <v>55</v>
      </c>
      <c r="E28" s="15" cm="1">
        <f t="array" ref="E28">IFERROR(_xlfn.XLOOKUP($A28&amp;"|"&amp;$B28&amp;"|"&amp;$D28,'21-AUGUST-2026'!$A$3:$A$199&amp;"|"&amp;'21-AUGUST-2026'!$B$3:$B$199&amp;"|"&amp;'21-AUGUST-2026'!$D$3:$D$199,'21-AUGUST-2026'!$T$3:$T$199,_xlfn.XLOOKUP($A28&amp;"|"&amp;$B28,'21-AUGUST-2026'!$A$3:$A$199&amp;"|"&amp;'21-AUGUST-2026'!$B$3:$B$199,'21-AUGUST-2026'!$T$3:$T$199,0)),0)</f>
        <v>34</v>
      </c>
      <c r="F28" s="15" cm="1">
        <f t="array" ref="F28">IFERROR(_xlfn.XLOOKUP($A28&amp;"|"&amp;$B28&amp;"|"&amp;$D28,'21-AUGUST-2026'!$A$3:$A$199&amp;"|"&amp;'21-AUGUST-2026'!$B$3:$B$199&amp;"|"&amp;'21-AUGUST-2026'!$D$3:$D$199,'21-AUGUST-2026'!$U$3:$U$199,_xlfn.XLOOKUP($A28&amp;"|"&amp;$B28,'21-AUGUST-2026'!$A$3:$A$199&amp;"|"&amp;'21-AUGUST-2026'!$B$3:$B$199,'21-AUGUST-2026'!$U$3:$U$199,0)),0)</f>
        <v>101</v>
      </c>
      <c r="G28" s="15">
        <f t="shared" si="0"/>
        <v>135</v>
      </c>
      <c r="H28" s="17">
        <v>5</v>
      </c>
      <c r="I28" s="17">
        <v>24</v>
      </c>
      <c r="J28" s="17">
        <v>0</v>
      </c>
      <c r="K28" s="17">
        <v>2</v>
      </c>
      <c r="L28" s="17">
        <v>2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20">
        <v>0</v>
      </c>
      <c r="S28" s="20">
        <v>0</v>
      </c>
      <c r="T28" s="20">
        <v>0</v>
      </c>
      <c r="U28" s="17"/>
      <c r="V28" s="17"/>
      <c r="W28" s="20">
        <f t="shared" si="1"/>
        <v>0</v>
      </c>
      <c r="X28" s="21">
        <f t="shared" si="2"/>
        <v>106</v>
      </c>
      <c r="Y28" s="15">
        <f t="shared" si="3"/>
        <v>31</v>
      </c>
      <c r="Z28" s="15">
        <f t="shared" si="4"/>
        <v>75</v>
      </c>
      <c r="AA28" s="18" t="str">
        <f t="shared" si="5"/>
        <v/>
      </c>
      <c r="AB28" s="17">
        <v>0</v>
      </c>
      <c r="AC28" s="17">
        <v>0</v>
      </c>
      <c r="AD28" s="15">
        <f t="shared" si="11"/>
        <v>0</v>
      </c>
      <c r="AE28" s="17">
        <v>1</v>
      </c>
      <c r="AF28" s="17">
        <v>0</v>
      </c>
      <c r="AG28" s="15">
        <f t="shared" si="12"/>
        <v>1</v>
      </c>
      <c r="AH28" s="17">
        <v>3</v>
      </c>
      <c r="AI28" s="17">
        <v>3</v>
      </c>
      <c r="AJ28" s="15">
        <f t="shared" si="13"/>
        <v>0</v>
      </c>
      <c r="AK28" s="17">
        <v>0</v>
      </c>
      <c r="AL28" s="17">
        <v>0</v>
      </c>
      <c r="AM28" s="15">
        <f t="shared" si="14"/>
        <v>0</v>
      </c>
      <c r="AN28" s="17"/>
      <c r="AO28" s="53">
        <f t="shared" si="10"/>
        <v>27</v>
      </c>
      <c r="AP28" s="53">
        <f>IF($A28="",0,IF(COUNTIFS([1]Sheet1!$A$2:$A$190,$A28,[1]Sheet1!$B$2:$B$190,$B28,[1]Sheet1!$C$2:$C$190,"&gt;=0")=0,0,SUMIFS([1]Sheet1!$C$2:$C$190,[1]Sheet1!$A$2:$A$190,$A28,[1]Sheet1!$B$2:$B$190,$B28)-$AO28))</f>
        <v>4</v>
      </c>
    </row>
    <row r="29" spans="1:42" x14ac:dyDescent="0.3">
      <c r="A29" s="15" t="s">
        <v>94</v>
      </c>
      <c r="B29" s="15">
        <v>100</v>
      </c>
      <c r="C29" s="15" t="s">
        <v>54</v>
      </c>
      <c r="D29" s="15" t="s">
        <v>55</v>
      </c>
      <c r="E29" s="15">
        <f>SUMIFS('21-AUGUST-2026'!$T$3:$T$199,'21-AUGUST-2026'!$A$3:$A$199,$A29,'21-AUGUST-2026'!$B$3:$B$199,$B29)</f>
        <v>6</v>
      </c>
      <c r="F29" s="15">
        <f>SUMIFS('21-AUGUST-2026'!$U$3:$U$199,'21-AUGUST-2026'!$A$3:$A$199,$A29,'21-AUGUST-2026'!$B$3:$B$199,$B29)</f>
        <v>0</v>
      </c>
      <c r="G29" s="15">
        <f t="shared" si="0"/>
        <v>6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20">
        <v>0</v>
      </c>
      <c r="S29" s="20">
        <v>0</v>
      </c>
      <c r="T29" s="20">
        <v>0</v>
      </c>
      <c r="U29" s="17"/>
      <c r="V29" s="17"/>
      <c r="W29" s="20">
        <f t="shared" si="1"/>
        <v>0</v>
      </c>
      <c r="X29" s="21">
        <f t="shared" si="2"/>
        <v>1</v>
      </c>
      <c r="Y29" s="15">
        <f t="shared" si="3"/>
        <v>1</v>
      </c>
      <c r="Z29" s="15">
        <f t="shared" si="4"/>
        <v>0</v>
      </c>
      <c r="AA29" s="18" t="str">
        <f t="shared" si="5"/>
        <v/>
      </c>
      <c r="AB29" s="17">
        <v>0</v>
      </c>
      <c r="AC29" s="17">
        <v>0</v>
      </c>
      <c r="AD29" s="15">
        <f t="shared" si="11"/>
        <v>0</v>
      </c>
      <c r="AE29" s="17">
        <v>0</v>
      </c>
      <c r="AF29" s="17">
        <v>0</v>
      </c>
      <c r="AG29" s="15">
        <f t="shared" si="12"/>
        <v>0</v>
      </c>
      <c r="AH29" s="17">
        <v>0</v>
      </c>
      <c r="AI29" s="17">
        <v>0</v>
      </c>
      <c r="AJ29" s="15">
        <f t="shared" si="13"/>
        <v>0</v>
      </c>
      <c r="AK29" s="17">
        <v>0</v>
      </c>
      <c r="AL29" s="17">
        <v>0</v>
      </c>
      <c r="AM29" s="15">
        <f t="shared" si="14"/>
        <v>0</v>
      </c>
      <c r="AN29" s="17" t="s">
        <v>326</v>
      </c>
      <c r="AO29" s="53">
        <f t="shared" si="10"/>
        <v>6</v>
      </c>
      <c r="AP29" s="53">
        <f>IF($A29="",0,IF(COUNTIFS([1]Sheet1!$A$2:$A$190,$A29,[1]Sheet1!$B$2:$B$190,$B29,[1]Sheet1!$C$2:$C$190,"&gt;=0")=0,0,SUMIFS([1]Sheet1!$C$2:$C$190,[1]Sheet1!$A$2:$A$190,$A29,[1]Sheet1!$B$2:$B$190,$B29)-$AO29))</f>
        <v>-5</v>
      </c>
    </row>
    <row r="30" spans="1:42" x14ac:dyDescent="0.3">
      <c r="A30" s="15" t="s">
        <v>96</v>
      </c>
      <c r="B30" s="15">
        <v>1000</v>
      </c>
      <c r="C30" s="15"/>
      <c r="D30" s="15" t="s">
        <v>55</v>
      </c>
      <c r="E30" s="15" cm="1">
        <f t="array" ref="E30">IFERROR(_xlfn.XLOOKUP($A30&amp;"|"&amp;$B30&amp;"|"&amp;$D30,'21-AUGUST-2026'!$A$3:$A$199&amp;"|"&amp;'21-AUGUST-2026'!$B$3:$B$199&amp;"|"&amp;'21-AUGUST-2026'!$D$3:$D$199,'21-AUGUST-2026'!$T$3:$T$199,_xlfn.XLOOKUP($A30&amp;"|"&amp;$B30,'21-AUGUST-2026'!$A$3:$A$199&amp;"|"&amp;'21-AUGUST-2026'!$B$3:$B$199,'21-AUGUST-2026'!$T$3:$T$199,0)),0)</f>
        <v>0</v>
      </c>
      <c r="F30" s="15" cm="1">
        <f t="array" ref="F30">IFERROR(_xlfn.XLOOKUP($A30&amp;"|"&amp;$B30&amp;"|"&amp;$D30,'21-AUGUST-2026'!$A$3:$A$199&amp;"|"&amp;'21-AUGUST-2026'!$B$3:$B$199&amp;"|"&amp;'21-AUGUST-2026'!$D$3:$D$199,'21-AUGUST-2026'!$U$3:$U$199,_xlfn.XLOOKUP($A30&amp;"|"&amp;$B30,'21-AUGUST-2026'!$A$3:$A$199&amp;"|"&amp;'21-AUGUST-2026'!$B$3:$B$199,'21-AUGUST-2026'!$U$3:$U$199,0)),0)</f>
        <v>0</v>
      </c>
      <c r="G30" s="15">
        <f t="shared" si="0"/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20">
        <v>0</v>
      </c>
      <c r="S30" s="20">
        <v>0</v>
      </c>
      <c r="T30" s="20">
        <v>0</v>
      </c>
      <c r="U30" s="17"/>
      <c r="V30" s="17"/>
      <c r="W30" s="20">
        <f t="shared" si="1"/>
        <v>0</v>
      </c>
      <c r="X30" s="21">
        <f t="shared" si="2"/>
        <v>0</v>
      </c>
      <c r="Y30" s="15">
        <f t="shared" si="3"/>
        <v>0</v>
      </c>
      <c r="Z30" s="15">
        <f t="shared" si="4"/>
        <v>0</v>
      </c>
      <c r="AA30" s="18" t="str">
        <f t="shared" si="5"/>
        <v/>
      </c>
      <c r="AB30" s="17">
        <v>0</v>
      </c>
      <c r="AC30" s="17">
        <v>0</v>
      </c>
      <c r="AD30" s="15">
        <f t="shared" si="11"/>
        <v>0</v>
      </c>
      <c r="AE30" s="17">
        <v>0</v>
      </c>
      <c r="AF30" s="17">
        <v>0</v>
      </c>
      <c r="AG30" s="15">
        <f t="shared" si="12"/>
        <v>0</v>
      </c>
      <c r="AH30" s="17">
        <v>0</v>
      </c>
      <c r="AI30" s="17">
        <v>0</v>
      </c>
      <c r="AJ30" s="15">
        <f t="shared" si="13"/>
        <v>0</v>
      </c>
      <c r="AK30" s="17">
        <v>0</v>
      </c>
      <c r="AL30" s="17">
        <v>0</v>
      </c>
      <c r="AM30" s="15">
        <f t="shared" si="14"/>
        <v>0</v>
      </c>
      <c r="AN30" s="17"/>
      <c r="AO30" s="53">
        <f t="shared" si="10"/>
        <v>0</v>
      </c>
      <c r="AP30" s="53">
        <f>IF($A30="",0,IF(COUNTIFS([1]Sheet1!$A$2:$A$190,$A30,[1]Sheet1!$B$2:$B$190,$B30,[1]Sheet1!$C$2:$C$190,"&gt;=0")=0,0,SUMIFS([1]Sheet1!$C$2:$C$190,[1]Sheet1!$A$2:$A$190,$A30,[1]Sheet1!$B$2:$B$190,$B30)-$AO30))</f>
        <v>0</v>
      </c>
    </row>
    <row r="31" spans="1:42" x14ac:dyDescent="0.3">
      <c r="A31" s="15" t="s">
        <v>97</v>
      </c>
      <c r="B31" s="15">
        <v>1000</v>
      </c>
      <c r="C31" s="15" t="s">
        <v>54</v>
      </c>
      <c r="D31" s="15" t="s">
        <v>55</v>
      </c>
      <c r="E31" s="15" cm="1">
        <f t="array" ref="E31">IFERROR(_xlfn.XLOOKUP($A31&amp;"|"&amp;$B31&amp;"|"&amp;$D31,'21-AUGUST-2026'!$A$3:$A$199&amp;"|"&amp;'21-AUGUST-2026'!$B$3:$B$199&amp;"|"&amp;'21-AUGUST-2026'!$D$3:$D$199,'21-AUGUST-2026'!$T$3:$T$199,_xlfn.XLOOKUP($A31&amp;"|"&amp;$B31,'21-AUGUST-2026'!$A$3:$A$199&amp;"|"&amp;'21-AUGUST-2026'!$B$3:$B$199,'21-AUGUST-2026'!$T$3:$T$199,0)),0)</f>
        <v>21</v>
      </c>
      <c r="F31" s="15" cm="1">
        <f t="array" ref="F31">IFERROR(_xlfn.XLOOKUP($A31&amp;"|"&amp;$B31&amp;"|"&amp;$D31,'21-AUGUST-2026'!$A$3:$A$199&amp;"|"&amp;'21-AUGUST-2026'!$B$3:$B$199&amp;"|"&amp;'21-AUGUST-2026'!$D$3:$D$199,'21-AUGUST-2026'!$U$3:$U$199,_xlfn.XLOOKUP($A31&amp;"|"&amp;$B31,'21-AUGUST-2026'!$A$3:$A$199&amp;"|"&amp;'21-AUGUST-2026'!$B$3:$B$199,'21-AUGUST-2026'!$U$3:$U$199,0)),0)</f>
        <v>21</v>
      </c>
      <c r="G31" s="15">
        <f t="shared" si="0"/>
        <v>42</v>
      </c>
      <c r="H31" s="17">
        <v>3</v>
      </c>
      <c r="I31" s="17">
        <v>10</v>
      </c>
      <c r="J31" s="17">
        <v>0</v>
      </c>
      <c r="K31" s="17">
        <v>2</v>
      </c>
      <c r="L31" s="17">
        <v>2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20">
        <v>0</v>
      </c>
      <c r="S31" s="20">
        <v>0</v>
      </c>
      <c r="T31" s="20">
        <v>0</v>
      </c>
      <c r="U31" s="17"/>
      <c r="V31" s="17"/>
      <c r="W31" s="20">
        <f t="shared" si="1"/>
        <v>0</v>
      </c>
      <c r="X31" s="21">
        <f t="shared" si="2"/>
        <v>26</v>
      </c>
      <c r="Y31" s="15">
        <f t="shared" si="3"/>
        <v>17</v>
      </c>
      <c r="Z31" s="15">
        <f t="shared" si="4"/>
        <v>9</v>
      </c>
      <c r="AA31" s="18" t="str">
        <f t="shared" si="5"/>
        <v/>
      </c>
      <c r="AB31" s="17">
        <v>0</v>
      </c>
      <c r="AC31" s="17">
        <v>0</v>
      </c>
      <c r="AD31" s="15">
        <f t="shared" si="11"/>
        <v>0</v>
      </c>
      <c r="AE31" s="17">
        <v>1</v>
      </c>
      <c r="AF31" s="17">
        <v>0</v>
      </c>
      <c r="AG31" s="15">
        <f t="shared" si="12"/>
        <v>1</v>
      </c>
      <c r="AH31" s="17">
        <v>3</v>
      </c>
      <c r="AI31" s="17">
        <v>3</v>
      </c>
      <c r="AJ31" s="15">
        <f t="shared" si="13"/>
        <v>0</v>
      </c>
      <c r="AK31" s="17">
        <v>0</v>
      </c>
      <c r="AL31" s="17">
        <v>0</v>
      </c>
      <c r="AM31" s="15">
        <f t="shared" si="14"/>
        <v>0</v>
      </c>
      <c r="AN31" s="17"/>
      <c r="AO31" s="53">
        <f t="shared" si="10"/>
        <v>16</v>
      </c>
      <c r="AP31" s="53">
        <f>IF($A31="",0,IF(COUNTIFS([1]Sheet1!$A$2:$A$190,$A31,[1]Sheet1!$B$2:$B$190,$B31,[1]Sheet1!$C$2:$C$190,"&gt;=0")=0,0,SUMIFS([1]Sheet1!$C$2:$C$190,[1]Sheet1!$A$2:$A$190,$A31,[1]Sheet1!$B$2:$B$190,$B31)-$AO31))</f>
        <v>1</v>
      </c>
    </row>
    <row r="32" spans="1:42" x14ac:dyDescent="0.3">
      <c r="A32" s="15" t="s">
        <v>98</v>
      </c>
      <c r="B32" s="15">
        <v>1000</v>
      </c>
      <c r="C32" s="15" t="s">
        <v>54</v>
      </c>
      <c r="D32" s="15" t="s">
        <v>55</v>
      </c>
      <c r="E32" s="15" cm="1">
        <f t="array" ref="E32">IFERROR(_xlfn.XLOOKUP($A32&amp;"|"&amp;$B32&amp;"|"&amp;$D32,'21-AUGUST-2026'!$A$3:$A$199&amp;"|"&amp;'21-AUGUST-2026'!$B$3:$B$199&amp;"|"&amp;'21-AUGUST-2026'!$D$3:$D$199,'21-AUGUST-2026'!$T$3:$T$199,_xlfn.XLOOKUP($A32&amp;"|"&amp;$B32,'21-AUGUST-2026'!$A$3:$A$199&amp;"|"&amp;'21-AUGUST-2026'!$B$3:$B$199,'21-AUGUST-2026'!$T$3:$T$199,0)),0)</f>
        <v>3</v>
      </c>
      <c r="F32" s="15" cm="1">
        <f t="array" ref="F32">IFERROR(_xlfn.XLOOKUP($A32&amp;"|"&amp;$B32&amp;"|"&amp;$D32,'21-AUGUST-2026'!$A$3:$A$199&amp;"|"&amp;'21-AUGUST-2026'!$B$3:$B$199&amp;"|"&amp;'21-AUGUST-2026'!$D$3:$D$199,'21-AUGUST-2026'!$U$3:$U$199,_xlfn.XLOOKUP($A32&amp;"|"&amp;$B32,'21-AUGUST-2026'!$A$3:$A$199&amp;"|"&amp;'21-AUGUST-2026'!$B$3:$B$199,'21-AUGUST-2026'!$U$3:$U$199,0)),0)</f>
        <v>17</v>
      </c>
      <c r="G32" s="15">
        <f t="shared" si="0"/>
        <v>20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20">
        <v>0</v>
      </c>
      <c r="S32" s="20">
        <v>0</v>
      </c>
      <c r="T32" s="20">
        <v>0</v>
      </c>
      <c r="U32" s="17"/>
      <c r="V32" s="17"/>
      <c r="W32" s="20">
        <f t="shared" si="1"/>
        <v>0</v>
      </c>
      <c r="X32" s="21">
        <f t="shared" si="2"/>
        <v>20</v>
      </c>
      <c r="Y32" s="15">
        <f t="shared" si="3"/>
        <v>3</v>
      </c>
      <c r="Z32" s="15">
        <f t="shared" si="4"/>
        <v>17</v>
      </c>
      <c r="AA32" s="18" t="str">
        <f t="shared" si="5"/>
        <v/>
      </c>
      <c r="AB32" s="17">
        <v>0</v>
      </c>
      <c r="AC32" s="17">
        <v>0</v>
      </c>
      <c r="AD32" s="15">
        <f t="shared" si="11"/>
        <v>0</v>
      </c>
      <c r="AE32" s="17">
        <v>0</v>
      </c>
      <c r="AF32" s="17">
        <v>0</v>
      </c>
      <c r="AG32" s="15">
        <f t="shared" si="12"/>
        <v>0</v>
      </c>
      <c r="AH32" s="17">
        <v>0</v>
      </c>
      <c r="AI32" s="17">
        <v>0</v>
      </c>
      <c r="AJ32" s="15">
        <f t="shared" si="13"/>
        <v>0</v>
      </c>
      <c r="AK32" s="17">
        <v>0</v>
      </c>
      <c r="AL32" s="17">
        <v>0</v>
      </c>
      <c r="AM32" s="15">
        <f t="shared" si="14"/>
        <v>0</v>
      </c>
      <c r="AN32" s="17"/>
      <c r="AO32" s="53">
        <f t="shared" si="10"/>
        <v>3</v>
      </c>
      <c r="AP32" s="53">
        <f>IF($A32="",0,IF(COUNTIFS([1]Sheet1!$A$2:$A$190,$A32,[1]Sheet1!$B$2:$B$190,$B32,[1]Sheet1!$C$2:$C$190,"&gt;=0")=0,0,SUMIFS([1]Sheet1!$C$2:$C$190,[1]Sheet1!$A$2:$A$190,$A32,[1]Sheet1!$B$2:$B$190,$B32)-$AO32))</f>
        <v>0</v>
      </c>
    </row>
    <row r="33" spans="1:42" x14ac:dyDescent="0.3">
      <c r="A33" s="15" t="s">
        <v>99</v>
      </c>
      <c r="B33" s="15">
        <v>1000</v>
      </c>
      <c r="C33" s="15" t="s">
        <v>54</v>
      </c>
      <c r="D33" s="15" t="s">
        <v>55</v>
      </c>
      <c r="E33" s="15" cm="1">
        <f t="array" ref="E33">IFERROR(_xlfn.XLOOKUP($A33&amp;"|"&amp;$B33&amp;"|"&amp;$D33,'21-AUGUST-2026'!$A$3:$A$199&amp;"|"&amp;'21-AUGUST-2026'!$B$3:$B$199&amp;"|"&amp;'21-AUGUST-2026'!$D$3:$D$199,'21-AUGUST-2026'!$T$3:$T$199,_xlfn.XLOOKUP($A33&amp;"|"&amp;$B33,'21-AUGUST-2026'!$A$3:$A$199&amp;"|"&amp;'21-AUGUST-2026'!$B$3:$B$199,'21-AUGUST-2026'!$T$3:$T$199,0)),0)</f>
        <v>2</v>
      </c>
      <c r="F33" s="15" cm="1">
        <f t="array" ref="F33">IFERROR(_xlfn.XLOOKUP($A33&amp;"|"&amp;$B33&amp;"|"&amp;$D33,'21-AUGUST-2026'!$A$3:$A$199&amp;"|"&amp;'21-AUGUST-2026'!$B$3:$B$199&amp;"|"&amp;'21-AUGUST-2026'!$D$3:$D$199,'21-AUGUST-2026'!$U$3:$U$199,_xlfn.XLOOKUP($A33&amp;"|"&amp;$B33,'21-AUGUST-2026'!$A$3:$A$199&amp;"|"&amp;'21-AUGUST-2026'!$B$3:$B$199,'21-AUGUST-2026'!$U$3:$U$199,0)),0)</f>
        <v>1</v>
      </c>
      <c r="G33" s="15">
        <f t="shared" si="0"/>
        <v>3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20">
        <v>0</v>
      </c>
      <c r="S33" s="20">
        <v>0</v>
      </c>
      <c r="T33" s="20">
        <v>0</v>
      </c>
      <c r="U33" s="17"/>
      <c r="V33" s="17"/>
      <c r="W33" s="20">
        <f t="shared" si="1"/>
        <v>0</v>
      </c>
      <c r="X33" s="21">
        <f t="shared" si="2"/>
        <v>3</v>
      </c>
      <c r="Y33" s="15">
        <f t="shared" si="3"/>
        <v>2</v>
      </c>
      <c r="Z33" s="15">
        <f t="shared" si="4"/>
        <v>1</v>
      </c>
      <c r="AA33" s="18" t="str">
        <f t="shared" si="5"/>
        <v/>
      </c>
      <c r="AB33" s="17">
        <v>0</v>
      </c>
      <c r="AC33" s="17">
        <v>0</v>
      </c>
      <c r="AD33" s="15">
        <f t="shared" si="11"/>
        <v>0</v>
      </c>
      <c r="AE33" s="17">
        <v>0</v>
      </c>
      <c r="AF33" s="17">
        <v>0</v>
      </c>
      <c r="AG33" s="15">
        <f t="shared" si="12"/>
        <v>0</v>
      </c>
      <c r="AH33" s="17">
        <v>0</v>
      </c>
      <c r="AI33" s="17">
        <v>0</v>
      </c>
      <c r="AJ33" s="15">
        <f t="shared" si="13"/>
        <v>0</v>
      </c>
      <c r="AK33" s="17">
        <v>0</v>
      </c>
      <c r="AL33" s="17">
        <v>0</v>
      </c>
      <c r="AM33" s="15">
        <f t="shared" si="14"/>
        <v>0</v>
      </c>
      <c r="AN33" s="17"/>
      <c r="AO33" s="53">
        <f t="shared" si="10"/>
        <v>2</v>
      </c>
      <c r="AP33" s="53">
        <f>IF($A33="",0,IF(COUNTIFS([1]Sheet1!$A$2:$A$190,$A33,[1]Sheet1!$B$2:$B$190,$B33,[1]Sheet1!$C$2:$C$190,"&gt;=0")=0,0,SUMIFS([1]Sheet1!$C$2:$C$190,[1]Sheet1!$A$2:$A$190,$A33,[1]Sheet1!$B$2:$B$190,$B33)-$AO33))</f>
        <v>0</v>
      </c>
    </row>
    <row r="34" spans="1:42" x14ac:dyDescent="0.3">
      <c r="A34" s="15" t="s">
        <v>104</v>
      </c>
      <c r="B34" s="15">
        <v>1000</v>
      </c>
      <c r="C34" s="15" t="s">
        <v>54</v>
      </c>
      <c r="D34" s="15" t="s">
        <v>55</v>
      </c>
      <c r="E34" s="15" cm="1">
        <f t="array" ref="E34">IFERROR(_xlfn.XLOOKUP($A34&amp;"|"&amp;$B34&amp;"|"&amp;$D34,'21-AUGUST-2026'!$A$3:$A$199&amp;"|"&amp;'21-AUGUST-2026'!$B$3:$B$199&amp;"|"&amp;'21-AUGUST-2026'!$D$3:$D$199,'21-AUGUST-2026'!$T$3:$T$199,_xlfn.XLOOKUP($A34&amp;"|"&amp;$B34,'21-AUGUST-2026'!$A$3:$A$199&amp;"|"&amp;'21-AUGUST-2026'!$B$3:$B$199,'21-AUGUST-2026'!$T$3:$T$199,0)),0)</f>
        <v>0</v>
      </c>
      <c r="F34" s="15" cm="1">
        <f t="array" ref="F34">IFERROR(_xlfn.XLOOKUP($A34&amp;"|"&amp;$B34&amp;"|"&amp;$D34,'21-AUGUST-2026'!$A$3:$A$199&amp;"|"&amp;'21-AUGUST-2026'!$B$3:$B$199&amp;"|"&amp;'21-AUGUST-2026'!$D$3:$D$199,'21-AUGUST-2026'!$U$3:$U$199,_xlfn.XLOOKUP($A34&amp;"|"&amp;$B34,'21-AUGUST-2026'!$A$3:$A$199&amp;"|"&amp;'21-AUGUST-2026'!$B$3:$B$199,'21-AUGUST-2026'!$U$3:$U$199,0)),0)</f>
        <v>1</v>
      </c>
      <c r="G34" s="15">
        <f t="shared" si="0"/>
        <v>1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20">
        <v>0</v>
      </c>
      <c r="S34" s="20">
        <v>0</v>
      </c>
      <c r="T34" s="20">
        <v>0</v>
      </c>
      <c r="U34" s="17"/>
      <c r="V34" s="17"/>
      <c r="W34" s="20">
        <f t="shared" si="1"/>
        <v>0</v>
      </c>
      <c r="X34" s="21">
        <f t="shared" si="2"/>
        <v>1</v>
      </c>
      <c r="Y34" s="15">
        <f t="shared" si="3"/>
        <v>0</v>
      </c>
      <c r="Z34" s="15">
        <f t="shared" si="4"/>
        <v>1</v>
      </c>
      <c r="AA34" s="18" t="str">
        <f t="shared" si="5"/>
        <v/>
      </c>
      <c r="AB34" s="17">
        <v>0</v>
      </c>
      <c r="AC34" s="17">
        <v>0</v>
      </c>
      <c r="AD34" s="15">
        <f t="shared" si="11"/>
        <v>0</v>
      </c>
      <c r="AE34" s="17">
        <v>0</v>
      </c>
      <c r="AF34" s="17">
        <v>0</v>
      </c>
      <c r="AG34" s="15">
        <f t="shared" si="12"/>
        <v>0</v>
      </c>
      <c r="AH34" s="17">
        <v>0</v>
      </c>
      <c r="AI34" s="17">
        <v>0</v>
      </c>
      <c r="AJ34" s="15">
        <f t="shared" si="13"/>
        <v>0</v>
      </c>
      <c r="AK34" s="17">
        <v>0</v>
      </c>
      <c r="AL34" s="17">
        <v>0</v>
      </c>
      <c r="AM34" s="15">
        <f t="shared" si="14"/>
        <v>0</v>
      </c>
      <c r="AN34" s="17"/>
      <c r="AO34" s="53">
        <f t="shared" si="10"/>
        <v>0</v>
      </c>
      <c r="AP34" s="53">
        <f>IF($A34="",0,IF(COUNTIFS([1]Sheet1!$A$2:$A$190,$A34,[1]Sheet1!$B$2:$B$190,$B34,[1]Sheet1!$C$2:$C$190,"&gt;=0")=0,0,SUMIFS([1]Sheet1!$C$2:$C$190,[1]Sheet1!$A$2:$A$190,$A34,[1]Sheet1!$B$2:$B$190,$B34)-$AO34))</f>
        <v>0</v>
      </c>
    </row>
    <row r="35" spans="1:42" x14ac:dyDescent="0.3">
      <c r="A35" s="15" t="s">
        <v>106</v>
      </c>
      <c r="B35" s="15">
        <v>100</v>
      </c>
      <c r="C35" s="15" t="s">
        <v>54</v>
      </c>
      <c r="D35" s="15" t="s">
        <v>55</v>
      </c>
      <c r="E35" s="15" cm="1">
        <f t="array" ref="E35">IFERROR(_xlfn.XLOOKUP($A35&amp;"|"&amp;$B35&amp;"|"&amp;$D35,'21-AUGUST-2026'!$A$3:$A$199&amp;"|"&amp;'21-AUGUST-2026'!$B$3:$B$199&amp;"|"&amp;'21-AUGUST-2026'!$D$3:$D$199,'21-AUGUST-2026'!$T$3:$T$199,_xlfn.XLOOKUP($A35&amp;"|"&amp;$B35,'21-AUGUST-2026'!$A$3:$A$199&amp;"|"&amp;'21-AUGUST-2026'!$B$3:$B$199,'21-AUGUST-2026'!$T$3:$T$199,0)),0)</f>
        <v>5</v>
      </c>
      <c r="F35" s="15" cm="1">
        <f t="array" ref="F35">IFERROR(_xlfn.XLOOKUP($A35&amp;"|"&amp;$B35&amp;"|"&amp;$D35,'21-AUGUST-2026'!$A$3:$A$199&amp;"|"&amp;'21-AUGUST-2026'!$B$3:$B$199&amp;"|"&amp;'21-AUGUST-2026'!$D$3:$D$199,'21-AUGUST-2026'!$U$3:$U$199,_xlfn.XLOOKUP($A35&amp;"|"&amp;$B35,'21-AUGUST-2026'!$A$3:$A$199&amp;"|"&amp;'21-AUGUST-2026'!$B$3:$B$199,'21-AUGUST-2026'!$U$3:$U$199,0)),0)</f>
        <v>0</v>
      </c>
      <c r="G35" s="15">
        <f t="shared" ref="G35:G66" si="15">E35+F35</f>
        <v>5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20">
        <v>0</v>
      </c>
      <c r="S35" s="20">
        <v>0</v>
      </c>
      <c r="T35" s="20">
        <v>0</v>
      </c>
      <c r="U35" s="17"/>
      <c r="V35" s="17"/>
      <c r="W35" s="20">
        <f t="shared" ref="W35:W66" si="16">R35+S35+T35</f>
        <v>0</v>
      </c>
      <c r="X35" s="21">
        <f t="shared" si="2"/>
        <v>5</v>
      </c>
      <c r="Y35" s="15">
        <f t="shared" si="3"/>
        <v>5</v>
      </c>
      <c r="Z35" s="15">
        <f t="shared" ref="Z35:Z66" si="17">F35+O35+IF($V35="Moro",$W35,0)-I35-L35</f>
        <v>0</v>
      </c>
      <c r="AA35" s="18" t="str">
        <f t="shared" ref="AA35:AA66" si="18">IF(AND(V35&gt;0,U35=""),"IMPORT NEEDS DESTINATION",IF(MIN(Y35,Z35)&lt;0,"NEGATIVE STOCK - CHECK ENTRIES",""))</f>
        <v/>
      </c>
      <c r="AB35" s="17">
        <v>0</v>
      </c>
      <c r="AC35" s="17">
        <v>0</v>
      </c>
      <c r="AD35" s="15">
        <f t="shared" si="11"/>
        <v>0</v>
      </c>
      <c r="AE35" s="17">
        <v>0</v>
      </c>
      <c r="AF35" s="17">
        <v>0</v>
      </c>
      <c r="AG35" s="15">
        <f t="shared" si="12"/>
        <v>0</v>
      </c>
      <c r="AH35" s="17">
        <v>0</v>
      </c>
      <c r="AI35" s="17">
        <v>0</v>
      </c>
      <c r="AJ35" s="15">
        <f t="shared" si="13"/>
        <v>0</v>
      </c>
      <c r="AK35" s="17">
        <v>0</v>
      </c>
      <c r="AL35" s="17">
        <v>0</v>
      </c>
      <c r="AM35" s="15">
        <f t="shared" si="14"/>
        <v>0</v>
      </c>
      <c r="AN35" s="17"/>
      <c r="AO35" s="53">
        <f t="shared" ref="AO35:AO66" si="19">E35+N35+IF($V35="Arusha",$W35,0)-H35-K35</f>
        <v>5</v>
      </c>
      <c r="AP35" s="53">
        <f>IF($A35="",0,IF(COUNTIFS([1]Sheet1!$A$2:$A$190,$A35,[1]Sheet1!$B$2:$B$190,$B35,[1]Sheet1!$C$2:$C$190,"&gt;=0")=0,0,SUMIFS([1]Sheet1!$C$2:$C$190,[1]Sheet1!$A$2:$A$190,$A35,[1]Sheet1!$B$2:$B$190,$B35)-$AO35))</f>
        <v>0</v>
      </c>
    </row>
    <row r="36" spans="1:42" x14ac:dyDescent="0.3">
      <c r="A36" s="15" t="s">
        <v>109</v>
      </c>
      <c r="B36" s="15">
        <v>0</v>
      </c>
      <c r="C36" s="15" t="s">
        <v>110</v>
      </c>
      <c r="D36" s="15" t="s">
        <v>55</v>
      </c>
      <c r="E36" s="15" cm="1">
        <f t="array" ref="E36">IFERROR(_xlfn.XLOOKUP($A36&amp;"|"&amp;$B36&amp;"|"&amp;$D36,'21-AUGUST-2026'!$A$3:$A$199&amp;"|"&amp;'21-AUGUST-2026'!$B$3:$B$199&amp;"|"&amp;'21-AUGUST-2026'!$D$3:$D$199,'21-AUGUST-2026'!$T$3:$T$199,_xlfn.XLOOKUP($A36&amp;"|"&amp;$B36,'21-AUGUST-2026'!$A$3:$A$199&amp;"|"&amp;'21-AUGUST-2026'!$B$3:$B$199,'21-AUGUST-2026'!$T$3:$T$199,0)),0)</f>
        <v>2</v>
      </c>
      <c r="F36" s="15" cm="1">
        <f t="array" ref="F36">IFERROR(_xlfn.XLOOKUP($A36&amp;"|"&amp;$B36&amp;"|"&amp;$D36,'21-AUGUST-2026'!$A$3:$A$199&amp;"|"&amp;'21-AUGUST-2026'!$B$3:$B$199&amp;"|"&amp;'21-AUGUST-2026'!$D$3:$D$199,'21-AUGUST-2026'!$U$3:$U$199,_xlfn.XLOOKUP($A36&amp;"|"&amp;$B36,'21-AUGUST-2026'!$A$3:$A$199&amp;"|"&amp;'21-AUGUST-2026'!$B$3:$B$199,'21-AUGUST-2026'!$U$3:$U$199,0)),0)</f>
        <v>0</v>
      </c>
      <c r="G36" s="15">
        <f t="shared" si="15"/>
        <v>2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20">
        <v>0</v>
      </c>
      <c r="S36" s="20">
        <v>0</v>
      </c>
      <c r="T36" s="20">
        <v>0</v>
      </c>
      <c r="U36" s="17"/>
      <c r="V36" s="17"/>
      <c r="W36" s="20">
        <f t="shared" si="16"/>
        <v>0</v>
      </c>
      <c r="X36" s="21">
        <f t="shared" si="2"/>
        <v>2</v>
      </c>
      <c r="Y36" s="15">
        <f t="shared" si="3"/>
        <v>2</v>
      </c>
      <c r="Z36" s="15">
        <f t="shared" si="17"/>
        <v>0</v>
      </c>
      <c r="AA36" s="18" t="str">
        <f t="shared" si="18"/>
        <v/>
      </c>
      <c r="AB36" s="17">
        <v>0</v>
      </c>
      <c r="AC36" s="17">
        <v>0</v>
      </c>
      <c r="AD36" s="15">
        <f t="shared" ref="AD36:AD67" si="20">AB36-AC36</f>
        <v>0</v>
      </c>
      <c r="AE36" s="17">
        <v>0</v>
      </c>
      <c r="AF36" s="17">
        <v>0</v>
      </c>
      <c r="AG36" s="15">
        <f t="shared" ref="AG36:AG67" si="21">AE36-AF36</f>
        <v>0</v>
      </c>
      <c r="AH36" s="17">
        <v>0</v>
      </c>
      <c r="AI36" s="17">
        <v>0</v>
      </c>
      <c r="AJ36" s="15">
        <f t="shared" ref="AJ36:AJ67" si="22">AH36-AI36</f>
        <v>0</v>
      </c>
      <c r="AK36" s="17">
        <v>0</v>
      </c>
      <c r="AL36" s="17">
        <v>0</v>
      </c>
      <c r="AM36" s="15">
        <f t="shared" ref="AM36:AM67" si="23">AK36-AL36</f>
        <v>0</v>
      </c>
      <c r="AN36" s="17"/>
      <c r="AO36" s="53">
        <f t="shared" si="19"/>
        <v>2</v>
      </c>
      <c r="AP36" s="53">
        <f>IF($A36="",0,IF(COUNTIFS([1]Sheet1!$A$2:$A$190,$A36,[1]Sheet1!$B$2:$B$190,$B36,[1]Sheet1!$C$2:$C$190,"&gt;=0")=0,0,SUMIFS([1]Sheet1!$C$2:$C$190,[1]Sheet1!$A$2:$A$190,$A36,[1]Sheet1!$B$2:$B$190,$B36)-$AO36))</f>
        <v>0</v>
      </c>
    </row>
    <row r="37" spans="1:42" x14ac:dyDescent="0.3">
      <c r="A37" s="15" t="s">
        <v>115</v>
      </c>
      <c r="B37" s="15">
        <v>1000</v>
      </c>
      <c r="C37" s="15" t="s">
        <v>54</v>
      </c>
      <c r="D37" s="15" t="s">
        <v>55</v>
      </c>
      <c r="E37" s="15" cm="1">
        <f t="array" ref="E37">IFERROR(_xlfn.XLOOKUP($A37&amp;"|"&amp;$B37&amp;"|"&amp;$D37,'21-AUGUST-2026'!$A$3:$A$199&amp;"|"&amp;'21-AUGUST-2026'!$B$3:$B$199&amp;"|"&amp;'21-AUGUST-2026'!$D$3:$D$199,'21-AUGUST-2026'!$T$3:$T$199,_xlfn.XLOOKUP($A37&amp;"|"&amp;$B37,'21-AUGUST-2026'!$A$3:$A$199&amp;"|"&amp;'21-AUGUST-2026'!$B$3:$B$199,'21-AUGUST-2026'!$T$3:$T$199,0)),0)</f>
        <v>1</v>
      </c>
      <c r="F37" s="15" cm="1">
        <f t="array" ref="F37">IFERROR(_xlfn.XLOOKUP($A37&amp;"|"&amp;$B37&amp;"|"&amp;$D37,'21-AUGUST-2026'!$A$3:$A$199&amp;"|"&amp;'21-AUGUST-2026'!$B$3:$B$199&amp;"|"&amp;'21-AUGUST-2026'!$D$3:$D$199,'21-AUGUST-2026'!$U$3:$U$199,_xlfn.XLOOKUP($A37&amp;"|"&amp;$B37,'21-AUGUST-2026'!$A$3:$A$199&amp;"|"&amp;'21-AUGUST-2026'!$B$3:$B$199,'21-AUGUST-2026'!$U$3:$U$199,0)),0)</f>
        <v>0</v>
      </c>
      <c r="G37" s="15">
        <f t="shared" si="15"/>
        <v>1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20">
        <v>0</v>
      </c>
      <c r="S37" s="20">
        <v>0</v>
      </c>
      <c r="T37" s="20">
        <v>0</v>
      </c>
      <c r="U37" s="17"/>
      <c r="V37" s="17"/>
      <c r="W37" s="20">
        <f t="shared" si="16"/>
        <v>0</v>
      </c>
      <c r="X37" s="21">
        <f t="shared" si="2"/>
        <v>1</v>
      </c>
      <c r="Y37" s="15">
        <f t="shared" si="3"/>
        <v>1</v>
      </c>
      <c r="Z37" s="15">
        <f t="shared" si="17"/>
        <v>0</v>
      </c>
      <c r="AA37" s="18" t="str">
        <f t="shared" si="18"/>
        <v/>
      </c>
      <c r="AB37" s="17">
        <v>0</v>
      </c>
      <c r="AC37" s="17">
        <v>0</v>
      </c>
      <c r="AD37" s="15">
        <f t="shared" si="20"/>
        <v>0</v>
      </c>
      <c r="AE37" s="17">
        <v>0</v>
      </c>
      <c r="AF37" s="17">
        <v>0</v>
      </c>
      <c r="AG37" s="15">
        <f t="shared" si="21"/>
        <v>0</v>
      </c>
      <c r="AH37" s="17">
        <v>0</v>
      </c>
      <c r="AI37" s="17">
        <v>0</v>
      </c>
      <c r="AJ37" s="15">
        <f t="shared" si="22"/>
        <v>0</v>
      </c>
      <c r="AK37" s="17">
        <v>0</v>
      </c>
      <c r="AL37" s="17">
        <v>0</v>
      </c>
      <c r="AM37" s="15">
        <f t="shared" si="23"/>
        <v>0</v>
      </c>
      <c r="AN37" s="17"/>
      <c r="AO37" s="53">
        <f t="shared" si="19"/>
        <v>1</v>
      </c>
      <c r="AP37" s="53">
        <f>IF($A37="",0,IF(COUNTIFS([1]Sheet1!$A$2:$A$190,$A37,[1]Sheet1!$B$2:$B$190,$B37,[1]Sheet1!$C$2:$C$190,"&gt;=0")=0,0,SUMIFS([1]Sheet1!$C$2:$C$190,[1]Sheet1!$A$2:$A$190,$A37,[1]Sheet1!$B$2:$B$190,$B37)-$AO37))</f>
        <v>0</v>
      </c>
    </row>
    <row r="38" spans="1:42" x14ac:dyDescent="0.3">
      <c r="A38" s="15" t="s">
        <v>123</v>
      </c>
      <c r="B38" s="15" t="s">
        <v>124</v>
      </c>
      <c r="C38" s="15" t="s">
        <v>123</v>
      </c>
      <c r="D38" s="15" t="s">
        <v>55</v>
      </c>
      <c r="E38" s="15" cm="1">
        <f t="array" ref="E38">IFERROR(_xlfn.XLOOKUP($A38&amp;"|"&amp;$B38&amp;"|"&amp;$D38,'21-AUGUST-2026'!$A$3:$A$199&amp;"|"&amp;'21-AUGUST-2026'!$B$3:$B$199&amp;"|"&amp;'21-AUGUST-2026'!$D$3:$D$199,'21-AUGUST-2026'!$T$3:$T$199,_xlfn.XLOOKUP($A38&amp;"|"&amp;$B38,'21-AUGUST-2026'!$A$3:$A$199&amp;"|"&amp;'21-AUGUST-2026'!$B$3:$B$199,'21-AUGUST-2026'!$T$3:$T$199,0)),0)</f>
        <v>1</v>
      </c>
      <c r="F38" s="15" cm="1">
        <f t="array" ref="F38">IFERROR(_xlfn.XLOOKUP($A38&amp;"|"&amp;$B38&amp;"|"&amp;$D38,'21-AUGUST-2026'!$A$3:$A$199&amp;"|"&amp;'21-AUGUST-2026'!$B$3:$B$199&amp;"|"&amp;'21-AUGUST-2026'!$D$3:$D$199,'21-AUGUST-2026'!$U$3:$U$199,_xlfn.XLOOKUP($A38&amp;"|"&amp;$B38,'21-AUGUST-2026'!$A$3:$A$199&amp;"|"&amp;'21-AUGUST-2026'!$B$3:$B$199,'21-AUGUST-2026'!$U$3:$U$199,0)),0)</f>
        <v>0</v>
      </c>
      <c r="G38" s="15">
        <f t="shared" si="15"/>
        <v>1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20">
        <v>0</v>
      </c>
      <c r="S38" s="20">
        <v>0</v>
      </c>
      <c r="T38" s="20">
        <v>0</v>
      </c>
      <c r="U38" s="17"/>
      <c r="V38" s="17"/>
      <c r="W38" s="20">
        <f t="shared" si="16"/>
        <v>0</v>
      </c>
      <c r="X38" s="21">
        <f t="shared" si="2"/>
        <v>1</v>
      </c>
      <c r="Y38" s="15">
        <f t="shared" si="3"/>
        <v>1</v>
      </c>
      <c r="Z38" s="15">
        <f t="shared" si="17"/>
        <v>0</v>
      </c>
      <c r="AA38" s="18" t="str">
        <f t="shared" si="18"/>
        <v/>
      </c>
      <c r="AB38" s="17">
        <v>0</v>
      </c>
      <c r="AC38" s="17">
        <v>0</v>
      </c>
      <c r="AD38" s="15">
        <f t="shared" si="20"/>
        <v>0</v>
      </c>
      <c r="AE38" s="17">
        <v>0</v>
      </c>
      <c r="AF38" s="17">
        <v>0</v>
      </c>
      <c r="AG38" s="15">
        <f t="shared" si="21"/>
        <v>0</v>
      </c>
      <c r="AH38" s="17">
        <v>0</v>
      </c>
      <c r="AI38" s="17">
        <v>0</v>
      </c>
      <c r="AJ38" s="15">
        <f t="shared" si="22"/>
        <v>0</v>
      </c>
      <c r="AK38" s="17">
        <v>0</v>
      </c>
      <c r="AL38" s="17">
        <v>0</v>
      </c>
      <c r="AM38" s="15">
        <f t="shared" si="23"/>
        <v>0</v>
      </c>
      <c r="AN38" s="17"/>
      <c r="AO38" s="53">
        <f t="shared" si="19"/>
        <v>1</v>
      </c>
      <c r="AP38" s="53">
        <f>IF($A38="",0,IF(COUNTIFS([1]Sheet1!$A$2:$A$190,$A38,[1]Sheet1!$B$2:$B$190,$B38,[1]Sheet1!$C$2:$C$190,"&gt;=0")=0,0,SUMIFS([1]Sheet1!$C$2:$C$190,[1]Sheet1!$A$2:$A$190,$A38,[1]Sheet1!$B$2:$B$190,$B38)-$AO38))</f>
        <v>0</v>
      </c>
    </row>
    <row r="39" spans="1:42" x14ac:dyDescent="0.3">
      <c r="A39" s="15" t="s">
        <v>127</v>
      </c>
      <c r="B39" s="15">
        <v>0</v>
      </c>
      <c r="C39" s="15" t="s">
        <v>128</v>
      </c>
      <c r="D39" s="15" t="s">
        <v>55</v>
      </c>
      <c r="E39" s="15" cm="1">
        <f t="array" ref="E39">IFERROR(_xlfn.XLOOKUP($A39&amp;"|"&amp;$B39&amp;"|"&amp;$D39,'21-AUGUST-2026'!$A$3:$A$199&amp;"|"&amp;'21-AUGUST-2026'!$B$3:$B$199&amp;"|"&amp;'21-AUGUST-2026'!$D$3:$D$199,'21-AUGUST-2026'!$T$3:$T$199,_xlfn.XLOOKUP($A39&amp;"|"&amp;$B39,'21-AUGUST-2026'!$A$3:$A$199&amp;"|"&amp;'21-AUGUST-2026'!$B$3:$B$199,'21-AUGUST-2026'!$T$3:$T$199,0)),0)</f>
        <v>107</v>
      </c>
      <c r="F39" s="15" cm="1">
        <f t="array" ref="F39">IFERROR(_xlfn.XLOOKUP($A39&amp;"|"&amp;$B39&amp;"|"&amp;$D39,'21-AUGUST-2026'!$A$3:$A$199&amp;"|"&amp;'21-AUGUST-2026'!$B$3:$B$199&amp;"|"&amp;'21-AUGUST-2026'!$D$3:$D$199,'21-AUGUST-2026'!$U$3:$U$199,_xlfn.XLOOKUP($A39&amp;"|"&amp;$B39,'21-AUGUST-2026'!$A$3:$A$199&amp;"|"&amp;'21-AUGUST-2026'!$B$3:$B$199,'21-AUGUST-2026'!$U$3:$U$199,0)),0)</f>
        <v>6</v>
      </c>
      <c r="G39" s="15">
        <f t="shared" si="15"/>
        <v>113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20">
        <v>0</v>
      </c>
      <c r="S39" s="20">
        <v>0</v>
      </c>
      <c r="T39" s="20">
        <v>0</v>
      </c>
      <c r="U39" s="17"/>
      <c r="V39" s="17"/>
      <c r="W39" s="20">
        <f t="shared" si="16"/>
        <v>0</v>
      </c>
      <c r="X39" s="21">
        <f t="shared" si="2"/>
        <v>114</v>
      </c>
      <c r="Y39" s="15">
        <f t="shared" si="3"/>
        <v>108</v>
      </c>
      <c r="Z39" s="15">
        <f t="shared" si="17"/>
        <v>6</v>
      </c>
      <c r="AA39" s="18" t="str">
        <f t="shared" si="18"/>
        <v/>
      </c>
      <c r="AB39" s="17">
        <v>0</v>
      </c>
      <c r="AC39" s="17">
        <v>0</v>
      </c>
      <c r="AD39" s="15">
        <f t="shared" si="20"/>
        <v>0</v>
      </c>
      <c r="AE39" s="17">
        <v>0</v>
      </c>
      <c r="AF39" s="17">
        <v>0</v>
      </c>
      <c r="AG39" s="15">
        <f t="shared" si="21"/>
        <v>0</v>
      </c>
      <c r="AH39" s="17">
        <v>0</v>
      </c>
      <c r="AI39" s="17">
        <v>0</v>
      </c>
      <c r="AJ39" s="15">
        <f t="shared" si="22"/>
        <v>0</v>
      </c>
      <c r="AK39" s="17">
        <v>0</v>
      </c>
      <c r="AL39" s="17">
        <v>0</v>
      </c>
      <c r="AM39" s="15">
        <f t="shared" si="23"/>
        <v>0</v>
      </c>
      <c r="AN39" s="17"/>
      <c r="AO39" s="53">
        <f t="shared" si="19"/>
        <v>107</v>
      </c>
      <c r="AP39" s="53">
        <f>IF($A39="",0,IF(COUNTIFS([1]Sheet1!$A$2:$A$190,$A39,[1]Sheet1!$B$2:$B$190,$B39,[1]Sheet1!$C$2:$C$190,"&gt;=0")=0,0,SUMIFS([1]Sheet1!$C$2:$C$190,[1]Sheet1!$A$2:$A$190,$A39,[1]Sheet1!$B$2:$B$190,$B39)-$AO39))</f>
        <v>1</v>
      </c>
    </row>
    <row r="40" spans="1:42" x14ac:dyDescent="0.3">
      <c r="A40" s="15" t="s">
        <v>129</v>
      </c>
      <c r="B40" s="15">
        <v>0</v>
      </c>
      <c r="C40" s="15" t="s">
        <v>128</v>
      </c>
      <c r="D40" s="15" t="s">
        <v>55</v>
      </c>
      <c r="E40" s="15" cm="1">
        <f t="array" ref="E40">IFERROR(_xlfn.XLOOKUP($A40&amp;"|"&amp;$B40&amp;"|"&amp;$D40,'21-AUGUST-2026'!$A$3:$A$199&amp;"|"&amp;'21-AUGUST-2026'!$B$3:$B$199&amp;"|"&amp;'21-AUGUST-2026'!$D$3:$D$199,'21-AUGUST-2026'!$T$3:$T$199,_xlfn.XLOOKUP($A40&amp;"|"&amp;$B40,'21-AUGUST-2026'!$A$3:$A$199&amp;"|"&amp;'21-AUGUST-2026'!$B$3:$B$199,'21-AUGUST-2026'!$T$3:$T$199,0)),0)</f>
        <v>44</v>
      </c>
      <c r="F40" s="15" cm="1">
        <f t="array" ref="F40">IFERROR(_xlfn.XLOOKUP($A40&amp;"|"&amp;$B40&amp;"|"&amp;$D40,'21-AUGUST-2026'!$A$3:$A$199&amp;"|"&amp;'21-AUGUST-2026'!$B$3:$B$199&amp;"|"&amp;'21-AUGUST-2026'!$D$3:$D$199,'21-AUGUST-2026'!$U$3:$U$199,_xlfn.XLOOKUP($A40&amp;"|"&amp;$B40,'21-AUGUST-2026'!$A$3:$A$199&amp;"|"&amp;'21-AUGUST-2026'!$B$3:$B$199,'21-AUGUST-2026'!$U$3:$U$199,0)),0)</f>
        <v>4</v>
      </c>
      <c r="G40" s="15">
        <f t="shared" si="15"/>
        <v>48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20">
        <v>0</v>
      </c>
      <c r="S40" s="20">
        <v>0</v>
      </c>
      <c r="T40" s="20">
        <v>0</v>
      </c>
      <c r="U40" s="17"/>
      <c r="V40" s="17"/>
      <c r="W40" s="20">
        <f t="shared" si="16"/>
        <v>0</v>
      </c>
      <c r="X40" s="21">
        <f t="shared" si="2"/>
        <v>49</v>
      </c>
      <c r="Y40" s="15">
        <f t="shared" si="3"/>
        <v>45</v>
      </c>
      <c r="Z40" s="15">
        <f t="shared" si="17"/>
        <v>4</v>
      </c>
      <c r="AA40" s="18" t="str">
        <f t="shared" si="18"/>
        <v/>
      </c>
      <c r="AB40" s="17">
        <v>0</v>
      </c>
      <c r="AC40" s="17">
        <v>0</v>
      </c>
      <c r="AD40" s="15">
        <f t="shared" si="20"/>
        <v>0</v>
      </c>
      <c r="AE40" s="17">
        <v>0</v>
      </c>
      <c r="AF40" s="17">
        <v>0</v>
      </c>
      <c r="AG40" s="15">
        <f t="shared" si="21"/>
        <v>0</v>
      </c>
      <c r="AH40" s="17">
        <v>0</v>
      </c>
      <c r="AI40" s="17">
        <v>0</v>
      </c>
      <c r="AJ40" s="15">
        <f t="shared" si="22"/>
        <v>0</v>
      </c>
      <c r="AK40" s="17">
        <v>0</v>
      </c>
      <c r="AL40" s="17">
        <v>0</v>
      </c>
      <c r="AM40" s="15">
        <f t="shared" si="23"/>
        <v>0</v>
      </c>
      <c r="AN40" s="17"/>
      <c r="AO40" s="53">
        <f t="shared" si="19"/>
        <v>44</v>
      </c>
      <c r="AP40" s="53">
        <f>IF($A40="",0,IF(COUNTIFS([1]Sheet1!$A$2:$A$190,$A40,[1]Sheet1!$B$2:$B$190,$B40,[1]Sheet1!$C$2:$C$190,"&gt;=0")=0,0,SUMIFS([1]Sheet1!$C$2:$C$190,[1]Sheet1!$A$2:$A$190,$A40,[1]Sheet1!$B$2:$B$190,$B40)-$AO40))</f>
        <v>1</v>
      </c>
    </row>
    <row r="41" spans="1:42" x14ac:dyDescent="0.3">
      <c r="A41" s="15" t="s">
        <v>130</v>
      </c>
      <c r="B41" s="15">
        <v>100</v>
      </c>
      <c r="C41" s="15" t="s">
        <v>54</v>
      </c>
      <c r="D41" s="15" t="s">
        <v>55</v>
      </c>
      <c r="E41" s="15" cm="1">
        <f t="array" ref="E41">IFERROR(_xlfn.XLOOKUP($A41&amp;"|"&amp;$B41&amp;"|"&amp;$D41,'21-AUGUST-2026'!$A$3:$A$199&amp;"|"&amp;'21-AUGUST-2026'!$B$3:$B$199&amp;"|"&amp;'21-AUGUST-2026'!$D$3:$D$199,'21-AUGUST-2026'!$T$3:$T$199,_xlfn.XLOOKUP($A41&amp;"|"&amp;$B41,'21-AUGUST-2026'!$A$3:$A$199&amp;"|"&amp;'21-AUGUST-2026'!$B$3:$B$199,'21-AUGUST-2026'!$T$3:$T$199,0)),0)</f>
        <v>113</v>
      </c>
      <c r="F41" s="15" cm="1">
        <f t="array" ref="F41">IFERROR(_xlfn.XLOOKUP($A41&amp;"|"&amp;$B41&amp;"|"&amp;$D41,'21-AUGUST-2026'!$A$3:$A$199&amp;"|"&amp;'21-AUGUST-2026'!$B$3:$B$199&amp;"|"&amp;'21-AUGUST-2026'!$D$3:$D$199,'21-AUGUST-2026'!$U$3:$U$199,_xlfn.XLOOKUP($A41&amp;"|"&amp;$B41,'21-AUGUST-2026'!$A$3:$A$199&amp;"|"&amp;'21-AUGUST-2026'!$B$3:$B$199,'21-AUGUST-2026'!$U$3:$U$199,0)),0)</f>
        <v>111</v>
      </c>
      <c r="G41" s="15">
        <f t="shared" si="15"/>
        <v>224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20">
        <v>0</v>
      </c>
      <c r="S41" s="20">
        <v>0</v>
      </c>
      <c r="T41" s="20">
        <v>0</v>
      </c>
      <c r="U41" s="17"/>
      <c r="V41" s="17"/>
      <c r="W41" s="20">
        <f t="shared" si="16"/>
        <v>0</v>
      </c>
      <c r="X41" s="21">
        <f t="shared" si="2"/>
        <v>224</v>
      </c>
      <c r="Y41" s="15">
        <f t="shared" si="3"/>
        <v>113</v>
      </c>
      <c r="Z41" s="15">
        <f t="shared" si="17"/>
        <v>111</v>
      </c>
      <c r="AA41" s="18" t="str">
        <f t="shared" si="18"/>
        <v/>
      </c>
      <c r="AB41" s="17">
        <v>0</v>
      </c>
      <c r="AC41" s="17">
        <v>0</v>
      </c>
      <c r="AD41" s="15">
        <f t="shared" si="20"/>
        <v>0</v>
      </c>
      <c r="AE41" s="17">
        <v>0</v>
      </c>
      <c r="AF41" s="17">
        <v>0</v>
      </c>
      <c r="AG41" s="15">
        <f t="shared" si="21"/>
        <v>0</v>
      </c>
      <c r="AH41" s="17">
        <v>0</v>
      </c>
      <c r="AI41" s="17">
        <v>0</v>
      </c>
      <c r="AJ41" s="15">
        <f t="shared" si="22"/>
        <v>0</v>
      </c>
      <c r="AK41" s="17">
        <v>0</v>
      </c>
      <c r="AL41" s="17">
        <v>0</v>
      </c>
      <c r="AM41" s="15">
        <f t="shared" si="23"/>
        <v>0</v>
      </c>
      <c r="AN41" s="17"/>
      <c r="AO41" s="53">
        <f t="shared" si="19"/>
        <v>113</v>
      </c>
      <c r="AP41" s="53">
        <f>IF($A41="",0,IF(COUNTIFS([1]Sheet1!$A$2:$A$190,$A41,[1]Sheet1!$B$2:$B$190,$B41,[1]Sheet1!$C$2:$C$190,"&gt;=0")=0,0,SUMIFS([1]Sheet1!$C$2:$C$190,[1]Sheet1!$A$2:$A$190,$A41,[1]Sheet1!$B$2:$B$190,$B41)-$AO41))</f>
        <v>0</v>
      </c>
    </row>
    <row r="42" spans="1:42" x14ac:dyDescent="0.3">
      <c r="A42" s="15" t="s">
        <v>131</v>
      </c>
      <c r="B42" s="15">
        <v>500</v>
      </c>
      <c r="C42" s="15" t="s">
        <v>54</v>
      </c>
      <c r="D42" s="15" t="s">
        <v>55</v>
      </c>
      <c r="E42" s="15" cm="1">
        <f t="array" ref="E42">IFERROR(_xlfn.XLOOKUP($A42&amp;"|"&amp;$B42&amp;"|"&amp;$D42,'21-AUGUST-2026'!$A$3:$A$199&amp;"|"&amp;'21-AUGUST-2026'!$B$3:$B$199&amp;"|"&amp;'21-AUGUST-2026'!$D$3:$D$199,'21-AUGUST-2026'!$T$3:$T$199,_xlfn.XLOOKUP($A42&amp;"|"&amp;$B42,'21-AUGUST-2026'!$A$3:$A$199&amp;"|"&amp;'21-AUGUST-2026'!$B$3:$B$199,'21-AUGUST-2026'!$T$3:$T$199,0)),0)</f>
        <v>6</v>
      </c>
      <c r="F42" s="15" cm="1">
        <f t="array" ref="F42">IFERROR(_xlfn.XLOOKUP($A42&amp;"|"&amp;$B42&amp;"|"&amp;$D42,'21-AUGUST-2026'!$A$3:$A$199&amp;"|"&amp;'21-AUGUST-2026'!$B$3:$B$199&amp;"|"&amp;'21-AUGUST-2026'!$D$3:$D$199,'21-AUGUST-2026'!$U$3:$U$199,_xlfn.XLOOKUP($A42&amp;"|"&amp;$B42,'21-AUGUST-2026'!$A$3:$A$199&amp;"|"&amp;'21-AUGUST-2026'!$B$3:$B$199,'21-AUGUST-2026'!$U$3:$U$199,0)),0)</f>
        <v>0</v>
      </c>
      <c r="G42" s="15">
        <f t="shared" si="15"/>
        <v>6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20">
        <v>0</v>
      </c>
      <c r="S42" s="20">
        <v>0</v>
      </c>
      <c r="T42" s="20">
        <v>0</v>
      </c>
      <c r="U42" s="17"/>
      <c r="V42" s="17"/>
      <c r="W42" s="20">
        <f t="shared" si="16"/>
        <v>0</v>
      </c>
      <c r="X42" s="21">
        <f t="shared" si="2"/>
        <v>6</v>
      </c>
      <c r="Y42" s="15">
        <f t="shared" si="3"/>
        <v>6</v>
      </c>
      <c r="Z42" s="15">
        <f t="shared" si="17"/>
        <v>0</v>
      </c>
      <c r="AA42" s="18" t="str">
        <f t="shared" si="18"/>
        <v/>
      </c>
      <c r="AB42" s="17">
        <v>0</v>
      </c>
      <c r="AC42" s="17">
        <v>0</v>
      </c>
      <c r="AD42" s="15">
        <f t="shared" si="20"/>
        <v>0</v>
      </c>
      <c r="AE42" s="17">
        <v>0</v>
      </c>
      <c r="AF42" s="17">
        <v>0</v>
      </c>
      <c r="AG42" s="15">
        <f t="shared" si="21"/>
        <v>0</v>
      </c>
      <c r="AH42" s="17">
        <v>2</v>
      </c>
      <c r="AI42" s="17">
        <v>0</v>
      </c>
      <c r="AJ42" s="15">
        <f t="shared" si="22"/>
        <v>2</v>
      </c>
      <c r="AK42" s="17">
        <v>0</v>
      </c>
      <c r="AL42" s="17">
        <v>0</v>
      </c>
      <c r="AM42" s="15">
        <f t="shared" si="23"/>
        <v>0</v>
      </c>
      <c r="AN42" s="17"/>
      <c r="AO42" s="53">
        <f t="shared" si="19"/>
        <v>6</v>
      </c>
      <c r="AP42" s="53">
        <f>IF($A42="",0,IF(COUNTIFS([1]Sheet1!$A$2:$A$190,$A42,[1]Sheet1!$B$2:$B$190,$B42,[1]Sheet1!$C$2:$C$190,"&gt;=0")=0,0,SUMIFS([1]Sheet1!$C$2:$C$190,[1]Sheet1!$A$2:$A$190,$A42,[1]Sheet1!$B$2:$B$190,$B42)-$AO42))</f>
        <v>0</v>
      </c>
    </row>
    <row r="43" spans="1:42" x14ac:dyDescent="0.3">
      <c r="A43" s="15" t="s">
        <v>132</v>
      </c>
      <c r="B43" s="15">
        <v>100</v>
      </c>
      <c r="C43" s="15" t="s">
        <v>54</v>
      </c>
      <c r="D43" s="15" t="s">
        <v>55</v>
      </c>
      <c r="E43" s="15" cm="1">
        <f t="array" ref="E43">IFERROR(_xlfn.XLOOKUP($A43&amp;"|"&amp;$B43&amp;"|"&amp;$D43,'21-AUGUST-2026'!$A$3:$A$199&amp;"|"&amp;'21-AUGUST-2026'!$B$3:$B$199&amp;"|"&amp;'21-AUGUST-2026'!$D$3:$D$199,'21-AUGUST-2026'!$T$3:$T$199,_xlfn.XLOOKUP($A43&amp;"|"&amp;$B43,'21-AUGUST-2026'!$A$3:$A$199&amp;"|"&amp;'21-AUGUST-2026'!$B$3:$B$199,'21-AUGUST-2026'!$T$3:$T$199,0)),0)</f>
        <v>100</v>
      </c>
      <c r="F43" s="15" cm="1">
        <f t="array" ref="F43">IFERROR(_xlfn.XLOOKUP($A43&amp;"|"&amp;$B43&amp;"|"&amp;$D43,'21-AUGUST-2026'!$A$3:$A$199&amp;"|"&amp;'21-AUGUST-2026'!$B$3:$B$199&amp;"|"&amp;'21-AUGUST-2026'!$D$3:$D$199,'21-AUGUST-2026'!$U$3:$U$199,_xlfn.XLOOKUP($A43&amp;"|"&amp;$B43,'21-AUGUST-2026'!$A$3:$A$199&amp;"|"&amp;'21-AUGUST-2026'!$B$3:$B$199,'21-AUGUST-2026'!$U$3:$U$199,0)),0)</f>
        <v>279</v>
      </c>
      <c r="G43" s="15">
        <f t="shared" si="15"/>
        <v>379</v>
      </c>
      <c r="H43" s="17">
        <v>1</v>
      </c>
      <c r="I43" s="17">
        <v>0</v>
      </c>
      <c r="J43" s="17">
        <v>0</v>
      </c>
      <c r="K43" s="17">
        <v>1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20">
        <v>0</v>
      </c>
      <c r="S43" s="20">
        <v>0</v>
      </c>
      <c r="T43" s="20">
        <v>0</v>
      </c>
      <c r="U43" s="17"/>
      <c r="V43" s="17"/>
      <c r="W43" s="20">
        <f t="shared" si="16"/>
        <v>0</v>
      </c>
      <c r="X43" s="21">
        <f t="shared" si="2"/>
        <v>377</v>
      </c>
      <c r="Y43" s="15">
        <f t="shared" si="3"/>
        <v>98</v>
      </c>
      <c r="Z43" s="15">
        <f t="shared" si="17"/>
        <v>279</v>
      </c>
      <c r="AA43" s="18" t="str">
        <f t="shared" si="18"/>
        <v/>
      </c>
      <c r="AB43" s="17">
        <v>0</v>
      </c>
      <c r="AC43" s="17">
        <v>0</v>
      </c>
      <c r="AD43" s="15">
        <f t="shared" si="20"/>
        <v>0</v>
      </c>
      <c r="AE43" s="17">
        <v>0</v>
      </c>
      <c r="AF43" s="17">
        <v>0</v>
      </c>
      <c r="AG43" s="15">
        <f t="shared" si="21"/>
        <v>0</v>
      </c>
      <c r="AH43" s="17">
        <v>0</v>
      </c>
      <c r="AI43" s="17">
        <v>0</v>
      </c>
      <c r="AJ43" s="15">
        <f t="shared" si="22"/>
        <v>0</v>
      </c>
      <c r="AK43" s="17">
        <v>0</v>
      </c>
      <c r="AL43" s="17">
        <v>0</v>
      </c>
      <c r="AM43" s="15">
        <f t="shared" si="23"/>
        <v>0</v>
      </c>
      <c r="AN43" s="17"/>
      <c r="AO43" s="53">
        <f t="shared" si="19"/>
        <v>98</v>
      </c>
      <c r="AP43" s="53">
        <f>IF($A43="",0,IF(COUNTIFS([1]Sheet1!$A$2:$A$190,$A43,[1]Sheet1!$B$2:$B$190,$B43,[1]Sheet1!$C$2:$C$190,"&gt;=0")=0,0,SUMIFS([1]Sheet1!$C$2:$C$190,[1]Sheet1!$A$2:$A$190,$A43,[1]Sheet1!$B$2:$B$190,$B43)-$AO43))</f>
        <v>0</v>
      </c>
    </row>
    <row r="44" spans="1:42" x14ac:dyDescent="0.3">
      <c r="A44" s="15" t="s">
        <v>133</v>
      </c>
      <c r="B44" s="15">
        <v>1000</v>
      </c>
      <c r="C44" s="15" t="s">
        <v>54</v>
      </c>
      <c r="D44" s="15" t="s">
        <v>55</v>
      </c>
      <c r="E44" s="15">
        <v>0</v>
      </c>
      <c r="F44" s="15" cm="1">
        <f t="array" ref="F44">IFERROR(_xlfn.XLOOKUP($A44&amp;"|"&amp;$B44&amp;"|"&amp;$D44,'21-AUGUST-2026'!$A$3:$A$199&amp;"|"&amp;'21-AUGUST-2026'!$B$3:$B$199&amp;"|"&amp;'21-AUGUST-2026'!$D$3:$D$199,'21-AUGUST-2026'!$U$3:$U$199,_xlfn.XLOOKUP($A44&amp;"|"&amp;$B44,'21-AUGUST-2026'!$A$3:$A$199&amp;"|"&amp;'21-AUGUST-2026'!$B$3:$B$199,'21-AUGUST-2026'!$U$3:$U$199,0)),0)</f>
        <v>0</v>
      </c>
      <c r="G44" s="15">
        <f t="shared" si="15"/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20">
        <v>0</v>
      </c>
      <c r="S44" s="20">
        <v>0</v>
      </c>
      <c r="T44" s="20">
        <v>0</v>
      </c>
      <c r="U44" s="17"/>
      <c r="V44" s="17"/>
      <c r="W44" s="20">
        <f t="shared" si="16"/>
        <v>0</v>
      </c>
      <c r="X44" s="21">
        <v>0</v>
      </c>
      <c r="Y44" s="15">
        <v>0</v>
      </c>
      <c r="Z44" s="15">
        <f t="shared" si="17"/>
        <v>0</v>
      </c>
      <c r="AA44" s="18" t="str">
        <f t="shared" si="18"/>
        <v/>
      </c>
      <c r="AB44" s="17">
        <v>0</v>
      </c>
      <c r="AC44" s="17">
        <v>0</v>
      </c>
      <c r="AD44" s="15">
        <f t="shared" si="20"/>
        <v>0</v>
      </c>
      <c r="AE44" s="17">
        <v>0</v>
      </c>
      <c r="AF44" s="17">
        <v>0</v>
      </c>
      <c r="AG44" s="15">
        <f t="shared" si="21"/>
        <v>0</v>
      </c>
      <c r="AH44" s="17">
        <v>0</v>
      </c>
      <c r="AI44" s="17">
        <v>0</v>
      </c>
      <c r="AJ44" s="15">
        <f t="shared" si="22"/>
        <v>0</v>
      </c>
      <c r="AK44" s="17">
        <v>0</v>
      </c>
      <c r="AL44" s="17">
        <v>0</v>
      </c>
      <c r="AM44" s="15">
        <f t="shared" si="23"/>
        <v>0</v>
      </c>
      <c r="AN44" s="17"/>
      <c r="AO44" s="53">
        <f t="shared" si="19"/>
        <v>0</v>
      </c>
      <c r="AP44" s="53">
        <f>IF($A44="",0,IF(COUNTIFS([1]Sheet1!$A$2:$A$190,$A44,[1]Sheet1!$B$2:$B$190,$B44,[1]Sheet1!$C$2:$C$190,"&gt;=0")=0,0,SUMIFS([1]Sheet1!$C$2:$C$190,[1]Sheet1!$A$2:$A$190,$A44,[1]Sheet1!$B$2:$B$190,$B44)-$AO44))</f>
        <v>0</v>
      </c>
    </row>
    <row r="45" spans="1:42" x14ac:dyDescent="0.3">
      <c r="A45" s="15" t="s">
        <v>141</v>
      </c>
      <c r="B45" s="15">
        <v>1000</v>
      </c>
      <c r="C45" s="15" t="s">
        <v>54</v>
      </c>
      <c r="D45" s="15" t="s">
        <v>55</v>
      </c>
      <c r="E45" s="15" cm="1">
        <f t="array" ref="E45">IFERROR(_xlfn.XLOOKUP($A45&amp;"|"&amp;$B45&amp;"|"&amp;$D45,'21-AUGUST-2026'!$A$3:$A$199&amp;"|"&amp;'21-AUGUST-2026'!$B$3:$B$199&amp;"|"&amp;'21-AUGUST-2026'!$D$3:$D$199,'21-AUGUST-2026'!$T$3:$T$199,_xlfn.XLOOKUP($A45&amp;"|"&amp;$B45,'21-AUGUST-2026'!$A$3:$A$199&amp;"|"&amp;'21-AUGUST-2026'!$B$3:$B$199,'21-AUGUST-2026'!$T$3:$T$199,0)),0)</f>
        <v>4</v>
      </c>
      <c r="F45" s="15" cm="1">
        <f t="array" ref="F45">IFERROR(_xlfn.XLOOKUP($A45&amp;"|"&amp;$B45&amp;"|"&amp;$D45,'21-AUGUST-2026'!$A$3:$A$199&amp;"|"&amp;'21-AUGUST-2026'!$B$3:$B$199&amp;"|"&amp;'21-AUGUST-2026'!$D$3:$D$199,'21-AUGUST-2026'!$U$3:$U$199,_xlfn.XLOOKUP($A45&amp;"|"&amp;$B45,'21-AUGUST-2026'!$A$3:$A$199&amp;"|"&amp;'21-AUGUST-2026'!$B$3:$B$199,'21-AUGUST-2026'!$U$3:$U$199,0)),0)</f>
        <v>0</v>
      </c>
      <c r="G45" s="15">
        <f t="shared" si="15"/>
        <v>4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20">
        <v>0</v>
      </c>
      <c r="S45" s="20">
        <v>0</v>
      </c>
      <c r="T45" s="20">
        <v>0</v>
      </c>
      <c r="U45" s="17"/>
      <c r="V45" s="17"/>
      <c r="W45" s="20">
        <f t="shared" si="16"/>
        <v>0</v>
      </c>
      <c r="X45" s="21">
        <f t="shared" ref="X45:X76" si="24">Y45+Z45</f>
        <v>4</v>
      </c>
      <c r="Y45" s="15">
        <f t="shared" ref="Y45:Y76" si="25">AO45+AP45</f>
        <v>4</v>
      </c>
      <c r="Z45" s="15">
        <f t="shared" si="17"/>
        <v>0</v>
      </c>
      <c r="AA45" s="18" t="str">
        <f t="shared" si="18"/>
        <v/>
      </c>
      <c r="AB45" s="17">
        <v>0</v>
      </c>
      <c r="AC45" s="17">
        <v>0</v>
      </c>
      <c r="AD45" s="15">
        <f t="shared" si="20"/>
        <v>0</v>
      </c>
      <c r="AE45" s="17">
        <v>0</v>
      </c>
      <c r="AF45" s="17">
        <v>0</v>
      </c>
      <c r="AG45" s="15">
        <f t="shared" si="21"/>
        <v>0</v>
      </c>
      <c r="AH45" s="17">
        <v>0</v>
      </c>
      <c r="AI45" s="17">
        <v>0</v>
      </c>
      <c r="AJ45" s="15">
        <f t="shared" si="22"/>
        <v>0</v>
      </c>
      <c r="AK45" s="17">
        <v>0</v>
      </c>
      <c r="AL45" s="17">
        <v>0</v>
      </c>
      <c r="AM45" s="15">
        <f t="shared" si="23"/>
        <v>0</v>
      </c>
      <c r="AN45" s="17"/>
      <c r="AO45" s="53">
        <f t="shared" si="19"/>
        <v>4</v>
      </c>
      <c r="AP45" s="53">
        <f>IF($A45="",0,IF(COUNTIFS([1]Sheet1!$A$2:$A$190,$A45,[1]Sheet1!$B$2:$B$190,$B45,[1]Sheet1!$C$2:$C$190,"&gt;=0")=0,0,SUMIFS([1]Sheet1!$C$2:$C$190,[1]Sheet1!$A$2:$A$190,$A45,[1]Sheet1!$B$2:$B$190,$B45)-$AO45))</f>
        <v>0</v>
      </c>
    </row>
    <row r="46" spans="1:42" x14ac:dyDescent="0.3">
      <c r="A46" s="15" t="s">
        <v>142</v>
      </c>
      <c r="B46" s="15">
        <v>100</v>
      </c>
      <c r="C46" s="15" t="s">
        <v>54</v>
      </c>
      <c r="D46" s="15" t="s">
        <v>55</v>
      </c>
      <c r="E46" s="15" cm="1">
        <f t="array" ref="E46">IFERROR(_xlfn.XLOOKUP($A46&amp;"|"&amp;$B46&amp;"|"&amp;$D46,'21-AUGUST-2026'!$A$3:$A$199&amp;"|"&amp;'21-AUGUST-2026'!$B$3:$B$199&amp;"|"&amp;'21-AUGUST-2026'!$D$3:$D$199,'21-AUGUST-2026'!$T$3:$T$199,_xlfn.XLOOKUP($A46&amp;"|"&amp;$B46,'21-AUGUST-2026'!$A$3:$A$199&amp;"|"&amp;'21-AUGUST-2026'!$B$3:$B$199,'21-AUGUST-2026'!$T$3:$T$199,0)),0)</f>
        <v>1</v>
      </c>
      <c r="F46" s="15" cm="1">
        <f t="array" ref="F46">IFERROR(_xlfn.XLOOKUP($A46&amp;"|"&amp;$B46&amp;"|"&amp;$D46,'21-AUGUST-2026'!$A$3:$A$199&amp;"|"&amp;'21-AUGUST-2026'!$B$3:$B$199&amp;"|"&amp;'21-AUGUST-2026'!$D$3:$D$199,'21-AUGUST-2026'!$U$3:$U$199,_xlfn.XLOOKUP($A46&amp;"|"&amp;$B46,'21-AUGUST-2026'!$A$3:$A$199&amp;"|"&amp;'21-AUGUST-2026'!$B$3:$B$199,'21-AUGUST-2026'!$U$3:$U$199,0)),0)</f>
        <v>0</v>
      </c>
      <c r="G46" s="15">
        <f t="shared" si="15"/>
        <v>1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20">
        <v>0</v>
      </c>
      <c r="S46" s="20">
        <v>0</v>
      </c>
      <c r="T46" s="20">
        <v>0</v>
      </c>
      <c r="U46" s="17"/>
      <c r="V46" s="17"/>
      <c r="W46" s="20">
        <f t="shared" si="16"/>
        <v>0</v>
      </c>
      <c r="X46" s="21">
        <f t="shared" si="24"/>
        <v>1</v>
      </c>
      <c r="Y46" s="15">
        <f t="shared" si="25"/>
        <v>1</v>
      </c>
      <c r="Z46" s="15">
        <f t="shared" si="17"/>
        <v>0</v>
      </c>
      <c r="AA46" s="18" t="str">
        <f t="shared" si="18"/>
        <v/>
      </c>
      <c r="AB46" s="17">
        <v>0</v>
      </c>
      <c r="AC46" s="17">
        <v>0</v>
      </c>
      <c r="AD46" s="15">
        <f t="shared" si="20"/>
        <v>0</v>
      </c>
      <c r="AE46" s="17">
        <v>0</v>
      </c>
      <c r="AF46" s="17">
        <v>0</v>
      </c>
      <c r="AG46" s="15">
        <f t="shared" si="21"/>
        <v>0</v>
      </c>
      <c r="AH46" s="17">
        <v>0</v>
      </c>
      <c r="AI46" s="17">
        <v>0</v>
      </c>
      <c r="AJ46" s="15">
        <f t="shared" si="22"/>
        <v>0</v>
      </c>
      <c r="AK46" s="17">
        <v>0</v>
      </c>
      <c r="AL46" s="17">
        <v>0</v>
      </c>
      <c r="AM46" s="15">
        <f t="shared" si="23"/>
        <v>0</v>
      </c>
      <c r="AN46" s="17"/>
      <c r="AO46" s="53">
        <f t="shared" si="19"/>
        <v>1</v>
      </c>
      <c r="AP46" s="53">
        <f>IF($A46="",0,IF(COUNTIFS([1]Sheet1!$A$2:$A$190,$A46,[1]Sheet1!$B$2:$B$190,$B46,[1]Sheet1!$C$2:$C$190,"&gt;=0")=0,0,SUMIFS([1]Sheet1!$C$2:$C$190,[1]Sheet1!$A$2:$A$190,$A46,[1]Sheet1!$B$2:$B$190,$B46)-$AO46))</f>
        <v>0</v>
      </c>
    </row>
    <row r="47" spans="1:42" x14ac:dyDescent="0.3">
      <c r="A47" s="15" t="s">
        <v>147</v>
      </c>
      <c r="B47" s="15">
        <v>1000</v>
      </c>
      <c r="C47" s="15" t="s">
        <v>54</v>
      </c>
      <c r="D47" s="15" t="s">
        <v>55</v>
      </c>
      <c r="E47" s="15" cm="1">
        <f t="array" ref="E47">IFERROR(_xlfn.XLOOKUP($A47&amp;"|"&amp;$B47&amp;"|"&amp;$D47,'21-AUGUST-2026'!$A$3:$A$199&amp;"|"&amp;'21-AUGUST-2026'!$B$3:$B$199&amp;"|"&amp;'21-AUGUST-2026'!$D$3:$D$199,'21-AUGUST-2026'!$T$3:$T$199,_xlfn.XLOOKUP($A47&amp;"|"&amp;$B47,'21-AUGUST-2026'!$A$3:$A$199&amp;"|"&amp;'21-AUGUST-2026'!$B$3:$B$199,'21-AUGUST-2026'!$T$3:$T$199,0)),0)</f>
        <v>28</v>
      </c>
      <c r="F47" s="15" cm="1">
        <f t="array" ref="F47">IFERROR(_xlfn.XLOOKUP($A47&amp;"|"&amp;$B47&amp;"|"&amp;$D47,'21-AUGUST-2026'!$A$3:$A$199&amp;"|"&amp;'21-AUGUST-2026'!$B$3:$B$199&amp;"|"&amp;'21-AUGUST-2026'!$D$3:$D$199,'21-AUGUST-2026'!$U$3:$U$199,_xlfn.XLOOKUP($A47&amp;"|"&amp;$B47,'21-AUGUST-2026'!$A$3:$A$199&amp;"|"&amp;'21-AUGUST-2026'!$B$3:$B$199,'21-AUGUST-2026'!$U$3:$U$199,0)),0)</f>
        <v>0</v>
      </c>
      <c r="G47" s="15">
        <f t="shared" si="15"/>
        <v>28</v>
      </c>
      <c r="H47" s="17">
        <v>0</v>
      </c>
      <c r="I47" s="17">
        <v>0</v>
      </c>
      <c r="J47" s="17">
        <v>0</v>
      </c>
      <c r="K47" s="17">
        <v>4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20">
        <v>0</v>
      </c>
      <c r="S47" s="20">
        <v>0</v>
      </c>
      <c r="T47" s="20">
        <v>0</v>
      </c>
      <c r="U47" s="17"/>
      <c r="V47" s="17"/>
      <c r="W47" s="20">
        <f t="shared" si="16"/>
        <v>0</v>
      </c>
      <c r="X47" s="21">
        <f t="shared" si="24"/>
        <v>26</v>
      </c>
      <c r="Y47" s="15">
        <f t="shared" si="25"/>
        <v>26</v>
      </c>
      <c r="Z47" s="15">
        <f t="shared" si="17"/>
        <v>0</v>
      </c>
      <c r="AA47" s="18" t="str">
        <f t="shared" si="18"/>
        <v/>
      </c>
      <c r="AB47" s="17">
        <v>4</v>
      </c>
      <c r="AC47" s="17">
        <v>3</v>
      </c>
      <c r="AD47" s="15">
        <f t="shared" si="20"/>
        <v>1</v>
      </c>
      <c r="AE47" s="17">
        <v>0</v>
      </c>
      <c r="AF47" s="17">
        <v>0</v>
      </c>
      <c r="AG47" s="15">
        <f t="shared" si="21"/>
        <v>0</v>
      </c>
      <c r="AH47" s="17">
        <v>0</v>
      </c>
      <c r="AI47" s="17">
        <v>0</v>
      </c>
      <c r="AJ47" s="15">
        <f t="shared" si="22"/>
        <v>0</v>
      </c>
      <c r="AK47" s="17">
        <v>0</v>
      </c>
      <c r="AL47" s="17">
        <v>0</v>
      </c>
      <c r="AM47" s="15">
        <f t="shared" si="23"/>
        <v>0</v>
      </c>
      <c r="AN47" s="17"/>
      <c r="AO47" s="53">
        <f t="shared" si="19"/>
        <v>24</v>
      </c>
      <c r="AP47" s="53">
        <f>IF($A47="",0,IF(COUNTIFS([1]Sheet1!$A$2:$A$190,$A47,[1]Sheet1!$B$2:$B$190,$B47,[1]Sheet1!$C$2:$C$190,"&gt;=0")=0,0,SUMIFS([1]Sheet1!$C$2:$C$190,[1]Sheet1!$A$2:$A$190,$A47,[1]Sheet1!$B$2:$B$190,$B47)-$AO47))</f>
        <v>2</v>
      </c>
    </row>
    <row r="48" spans="1:42" x14ac:dyDescent="0.3">
      <c r="A48" s="15" t="s">
        <v>149</v>
      </c>
      <c r="B48" s="15">
        <v>250</v>
      </c>
      <c r="C48" s="15" t="s">
        <v>54</v>
      </c>
      <c r="D48" s="15" t="s">
        <v>55</v>
      </c>
      <c r="E48" s="17">
        <v>1</v>
      </c>
      <c r="F48" s="17">
        <v>0</v>
      </c>
      <c r="G48" s="15">
        <f t="shared" si="15"/>
        <v>1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20">
        <v>0</v>
      </c>
      <c r="S48" s="20">
        <v>0</v>
      </c>
      <c r="T48" s="20">
        <v>0</v>
      </c>
      <c r="U48" s="17"/>
      <c r="V48" s="17"/>
      <c r="W48" s="20">
        <f t="shared" si="16"/>
        <v>0</v>
      </c>
      <c r="X48" s="21">
        <f t="shared" si="24"/>
        <v>1</v>
      </c>
      <c r="Y48" s="15">
        <f t="shared" si="25"/>
        <v>1</v>
      </c>
      <c r="Z48" s="15">
        <f t="shared" si="17"/>
        <v>0</v>
      </c>
      <c r="AA48" s="18" t="str">
        <f t="shared" si="18"/>
        <v/>
      </c>
      <c r="AB48" s="17">
        <v>0</v>
      </c>
      <c r="AC48" s="17">
        <v>0</v>
      </c>
      <c r="AD48" s="15">
        <f t="shared" si="20"/>
        <v>0</v>
      </c>
      <c r="AE48" s="17">
        <v>0</v>
      </c>
      <c r="AF48" s="17">
        <v>0</v>
      </c>
      <c r="AG48" s="15">
        <f t="shared" si="21"/>
        <v>0</v>
      </c>
      <c r="AH48" s="17">
        <v>0</v>
      </c>
      <c r="AI48" s="17">
        <v>0</v>
      </c>
      <c r="AJ48" s="15">
        <f t="shared" si="22"/>
        <v>0</v>
      </c>
      <c r="AK48" s="17">
        <v>0</v>
      </c>
      <c r="AL48" s="17">
        <v>0</v>
      </c>
      <c r="AM48" s="15">
        <f t="shared" si="23"/>
        <v>0</v>
      </c>
      <c r="AN48" s="17"/>
      <c r="AO48" s="53">
        <f t="shared" si="19"/>
        <v>1</v>
      </c>
      <c r="AP48" s="53">
        <f>IF($A48="",0,IF(COUNTIFS([1]Sheet1!$A$2:$A$190,$A48,[1]Sheet1!$B$2:$B$190,$B48,[1]Sheet1!$C$2:$C$190,"&gt;=0")=0,0,SUMIFS([1]Sheet1!$C$2:$C$190,[1]Sheet1!$A$2:$A$190,$A48,[1]Sheet1!$B$2:$B$190,$B48)-$AO48))</f>
        <v>0</v>
      </c>
    </row>
    <row r="49" spans="1:42" x14ac:dyDescent="0.3">
      <c r="A49" s="15" t="s">
        <v>154</v>
      </c>
      <c r="B49" s="15">
        <v>100</v>
      </c>
      <c r="C49" s="15" t="s">
        <v>54</v>
      </c>
      <c r="D49" s="15" t="s">
        <v>55</v>
      </c>
      <c r="E49" s="15" cm="1">
        <f t="array" ref="E49">IFERROR(_xlfn.XLOOKUP($A49&amp;"|"&amp;$B49&amp;"|"&amp;$D49,'21-AUGUST-2026'!$A$3:$A$199&amp;"|"&amp;'21-AUGUST-2026'!$B$3:$B$199&amp;"|"&amp;'21-AUGUST-2026'!$D$3:$D$199,'21-AUGUST-2026'!$T$3:$T$199,_xlfn.XLOOKUP($A49&amp;"|"&amp;$B49,'21-AUGUST-2026'!$A$3:$A$199&amp;"|"&amp;'21-AUGUST-2026'!$B$3:$B$199,'21-AUGUST-2026'!$T$3:$T$199,0)),0)</f>
        <v>56</v>
      </c>
      <c r="F49" s="15" cm="1">
        <f t="array" ref="F49">IFERROR(_xlfn.XLOOKUP($A49&amp;"|"&amp;$B49&amp;"|"&amp;$D49,'21-AUGUST-2026'!$A$3:$A$199&amp;"|"&amp;'21-AUGUST-2026'!$B$3:$B$199&amp;"|"&amp;'21-AUGUST-2026'!$D$3:$D$199,'21-AUGUST-2026'!$U$3:$U$199,_xlfn.XLOOKUP($A49&amp;"|"&amp;$B49,'21-AUGUST-2026'!$A$3:$A$199&amp;"|"&amp;'21-AUGUST-2026'!$B$3:$B$199,'21-AUGUST-2026'!$U$3:$U$199,0)),0)</f>
        <v>0</v>
      </c>
      <c r="G49" s="15">
        <f t="shared" si="15"/>
        <v>56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20">
        <v>0</v>
      </c>
      <c r="S49" s="20">
        <v>0</v>
      </c>
      <c r="T49" s="20">
        <v>0</v>
      </c>
      <c r="U49" s="17"/>
      <c r="V49" s="17"/>
      <c r="W49" s="20">
        <f t="shared" si="16"/>
        <v>0</v>
      </c>
      <c r="X49" s="21">
        <f t="shared" si="24"/>
        <v>57</v>
      </c>
      <c r="Y49" s="15">
        <f t="shared" si="25"/>
        <v>57</v>
      </c>
      <c r="Z49" s="15">
        <f t="shared" si="17"/>
        <v>0</v>
      </c>
      <c r="AA49" s="18" t="str">
        <f t="shared" si="18"/>
        <v/>
      </c>
      <c r="AB49" s="17">
        <v>0</v>
      </c>
      <c r="AC49" s="17">
        <v>0</v>
      </c>
      <c r="AD49" s="15">
        <f t="shared" si="20"/>
        <v>0</v>
      </c>
      <c r="AE49" s="17">
        <v>0</v>
      </c>
      <c r="AF49" s="17">
        <v>0</v>
      </c>
      <c r="AG49" s="15">
        <f t="shared" si="21"/>
        <v>0</v>
      </c>
      <c r="AH49" s="17">
        <v>0</v>
      </c>
      <c r="AI49" s="17">
        <v>0</v>
      </c>
      <c r="AJ49" s="15">
        <f t="shared" si="22"/>
        <v>0</v>
      </c>
      <c r="AK49" s="17">
        <v>0</v>
      </c>
      <c r="AL49" s="17">
        <v>0</v>
      </c>
      <c r="AM49" s="15">
        <f t="shared" si="23"/>
        <v>0</v>
      </c>
      <c r="AN49" s="17"/>
      <c r="AO49" s="53">
        <f t="shared" si="19"/>
        <v>56</v>
      </c>
      <c r="AP49" s="53">
        <f>IF($A49="",0,IF(COUNTIFS([1]Sheet1!$A$2:$A$190,$A49,[1]Sheet1!$B$2:$B$190,$B49,[1]Sheet1!$C$2:$C$190,"&gt;=0")=0,0,SUMIFS([1]Sheet1!$C$2:$C$190,[1]Sheet1!$A$2:$A$190,$A49,[1]Sheet1!$B$2:$B$190,$B49)-$AO49))</f>
        <v>1</v>
      </c>
    </row>
    <row r="50" spans="1:42" x14ac:dyDescent="0.3">
      <c r="A50" s="15" t="s">
        <v>158</v>
      </c>
      <c r="B50" s="15">
        <v>100</v>
      </c>
      <c r="C50" s="15" t="s">
        <v>54</v>
      </c>
      <c r="D50" s="15" t="s">
        <v>55</v>
      </c>
      <c r="E50" s="15" cm="1">
        <f t="array" ref="E50">IFERROR(_xlfn.XLOOKUP($A50&amp;"|"&amp;$B50&amp;"|"&amp;$D50,'21-AUGUST-2026'!$A$3:$A$199&amp;"|"&amp;'21-AUGUST-2026'!$B$3:$B$199&amp;"|"&amp;'21-AUGUST-2026'!$D$3:$D$199,'21-AUGUST-2026'!$T$3:$T$199,_xlfn.XLOOKUP($A50&amp;"|"&amp;$B50,'21-AUGUST-2026'!$A$3:$A$199&amp;"|"&amp;'21-AUGUST-2026'!$B$3:$B$199,'21-AUGUST-2026'!$T$3:$T$199,0)),0)</f>
        <v>27</v>
      </c>
      <c r="F50" s="15" cm="1">
        <f t="array" ref="F50">IFERROR(_xlfn.XLOOKUP($A50&amp;"|"&amp;$B50&amp;"|"&amp;$D50,'21-AUGUST-2026'!$A$3:$A$199&amp;"|"&amp;'21-AUGUST-2026'!$B$3:$B$199&amp;"|"&amp;'21-AUGUST-2026'!$D$3:$D$199,'21-AUGUST-2026'!$U$3:$U$199,_xlfn.XLOOKUP($A50&amp;"|"&amp;$B50,'21-AUGUST-2026'!$A$3:$A$199&amp;"|"&amp;'21-AUGUST-2026'!$B$3:$B$199,'21-AUGUST-2026'!$U$3:$U$199,0)),0)</f>
        <v>0</v>
      </c>
      <c r="G50" s="15">
        <f t="shared" si="15"/>
        <v>27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20">
        <v>0</v>
      </c>
      <c r="S50" s="20">
        <v>0</v>
      </c>
      <c r="T50" s="20">
        <v>0</v>
      </c>
      <c r="U50" s="17"/>
      <c r="V50" s="17"/>
      <c r="W50" s="20">
        <f t="shared" si="16"/>
        <v>0</v>
      </c>
      <c r="X50" s="21">
        <f t="shared" si="24"/>
        <v>29</v>
      </c>
      <c r="Y50" s="15">
        <f t="shared" si="25"/>
        <v>29</v>
      </c>
      <c r="Z50" s="15">
        <f t="shared" si="17"/>
        <v>0</v>
      </c>
      <c r="AA50" s="18" t="str">
        <f t="shared" si="18"/>
        <v/>
      </c>
      <c r="AB50" s="17">
        <v>0</v>
      </c>
      <c r="AC50" s="17">
        <v>0</v>
      </c>
      <c r="AD50" s="15">
        <f t="shared" si="20"/>
        <v>0</v>
      </c>
      <c r="AE50" s="17">
        <v>0</v>
      </c>
      <c r="AF50" s="17">
        <v>0</v>
      </c>
      <c r="AG50" s="15">
        <f t="shared" si="21"/>
        <v>0</v>
      </c>
      <c r="AH50" s="17">
        <v>0</v>
      </c>
      <c r="AI50" s="17">
        <v>0</v>
      </c>
      <c r="AJ50" s="15">
        <f t="shared" si="22"/>
        <v>0</v>
      </c>
      <c r="AK50" s="17">
        <v>0</v>
      </c>
      <c r="AL50" s="17">
        <v>0</v>
      </c>
      <c r="AM50" s="15">
        <f t="shared" si="23"/>
        <v>0</v>
      </c>
      <c r="AN50" s="17"/>
      <c r="AO50" s="53">
        <f t="shared" si="19"/>
        <v>27</v>
      </c>
      <c r="AP50" s="53">
        <f>IF($A50="",0,IF(COUNTIFS([1]Sheet1!$A$2:$A$190,$A50,[1]Sheet1!$B$2:$B$190,$B50,[1]Sheet1!$C$2:$C$190,"&gt;=0")=0,0,SUMIFS([1]Sheet1!$C$2:$C$190,[1]Sheet1!$A$2:$A$190,$A50,[1]Sheet1!$B$2:$B$190,$B50)-$AO50))</f>
        <v>2</v>
      </c>
    </row>
    <row r="51" spans="1:42" x14ac:dyDescent="0.3">
      <c r="A51" s="15" t="s">
        <v>159</v>
      </c>
      <c r="B51" s="15">
        <v>100</v>
      </c>
      <c r="C51" s="15" t="s">
        <v>54</v>
      </c>
      <c r="D51" s="15" t="s">
        <v>55</v>
      </c>
      <c r="E51" s="15" cm="1">
        <f t="array" ref="E51">IFERROR(_xlfn.XLOOKUP($A51&amp;"|"&amp;$B51&amp;"|"&amp;$D51,'21-AUGUST-2026'!$A$3:$A$199&amp;"|"&amp;'21-AUGUST-2026'!$B$3:$B$199&amp;"|"&amp;'21-AUGUST-2026'!$D$3:$D$199,'21-AUGUST-2026'!$T$3:$T$199,_xlfn.XLOOKUP($A51&amp;"|"&amp;$B51,'21-AUGUST-2026'!$A$3:$A$199&amp;"|"&amp;'21-AUGUST-2026'!$B$3:$B$199,'21-AUGUST-2026'!$T$3:$T$199,0)),0)</f>
        <v>99</v>
      </c>
      <c r="F51" s="15" cm="1">
        <f t="array" ref="F51">IFERROR(_xlfn.XLOOKUP($A51&amp;"|"&amp;$B51&amp;"|"&amp;$D51,'21-AUGUST-2026'!$A$3:$A$199&amp;"|"&amp;'21-AUGUST-2026'!$B$3:$B$199&amp;"|"&amp;'21-AUGUST-2026'!$D$3:$D$199,'21-AUGUST-2026'!$U$3:$U$199,_xlfn.XLOOKUP($A51&amp;"|"&amp;$B51,'21-AUGUST-2026'!$A$3:$A$199&amp;"|"&amp;'21-AUGUST-2026'!$B$3:$B$199,'21-AUGUST-2026'!$U$3:$U$199,0)),0)</f>
        <v>0</v>
      </c>
      <c r="G51" s="15">
        <f t="shared" si="15"/>
        <v>99</v>
      </c>
      <c r="H51" s="17">
        <v>0</v>
      </c>
      <c r="I51" s="17">
        <v>0</v>
      </c>
      <c r="J51" s="17">
        <v>0</v>
      </c>
      <c r="K51" s="17">
        <v>1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20">
        <v>0</v>
      </c>
      <c r="S51" s="20">
        <v>0</v>
      </c>
      <c r="T51" s="20">
        <v>0</v>
      </c>
      <c r="U51" s="17"/>
      <c r="V51" s="17"/>
      <c r="W51" s="20">
        <f t="shared" si="16"/>
        <v>0</v>
      </c>
      <c r="X51" s="21">
        <f t="shared" si="24"/>
        <v>94</v>
      </c>
      <c r="Y51" s="15">
        <f t="shared" si="25"/>
        <v>94</v>
      </c>
      <c r="Z51" s="15">
        <f t="shared" si="17"/>
        <v>0</v>
      </c>
      <c r="AA51" s="18" t="str">
        <f t="shared" si="18"/>
        <v/>
      </c>
      <c r="AB51" s="17">
        <v>0</v>
      </c>
      <c r="AC51" s="17">
        <v>0</v>
      </c>
      <c r="AD51" s="15">
        <f t="shared" si="20"/>
        <v>0</v>
      </c>
      <c r="AE51" s="17">
        <v>1</v>
      </c>
      <c r="AF51" s="17">
        <v>0</v>
      </c>
      <c r="AG51" s="15">
        <f t="shared" si="21"/>
        <v>1</v>
      </c>
      <c r="AH51" s="17">
        <v>0</v>
      </c>
      <c r="AI51" s="17">
        <v>0</v>
      </c>
      <c r="AJ51" s="15">
        <f t="shared" si="22"/>
        <v>0</v>
      </c>
      <c r="AK51" s="17">
        <v>0</v>
      </c>
      <c r="AL51" s="17">
        <v>0</v>
      </c>
      <c r="AM51" s="15">
        <f t="shared" si="23"/>
        <v>0</v>
      </c>
      <c r="AN51" s="17"/>
      <c r="AO51" s="53">
        <f t="shared" si="19"/>
        <v>98</v>
      </c>
      <c r="AP51" s="53">
        <f>IF($A51="",0,IF(COUNTIFS([1]Sheet1!$A$2:$A$190,$A51,[1]Sheet1!$B$2:$B$190,$B51,[1]Sheet1!$C$2:$C$190,"&gt;=0")=0,0,SUMIFS([1]Sheet1!$C$2:$C$190,[1]Sheet1!$A$2:$A$190,$A51,[1]Sheet1!$B$2:$B$190,$B51)-$AO51))</f>
        <v>-4</v>
      </c>
    </row>
    <row r="52" spans="1:42" x14ac:dyDescent="0.3">
      <c r="A52" s="15" t="s">
        <v>160</v>
      </c>
      <c r="B52" s="15">
        <v>100</v>
      </c>
      <c r="C52" s="15" t="s">
        <v>54</v>
      </c>
      <c r="D52" s="15" t="s">
        <v>55</v>
      </c>
      <c r="E52" s="15" cm="1">
        <f t="array" ref="E52">IFERROR(_xlfn.XLOOKUP($A52&amp;"|"&amp;$B52&amp;"|"&amp;$D52,'21-AUGUST-2026'!$A$3:$A$199&amp;"|"&amp;'21-AUGUST-2026'!$B$3:$B$199&amp;"|"&amp;'21-AUGUST-2026'!$D$3:$D$199,'21-AUGUST-2026'!$T$3:$T$199,_xlfn.XLOOKUP($A52&amp;"|"&amp;$B52,'21-AUGUST-2026'!$A$3:$A$199&amp;"|"&amp;'21-AUGUST-2026'!$B$3:$B$199,'21-AUGUST-2026'!$T$3:$T$199,0)),0)</f>
        <v>116</v>
      </c>
      <c r="F52" s="15" cm="1">
        <f t="array" ref="F52">IFERROR(_xlfn.XLOOKUP($A52&amp;"|"&amp;$B52&amp;"|"&amp;$D52,'21-AUGUST-2026'!$A$3:$A$199&amp;"|"&amp;'21-AUGUST-2026'!$B$3:$B$199&amp;"|"&amp;'21-AUGUST-2026'!$D$3:$D$199,'21-AUGUST-2026'!$U$3:$U$199,_xlfn.XLOOKUP($A52&amp;"|"&amp;$B52,'21-AUGUST-2026'!$A$3:$A$199&amp;"|"&amp;'21-AUGUST-2026'!$B$3:$B$199,'21-AUGUST-2026'!$U$3:$U$199,0)),0)</f>
        <v>4</v>
      </c>
      <c r="G52" s="15">
        <f t="shared" si="15"/>
        <v>120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20">
        <v>0</v>
      </c>
      <c r="S52" s="20">
        <v>0</v>
      </c>
      <c r="T52" s="20">
        <v>0</v>
      </c>
      <c r="U52" s="17"/>
      <c r="V52" s="17"/>
      <c r="W52" s="20">
        <f t="shared" si="16"/>
        <v>0</v>
      </c>
      <c r="X52" s="21">
        <f t="shared" si="24"/>
        <v>130</v>
      </c>
      <c r="Y52" s="15">
        <f t="shared" si="25"/>
        <v>126</v>
      </c>
      <c r="Z52" s="15">
        <f t="shared" si="17"/>
        <v>4</v>
      </c>
      <c r="AA52" s="18" t="str">
        <f t="shared" si="18"/>
        <v/>
      </c>
      <c r="AB52" s="17">
        <v>0</v>
      </c>
      <c r="AC52" s="17">
        <v>0</v>
      </c>
      <c r="AD52" s="15">
        <f t="shared" si="20"/>
        <v>0</v>
      </c>
      <c r="AE52" s="17">
        <v>0</v>
      </c>
      <c r="AF52" s="17">
        <v>0</v>
      </c>
      <c r="AG52" s="15">
        <f t="shared" si="21"/>
        <v>0</v>
      </c>
      <c r="AH52" s="17">
        <v>0</v>
      </c>
      <c r="AI52" s="17">
        <v>0</v>
      </c>
      <c r="AJ52" s="15">
        <f t="shared" si="22"/>
        <v>0</v>
      </c>
      <c r="AK52" s="17">
        <v>0</v>
      </c>
      <c r="AL52" s="17">
        <v>0</v>
      </c>
      <c r="AM52" s="15">
        <f t="shared" si="23"/>
        <v>0</v>
      </c>
      <c r="AN52" s="17"/>
      <c r="AO52" s="53">
        <f t="shared" si="19"/>
        <v>116</v>
      </c>
      <c r="AP52" s="53">
        <f>IF($A52="",0,IF(COUNTIFS([1]Sheet1!$A$2:$A$190,$A52,[1]Sheet1!$B$2:$B$190,$B52,[1]Sheet1!$C$2:$C$190,"&gt;=0")=0,0,SUMIFS([1]Sheet1!$C$2:$C$190,[1]Sheet1!$A$2:$A$190,$A52,[1]Sheet1!$B$2:$B$190,$B52)-$AO52))</f>
        <v>10</v>
      </c>
    </row>
    <row r="53" spans="1:42" x14ac:dyDescent="0.3">
      <c r="A53" s="15" t="s">
        <v>161</v>
      </c>
      <c r="B53" s="15">
        <v>100</v>
      </c>
      <c r="C53" s="15" t="s">
        <v>54</v>
      </c>
      <c r="D53" s="15" t="s">
        <v>55</v>
      </c>
      <c r="E53" s="15" cm="1">
        <f t="array" ref="E53">IFERROR(_xlfn.XLOOKUP($A53&amp;"|"&amp;$B53&amp;"|"&amp;$D53,'21-AUGUST-2026'!$A$3:$A$199&amp;"|"&amp;'21-AUGUST-2026'!$B$3:$B$199&amp;"|"&amp;'21-AUGUST-2026'!$D$3:$D$199,'21-AUGUST-2026'!$T$3:$T$199,_xlfn.XLOOKUP($A53&amp;"|"&amp;$B53,'21-AUGUST-2026'!$A$3:$A$199&amp;"|"&amp;'21-AUGUST-2026'!$B$3:$B$199,'21-AUGUST-2026'!$T$3:$T$199,0)),0)</f>
        <v>167</v>
      </c>
      <c r="F53" s="15" cm="1">
        <f t="array" ref="F53">IFERROR(_xlfn.XLOOKUP($A53&amp;"|"&amp;$B53&amp;"|"&amp;$D53,'21-AUGUST-2026'!$A$3:$A$199&amp;"|"&amp;'21-AUGUST-2026'!$B$3:$B$199&amp;"|"&amp;'21-AUGUST-2026'!$D$3:$D$199,'21-AUGUST-2026'!$U$3:$U$199,_xlfn.XLOOKUP($A53&amp;"|"&amp;$B53,'21-AUGUST-2026'!$A$3:$A$199&amp;"|"&amp;'21-AUGUST-2026'!$B$3:$B$199,'21-AUGUST-2026'!$U$3:$U$199,0)),0)</f>
        <v>58</v>
      </c>
      <c r="G53" s="15">
        <f t="shared" si="15"/>
        <v>225</v>
      </c>
      <c r="H53" s="17">
        <v>0</v>
      </c>
      <c r="I53" s="17">
        <v>0</v>
      </c>
      <c r="J53" s="17">
        <v>0</v>
      </c>
      <c r="K53" s="17">
        <v>151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20">
        <v>0</v>
      </c>
      <c r="S53" s="20">
        <v>0</v>
      </c>
      <c r="T53" s="20">
        <v>0</v>
      </c>
      <c r="U53" s="17"/>
      <c r="V53" s="17"/>
      <c r="W53" s="20">
        <f t="shared" si="16"/>
        <v>0</v>
      </c>
      <c r="X53" s="21">
        <f t="shared" si="24"/>
        <v>66</v>
      </c>
      <c r="Y53" s="15">
        <f t="shared" si="25"/>
        <v>8</v>
      </c>
      <c r="Z53" s="15">
        <f t="shared" si="17"/>
        <v>58</v>
      </c>
      <c r="AA53" s="18" t="str">
        <f t="shared" si="18"/>
        <v/>
      </c>
      <c r="AB53" s="17">
        <v>0</v>
      </c>
      <c r="AC53" s="17">
        <v>3</v>
      </c>
      <c r="AD53" s="15">
        <f t="shared" si="20"/>
        <v>-3</v>
      </c>
      <c r="AE53" s="17">
        <v>160</v>
      </c>
      <c r="AF53" s="17">
        <v>160</v>
      </c>
      <c r="AG53" s="15">
        <f t="shared" si="21"/>
        <v>0</v>
      </c>
      <c r="AH53" s="17">
        <v>0</v>
      </c>
      <c r="AI53" s="17">
        <v>0</v>
      </c>
      <c r="AJ53" s="15">
        <f t="shared" si="22"/>
        <v>0</v>
      </c>
      <c r="AK53" s="17">
        <v>0</v>
      </c>
      <c r="AL53" s="17">
        <v>0</v>
      </c>
      <c r="AM53" s="15">
        <f t="shared" si="23"/>
        <v>0</v>
      </c>
      <c r="AN53" s="17"/>
      <c r="AO53" s="53">
        <f t="shared" si="19"/>
        <v>16</v>
      </c>
      <c r="AP53" s="53">
        <f>IF($A53="",0,IF(COUNTIFS([1]Sheet1!$A$2:$A$190,$A53,[1]Sheet1!$B$2:$B$190,$B53,[1]Sheet1!$C$2:$C$190,"&gt;=0")=0,0,SUMIFS([1]Sheet1!$C$2:$C$190,[1]Sheet1!$A$2:$A$190,$A53,[1]Sheet1!$B$2:$B$190,$B53)-$AO53))</f>
        <v>-8</v>
      </c>
    </row>
    <row r="54" spans="1:42" x14ac:dyDescent="0.3">
      <c r="A54" s="15" t="s">
        <v>162</v>
      </c>
      <c r="B54" s="15">
        <v>1000</v>
      </c>
      <c r="C54" s="15" t="s">
        <v>54</v>
      </c>
      <c r="D54" s="15" t="s">
        <v>55</v>
      </c>
      <c r="E54" s="15" cm="1">
        <f t="array" ref="E54">IFERROR(_xlfn.XLOOKUP($A54&amp;"|"&amp;$B54&amp;"|"&amp;$D54,'21-AUGUST-2026'!$A$3:$A$199&amp;"|"&amp;'21-AUGUST-2026'!$B$3:$B$199&amp;"|"&amp;'21-AUGUST-2026'!$D$3:$D$199,'21-AUGUST-2026'!$T$3:$T$199,_xlfn.XLOOKUP($A54&amp;"|"&amp;$B54,'21-AUGUST-2026'!$A$3:$A$199&amp;"|"&amp;'21-AUGUST-2026'!$B$3:$B$199,'21-AUGUST-2026'!$T$3:$T$199,0)),0)</f>
        <v>0</v>
      </c>
      <c r="F54" s="15" cm="1">
        <f t="array" ref="F54">IFERROR(_xlfn.XLOOKUP($A54&amp;"|"&amp;$B54&amp;"|"&amp;$D54,'21-AUGUST-2026'!$A$3:$A$199&amp;"|"&amp;'21-AUGUST-2026'!$B$3:$B$199&amp;"|"&amp;'21-AUGUST-2026'!$D$3:$D$199,'21-AUGUST-2026'!$U$3:$U$199,_xlfn.XLOOKUP($A54&amp;"|"&amp;$B54,'21-AUGUST-2026'!$A$3:$A$199&amp;"|"&amp;'21-AUGUST-2026'!$B$3:$B$199,'21-AUGUST-2026'!$U$3:$U$199,0)),0)</f>
        <v>7</v>
      </c>
      <c r="G54" s="15">
        <f t="shared" si="15"/>
        <v>7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20">
        <v>0</v>
      </c>
      <c r="S54" s="20">
        <v>0</v>
      </c>
      <c r="T54" s="20">
        <v>0</v>
      </c>
      <c r="U54" s="17"/>
      <c r="V54" s="17"/>
      <c r="W54" s="20">
        <f t="shared" si="16"/>
        <v>0</v>
      </c>
      <c r="X54" s="21">
        <f t="shared" si="24"/>
        <v>7</v>
      </c>
      <c r="Y54" s="15">
        <f t="shared" si="25"/>
        <v>0</v>
      </c>
      <c r="Z54" s="15">
        <f t="shared" si="17"/>
        <v>7</v>
      </c>
      <c r="AA54" s="18" t="str">
        <f t="shared" si="18"/>
        <v/>
      </c>
      <c r="AB54" s="17">
        <v>0</v>
      </c>
      <c r="AC54" s="17">
        <v>0</v>
      </c>
      <c r="AD54" s="15">
        <f t="shared" si="20"/>
        <v>0</v>
      </c>
      <c r="AE54" s="17">
        <v>0</v>
      </c>
      <c r="AF54" s="17">
        <v>0</v>
      </c>
      <c r="AG54" s="15">
        <f t="shared" si="21"/>
        <v>0</v>
      </c>
      <c r="AH54" s="17">
        <v>0</v>
      </c>
      <c r="AI54" s="17">
        <v>0</v>
      </c>
      <c r="AJ54" s="15">
        <f t="shared" si="22"/>
        <v>0</v>
      </c>
      <c r="AK54" s="17">
        <v>0</v>
      </c>
      <c r="AL54" s="17">
        <v>0</v>
      </c>
      <c r="AM54" s="15">
        <f t="shared" si="23"/>
        <v>0</v>
      </c>
      <c r="AN54" s="17"/>
      <c r="AO54" s="53">
        <f t="shared" si="19"/>
        <v>0</v>
      </c>
      <c r="AP54" s="53">
        <f>IF($A54="",0,IF(COUNTIFS([1]Sheet1!$A$2:$A$190,$A54,[1]Sheet1!$B$2:$B$190,$B54,[1]Sheet1!$C$2:$C$190,"&gt;=0")=0,0,SUMIFS([1]Sheet1!$C$2:$C$190,[1]Sheet1!$A$2:$A$190,$A54,[1]Sheet1!$B$2:$B$190,$B54)-$AO54))</f>
        <v>0</v>
      </c>
    </row>
    <row r="55" spans="1:42" x14ac:dyDescent="0.3">
      <c r="A55" s="15" t="s">
        <v>163</v>
      </c>
      <c r="B55" s="15">
        <v>500</v>
      </c>
      <c r="C55" s="15" t="s">
        <v>54</v>
      </c>
      <c r="D55" s="15" t="s">
        <v>55</v>
      </c>
      <c r="E55" s="15" cm="1">
        <f t="array" ref="E55">IFERROR(_xlfn.XLOOKUP($A55&amp;"|"&amp;$B55&amp;"|"&amp;$D55,'21-AUGUST-2026'!$A$3:$A$199&amp;"|"&amp;'21-AUGUST-2026'!$B$3:$B$199&amp;"|"&amp;'21-AUGUST-2026'!$D$3:$D$199,'21-AUGUST-2026'!$T$3:$T$199,_xlfn.XLOOKUP($A55&amp;"|"&amp;$B55,'21-AUGUST-2026'!$A$3:$A$199&amp;"|"&amp;'21-AUGUST-2026'!$B$3:$B$199,'21-AUGUST-2026'!$T$3:$T$199,0)),0)</f>
        <v>0</v>
      </c>
      <c r="F55" s="15" cm="1">
        <f t="array" ref="F55">IFERROR(_xlfn.XLOOKUP($A55&amp;"|"&amp;$B55&amp;"|"&amp;$D55,'21-AUGUST-2026'!$A$3:$A$199&amp;"|"&amp;'21-AUGUST-2026'!$B$3:$B$199&amp;"|"&amp;'21-AUGUST-2026'!$D$3:$D$199,'21-AUGUST-2026'!$U$3:$U$199,_xlfn.XLOOKUP($A55&amp;"|"&amp;$B55,'21-AUGUST-2026'!$A$3:$A$199&amp;"|"&amp;'21-AUGUST-2026'!$B$3:$B$199,'21-AUGUST-2026'!$U$3:$U$199,0)),0)</f>
        <v>2</v>
      </c>
      <c r="G55" s="15">
        <f t="shared" si="15"/>
        <v>2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20">
        <v>0</v>
      </c>
      <c r="S55" s="20">
        <v>0</v>
      </c>
      <c r="T55" s="20">
        <v>0</v>
      </c>
      <c r="U55" s="17"/>
      <c r="V55" s="17"/>
      <c r="W55" s="20">
        <f t="shared" si="16"/>
        <v>0</v>
      </c>
      <c r="X55" s="21">
        <f t="shared" si="24"/>
        <v>2</v>
      </c>
      <c r="Y55" s="15">
        <f t="shared" si="25"/>
        <v>0</v>
      </c>
      <c r="Z55" s="15">
        <f t="shared" si="17"/>
        <v>2</v>
      </c>
      <c r="AA55" s="18" t="str">
        <f t="shared" si="18"/>
        <v/>
      </c>
      <c r="AB55" s="17">
        <v>0</v>
      </c>
      <c r="AC55" s="17">
        <v>0</v>
      </c>
      <c r="AD55" s="15">
        <f t="shared" si="20"/>
        <v>0</v>
      </c>
      <c r="AE55" s="17">
        <v>0</v>
      </c>
      <c r="AF55" s="17">
        <v>0</v>
      </c>
      <c r="AG55" s="15">
        <f t="shared" si="21"/>
        <v>0</v>
      </c>
      <c r="AH55" s="17">
        <v>0</v>
      </c>
      <c r="AI55" s="17">
        <v>0</v>
      </c>
      <c r="AJ55" s="15">
        <f t="shared" si="22"/>
        <v>0</v>
      </c>
      <c r="AK55" s="17">
        <v>0</v>
      </c>
      <c r="AL55" s="17">
        <v>0</v>
      </c>
      <c r="AM55" s="15">
        <f t="shared" si="23"/>
        <v>0</v>
      </c>
      <c r="AN55" s="17"/>
      <c r="AO55" s="53">
        <f t="shared" si="19"/>
        <v>0</v>
      </c>
      <c r="AP55" s="53">
        <f>IF($A55="",0,IF(COUNTIFS([1]Sheet1!$A$2:$A$190,$A55,[1]Sheet1!$B$2:$B$190,$B55,[1]Sheet1!$C$2:$C$190,"&gt;=0")=0,0,SUMIFS([1]Sheet1!$C$2:$C$190,[1]Sheet1!$A$2:$A$190,$A55,[1]Sheet1!$B$2:$B$190,$B55)-$AO55))</f>
        <v>0</v>
      </c>
    </row>
    <row r="56" spans="1:42" x14ac:dyDescent="0.3">
      <c r="A56" s="15" t="s">
        <v>167</v>
      </c>
      <c r="B56" s="15">
        <v>100</v>
      </c>
      <c r="C56" s="15" t="s">
        <v>54</v>
      </c>
      <c r="D56" s="15" t="s">
        <v>55</v>
      </c>
      <c r="E56" s="15" cm="1">
        <f t="array" ref="E56">IFERROR(_xlfn.XLOOKUP($A56&amp;"|"&amp;$B56&amp;"|"&amp;$D56,'21-AUGUST-2026'!$A$3:$A$199&amp;"|"&amp;'21-AUGUST-2026'!$B$3:$B$199&amp;"|"&amp;'21-AUGUST-2026'!$D$3:$D$199,'21-AUGUST-2026'!$T$3:$T$199,_xlfn.XLOOKUP($A56&amp;"|"&amp;$B56,'21-AUGUST-2026'!$A$3:$A$199&amp;"|"&amp;'21-AUGUST-2026'!$B$3:$B$199,'21-AUGUST-2026'!$T$3:$T$199,0)),0)</f>
        <v>94</v>
      </c>
      <c r="F56" s="15" cm="1">
        <f t="array" ref="F56">IFERROR(_xlfn.XLOOKUP($A56&amp;"|"&amp;$B56&amp;"|"&amp;$D56,'21-AUGUST-2026'!$A$3:$A$199&amp;"|"&amp;'21-AUGUST-2026'!$B$3:$B$199&amp;"|"&amp;'21-AUGUST-2026'!$D$3:$D$199,'21-AUGUST-2026'!$U$3:$U$199,_xlfn.XLOOKUP($A56&amp;"|"&amp;$B56,'21-AUGUST-2026'!$A$3:$A$199&amp;"|"&amp;'21-AUGUST-2026'!$B$3:$B$199,'21-AUGUST-2026'!$U$3:$U$199,0)),0)</f>
        <v>0</v>
      </c>
      <c r="G56" s="15">
        <f t="shared" si="15"/>
        <v>94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20">
        <v>0</v>
      </c>
      <c r="S56" s="20">
        <v>0</v>
      </c>
      <c r="T56" s="20">
        <v>0</v>
      </c>
      <c r="U56" s="17"/>
      <c r="V56" s="17"/>
      <c r="W56" s="20">
        <f t="shared" si="16"/>
        <v>0</v>
      </c>
      <c r="X56" s="21">
        <f t="shared" si="24"/>
        <v>117</v>
      </c>
      <c r="Y56" s="15">
        <f t="shared" si="25"/>
        <v>117</v>
      </c>
      <c r="Z56" s="15">
        <f t="shared" si="17"/>
        <v>0</v>
      </c>
      <c r="AA56" s="18" t="str">
        <f t="shared" si="18"/>
        <v/>
      </c>
      <c r="AB56" s="17">
        <v>0</v>
      </c>
      <c r="AC56" s="17">
        <v>0</v>
      </c>
      <c r="AD56" s="15">
        <f t="shared" si="20"/>
        <v>0</v>
      </c>
      <c r="AE56" s="17">
        <v>0</v>
      </c>
      <c r="AF56" s="17">
        <v>0</v>
      </c>
      <c r="AG56" s="15">
        <f t="shared" si="21"/>
        <v>0</v>
      </c>
      <c r="AH56" s="17">
        <v>0</v>
      </c>
      <c r="AI56" s="17">
        <v>0</v>
      </c>
      <c r="AJ56" s="15">
        <f t="shared" si="22"/>
        <v>0</v>
      </c>
      <c r="AK56" s="17">
        <v>0</v>
      </c>
      <c r="AL56" s="17">
        <v>0</v>
      </c>
      <c r="AM56" s="15">
        <f t="shared" si="23"/>
        <v>0</v>
      </c>
      <c r="AN56" s="17"/>
      <c r="AO56" s="53">
        <f t="shared" si="19"/>
        <v>94</v>
      </c>
      <c r="AP56" s="53">
        <f>IF($A56="",0,IF(COUNTIFS([1]Sheet1!$A$2:$A$190,$A56,[1]Sheet1!$B$2:$B$190,$B56,[1]Sheet1!$C$2:$C$190,"&gt;=0")=0,0,SUMIFS([1]Sheet1!$C$2:$C$190,[1]Sheet1!$A$2:$A$190,$A56,[1]Sheet1!$B$2:$B$190,$B56)-$AO56))</f>
        <v>23</v>
      </c>
    </row>
    <row r="57" spans="1:42" x14ac:dyDescent="0.3">
      <c r="A57" s="15" t="s">
        <v>170</v>
      </c>
      <c r="B57" s="15">
        <v>1000</v>
      </c>
      <c r="C57" s="15" t="s">
        <v>54</v>
      </c>
      <c r="D57" s="15" t="s">
        <v>55</v>
      </c>
      <c r="E57" s="15" cm="1">
        <f t="array" ref="E57">IFERROR(_xlfn.XLOOKUP($A57&amp;"|"&amp;$B57&amp;"|"&amp;$D57,'21-AUGUST-2026'!$A$3:$A$199&amp;"|"&amp;'21-AUGUST-2026'!$B$3:$B$199&amp;"|"&amp;'21-AUGUST-2026'!$D$3:$D$199,'21-AUGUST-2026'!$T$3:$T$199,_xlfn.XLOOKUP($A57&amp;"|"&amp;$B57,'21-AUGUST-2026'!$A$3:$A$199&amp;"|"&amp;'21-AUGUST-2026'!$B$3:$B$199,'21-AUGUST-2026'!$T$3:$T$199,0)),0)</f>
        <v>20</v>
      </c>
      <c r="F57" s="15" cm="1">
        <f t="array" ref="F57">IFERROR(_xlfn.XLOOKUP($A57&amp;"|"&amp;$B57&amp;"|"&amp;$D57,'21-AUGUST-2026'!$A$3:$A$199&amp;"|"&amp;'21-AUGUST-2026'!$B$3:$B$199&amp;"|"&amp;'21-AUGUST-2026'!$D$3:$D$199,'21-AUGUST-2026'!$U$3:$U$199,_xlfn.XLOOKUP($A57&amp;"|"&amp;$B57,'21-AUGUST-2026'!$A$3:$A$199&amp;"|"&amp;'21-AUGUST-2026'!$B$3:$B$199,'21-AUGUST-2026'!$U$3:$U$199,0)),0)</f>
        <v>0</v>
      </c>
      <c r="G57" s="15">
        <f t="shared" si="15"/>
        <v>20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20">
        <v>0</v>
      </c>
      <c r="S57" s="20">
        <v>0</v>
      </c>
      <c r="T57" s="20">
        <v>0</v>
      </c>
      <c r="U57" s="17"/>
      <c r="V57" s="17"/>
      <c r="W57" s="20">
        <f t="shared" si="16"/>
        <v>0</v>
      </c>
      <c r="X57" s="21">
        <f t="shared" si="24"/>
        <v>20</v>
      </c>
      <c r="Y57" s="15">
        <f t="shared" si="25"/>
        <v>20</v>
      </c>
      <c r="Z57" s="15">
        <f t="shared" si="17"/>
        <v>0</v>
      </c>
      <c r="AA57" s="18" t="str">
        <f t="shared" si="18"/>
        <v/>
      </c>
      <c r="AB57" s="17">
        <v>0</v>
      </c>
      <c r="AC57" s="17">
        <v>0</v>
      </c>
      <c r="AD57" s="15">
        <f t="shared" si="20"/>
        <v>0</v>
      </c>
      <c r="AE57" s="17">
        <v>0</v>
      </c>
      <c r="AF57" s="17">
        <v>0</v>
      </c>
      <c r="AG57" s="15">
        <f t="shared" si="21"/>
        <v>0</v>
      </c>
      <c r="AH57" s="17">
        <v>0</v>
      </c>
      <c r="AI57" s="17">
        <v>0</v>
      </c>
      <c r="AJ57" s="15">
        <f t="shared" si="22"/>
        <v>0</v>
      </c>
      <c r="AK57" s="17">
        <v>0</v>
      </c>
      <c r="AL57" s="17">
        <v>0</v>
      </c>
      <c r="AM57" s="15">
        <f t="shared" si="23"/>
        <v>0</v>
      </c>
      <c r="AN57" s="17"/>
      <c r="AO57" s="53">
        <f t="shared" si="19"/>
        <v>20</v>
      </c>
      <c r="AP57" s="53">
        <f>IF($A57="",0,IF(COUNTIFS([1]Sheet1!$A$2:$A$190,$A57,[1]Sheet1!$B$2:$B$190,$B57,[1]Sheet1!$C$2:$C$190,"&gt;=0")=0,0,SUMIFS([1]Sheet1!$C$2:$C$190,[1]Sheet1!$A$2:$A$190,$A57,[1]Sheet1!$B$2:$B$190,$B57)-$AO57))</f>
        <v>0</v>
      </c>
    </row>
    <row r="58" spans="1:42" x14ac:dyDescent="0.3">
      <c r="A58" s="15" t="s">
        <v>171</v>
      </c>
      <c r="B58" s="15">
        <v>1000</v>
      </c>
      <c r="C58" s="15" t="s">
        <v>54</v>
      </c>
      <c r="D58" s="15" t="s">
        <v>55</v>
      </c>
      <c r="E58" s="15" cm="1">
        <f t="array" ref="E58">IFERROR(_xlfn.XLOOKUP($A58&amp;"|"&amp;$B58&amp;"|"&amp;$D58,'21-AUGUST-2026'!$A$3:$A$199&amp;"|"&amp;'21-AUGUST-2026'!$B$3:$B$199&amp;"|"&amp;'21-AUGUST-2026'!$D$3:$D$199,'21-AUGUST-2026'!$T$3:$T$199,_xlfn.XLOOKUP($A58&amp;"|"&amp;$B58,'21-AUGUST-2026'!$A$3:$A$199&amp;"|"&amp;'21-AUGUST-2026'!$B$3:$B$199,'21-AUGUST-2026'!$T$3:$T$199,0)),0)</f>
        <v>0</v>
      </c>
      <c r="F58" s="15" cm="1">
        <f t="array" ref="F58">IFERROR(_xlfn.XLOOKUP($A58&amp;"|"&amp;$B58&amp;"|"&amp;$D58,'21-AUGUST-2026'!$A$3:$A$199&amp;"|"&amp;'21-AUGUST-2026'!$B$3:$B$199&amp;"|"&amp;'21-AUGUST-2026'!$D$3:$D$199,'21-AUGUST-2026'!$U$3:$U$199,_xlfn.XLOOKUP($A58&amp;"|"&amp;$B58,'21-AUGUST-2026'!$A$3:$A$199&amp;"|"&amp;'21-AUGUST-2026'!$B$3:$B$199,'21-AUGUST-2026'!$U$3:$U$199,0)),0)</f>
        <v>2</v>
      </c>
      <c r="G58" s="15">
        <f t="shared" si="15"/>
        <v>2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20">
        <v>0</v>
      </c>
      <c r="S58" s="20">
        <v>0</v>
      </c>
      <c r="T58" s="20">
        <v>0</v>
      </c>
      <c r="U58" s="17"/>
      <c r="V58" s="17"/>
      <c r="W58" s="20">
        <f t="shared" si="16"/>
        <v>0</v>
      </c>
      <c r="X58" s="21">
        <f t="shared" si="24"/>
        <v>2</v>
      </c>
      <c r="Y58" s="15">
        <f t="shared" si="25"/>
        <v>0</v>
      </c>
      <c r="Z58" s="15">
        <f t="shared" si="17"/>
        <v>2</v>
      </c>
      <c r="AA58" s="18" t="str">
        <f t="shared" si="18"/>
        <v/>
      </c>
      <c r="AB58" s="17">
        <v>0</v>
      </c>
      <c r="AC58" s="17">
        <v>0</v>
      </c>
      <c r="AD58" s="15">
        <f t="shared" si="20"/>
        <v>0</v>
      </c>
      <c r="AE58" s="17">
        <v>0</v>
      </c>
      <c r="AF58" s="17">
        <v>0</v>
      </c>
      <c r="AG58" s="15">
        <f t="shared" si="21"/>
        <v>0</v>
      </c>
      <c r="AH58" s="17">
        <v>0</v>
      </c>
      <c r="AI58" s="17">
        <v>0</v>
      </c>
      <c r="AJ58" s="15">
        <f t="shared" si="22"/>
        <v>0</v>
      </c>
      <c r="AK58" s="17">
        <v>0</v>
      </c>
      <c r="AL58" s="17">
        <v>0</v>
      </c>
      <c r="AM58" s="15">
        <f t="shared" si="23"/>
        <v>0</v>
      </c>
      <c r="AN58" s="17"/>
      <c r="AO58" s="53">
        <f t="shared" si="19"/>
        <v>0</v>
      </c>
      <c r="AP58" s="53">
        <f>IF($A58="",0,IF(COUNTIFS([1]Sheet1!$A$2:$A$190,$A58,[1]Sheet1!$B$2:$B$190,$B58,[1]Sheet1!$C$2:$C$190,"&gt;=0")=0,0,SUMIFS([1]Sheet1!$C$2:$C$190,[1]Sheet1!$A$2:$A$190,$A58,[1]Sheet1!$B$2:$B$190,$B58)-$AO58))</f>
        <v>0</v>
      </c>
    </row>
    <row r="59" spans="1:42" x14ac:dyDescent="0.3">
      <c r="A59" s="15" t="s">
        <v>176</v>
      </c>
      <c r="B59" s="15" t="s">
        <v>177</v>
      </c>
      <c r="C59" s="15" t="s">
        <v>178</v>
      </c>
      <c r="D59" s="15" t="s">
        <v>55</v>
      </c>
      <c r="E59" s="17">
        <v>550</v>
      </c>
      <c r="F59" s="17">
        <v>0</v>
      </c>
      <c r="G59" s="15">
        <f t="shared" si="15"/>
        <v>550</v>
      </c>
      <c r="H59" s="17">
        <v>6</v>
      </c>
      <c r="I59" s="17">
        <v>0</v>
      </c>
      <c r="J59" s="17">
        <v>0</v>
      </c>
      <c r="K59" s="17">
        <v>102</v>
      </c>
      <c r="L59" s="17">
        <v>0</v>
      </c>
      <c r="M59" s="17">
        <v>0</v>
      </c>
      <c r="N59" s="17">
        <v>0</v>
      </c>
      <c r="O59" s="17">
        <v>100</v>
      </c>
      <c r="P59" s="17">
        <v>0</v>
      </c>
      <c r="Q59" s="17">
        <v>0</v>
      </c>
      <c r="R59" s="20">
        <v>0</v>
      </c>
      <c r="S59" s="20">
        <v>0</v>
      </c>
      <c r="T59" s="20">
        <v>0</v>
      </c>
      <c r="U59" s="17"/>
      <c r="V59" s="17"/>
      <c r="W59" s="20">
        <f t="shared" si="16"/>
        <v>0</v>
      </c>
      <c r="X59" s="21">
        <f t="shared" si="24"/>
        <v>542</v>
      </c>
      <c r="Y59" s="15">
        <f t="shared" si="25"/>
        <v>442</v>
      </c>
      <c r="Z59" s="15">
        <f t="shared" si="17"/>
        <v>100</v>
      </c>
      <c r="AA59" s="18" t="str">
        <f t="shared" si="18"/>
        <v/>
      </c>
      <c r="AB59" s="17">
        <v>1</v>
      </c>
      <c r="AC59" s="17">
        <v>1</v>
      </c>
      <c r="AD59" s="15">
        <f t="shared" si="20"/>
        <v>0</v>
      </c>
      <c r="AE59" s="17">
        <v>0</v>
      </c>
      <c r="AF59" s="17">
        <v>0</v>
      </c>
      <c r="AG59" s="15">
        <f t="shared" si="21"/>
        <v>0</v>
      </c>
      <c r="AH59" s="17">
        <v>0</v>
      </c>
      <c r="AI59" s="17">
        <v>0</v>
      </c>
      <c r="AJ59" s="15">
        <f t="shared" si="22"/>
        <v>0</v>
      </c>
      <c r="AK59" s="17">
        <v>0</v>
      </c>
      <c r="AL59" s="17">
        <v>0</v>
      </c>
      <c r="AM59" s="15">
        <f t="shared" si="23"/>
        <v>0</v>
      </c>
      <c r="AN59" s="17"/>
      <c r="AO59" s="53">
        <f t="shared" si="19"/>
        <v>442</v>
      </c>
      <c r="AP59" s="53">
        <f>IF($A59="",0,IF(COUNTIFS([1]Sheet1!$A$2:$A$190,$A59,[1]Sheet1!$B$2:$B$190,$B59,[1]Sheet1!$C$2:$C$190,"&gt;=0")=0,0,SUMIFS([1]Sheet1!$C$2:$C$190,[1]Sheet1!$A$2:$A$190,$A59,[1]Sheet1!$B$2:$B$190,$B59)-$AO59))</f>
        <v>0</v>
      </c>
    </row>
    <row r="60" spans="1:42" x14ac:dyDescent="0.3">
      <c r="A60" s="15" t="s">
        <v>184</v>
      </c>
      <c r="B60" s="15">
        <v>1000</v>
      </c>
      <c r="C60" s="15" t="s">
        <v>54</v>
      </c>
      <c r="D60" s="15" t="s">
        <v>55</v>
      </c>
      <c r="E60" s="15" cm="1">
        <f t="array" ref="E60">IFERROR(_xlfn.XLOOKUP($A60&amp;"|"&amp;$B60&amp;"|"&amp;$D60,'21-AUGUST-2026'!$A$3:$A$199&amp;"|"&amp;'21-AUGUST-2026'!$B$3:$B$199&amp;"|"&amp;'21-AUGUST-2026'!$D$3:$D$199,'21-AUGUST-2026'!$T$3:$T$199,_xlfn.XLOOKUP($A60&amp;"|"&amp;$B60,'21-AUGUST-2026'!$A$3:$A$199&amp;"|"&amp;'21-AUGUST-2026'!$B$3:$B$199,'21-AUGUST-2026'!$T$3:$T$199,0)),0)</f>
        <v>13</v>
      </c>
      <c r="F60" s="15" cm="1">
        <f t="array" ref="F60">IFERROR(_xlfn.XLOOKUP($A60&amp;"|"&amp;$B60&amp;"|"&amp;$D60,'21-AUGUST-2026'!$A$3:$A$199&amp;"|"&amp;'21-AUGUST-2026'!$B$3:$B$199&amp;"|"&amp;'21-AUGUST-2026'!$D$3:$D$199,'21-AUGUST-2026'!$U$3:$U$199,_xlfn.XLOOKUP($A60&amp;"|"&amp;$B60,'21-AUGUST-2026'!$A$3:$A$199&amp;"|"&amp;'21-AUGUST-2026'!$B$3:$B$199,'21-AUGUST-2026'!$U$3:$U$199,0)),0)</f>
        <v>6</v>
      </c>
      <c r="G60" s="15">
        <f t="shared" si="15"/>
        <v>19</v>
      </c>
      <c r="H60" s="17">
        <v>0</v>
      </c>
      <c r="I60" s="17">
        <v>0</v>
      </c>
      <c r="J60" s="17">
        <v>0</v>
      </c>
      <c r="K60" s="17">
        <v>1</v>
      </c>
      <c r="L60" s="17">
        <v>4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20">
        <v>0</v>
      </c>
      <c r="S60" s="20">
        <v>0</v>
      </c>
      <c r="T60" s="20">
        <v>0</v>
      </c>
      <c r="U60" s="17"/>
      <c r="V60" s="17"/>
      <c r="W60" s="20">
        <f t="shared" si="16"/>
        <v>0</v>
      </c>
      <c r="X60" s="21">
        <f t="shared" si="24"/>
        <v>15</v>
      </c>
      <c r="Y60" s="15">
        <f t="shared" si="25"/>
        <v>13</v>
      </c>
      <c r="Z60" s="15">
        <f t="shared" si="17"/>
        <v>2</v>
      </c>
      <c r="AA60" s="18" t="str">
        <f t="shared" si="18"/>
        <v/>
      </c>
      <c r="AB60" s="17">
        <v>0</v>
      </c>
      <c r="AC60" s="17">
        <v>0</v>
      </c>
      <c r="AD60" s="15">
        <f t="shared" si="20"/>
        <v>0</v>
      </c>
      <c r="AE60" s="17">
        <v>1</v>
      </c>
      <c r="AF60" s="17">
        <v>0</v>
      </c>
      <c r="AG60" s="15">
        <f t="shared" si="21"/>
        <v>1</v>
      </c>
      <c r="AH60" s="17">
        <v>4</v>
      </c>
      <c r="AI60" s="17">
        <v>3</v>
      </c>
      <c r="AJ60" s="15">
        <f t="shared" si="22"/>
        <v>1</v>
      </c>
      <c r="AK60" s="17">
        <v>0</v>
      </c>
      <c r="AL60" s="17">
        <v>0</v>
      </c>
      <c r="AM60" s="15">
        <f t="shared" si="23"/>
        <v>0</v>
      </c>
      <c r="AN60" s="17"/>
      <c r="AO60" s="53">
        <f t="shared" si="19"/>
        <v>12</v>
      </c>
      <c r="AP60" s="53">
        <f>IF($A60="",0,IF(COUNTIFS([1]Sheet1!$A$2:$A$190,$A60,[1]Sheet1!$B$2:$B$190,$B60,[1]Sheet1!$C$2:$C$190,"&gt;=0")=0,0,SUMIFS([1]Sheet1!$C$2:$C$190,[1]Sheet1!$A$2:$A$190,$A60,[1]Sheet1!$B$2:$B$190,$B60)-$AO60))</f>
        <v>1</v>
      </c>
    </row>
    <row r="61" spans="1:42" x14ac:dyDescent="0.3">
      <c r="A61" s="15" t="s">
        <v>192</v>
      </c>
      <c r="B61" s="15">
        <v>100</v>
      </c>
      <c r="C61" s="15" t="s">
        <v>54</v>
      </c>
      <c r="D61" s="15" t="s">
        <v>55</v>
      </c>
      <c r="E61" s="15" cm="1">
        <f t="array" ref="E61">IFERROR(_xlfn.XLOOKUP($A61&amp;"|"&amp;$B61&amp;"|"&amp;$D61,'21-AUGUST-2026'!$A$3:$A$199&amp;"|"&amp;'21-AUGUST-2026'!$B$3:$B$199&amp;"|"&amp;'21-AUGUST-2026'!$D$3:$D$199,'21-AUGUST-2026'!$T$3:$T$199,_xlfn.XLOOKUP($A61&amp;"|"&amp;$B61,'21-AUGUST-2026'!$A$3:$A$199&amp;"|"&amp;'21-AUGUST-2026'!$B$3:$B$199,'21-AUGUST-2026'!$T$3:$T$199,0)),0)</f>
        <v>3803</v>
      </c>
      <c r="F61" s="15" cm="1">
        <f t="array" ref="F61">IFERROR(_xlfn.XLOOKUP($A61&amp;"|"&amp;$B61&amp;"|"&amp;$D61,'21-AUGUST-2026'!$A$3:$A$199&amp;"|"&amp;'21-AUGUST-2026'!$B$3:$B$199&amp;"|"&amp;'21-AUGUST-2026'!$D$3:$D$199,'21-AUGUST-2026'!$U$3:$U$199,_xlfn.XLOOKUP($A61&amp;"|"&amp;$B61,'21-AUGUST-2026'!$A$3:$A$199&amp;"|"&amp;'21-AUGUST-2026'!$B$3:$B$199,'21-AUGUST-2026'!$U$3:$U$199,0)),0)</f>
        <v>269</v>
      </c>
      <c r="G61" s="15">
        <f t="shared" si="15"/>
        <v>4072</v>
      </c>
      <c r="H61" s="17">
        <v>141</v>
      </c>
      <c r="I61" s="17">
        <v>13</v>
      </c>
      <c r="J61" s="17">
        <v>0</v>
      </c>
      <c r="K61" s="17">
        <v>42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20">
        <v>0</v>
      </c>
      <c r="S61" s="20">
        <v>0</v>
      </c>
      <c r="T61" s="20">
        <v>0</v>
      </c>
      <c r="U61" s="17"/>
      <c r="V61" s="17"/>
      <c r="W61" s="20">
        <f t="shared" si="16"/>
        <v>0</v>
      </c>
      <c r="X61" s="21">
        <f t="shared" si="24"/>
        <v>3921</v>
      </c>
      <c r="Y61" s="15">
        <f t="shared" si="25"/>
        <v>3665</v>
      </c>
      <c r="Z61" s="15">
        <f t="shared" si="17"/>
        <v>256</v>
      </c>
      <c r="AA61" s="18" t="str">
        <f t="shared" si="18"/>
        <v/>
      </c>
      <c r="AB61" s="17">
        <v>17</v>
      </c>
      <c r="AC61" s="17">
        <v>17</v>
      </c>
      <c r="AD61" s="15">
        <f t="shared" si="20"/>
        <v>0</v>
      </c>
      <c r="AE61" s="17">
        <v>13</v>
      </c>
      <c r="AF61" s="17">
        <v>0</v>
      </c>
      <c r="AG61" s="15">
        <f t="shared" si="21"/>
        <v>13</v>
      </c>
      <c r="AH61" s="17">
        <v>12</v>
      </c>
      <c r="AI61" s="17">
        <v>12</v>
      </c>
      <c r="AJ61" s="15">
        <f t="shared" si="22"/>
        <v>0</v>
      </c>
      <c r="AK61" s="17">
        <v>0</v>
      </c>
      <c r="AL61" s="17">
        <v>0</v>
      </c>
      <c r="AM61" s="15">
        <f t="shared" si="23"/>
        <v>0</v>
      </c>
      <c r="AN61" s="17"/>
      <c r="AO61" s="53">
        <f t="shared" si="19"/>
        <v>3620</v>
      </c>
      <c r="AP61" s="53">
        <f>IF($A61="",0,IF(COUNTIFS([1]Sheet1!$A$2:$A$190,$A61,[1]Sheet1!$B$2:$B$190,$B61,[1]Sheet1!$C$2:$C$190,"&gt;=0")=0,0,SUMIFS([1]Sheet1!$C$2:$C$190,[1]Sheet1!$A$2:$A$190,$A61,[1]Sheet1!$B$2:$B$190,$B61)-$AO61))</f>
        <v>45</v>
      </c>
    </row>
    <row r="62" spans="1:42" x14ac:dyDescent="0.3">
      <c r="A62" s="15" t="s">
        <v>192</v>
      </c>
      <c r="B62" s="15">
        <v>500</v>
      </c>
      <c r="C62" s="15" t="s">
        <v>54</v>
      </c>
      <c r="D62" s="15" t="s">
        <v>55</v>
      </c>
      <c r="E62" s="15" cm="1">
        <f t="array" ref="E62">IFERROR(_xlfn.XLOOKUP($A62&amp;"|"&amp;$B62&amp;"|"&amp;$D62,'21-AUGUST-2026'!$A$3:$A$199&amp;"|"&amp;'21-AUGUST-2026'!$B$3:$B$199&amp;"|"&amp;'21-AUGUST-2026'!$D$3:$D$199,'21-AUGUST-2026'!$T$3:$T$199,_xlfn.XLOOKUP($A62&amp;"|"&amp;$B62,'21-AUGUST-2026'!$A$3:$A$199&amp;"|"&amp;'21-AUGUST-2026'!$B$3:$B$199,'21-AUGUST-2026'!$T$3:$T$199,0)),0)</f>
        <v>1</v>
      </c>
      <c r="F62" s="15" cm="1">
        <f t="array" ref="F62">IFERROR(_xlfn.XLOOKUP($A62&amp;"|"&amp;$B62&amp;"|"&amp;$D62,'21-AUGUST-2026'!$A$3:$A$199&amp;"|"&amp;'21-AUGUST-2026'!$B$3:$B$199&amp;"|"&amp;'21-AUGUST-2026'!$D$3:$D$199,'21-AUGUST-2026'!$U$3:$U$199,_xlfn.XLOOKUP($A62&amp;"|"&amp;$B62,'21-AUGUST-2026'!$A$3:$A$199&amp;"|"&amp;'21-AUGUST-2026'!$B$3:$B$199,'21-AUGUST-2026'!$U$3:$U$199,0)),0)</f>
        <v>0</v>
      </c>
      <c r="G62" s="15">
        <f t="shared" si="15"/>
        <v>1</v>
      </c>
      <c r="H62" s="17">
        <v>0</v>
      </c>
      <c r="I62" s="17">
        <v>0</v>
      </c>
      <c r="J62" s="17">
        <v>0</v>
      </c>
      <c r="K62" s="17">
        <v>1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20">
        <v>0</v>
      </c>
      <c r="S62" s="20">
        <v>0</v>
      </c>
      <c r="T62" s="20">
        <v>0</v>
      </c>
      <c r="U62" s="17"/>
      <c r="V62" s="17"/>
      <c r="W62" s="20">
        <f t="shared" si="16"/>
        <v>0</v>
      </c>
      <c r="X62" s="21">
        <f t="shared" si="24"/>
        <v>0</v>
      </c>
      <c r="Y62" s="15">
        <f t="shared" si="25"/>
        <v>0</v>
      </c>
      <c r="Z62" s="15">
        <f t="shared" si="17"/>
        <v>0</v>
      </c>
      <c r="AA62" s="18" t="str">
        <f t="shared" si="18"/>
        <v/>
      </c>
      <c r="AB62" s="17">
        <v>1</v>
      </c>
      <c r="AC62" s="17">
        <v>1</v>
      </c>
      <c r="AD62" s="15">
        <f t="shared" si="20"/>
        <v>0</v>
      </c>
      <c r="AE62" s="17">
        <v>0</v>
      </c>
      <c r="AF62" s="17">
        <v>0</v>
      </c>
      <c r="AG62" s="15">
        <f t="shared" si="21"/>
        <v>0</v>
      </c>
      <c r="AH62" s="17">
        <v>0</v>
      </c>
      <c r="AI62" s="17">
        <v>0</v>
      </c>
      <c r="AJ62" s="15">
        <f t="shared" si="22"/>
        <v>0</v>
      </c>
      <c r="AK62" s="17">
        <v>0</v>
      </c>
      <c r="AL62" s="17">
        <v>0</v>
      </c>
      <c r="AM62" s="15">
        <f t="shared" si="23"/>
        <v>0</v>
      </c>
      <c r="AN62" s="17"/>
      <c r="AO62" s="53">
        <f t="shared" si="19"/>
        <v>0</v>
      </c>
      <c r="AP62" s="53">
        <f>IF($A62="",0,IF(COUNTIFS([1]Sheet1!$A$2:$A$190,$A62,[1]Sheet1!$B$2:$B$190,$B62,[1]Sheet1!$C$2:$C$190,"&gt;=0")=0,0,SUMIFS([1]Sheet1!$C$2:$C$190,[1]Sheet1!$A$2:$A$190,$A62,[1]Sheet1!$B$2:$B$190,$B62)-$AO62))</f>
        <v>0</v>
      </c>
    </row>
    <row r="63" spans="1:42" x14ac:dyDescent="0.3">
      <c r="A63" s="15" t="s">
        <v>194</v>
      </c>
      <c r="B63" s="15">
        <v>1000</v>
      </c>
      <c r="C63" s="15"/>
      <c r="D63" s="15" t="s">
        <v>55</v>
      </c>
      <c r="E63" s="15" cm="1">
        <f t="array" ref="E63">IFERROR(_xlfn.XLOOKUP($A63&amp;"|"&amp;$B63&amp;"|"&amp;$D63,'21-AUGUST-2026'!$A$3:$A$199&amp;"|"&amp;'21-AUGUST-2026'!$B$3:$B$199&amp;"|"&amp;'21-AUGUST-2026'!$D$3:$D$199,'21-AUGUST-2026'!$T$3:$T$199,_xlfn.XLOOKUP($A63&amp;"|"&amp;$B63,'21-AUGUST-2026'!$A$3:$A$199&amp;"|"&amp;'21-AUGUST-2026'!$B$3:$B$199,'21-AUGUST-2026'!$T$3:$T$199,0)),0)</f>
        <v>0</v>
      </c>
      <c r="F63" s="15" cm="1">
        <f t="array" ref="F63">IFERROR(_xlfn.XLOOKUP($A63&amp;"|"&amp;$B63&amp;"|"&amp;$D63,'21-AUGUST-2026'!$A$3:$A$199&amp;"|"&amp;'21-AUGUST-2026'!$B$3:$B$199&amp;"|"&amp;'21-AUGUST-2026'!$D$3:$D$199,'21-AUGUST-2026'!$U$3:$U$199,_xlfn.XLOOKUP($A63&amp;"|"&amp;$B63,'21-AUGUST-2026'!$A$3:$A$199&amp;"|"&amp;'21-AUGUST-2026'!$B$3:$B$199,'21-AUGUST-2026'!$U$3:$U$199,0)),0)</f>
        <v>0</v>
      </c>
      <c r="G63" s="15">
        <f t="shared" si="15"/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20">
        <v>0</v>
      </c>
      <c r="S63" s="20">
        <v>0</v>
      </c>
      <c r="T63" s="20">
        <v>0</v>
      </c>
      <c r="U63" s="17"/>
      <c r="V63" s="17"/>
      <c r="W63" s="20">
        <f t="shared" si="16"/>
        <v>0</v>
      </c>
      <c r="X63" s="21">
        <f t="shared" si="24"/>
        <v>0</v>
      </c>
      <c r="Y63" s="15">
        <f t="shared" si="25"/>
        <v>0</v>
      </c>
      <c r="Z63" s="15">
        <f t="shared" si="17"/>
        <v>0</v>
      </c>
      <c r="AA63" s="18" t="str">
        <f t="shared" si="18"/>
        <v/>
      </c>
      <c r="AB63" s="17">
        <v>0</v>
      </c>
      <c r="AC63" s="17">
        <v>0</v>
      </c>
      <c r="AD63" s="15">
        <f t="shared" si="20"/>
        <v>0</v>
      </c>
      <c r="AE63" s="17">
        <v>0</v>
      </c>
      <c r="AF63" s="17">
        <v>0</v>
      </c>
      <c r="AG63" s="15">
        <f t="shared" si="21"/>
        <v>0</v>
      </c>
      <c r="AH63" s="17">
        <v>0</v>
      </c>
      <c r="AI63" s="17">
        <v>0</v>
      </c>
      <c r="AJ63" s="15">
        <f t="shared" si="22"/>
        <v>0</v>
      </c>
      <c r="AK63" s="17">
        <v>0</v>
      </c>
      <c r="AL63" s="17">
        <v>0</v>
      </c>
      <c r="AM63" s="15">
        <f t="shared" si="23"/>
        <v>0</v>
      </c>
      <c r="AN63" s="17"/>
      <c r="AO63" s="53">
        <f t="shared" si="19"/>
        <v>0</v>
      </c>
      <c r="AP63" s="53">
        <f>IF($A63="",0,IF(COUNTIFS([1]Sheet1!$A$2:$A$190,$A63,[1]Sheet1!$B$2:$B$190,$B63,[1]Sheet1!$C$2:$C$190,"&gt;=0")=0,0,SUMIFS([1]Sheet1!$C$2:$C$190,[1]Sheet1!$A$2:$A$190,$A63,[1]Sheet1!$B$2:$B$190,$B63)-$AO63))</f>
        <v>0</v>
      </c>
    </row>
    <row r="64" spans="1:42" x14ac:dyDescent="0.3">
      <c r="A64" s="15" t="s">
        <v>196</v>
      </c>
      <c r="B64" s="15">
        <v>100</v>
      </c>
      <c r="C64" s="15" t="s">
        <v>54</v>
      </c>
      <c r="D64" s="15" t="s">
        <v>55</v>
      </c>
      <c r="E64" s="15" cm="1">
        <f t="array" ref="E64">IFERROR(_xlfn.XLOOKUP($A64&amp;"|"&amp;$B64&amp;"|"&amp;$D64,'21-AUGUST-2026'!$A$3:$A$199&amp;"|"&amp;'21-AUGUST-2026'!$B$3:$B$199&amp;"|"&amp;'21-AUGUST-2026'!$D$3:$D$199,'21-AUGUST-2026'!$T$3:$T$199,_xlfn.XLOOKUP($A64&amp;"|"&amp;$B64,'21-AUGUST-2026'!$A$3:$A$199&amp;"|"&amp;'21-AUGUST-2026'!$B$3:$B$199,'21-AUGUST-2026'!$T$3:$T$199,0)),0)</f>
        <v>216</v>
      </c>
      <c r="F64" s="15" cm="1">
        <f t="array" ref="F64">IFERROR(_xlfn.XLOOKUP($A64&amp;"|"&amp;$B64&amp;"|"&amp;$D64,'21-AUGUST-2026'!$A$3:$A$199&amp;"|"&amp;'21-AUGUST-2026'!$B$3:$B$199&amp;"|"&amp;'21-AUGUST-2026'!$D$3:$D$199,'21-AUGUST-2026'!$U$3:$U$199,_xlfn.XLOOKUP($A64&amp;"|"&amp;$B64,'21-AUGUST-2026'!$A$3:$A$199&amp;"|"&amp;'21-AUGUST-2026'!$B$3:$B$199,'21-AUGUST-2026'!$U$3:$U$199,0)),0)</f>
        <v>127</v>
      </c>
      <c r="G64" s="15">
        <f t="shared" si="15"/>
        <v>343</v>
      </c>
      <c r="H64" s="17">
        <v>44</v>
      </c>
      <c r="I64" s="17">
        <v>5</v>
      </c>
      <c r="J64" s="17">
        <v>0</v>
      </c>
      <c r="K64" s="17">
        <v>9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20">
        <v>0</v>
      </c>
      <c r="S64" s="20">
        <v>0</v>
      </c>
      <c r="T64" s="20">
        <v>0</v>
      </c>
      <c r="U64" s="17"/>
      <c r="V64" s="17"/>
      <c r="W64" s="20">
        <f t="shared" si="16"/>
        <v>0</v>
      </c>
      <c r="X64" s="21">
        <f t="shared" si="24"/>
        <v>287</v>
      </c>
      <c r="Y64" s="15">
        <f t="shared" si="25"/>
        <v>165</v>
      </c>
      <c r="Z64" s="15">
        <f t="shared" si="17"/>
        <v>122</v>
      </c>
      <c r="AA64" s="18" t="str">
        <f t="shared" si="18"/>
        <v/>
      </c>
      <c r="AB64" s="17">
        <v>0</v>
      </c>
      <c r="AC64" s="17">
        <v>0</v>
      </c>
      <c r="AD64" s="15">
        <f t="shared" si="20"/>
        <v>0</v>
      </c>
      <c r="AE64" s="17">
        <v>0</v>
      </c>
      <c r="AF64" s="17">
        <v>0</v>
      </c>
      <c r="AG64" s="15">
        <f t="shared" si="21"/>
        <v>0</v>
      </c>
      <c r="AH64" s="17">
        <v>9</v>
      </c>
      <c r="AI64" s="17">
        <v>9</v>
      </c>
      <c r="AJ64" s="15">
        <f t="shared" si="22"/>
        <v>0</v>
      </c>
      <c r="AK64" s="17">
        <v>0</v>
      </c>
      <c r="AL64" s="17">
        <v>0</v>
      </c>
      <c r="AM64" s="15">
        <f t="shared" si="23"/>
        <v>0</v>
      </c>
      <c r="AN64" s="17"/>
      <c r="AO64" s="53">
        <f t="shared" si="19"/>
        <v>163</v>
      </c>
      <c r="AP64" s="53">
        <f>IF($A64="",0,IF(COUNTIFS([1]Sheet1!$A$2:$A$190,$A64,[1]Sheet1!$B$2:$B$190,$B64,[1]Sheet1!$C$2:$C$190,"&gt;=0")=0,0,SUMIFS([1]Sheet1!$C$2:$C$190,[1]Sheet1!$A$2:$A$190,$A64,[1]Sheet1!$B$2:$B$190,$B64)-$AO64))</f>
        <v>2</v>
      </c>
    </row>
    <row r="65" spans="1:42" x14ac:dyDescent="0.3">
      <c r="A65" s="15" t="s">
        <v>197</v>
      </c>
      <c r="B65" s="15">
        <v>100</v>
      </c>
      <c r="C65" s="15" t="s">
        <v>54</v>
      </c>
      <c r="D65" s="15" t="s">
        <v>55</v>
      </c>
      <c r="E65" s="15" cm="1">
        <f t="array" ref="E65">IFERROR(_xlfn.XLOOKUP($A65&amp;"|"&amp;$B65&amp;"|"&amp;$D65,'21-AUGUST-2026'!$A$3:$A$199&amp;"|"&amp;'21-AUGUST-2026'!$B$3:$B$199&amp;"|"&amp;'21-AUGUST-2026'!$D$3:$D$199,'21-AUGUST-2026'!$T$3:$T$199,_xlfn.XLOOKUP($A65&amp;"|"&amp;$B65,'21-AUGUST-2026'!$A$3:$A$199&amp;"|"&amp;'21-AUGUST-2026'!$B$3:$B$199,'21-AUGUST-2026'!$T$3:$T$199,0)),0)</f>
        <v>0</v>
      </c>
      <c r="F65" s="15" cm="1">
        <f t="array" ref="F65">IFERROR(_xlfn.XLOOKUP($A65&amp;"|"&amp;$B65&amp;"|"&amp;$D65,'21-AUGUST-2026'!$A$3:$A$199&amp;"|"&amp;'21-AUGUST-2026'!$B$3:$B$199&amp;"|"&amp;'21-AUGUST-2026'!$D$3:$D$199,'21-AUGUST-2026'!$U$3:$U$199,_xlfn.XLOOKUP($A65&amp;"|"&amp;$B65,'21-AUGUST-2026'!$A$3:$A$199&amp;"|"&amp;'21-AUGUST-2026'!$B$3:$B$199,'21-AUGUST-2026'!$U$3:$U$199,0)),0)</f>
        <v>0</v>
      </c>
      <c r="G65" s="15">
        <f t="shared" si="15"/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20">
        <v>0</v>
      </c>
      <c r="S65" s="20">
        <v>0</v>
      </c>
      <c r="T65" s="20">
        <v>0</v>
      </c>
      <c r="U65" s="17"/>
      <c r="V65" s="17"/>
      <c r="W65" s="20">
        <f t="shared" si="16"/>
        <v>0</v>
      </c>
      <c r="X65" s="21">
        <f t="shared" si="24"/>
        <v>0</v>
      </c>
      <c r="Y65" s="15">
        <f t="shared" si="25"/>
        <v>0</v>
      </c>
      <c r="Z65" s="15">
        <f t="shared" si="17"/>
        <v>0</v>
      </c>
      <c r="AA65" s="18" t="str">
        <f t="shared" si="18"/>
        <v/>
      </c>
      <c r="AB65" s="17">
        <v>0</v>
      </c>
      <c r="AC65" s="17">
        <v>0</v>
      </c>
      <c r="AD65" s="15">
        <f t="shared" si="20"/>
        <v>0</v>
      </c>
      <c r="AE65" s="17">
        <v>0</v>
      </c>
      <c r="AF65" s="17">
        <v>0</v>
      </c>
      <c r="AG65" s="15">
        <f t="shared" si="21"/>
        <v>0</v>
      </c>
      <c r="AH65" s="17">
        <v>0</v>
      </c>
      <c r="AI65" s="17">
        <v>0</v>
      </c>
      <c r="AJ65" s="15">
        <f t="shared" si="22"/>
        <v>0</v>
      </c>
      <c r="AK65" s="17">
        <v>0</v>
      </c>
      <c r="AL65" s="17">
        <v>0</v>
      </c>
      <c r="AM65" s="15">
        <f t="shared" si="23"/>
        <v>0</v>
      </c>
      <c r="AN65" s="17"/>
      <c r="AO65" s="53">
        <f t="shared" si="19"/>
        <v>0</v>
      </c>
      <c r="AP65" s="53">
        <f>IF($A65="",0,IF(COUNTIFS([1]Sheet1!$A$2:$A$190,$A65,[1]Sheet1!$B$2:$B$190,$B65,[1]Sheet1!$C$2:$C$190,"&gt;=0")=0,0,SUMIFS([1]Sheet1!$C$2:$C$190,[1]Sheet1!$A$2:$A$190,$A65,[1]Sheet1!$B$2:$B$190,$B65)-$AO65))</f>
        <v>0</v>
      </c>
    </row>
    <row r="66" spans="1:42" x14ac:dyDescent="0.3">
      <c r="A66" s="15" t="s">
        <v>198</v>
      </c>
      <c r="B66" s="15">
        <v>100</v>
      </c>
      <c r="C66" s="15" t="s">
        <v>54</v>
      </c>
      <c r="D66" s="15" t="s">
        <v>55</v>
      </c>
      <c r="E66" s="15" cm="1">
        <f t="array" ref="E66">IFERROR(_xlfn.XLOOKUP($A66&amp;"|"&amp;$B66&amp;"|"&amp;$D66,'21-AUGUST-2026'!$A$3:$A$199&amp;"|"&amp;'21-AUGUST-2026'!$B$3:$B$199&amp;"|"&amp;'21-AUGUST-2026'!$D$3:$D$199,'21-AUGUST-2026'!$T$3:$T$199,_xlfn.XLOOKUP($A66&amp;"|"&amp;$B66,'21-AUGUST-2026'!$A$3:$A$199&amp;"|"&amp;'21-AUGUST-2026'!$B$3:$B$199,'21-AUGUST-2026'!$T$3:$T$199,0)),0)</f>
        <v>-54</v>
      </c>
      <c r="F66" s="15" cm="1">
        <f t="array" ref="F66">IFERROR(_xlfn.XLOOKUP($A66&amp;"|"&amp;$B66&amp;"|"&amp;$D66,'21-AUGUST-2026'!$A$3:$A$199&amp;"|"&amp;'21-AUGUST-2026'!$B$3:$B$199&amp;"|"&amp;'21-AUGUST-2026'!$D$3:$D$199,'21-AUGUST-2026'!$U$3:$U$199,_xlfn.XLOOKUP($A66&amp;"|"&amp;$B66,'21-AUGUST-2026'!$A$3:$A$199&amp;"|"&amp;'21-AUGUST-2026'!$B$3:$B$199,'21-AUGUST-2026'!$U$3:$U$199,0)),0)</f>
        <v>-56</v>
      </c>
      <c r="G66" s="15">
        <f t="shared" si="15"/>
        <v>-110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20">
        <v>0</v>
      </c>
      <c r="S66" s="20">
        <v>0</v>
      </c>
      <c r="T66" s="20">
        <v>0</v>
      </c>
      <c r="U66" s="17"/>
      <c r="V66" s="17"/>
      <c r="W66" s="20">
        <f t="shared" si="16"/>
        <v>0</v>
      </c>
      <c r="X66" s="21">
        <f t="shared" si="24"/>
        <v>-110</v>
      </c>
      <c r="Y66" s="15">
        <f t="shared" si="25"/>
        <v>-54</v>
      </c>
      <c r="Z66" s="15">
        <f t="shared" si="17"/>
        <v>-56</v>
      </c>
      <c r="AA66" s="18" t="str">
        <f t="shared" si="18"/>
        <v>NEGATIVE STOCK - CHECK ENTRIES</v>
      </c>
      <c r="AB66" s="17">
        <v>0</v>
      </c>
      <c r="AC66" s="17">
        <v>11</v>
      </c>
      <c r="AD66" s="15">
        <f t="shared" si="20"/>
        <v>-11</v>
      </c>
      <c r="AE66" s="17">
        <v>0</v>
      </c>
      <c r="AF66" s="17">
        <v>0</v>
      </c>
      <c r="AG66" s="15">
        <f t="shared" si="21"/>
        <v>0</v>
      </c>
      <c r="AH66" s="17">
        <v>0</v>
      </c>
      <c r="AI66" s="17">
        <v>0</v>
      </c>
      <c r="AJ66" s="15">
        <f t="shared" si="22"/>
        <v>0</v>
      </c>
      <c r="AK66" s="17">
        <v>0</v>
      </c>
      <c r="AL66" s="17">
        <v>0</v>
      </c>
      <c r="AM66" s="15">
        <f t="shared" si="23"/>
        <v>0</v>
      </c>
      <c r="AN66" s="17"/>
      <c r="AO66" s="53">
        <f t="shared" si="19"/>
        <v>-54</v>
      </c>
      <c r="AP66" s="53">
        <f>IF($A66="",0,IF(COUNTIFS([1]Sheet1!$A$2:$A$190,$A66,[1]Sheet1!$B$2:$B$190,$B66,[1]Sheet1!$C$2:$C$190,"&gt;=0")=0,0,SUMIFS([1]Sheet1!$C$2:$C$190,[1]Sheet1!$A$2:$A$190,$A66,[1]Sheet1!$B$2:$B$190,$B66)-$AO66))</f>
        <v>0</v>
      </c>
    </row>
    <row r="67" spans="1:42" x14ac:dyDescent="0.3">
      <c r="A67" s="15" t="s">
        <v>199</v>
      </c>
      <c r="B67" s="15">
        <v>500</v>
      </c>
      <c r="C67" s="15" t="s">
        <v>54</v>
      </c>
      <c r="D67" s="15" t="s">
        <v>55</v>
      </c>
      <c r="E67" s="15" cm="1">
        <f t="array" ref="E67">IFERROR(_xlfn.XLOOKUP($A67&amp;"|"&amp;$B67&amp;"|"&amp;$D67,'21-AUGUST-2026'!$A$3:$A$199&amp;"|"&amp;'21-AUGUST-2026'!$B$3:$B$199&amp;"|"&amp;'21-AUGUST-2026'!$D$3:$D$199,'21-AUGUST-2026'!$T$3:$T$199,_xlfn.XLOOKUP($A67&amp;"|"&amp;$B67,'21-AUGUST-2026'!$A$3:$A$199&amp;"|"&amp;'21-AUGUST-2026'!$B$3:$B$199,'21-AUGUST-2026'!$T$3:$T$199,0)),0)</f>
        <v>0</v>
      </c>
      <c r="F67" s="15" cm="1">
        <f t="array" ref="F67">IFERROR(_xlfn.XLOOKUP($A67&amp;"|"&amp;$B67&amp;"|"&amp;$D67,'21-AUGUST-2026'!$A$3:$A$199&amp;"|"&amp;'21-AUGUST-2026'!$B$3:$B$199&amp;"|"&amp;'21-AUGUST-2026'!$D$3:$D$199,'21-AUGUST-2026'!$U$3:$U$199,_xlfn.XLOOKUP($A67&amp;"|"&amp;$B67,'21-AUGUST-2026'!$A$3:$A$199&amp;"|"&amp;'21-AUGUST-2026'!$B$3:$B$199,'21-AUGUST-2026'!$U$3:$U$199,0)),0)</f>
        <v>1</v>
      </c>
      <c r="G67" s="15">
        <f t="shared" ref="G67:G98" si="26">E67+F67</f>
        <v>1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20">
        <v>0</v>
      </c>
      <c r="S67" s="20">
        <v>0</v>
      </c>
      <c r="T67" s="20">
        <v>0</v>
      </c>
      <c r="U67" s="17"/>
      <c r="V67" s="17"/>
      <c r="W67" s="20">
        <f t="shared" ref="W67:W98" si="27">R67+S67+T67</f>
        <v>0</v>
      </c>
      <c r="X67" s="21">
        <f t="shared" si="24"/>
        <v>1</v>
      </c>
      <c r="Y67" s="15">
        <f t="shared" si="25"/>
        <v>0</v>
      </c>
      <c r="Z67" s="15">
        <f t="shared" ref="Z67:Z98" si="28">F67+O67+IF($V67="Moro",$W67,0)-I67-L67</f>
        <v>1</v>
      </c>
      <c r="AA67" s="18" t="str">
        <f t="shared" ref="AA67:AA98" si="29">IF(AND(V67&gt;0,U67=""),"IMPORT NEEDS DESTINATION",IF(MIN(Y67,Z67)&lt;0,"NEGATIVE STOCK - CHECK ENTRIES",""))</f>
        <v/>
      </c>
      <c r="AB67" s="17">
        <v>0</v>
      </c>
      <c r="AC67" s="17">
        <v>0</v>
      </c>
      <c r="AD67" s="15">
        <f t="shared" si="20"/>
        <v>0</v>
      </c>
      <c r="AE67" s="17">
        <v>0</v>
      </c>
      <c r="AF67" s="17">
        <v>0</v>
      </c>
      <c r="AG67" s="15">
        <f t="shared" si="21"/>
        <v>0</v>
      </c>
      <c r="AH67" s="17">
        <v>0</v>
      </c>
      <c r="AI67" s="17">
        <v>0</v>
      </c>
      <c r="AJ67" s="15">
        <f t="shared" si="22"/>
        <v>0</v>
      </c>
      <c r="AK67" s="17">
        <v>0</v>
      </c>
      <c r="AL67" s="17">
        <v>0</v>
      </c>
      <c r="AM67" s="15">
        <f t="shared" si="23"/>
        <v>0</v>
      </c>
      <c r="AN67" s="17"/>
      <c r="AO67" s="53">
        <f t="shared" ref="AO67:AO98" si="30">E67+N67+IF($V67="Arusha",$W67,0)-H67-K67</f>
        <v>0</v>
      </c>
      <c r="AP67" s="53">
        <f>IF($A67="",0,IF(COUNTIFS([1]Sheet1!$A$2:$A$190,$A67,[1]Sheet1!$B$2:$B$190,$B67,[1]Sheet1!$C$2:$C$190,"&gt;=0")=0,0,SUMIFS([1]Sheet1!$C$2:$C$190,[1]Sheet1!$A$2:$A$190,$A67,[1]Sheet1!$B$2:$B$190,$B67)-$AO67))</f>
        <v>0</v>
      </c>
    </row>
    <row r="68" spans="1:42" x14ac:dyDescent="0.3">
      <c r="A68" s="15" t="s">
        <v>200</v>
      </c>
      <c r="B68" s="15">
        <v>100</v>
      </c>
      <c r="C68" s="15" t="s">
        <v>54</v>
      </c>
      <c r="D68" s="15" t="s">
        <v>55</v>
      </c>
      <c r="E68" s="15" cm="1">
        <f t="array" ref="E68">IFERROR(_xlfn.XLOOKUP($A68&amp;"|"&amp;$B68&amp;"|"&amp;$D68,'21-AUGUST-2026'!$A$3:$A$199&amp;"|"&amp;'21-AUGUST-2026'!$B$3:$B$199&amp;"|"&amp;'21-AUGUST-2026'!$D$3:$D$199,'21-AUGUST-2026'!$T$3:$T$199,_xlfn.XLOOKUP($A68&amp;"|"&amp;$B68,'21-AUGUST-2026'!$A$3:$A$199&amp;"|"&amp;'21-AUGUST-2026'!$B$3:$B$199,'21-AUGUST-2026'!$T$3:$T$199,0)),0)</f>
        <v>156</v>
      </c>
      <c r="F68" s="15" cm="1">
        <f t="array" ref="F68">IFERROR(_xlfn.XLOOKUP($A68&amp;"|"&amp;$B68&amp;"|"&amp;$D68,'21-AUGUST-2026'!$A$3:$A$199&amp;"|"&amp;'21-AUGUST-2026'!$B$3:$B$199&amp;"|"&amp;'21-AUGUST-2026'!$D$3:$D$199,'21-AUGUST-2026'!$U$3:$U$199,_xlfn.XLOOKUP($A68&amp;"|"&amp;$B68,'21-AUGUST-2026'!$A$3:$A$199&amp;"|"&amp;'21-AUGUST-2026'!$B$3:$B$199,'21-AUGUST-2026'!$U$3:$U$199,0)),0)</f>
        <v>57</v>
      </c>
      <c r="G68" s="15">
        <f t="shared" si="26"/>
        <v>213</v>
      </c>
      <c r="H68" s="17">
        <v>23</v>
      </c>
      <c r="I68" s="17">
        <v>5</v>
      </c>
      <c r="J68" s="17">
        <v>0</v>
      </c>
      <c r="K68" s="17">
        <v>14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20">
        <v>0</v>
      </c>
      <c r="S68" s="20">
        <v>0</v>
      </c>
      <c r="T68" s="20">
        <v>0</v>
      </c>
      <c r="U68" s="17"/>
      <c r="V68" s="17"/>
      <c r="W68" s="20">
        <f t="shared" si="27"/>
        <v>0</v>
      </c>
      <c r="X68" s="21">
        <f t="shared" si="24"/>
        <v>201</v>
      </c>
      <c r="Y68" s="15">
        <f t="shared" si="25"/>
        <v>149</v>
      </c>
      <c r="Z68" s="15">
        <f t="shared" si="28"/>
        <v>52</v>
      </c>
      <c r="AA68" s="18" t="str">
        <f t="shared" si="29"/>
        <v/>
      </c>
      <c r="AB68" s="17">
        <v>9</v>
      </c>
      <c r="AC68" s="17">
        <v>19</v>
      </c>
      <c r="AD68" s="15">
        <f t="shared" ref="AD68:AD99" si="31">AB68-AC68</f>
        <v>-10</v>
      </c>
      <c r="AE68" s="17">
        <v>5</v>
      </c>
      <c r="AF68" s="17">
        <v>5</v>
      </c>
      <c r="AG68" s="15">
        <f t="shared" ref="AG68:AG99" si="32">AE68-AF68</f>
        <v>0</v>
      </c>
      <c r="AH68" s="17">
        <v>0</v>
      </c>
      <c r="AI68" s="17">
        <v>0</v>
      </c>
      <c r="AJ68" s="15">
        <f t="shared" ref="AJ68:AJ99" si="33">AH68-AI68</f>
        <v>0</v>
      </c>
      <c r="AK68" s="17">
        <v>0</v>
      </c>
      <c r="AL68" s="17">
        <v>0</v>
      </c>
      <c r="AM68" s="15">
        <f t="shared" ref="AM68:AM99" si="34">AK68-AL68</f>
        <v>0</v>
      </c>
      <c r="AN68" s="17"/>
      <c r="AO68" s="53">
        <f t="shared" si="30"/>
        <v>119</v>
      </c>
      <c r="AP68" s="53">
        <f>IF($A68="",0,IF(COUNTIFS([1]Sheet1!$A$2:$A$190,$A68,[1]Sheet1!$B$2:$B$190,$B68,[1]Sheet1!$C$2:$C$190,"&gt;=0")=0,0,SUMIFS([1]Sheet1!$C$2:$C$190,[1]Sheet1!$A$2:$A$190,$A68,[1]Sheet1!$B$2:$B$190,$B68)-$AO68))</f>
        <v>30</v>
      </c>
    </row>
    <row r="69" spans="1:42" x14ac:dyDescent="0.3">
      <c r="A69" s="15" t="s">
        <v>201</v>
      </c>
      <c r="B69" s="15">
        <v>100</v>
      </c>
      <c r="C69" s="15" t="s">
        <v>54</v>
      </c>
      <c r="D69" s="15" t="s">
        <v>55</v>
      </c>
      <c r="E69" s="15" cm="1">
        <f t="array" ref="E69">IFERROR(_xlfn.XLOOKUP($A69&amp;"|"&amp;$B69&amp;"|"&amp;$D69,'21-AUGUST-2026'!$A$3:$A$199&amp;"|"&amp;'21-AUGUST-2026'!$B$3:$B$199&amp;"|"&amp;'21-AUGUST-2026'!$D$3:$D$199,'21-AUGUST-2026'!$T$3:$T$199,_xlfn.XLOOKUP($A69&amp;"|"&amp;$B69,'21-AUGUST-2026'!$A$3:$A$199&amp;"|"&amp;'21-AUGUST-2026'!$B$3:$B$199,'21-AUGUST-2026'!$T$3:$T$199,0)),0)</f>
        <v>24</v>
      </c>
      <c r="F69" s="15" cm="1">
        <f t="array" ref="F69">IFERROR(_xlfn.XLOOKUP($A69&amp;"|"&amp;$B69&amp;"|"&amp;$D69,'21-AUGUST-2026'!$A$3:$A$199&amp;"|"&amp;'21-AUGUST-2026'!$B$3:$B$199&amp;"|"&amp;'21-AUGUST-2026'!$D$3:$D$199,'21-AUGUST-2026'!$U$3:$U$199,_xlfn.XLOOKUP($A69&amp;"|"&amp;$B69,'21-AUGUST-2026'!$A$3:$A$199&amp;"|"&amp;'21-AUGUST-2026'!$B$3:$B$199,'21-AUGUST-2026'!$U$3:$U$199,0)),0)</f>
        <v>31</v>
      </c>
      <c r="G69" s="15">
        <f t="shared" si="26"/>
        <v>55</v>
      </c>
      <c r="H69" s="17">
        <v>0</v>
      </c>
      <c r="I69" s="17">
        <v>0</v>
      </c>
      <c r="J69" s="17">
        <v>0</v>
      </c>
      <c r="K69" s="17">
        <v>25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20">
        <v>0</v>
      </c>
      <c r="S69" s="20">
        <v>0</v>
      </c>
      <c r="T69" s="20">
        <v>0</v>
      </c>
      <c r="U69" s="17"/>
      <c r="V69" s="17"/>
      <c r="W69" s="20">
        <f t="shared" si="27"/>
        <v>0</v>
      </c>
      <c r="X69" s="21">
        <f t="shared" si="24"/>
        <v>39</v>
      </c>
      <c r="Y69" s="15">
        <f t="shared" si="25"/>
        <v>8</v>
      </c>
      <c r="Z69" s="15">
        <f t="shared" si="28"/>
        <v>31</v>
      </c>
      <c r="AA69" s="18" t="str">
        <f t="shared" si="29"/>
        <v/>
      </c>
      <c r="AB69" s="17">
        <v>20</v>
      </c>
      <c r="AC69" s="17">
        <v>45</v>
      </c>
      <c r="AD69" s="15">
        <f t="shared" si="31"/>
        <v>-25</v>
      </c>
      <c r="AE69" s="17">
        <v>5</v>
      </c>
      <c r="AF69" s="17">
        <v>5</v>
      </c>
      <c r="AG69" s="15">
        <f t="shared" si="32"/>
        <v>0</v>
      </c>
      <c r="AH69" s="17">
        <v>0</v>
      </c>
      <c r="AI69" s="17">
        <v>0</v>
      </c>
      <c r="AJ69" s="15">
        <f t="shared" si="33"/>
        <v>0</v>
      </c>
      <c r="AK69" s="17">
        <v>0</v>
      </c>
      <c r="AL69" s="17">
        <v>0</v>
      </c>
      <c r="AM69" s="15">
        <f t="shared" si="34"/>
        <v>0</v>
      </c>
      <c r="AN69" s="17"/>
      <c r="AO69" s="53">
        <f t="shared" si="30"/>
        <v>-1</v>
      </c>
      <c r="AP69" s="53">
        <f>IF($A69="",0,IF(COUNTIFS([1]Sheet1!$A$2:$A$190,$A69,[1]Sheet1!$B$2:$B$190,$B69,[1]Sheet1!$C$2:$C$190,"&gt;=0")=0,0,SUMIFS([1]Sheet1!$C$2:$C$190,[1]Sheet1!$A$2:$A$190,$A69,[1]Sheet1!$B$2:$B$190,$B69)-$AO69))</f>
        <v>9</v>
      </c>
    </row>
    <row r="70" spans="1:42" x14ac:dyDescent="0.3">
      <c r="A70" s="15" t="s">
        <v>202</v>
      </c>
      <c r="B70" s="15">
        <v>100</v>
      </c>
      <c r="C70" s="15" t="s">
        <v>54</v>
      </c>
      <c r="D70" s="15" t="s">
        <v>55</v>
      </c>
      <c r="E70" s="15" cm="1">
        <f t="array" ref="E70">IFERROR(_xlfn.XLOOKUP($A70&amp;"|"&amp;$B70&amp;"|"&amp;$D70,'21-AUGUST-2026'!$A$3:$A$199&amp;"|"&amp;'21-AUGUST-2026'!$B$3:$B$199&amp;"|"&amp;'21-AUGUST-2026'!$D$3:$D$199,'21-AUGUST-2026'!$T$3:$T$199,_xlfn.XLOOKUP($A70&amp;"|"&amp;$B70,'21-AUGUST-2026'!$A$3:$A$199&amp;"|"&amp;'21-AUGUST-2026'!$B$3:$B$199,'21-AUGUST-2026'!$T$3:$T$199,0)),0)</f>
        <v>13</v>
      </c>
      <c r="F70" s="15" cm="1">
        <f t="array" ref="F70">IFERROR(_xlfn.XLOOKUP($A70&amp;"|"&amp;$B70&amp;"|"&amp;$D70,'21-AUGUST-2026'!$A$3:$A$199&amp;"|"&amp;'21-AUGUST-2026'!$B$3:$B$199&amp;"|"&amp;'21-AUGUST-2026'!$D$3:$D$199,'21-AUGUST-2026'!$U$3:$U$199,_xlfn.XLOOKUP($A70&amp;"|"&amp;$B70,'21-AUGUST-2026'!$A$3:$A$199&amp;"|"&amp;'21-AUGUST-2026'!$B$3:$B$199,'21-AUGUST-2026'!$U$3:$U$199,0)),0)</f>
        <v>0</v>
      </c>
      <c r="G70" s="15">
        <f t="shared" si="26"/>
        <v>13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20">
        <v>0</v>
      </c>
      <c r="S70" s="20">
        <v>0</v>
      </c>
      <c r="T70" s="20">
        <v>0</v>
      </c>
      <c r="U70" s="17"/>
      <c r="V70" s="17"/>
      <c r="W70" s="20">
        <f t="shared" si="27"/>
        <v>0</v>
      </c>
      <c r="X70" s="21">
        <f t="shared" si="24"/>
        <v>13</v>
      </c>
      <c r="Y70" s="15">
        <f t="shared" si="25"/>
        <v>13</v>
      </c>
      <c r="Z70" s="15">
        <f t="shared" si="28"/>
        <v>0</v>
      </c>
      <c r="AA70" s="18" t="str">
        <f t="shared" si="29"/>
        <v/>
      </c>
      <c r="AB70" s="17">
        <v>0</v>
      </c>
      <c r="AC70" s="17">
        <v>0</v>
      </c>
      <c r="AD70" s="15">
        <f t="shared" si="31"/>
        <v>0</v>
      </c>
      <c r="AE70" s="17">
        <v>0</v>
      </c>
      <c r="AF70" s="17">
        <v>0</v>
      </c>
      <c r="AG70" s="15">
        <f t="shared" si="32"/>
        <v>0</v>
      </c>
      <c r="AH70" s="17">
        <v>0</v>
      </c>
      <c r="AI70" s="17">
        <v>0</v>
      </c>
      <c r="AJ70" s="15">
        <f t="shared" si="33"/>
        <v>0</v>
      </c>
      <c r="AK70" s="17">
        <v>0</v>
      </c>
      <c r="AL70" s="17">
        <v>0</v>
      </c>
      <c r="AM70" s="15">
        <f t="shared" si="34"/>
        <v>0</v>
      </c>
      <c r="AN70" s="17"/>
      <c r="AO70" s="53">
        <f t="shared" si="30"/>
        <v>13</v>
      </c>
      <c r="AP70" s="53">
        <f>IF($A70="",0,IF(COUNTIFS([1]Sheet1!$A$2:$A$190,$A70,[1]Sheet1!$B$2:$B$190,$B70,[1]Sheet1!$C$2:$C$190,"&gt;=0")=0,0,SUMIFS([1]Sheet1!$C$2:$C$190,[1]Sheet1!$A$2:$A$190,$A70,[1]Sheet1!$B$2:$B$190,$B70)-$AO70))</f>
        <v>0</v>
      </c>
    </row>
    <row r="71" spans="1:42" x14ac:dyDescent="0.3">
      <c r="A71" s="15" t="s">
        <v>203</v>
      </c>
      <c r="B71" s="15">
        <v>100</v>
      </c>
      <c r="C71" s="15" t="s">
        <v>54</v>
      </c>
      <c r="D71" s="15" t="s">
        <v>55</v>
      </c>
      <c r="E71" s="15" cm="1">
        <f t="array" ref="E71">IFERROR(_xlfn.XLOOKUP($A71&amp;"|"&amp;$B71&amp;"|"&amp;$D71,'21-AUGUST-2026'!$A$3:$A$199&amp;"|"&amp;'21-AUGUST-2026'!$B$3:$B$199&amp;"|"&amp;'21-AUGUST-2026'!$D$3:$D$199,'21-AUGUST-2026'!$T$3:$T$199,_xlfn.XLOOKUP($A71&amp;"|"&amp;$B71,'21-AUGUST-2026'!$A$3:$A$199&amp;"|"&amp;'21-AUGUST-2026'!$B$3:$B$199,'21-AUGUST-2026'!$T$3:$T$199,0)),0)</f>
        <v>13</v>
      </c>
      <c r="F71" s="15" cm="1">
        <f t="array" ref="F71">IFERROR(_xlfn.XLOOKUP($A71&amp;"|"&amp;$B71&amp;"|"&amp;$D71,'21-AUGUST-2026'!$A$3:$A$199&amp;"|"&amp;'21-AUGUST-2026'!$B$3:$B$199&amp;"|"&amp;'21-AUGUST-2026'!$D$3:$D$199,'21-AUGUST-2026'!$U$3:$U$199,_xlfn.XLOOKUP($A71&amp;"|"&amp;$B71,'21-AUGUST-2026'!$A$3:$A$199&amp;"|"&amp;'21-AUGUST-2026'!$B$3:$B$199,'21-AUGUST-2026'!$U$3:$U$199,0)),0)</f>
        <v>0</v>
      </c>
      <c r="G71" s="15">
        <f t="shared" si="26"/>
        <v>13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20">
        <v>0</v>
      </c>
      <c r="S71" s="20">
        <v>0</v>
      </c>
      <c r="T71" s="20">
        <v>0</v>
      </c>
      <c r="U71" s="17"/>
      <c r="V71" s="17"/>
      <c r="W71" s="20">
        <f t="shared" si="27"/>
        <v>0</v>
      </c>
      <c r="X71" s="21">
        <f t="shared" si="24"/>
        <v>13</v>
      </c>
      <c r="Y71" s="15">
        <f t="shared" si="25"/>
        <v>13</v>
      </c>
      <c r="Z71" s="15">
        <f t="shared" si="28"/>
        <v>0</v>
      </c>
      <c r="AA71" s="18" t="str">
        <f t="shared" si="29"/>
        <v/>
      </c>
      <c r="AB71" s="17">
        <v>0</v>
      </c>
      <c r="AC71" s="17">
        <v>0</v>
      </c>
      <c r="AD71" s="15">
        <f t="shared" si="31"/>
        <v>0</v>
      </c>
      <c r="AE71" s="17">
        <v>0</v>
      </c>
      <c r="AF71" s="17">
        <v>0</v>
      </c>
      <c r="AG71" s="15">
        <f t="shared" si="32"/>
        <v>0</v>
      </c>
      <c r="AH71" s="17">
        <v>0</v>
      </c>
      <c r="AI71" s="17">
        <v>0</v>
      </c>
      <c r="AJ71" s="15">
        <f t="shared" si="33"/>
        <v>0</v>
      </c>
      <c r="AK71" s="17">
        <v>0</v>
      </c>
      <c r="AL71" s="17">
        <v>0</v>
      </c>
      <c r="AM71" s="15">
        <f t="shared" si="34"/>
        <v>0</v>
      </c>
      <c r="AN71" s="17"/>
      <c r="AO71" s="53">
        <f t="shared" si="30"/>
        <v>13</v>
      </c>
      <c r="AP71" s="53">
        <f>IF($A71="",0,IF(COUNTIFS([1]Sheet1!$A$2:$A$190,$A71,[1]Sheet1!$B$2:$B$190,$B71,[1]Sheet1!$C$2:$C$190,"&gt;=0")=0,0,SUMIFS([1]Sheet1!$C$2:$C$190,[1]Sheet1!$A$2:$A$190,$A71,[1]Sheet1!$B$2:$B$190,$B71)-$AO71))</f>
        <v>0</v>
      </c>
    </row>
    <row r="72" spans="1:42" x14ac:dyDescent="0.3">
      <c r="A72" s="15" t="s">
        <v>204</v>
      </c>
      <c r="B72" s="15">
        <v>10000</v>
      </c>
      <c r="C72" s="15" t="s">
        <v>54</v>
      </c>
      <c r="D72" s="15" t="s">
        <v>55</v>
      </c>
      <c r="E72" s="17">
        <v>1</v>
      </c>
      <c r="F72" s="17">
        <v>0</v>
      </c>
      <c r="G72" s="15">
        <f t="shared" si="26"/>
        <v>1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20">
        <v>0</v>
      </c>
      <c r="S72" s="20">
        <v>0</v>
      </c>
      <c r="T72" s="20">
        <v>0</v>
      </c>
      <c r="U72" s="17"/>
      <c r="V72" s="17"/>
      <c r="W72" s="20">
        <f t="shared" si="27"/>
        <v>0</v>
      </c>
      <c r="X72" s="21">
        <f t="shared" si="24"/>
        <v>1</v>
      </c>
      <c r="Y72" s="15">
        <f t="shared" si="25"/>
        <v>1</v>
      </c>
      <c r="Z72" s="15">
        <f t="shared" si="28"/>
        <v>0</v>
      </c>
      <c r="AA72" s="18" t="str">
        <f t="shared" si="29"/>
        <v/>
      </c>
      <c r="AB72" s="17">
        <v>0</v>
      </c>
      <c r="AC72" s="17">
        <v>0</v>
      </c>
      <c r="AD72" s="15">
        <f t="shared" si="31"/>
        <v>0</v>
      </c>
      <c r="AE72" s="17">
        <v>0</v>
      </c>
      <c r="AF72" s="17">
        <v>0</v>
      </c>
      <c r="AG72" s="15">
        <f t="shared" si="32"/>
        <v>0</v>
      </c>
      <c r="AH72" s="17">
        <v>0</v>
      </c>
      <c r="AI72" s="17">
        <v>0</v>
      </c>
      <c r="AJ72" s="15">
        <f t="shared" si="33"/>
        <v>0</v>
      </c>
      <c r="AK72" s="17">
        <v>0</v>
      </c>
      <c r="AL72" s="17">
        <v>0</v>
      </c>
      <c r="AM72" s="15">
        <f t="shared" si="34"/>
        <v>0</v>
      </c>
      <c r="AN72" s="17"/>
      <c r="AO72" s="53">
        <f t="shared" si="30"/>
        <v>1</v>
      </c>
      <c r="AP72" s="53">
        <f>IF($A72="",0,IF(COUNTIFS([1]Sheet1!$A$2:$A$190,$A72,[1]Sheet1!$B$2:$B$190,$B72,[1]Sheet1!$C$2:$C$190,"&gt;=0")=0,0,SUMIFS([1]Sheet1!$C$2:$C$190,[1]Sheet1!$A$2:$A$190,$A72,[1]Sheet1!$B$2:$B$190,$B72)-$AO72))</f>
        <v>0</v>
      </c>
    </row>
    <row r="73" spans="1:42" x14ac:dyDescent="0.3">
      <c r="A73" s="15" t="s">
        <v>211</v>
      </c>
      <c r="B73" s="15">
        <v>100</v>
      </c>
      <c r="C73" s="15" t="s">
        <v>54</v>
      </c>
      <c r="D73" s="15" t="s">
        <v>55</v>
      </c>
      <c r="E73" s="15" cm="1">
        <f t="array" ref="E73">IFERROR(_xlfn.XLOOKUP($A73&amp;"|"&amp;$B73&amp;"|"&amp;$D73,'21-AUGUST-2026'!$A$3:$A$199&amp;"|"&amp;'21-AUGUST-2026'!$B$3:$B$199&amp;"|"&amp;'21-AUGUST-2026'!$D$3:$D$199,'21-AUGUST-2026'!$T$3:$T$199,_xlfn.XLOOKUP($A73&amp;"|"&amp;$B73,'21-AUGUST-2026'!$A$3:$A$199&amp;"|"&amp;'21-AUGUST-2026'!$B$3:$B$199,'21-AUGUST-2026'!$T$3:$T$199,0)),0)</f>
        <v>128</v>
      </c>
      <c r="F73" s="15" cm="1">
        <f t="array" ref="F73">IFERROR(_xlfn.XLOOKUP($A73&amp;"|"&amp;$B73&amp;"|"&amp;$D73,'21-AUGUST-2026'!$A$3:$A$199&amp;"|"&amp;'21-AUGUST-2026'!$B$3:$B$199&amp;"|"&amp;'21-AUGUST-2026'!$D$3:$D$199,'21-AUGUST-2026'!$U$3:$U$199,_xlfn.XLOOKUP($A73&amp;"|"&amp;$B73,'21-AUGUST-2026'!$A$3:$A$199&amp;"|"&amp;'21-AUGUST-2026'!$B$3:$B$199,'21-AUGUST-2026'!$U$3:$U$199,0)),0)</f>
        <v>49</v>
      </c>
      <c r="G73" s="15">
        <f t="shared" si="26"/>
        <v>177</v>
      </c>
      <c r="H73" s="17">
        <v>0</v>
      </c>
      <c r="I73" s="17">
        <v>0</v>
      </c>
      <c r="J73" s="17">
        <v>0</v>
      </c>
      <c r="K73" s="17">
        <v>1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20">
        <v>0</v>
      </c>
      <c r="S73" s="20">
        <v>0</v>
      </c>
      <c r="T73" s="20">
        <v>0</v>
      </c>
      <c r="U73" s="17"/>
      <c r="V73" s="17"/>
      <c r="W73" s="20">
        <f t="shared" si="27"/>
        <v>0</v>
      </c>
      <c r="X73" s="21">
        <f t="shared" si="24"/>
        <v>176</v>
      </c>
      <c r="Y73" s="15">
        <f t="shared" si="25"/>
        <v>127</v>
      </c>
      <c r="Z73" s="15">
        <f t="shared" si="28"/>
        <v>49</v>
      </c>
      <c r="AA73" s="18" t="str">
        <f t="shared" si="29"/>
        <v/>
      </c>
      <c r="AB73" s="17">
        <v>1</v>
      </c>
      <c r="AC73" s="17">
        <v>0</v>
      </c>
      <c r="AD73" s="15">
        <f t="shared" si="31"/>
        <v>1</v>
      </c>
      <c r="AE73" s="17">
        <v>0</v>
      </c>
      <c r="AF73" s="17">
        <v>0</v>
      </c>
      <c r="AG73" s="15">
        <f t="shared" si="32"/>
        <v>0</v>
      </c>
      <c r="AH73" s="17">
        <v>0</v>
      </c>
      <c r="AI73" s="17">
        <v>0</v>
      </c>
      <c r="AJ73" s="15">
        <f t="shared" si="33"/>
        <v>0</v>
      </c>
      <c r="AK73" s="17">
        <v>0</v>
      </c>
      <c r="AL73" s="17">
        <v>0</v>
      </c>
      <c r="AM73" s="15">
        <f t="shared" si="34"/>
        <v>0</v>
      </c>
      <c r="AN73" s="17"/>
      <c r="AO73" s="53">
        <f t="shared" si="30"/>
        <v>127</v>
      </c>
      <c r="AP73" s="53">
        <f>IF($A73="",0,IF(COUNTIFS([1]Sheet1!$A$2:$A$190,$A73,[1]Sheet1!$B$2:$B$190,$B73,[1]Sheet1!$C$2:$C$190,"&gt;=0")=0,0,SUMIFS([1]Sheet1!$C$2:$C$190,[1]Sheet1!$A$2:$A$190,$A73,[1]Sheet1!$B$2:$B$190,$B73)-$AO73))</f>
        <v>0</v>
      </c>
    </row>
    <row r="74" spans="1:42" x14ac:dyDescent="0.3">
      <c r="A74" s="15" t="s">
        <v>212</v>
      </c>
      <c r="B74" s="15">
        <v>100</v>
      </c>
      <c r="C74" s="15" t="s">
        <v>54</v>
      </c>
      <c r="D74" s="15" t="s">
        <v>55</v>
      </c>
      <c r="E74" s="15" cm="1">
        <f t="array" ref="E74">IFERROR(_xlfn.XLOOKUP($A74&amp;"|"&amp;$B74&amp;"|"&amp;$D74,'21-AUGUST-2026'!$A$3:$A$199&amp;"|"&amp;'21-AUGUST-2026'!$B$3:$B$199&amp;"|"&amp;'21-AUGUST-2026'!$D$3:$D$199,'21-AUGUST-2026'!$T$3:$T$199,_xlfn.XLOOKUP($A74&amp;"|"&amp;$B74,'21-AUGUST-2026'!$A$3:$A$199&amp;"|"&amp;'21-AUGUST-2026'!$B$3:$B$199,'21-AUGUST-2026'!$T$3:$T$199,0)),0)</f>
        <v>11</v>
      </c>
      <c r="F74" s="15" cm="1">
        <f t="array" ref="F74">IFERROR(_xlfn.XLOOKUP($A74&amp;"|"&amp;$B74&amp;"|"&amp;$D74,'21-AUGUST-2026'!$A$3:$A$199&amp;"|"&amp;'21-AUGUST-2026'!$B$3:$B$199&amp;"|"&amp;'21-AUGUST-2026'!$D$3:$D$199,'21-AUGUST-2026'!$U$3:$U$199,_xlfn.XLOOKUP($A74&amp;"|"&amp;$B74,'21-AUGUST-2026'!$A$3:$A$199&amp;"|"&amp;'21-AUGUST-2026'!$B$3:$B$199,'21-AUGUST-2026'!$U$3:$U$199,0)),0)</f>
        <v>6</v>
      </c>
      <c r="G74" s="15">
        <f t="shared" si="26"/>
        <v>17</v>
      </c>
      <c r="H74" s="17">
        <v>0</v>
      </c>
      <c r="I74" s="17">
        <v>0</v>
      </c>
      <c r="J74" s="17">
        <v>0</v>
      </c>
      <c r="K74" s="17">
        <v>8</v>
      </c>
      <c r="L74" s="17">
        <v>6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20">
        <v>0</v>
      </c>
      <c r="S74" s="20">
        <v>0</v>
      </c>
      <c r="T74" s="20">
        <v>0</v>
      </c>
      <c r="U74" s="17"/>
      <c r="V74" s="17"/>
      <c r="W74" s="20">
        <f t="shared" si="27"/>
        <v>0</v>
      </c>
      <c r="X74" s="21">
        <f t="shared" si="24"/>
        <v>5</v>
      </c>
      <c r="Y74" s="15">
        <f t="shared" si="25"/>
        <v>5</v>
      </c>
      <c r="Z74" s="15">
        <f t="shared" si="28"/>
        <v>0</v>
      </c>
      <c r="AA74" s="18" t="str">
        <f t="shared" si="29"/>
        <v/>
      </c>
      <c r="AB74" s="17">
        <v>0</v>
      </c>
      <c r="AC74" s="17">
        <v>0</v>
      </c>
      <c r="AD74" s="15">
        <f t="shared" si="31"/>
        <v>0</v>
      </c>
      <c r="AE74" s="17">
        <v>0</v>
      </c>
      <c r="AF74" s="17">
        <v>0</v>
      </c>
      <c r="AG74" s="15">
        <f t="shared" si="32"/>
        <v>0</v>
      </c>
      <c r="AH74" s="17">
        <v>14</v>
      </c>
      <c r="AI74" s="17">
        <v>14</v>
      </c>
      <c r="AJ74" s="15">
        <f t="shared" si="33"/>
        <v>0</v>
      </c>
      <c r="AK74" s="17">
        <v>0</v>
      </c>
      <c r="AL74" s="17">
        <v>0</v>
      </c>
      <c r="AM74" s="15">
        <f t="shared" si="34"/>
        <v>0</v>
      </c>
      <c r="AN74" s="17"/>
      <c r="AO74" s="53">
        <f t="shared" si="30"/>
        <v>3</v>
      </c>
      <c r="AP74" s="53">
        <f>IF($A74="",0,IF(COUNTIFS([1]Sheet1!$A$2:$A$190,$A74,[1]Sheet1!$B$2:$B$190,$B74,[1]Sheet1!$C$2:$C$190,"&gt;=0")=0,0,SUMIFS([1]Sheet1!$C$2:$C$190,[1]Sheet1!$A$2:$A$190,$A74,[1]Sheet1!$B$2:$B$190,$B74)-$AO74))</f>
        <v>2</v>
      </c>
    </row>
    <row r="75" spans="1:42" x14ac:dyDescent="0.3">
      <c r="A75" s="15" t="s">
        <v>213</v>
      </c>
      <c r="B75" s="15">
        <v>100</v>
      </c>
      <c r="C75" s="15" t="s">
        <v>54</v>
      </c>
      <c r="D75" s="15" t="s">
        <v>55</v>
      </c>
      <c r="E75" s="15" cm="1">
        <f t="array" ref="E75">IFERROR(_xlfn.XLOOKUP($A75&amp;"|"&amp;$B75&amp;"|"&amp;$D75,'21-AUGUST-2026'!$A$3:$A$199&amp;"|"&amp;'21-AUGUST-2026'!$B$3:$B$199&amp;"|"&amp;'21-AUGUST-2026'!$D$3:$D$199,'21-AUGUST-2026'!$T$3:$T$199,_xlfn.XLOOKUP($A75&amp;"|"&amp;$B75,'21-AUGUST-2026'!$A$3:$A$199&amp;"|"&amp;'21-AUGUST-2026'!$B$3:$B$199,'21-AUGUST-2026'!$T$3:$T$199,0)),0)</f>
        <v>522</v>
      </c>
      <c r="F75" s="15" cm="1">
        <f t="array" ref="F75">IFERROR(_xlfn.XLOOKUP($A75&amp;"|"&amp;$B75&amp;"|"&amp;$D75,'21-AUGUST-2026'!$A$3:$A$199&amp;"|"&amp;'21-AUGUST-2026'!$B$3:$B$199&amp;"|"&amp;'21-AUGUST-2026'!$D$3:$D$199,'21-AUGUST-2026'!$U$3:$U$199,_xlfn.XLOOKUP($A75&amp;"|"&amp;$B75,'21-AUGUST-2026'!$A$3:$A$199&amp;"|"&amp;'21-AUGUST-2026'!$B$3:$B$199,'21-AUGUST-2026'!$U$3:$U$199,0)),0)</f>
        <v>85</v>
      </c>
      <c r="G75" s="15">
        <f t="shared" si="26"/>
        <v>607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20">
        <v>0</v>
      </c>
      <c r="S75" s="20">
        <v>0</v>
      </c>
      <c r="T75" s="20">
        <v>0</v>
      </c>
      <c r="U75" s="17"/>
      <c r="V75" s="17"/>
      <c r="W75" s="20">
        <f t="shared" si="27"/>
        <v>0</v>
      </c>
      <c r="X75" s="21">
        <f t="shared" si="24"/>
        <v>598</v>
      </c>
      <c r="Y75" s="15">
        <f t="shared" si="25"/>
        <v>513</v>
      </c>
      <c r="Z75" s="15">
        <f t="shared" si="28"/>
        <v>85</v>
      </c>
      <c r="AA75" s="18" t="str">
        <f t="shared" si="29"/>
        <v/>
      </c>
      <c r="AB75" s="17">
        <v>0</v>
      </c>
      <c r="AC75" s="17">
        <v>0</v>
      </c>
      <c r="AD75" s="15">
        <f t="shared" si="31"/>
        <v>0</v>
      </c>
      <c r="AE75" s="17">
        <v>0</v>
      </c>
      <c r="AF75" s="17">
        <v>0</v>
      </c>
      <c r="AG75" s="15">
        <f t="shared" si="32"/>
        <v>0</v>
      </c>
      <c r="AH75" s="17">
        <v>0</v>
      </c>
      <c r="AI75" s="17">
        <v>0</v>
      </c>
      <c r="AJ75" s="15">
        <f t="shared" si="33"/>
        <v>0</v>
      </c>
      <c r="AK75" s="17">
        <v>0</v>
      </c>
      <c r="AL75" s="17">
        <v>0</v>
      </c>
      <c r="AM75" s="15">
        <f t="shared" si="34"/>
        <v>0</v>
      </c>
      <c r="AN75" s="17"/>
      <c r="AO75" s="53">
        <f t="shared" si="30"/>
        <v>522</v>
      </c>
      <c r="AP75" s="53">
        <f>IF($A75="",0,IF(COUNTIFS([1]Sheet1!$A$2:$A$190,$A75,[1]Sheet1!$B$2:$B$190,$B75,[1]Sheet1!$C$2:$C$190,"&gt;=0")=0,0,SUMIFS([1]Sheet1!$C$2:$C$190,[1]Sheet1!$A$2:$A$190,$A75,[1]Sheet1!$B$2:$B$190,$B75)-$AO75))</f>
        <v>-9</v>
      </c>
    </row>
    <row r="76" spans="1:42" x14ac:dyDescent="0.3">
      <c r="A76" s="15" t="s">
        <v>213</v>
      </c>
      <c r="B76" s="15">
        <v>1000</v>
      </c>
      <c r="C76" s="15" t="s">
        <v>54</v>
      </c>
      <c r="D76" s="15" t="s">
        <v>55</v>
      </c>
      <c r="E76" s="15" cm="1">
        <f t="array" ref="E76">IFERROR(_xlfn.XLOOKUP($A76&amp;"|"&amp;$B76&amp;"|"&amp;$D76,'21-AUGUST-2026'!$A$3:$A$199&amp;"|"&amp;'21-AUGUST-2026'!$B$3:$B$199&amp;"|"&amp;'21-AUGUST-2026'!$D$3:$D$199,'21-AUGUST-2026'!$T$3:$T$199,_xlfn.XLOOKUP($A76&amp;"|"&amp;$B76,'21-AUGUST-2026'!$A$3:$A$199&amp;"|"&amp;'21-AUGUST-2026'!$B$3:$B$199,'21-AUGUST-2026'!$T$3:$T$199,0)),0)</f>
        <v>481</v>
      </c>
      <c r="F76" s="15" cm="1">
        <f t="array" ref="F76">IFERROR(_xlfn.XLOOKUP($A76&amp;"|"&amp;$B76&amp;"|"&amp;$D76,'21-AUGUST-2026'!$A$3:$A$199&amp;"|"&amp;'21-AUGUST-2026'!$B$3:$B$199&amp;"|"&amp;'21-AUGUST-2026'!$D$3:$D$199,'21-AUGUST-2026'!$U$3:$U$199,_xlfn.XLOOKUP($A76&amp;"|"&amp;$B76,'21-AUGUST-2026'!$A$3:$A$199&amp;"|"&amp;'21-AUGUST-2026'!$B$3:$B$199,'21-AUGUST-2026'!$U$3:$U$199,0)),0)</f>
        <v>131</v>
      </c>
      <c r="G76" s="15">
        <f t="shared" si="26"/>
        <v>612</v>
      </c>
      <c r="H76" s="17">
        <v>0</v>
      </c>
      <c r="I76" s="17">
        <v>0</v>
      </c>
      <c r="J76" s="17">
        <v>0</v>
      </c>
      <c r="K76" s="17">
        <v>20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20">
        <v>0</v>
      </c>
      <c r="S76" s="20">
        <v>0</v>
      </c>
      <c r="T76" s="20">
        <v>0</v>
      </c>
      <c r="U76" s="17"/>
      <c r="V76" s="17"/>
      <c r="W76" s="20">
        <f t="shared" si="27"/>
        <v>0</v>
      </c>
      <c r="X76" s="21">
        <f t="shared" si="24"/>
        <v>591</v>
      </c>
      <c r="Y76" s="15">
        <f t="shared" si="25"/>
        <v>460</v>
      </c>
      <c r="Z76" s="15">
        <f t="shared" si="28"/>
        <v>131</v>
      </c>
      <c r="AA76" s="18" t="str">
        <f t="shared" si="29"/>
        <v/>
      </c>
      <c r="AB76" s="17">
        <v>0</v>
      </c>
      <c r="AC76" s="17">
        <v>0</v>
      </c>
      <c r="AD76" s="15">
        <f t="shared" si="31"/>
        <v>0</v>
      </c>
      <c r="AE76" s="17">
        <v>0</v>
      </c>
      <c r="AF76" s="17">
        <v>0</v>
      </c>
      <c r="AG76" s="15">
        <f t="shared" si="32"/>
        <v>0</v>
      </c>
      <c r="AH76" s="17">
        <v>0</v>
      </c>
      <c r="AI76" s="17">
        <v>0</v>
      </c>
      <c r="AJ76" s="15">
        <f t="shared" si="33"/>
        <v>0</v>
      </c>
      <c r="AK76" s="17">
        <v>20</v>
      </c>
      <c r="AL76" s="17">
        <v>20</v>
      </c>
      <c r="AM76" s="15">
        <f t="shared" si="34"/>
        <v>0</v>
      </c>
      <c r="AN76" s="17"/>
      <c r="AO76" s="53">
        <f t="shared" si="30"/>
        <v>461</v>
      </c>
      <c r="AP76" s="53">
        <f>IF($A76="",0,IF(COUNTIFS([1]Sheet1!$A$2:$A$190,$A76,[1]Sheet1!$B$2:$B$190,$B76,[1]Sheet1!$C$2:$C$190,"&gt;=0")=0,0,SUMIFS([1]Sheet1!$C$2:$C$190,[1]Sheet1!$A$2:$A$190,$A76,[1]Sheet1!$B$2:$B$190,$B76)-$AO76))</f>
        <v>-1</v>
      </c>
    </row>
    <row r="77" spans="1:42" x14ac:dyDescent="0.3">
      <c r="A77" s="15" t="s">
        <v>213</v>
      </c>
      <c r="B77" s="15">
        <v>500</v>
      </c>
      <c r="C77" s="15" t="s">
        <v>54</v>
      </c>
      <c r="D77" s="15" t="s">
        <v>55</v>
      </c>
      <c r="E77" s="15" cm="1">
        <f t="array" ref="E77">IFERROR(_xlfn.XLOOKUP($A77&amp;"|"&amp;$B77&amp;"|"&amp;$D77,'21-AUGUST-2026'!$A$3:$A$199&amp;"|"&amp;'21-AUGUST-2026'!$B$3:$B$199&amp;"|"&amp;'21-AUGUST-2026'!$D$3:$D$199,'21-AUGUST-2026'!$T$3:$T$199,_xlfn.XLOOKUP($A77&amp;"|"&amp;$B77,'21-AUGUST-2026'!$A$3:$A$199&amp;"|"&amp;'21-AUGUST-2026'!$B$3:$B$199,'21-AUGUST-2026'!$T$3:$T$199,0)),0)</f>
        <v>110</v>
      </c>
      <c r="F77" s="15" cm="1">
        <f t="array" ref="F77">IFERROR(_xlfn.XLOOKUP($A77&amp;"|"&amp;$B77&amp;"|"&amp;$D77,'21-AUGUST-2026'!$A$3:$A$199&amp;"|"&amp;'21-AUGUST-2026'!$B$3:$B$199&amp;"|"&amp;'21-AUGUST-2026'!$D$3:$D$199,'21-AUGUST-2026'!$U$3:$U$199,_xlfn.XLOOKUP($A77&amp;"|"&amp;$B77,'21-AUGUST-2026'!$A$3:$A$199&amp;"|"&amp;'21-AUGUST-2026'!$B$3:$B$199,'21-AUGUST-2026'!$U$3:$U$199,0)),0)</f>
        <v>0</v>
      </c>
      <c r="G77" s="15">
        <f t="shared" si="26"/>
        <v>110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20">
        <v>0</v>
      </c>
      <c r="S77" s="20">
        <v>0</v>
      </c>
      <c r="T77" s="20">
        <v>0</v>
      </c>
      <c r="U77" s="17"/>
      <c r="V77" s="17"/>
      <c r="W77" s="20">
        <f t="shared" si="27"/>
        <v>0</v>
      </c>
      <c r="X77" s="21">
        <f t="shared" ref="X77:X108" si="35">Y77+Z77</f>
        <v>110</v>
      </c>
      <c r="Y77" s="15">
        <f t="shared" ref="Y77:Y108" si="36">AO77+AP77</f>
        <v>110</v>
      </c>
      <c r="Z77" s="15">
        <f t="shared" si="28"/>
        <v>0</v>
      </c>
      <c r="AA77" s="18" t="str">
        <f t="shared" si="29"/>
        <v/>
      </c>
      <c r="AB77" s="17">
        <v>0</v>
      </c>
      <c r="AC77" s="17">
        <v>0</v>
      </c>
      <c r="AD77" s="15">
        <f t="shared" si="31"/>
        <v>0</v>
      </c>
      <c r="AE77" s="17">
        <v>0</v>
      </c>
      <c r="AF77" s="17">
        <v>0</v>
      </c>
      <c r="AG77" s="15">
        <f t="shared" si="32"/>
        <v>0</v>
      </c>
      <c r="AH77" s="17">
        <v>0</v>
      </c>
      <c r="AI77" s="17">
        <v>0</v>
      </c>
      <c r="AJ77" s="15">
        <f t="shared" si="33"/>
        <v>0</v>
      </c>
      <c r="AK77" s="17">
        <v>0</v>
      </c>
      <c r="AL77" s="17">
        <v>0</v>
      </c>
      <c r="AM77" s="15">
        <f t="shared" si="34"/>
        <v>0</v>
      </c>
      <c r="AN77" s="17"/>
      <c r="AO77" s="53">
        <f t="shared" si="30"/>
        <v>110</v>
      </c>
      <c r="AP77" s="53">
        <f>IF($A77="",0,IF(COUNTIFS([1]Sheet1!$A$2:$A$190,$A77,[1]Sheet1!$B$2:$B$190,$B77,[1]Sheet1!$C$2:$C$190,"&gt;=0")=0,0,SUMIFS([1]Sheet1!$C$2:$C$190,[1]Sheet1!$A$2:$A$190,$A77,[1]Sheet1!$B$2:$B$190,$B77)-$AO77))</f>
        <v>0</v>
      </c>
    </row>
    <row r="78" spans="1:42" x14ac:dyDescent="0.3">
      <c r="A78" s="15" t="s">
        <v>214</v>
      </c>
      <c r="B78" s="15">
        <v>1000</v>
      </c>
      <c r="C78" s="15" t="s">
        <v>54</v>
      </c>
      <c r="D78" s="15" t="s">
        <v>55</v>
      </c>
      <c r="E78" s="15" cm="1">
        <f t="array" ref="E78">IFERROR(_xlfn.XLOOKUP($A78&amp;"|"&amp;$B78&amp;"|"&amp;$D78,'21-AUGUST-2026'!$A$3:$A$199&amp;"|"&amp;'21-AUGUST-2026'!$B$3:$B$199&amp;"|"&amp;'21-AUGUST-2026'!$D$3:$D$199,'21-AUGUST-2026'!$T$3:$T$199,_xlfn.XLOOKUP($A78&amp;"|"&amp;$B78,'21-AUGUST-2026'!$A$3:$A$199&amp;"|"&amp;'21-AUGUST-2026'!$B$3:$B$199,'21-AUGUST-2026'!$T$3:$T$199,0)),0)</f>
        <v>23</v>
      </c>
      <c r="F78" s="15" cm="1">
        <f t="array" ref="F78">IFERROR(_xlfn.XLOOKUP($A78&amp;"|"&amp;$B78&amp;"|"&amp;$D78,'21-AUGUST-2026'!$A$3:$A$199&amp;"|"&amp;'21-AUGUST-2026'!$B$3:$B$199&amp;"|"&amp;'21-AUGUST-2026'!$D$3:$D$199,'21-AUGUST-2026'!$U$3:$U$199,_xlfn.XLOOKUP($A78&amp;"|"&amp;$B78,'21-AUGUST-2026'!$A$3:$A$199&amp;"|"&amp;'21-AUGUST-2026'!$B$3:$B$199,'21-AUGUST-2026'!$U$3:$U$199,0)),0)</f>
        <v>0</v>
      </c>
      <c r="G78" s="15">
        <f t="shared" si="26"/>
        <v>23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20">
        <v>0</v>
      </c>
      <c r="S78" s="20">
        <v>0</v>
      </c>
      <c r="T78" s="20">
        <v>0</v>
      </c>
      <c r="U78" s="17"/>
      <c r="V78" s="17"/>
      <c r="W78" s="20">
        <f t="shared" si="27"/>
        <v>0</v>
      </c>
      <c r="X78" s="21">
        <f t="shared" si="35"/>
        <v>1360</v>
      </c>
      <c r="Y78" s="15">
        <f t="shared" si="36"/>
        <v>1360</v>
      </c>
      <c r="Z78" s="15">
        <f t="shared" si="28"/>
        <v>0</v>
      </c>
      <c r="AA78" s="18" t="str">
        <f t="shared" si="29"/>
        <v/>
      </c>
      <c r="AB78" s="17">
        <v>0</v>
      </c>
      <c r="AC78" s="17">
        <v>0</v>
      </c>
      <c r="AD78" s="15">
        <f t="shared" si="31"/>
        <v>0</v>
      </c>
      <c r="AE78" s="17">
        <v>0</v>
      </c>
      <c r="AF78" s="17">
        <v>0</v>
      </c>
      <c r="AG78" s="15">
        <f t="shared" si="32"/>
        <v>0</v>
      </c>
      <c r="AH78" s="17">
        <v>0</v>
      </c>
      <c r="AI78" s="17">
        <v>0</v>
      </c>
      <c r="AJ78" s="15">
        <f t="shared" si="33"/>
        <v>0</v>
      </c>
      <c r="AK78" s="17">
        <v>0</v>
      </c>
      <c r="AL78" s="17">
        <v>0</v>
      </c>
      <c r="AM78" s="15">
        <f t="shared" si="34"/>
        <v>0</v>
      </c>
      <c r="AN78" s="17"/>
      <c r="AO78" s="53">
        <f t="shared" si="30"/>
        <v>23</v>
      </c>
      <c r="AP78" s="53">
        <f>IF($A78="",0,IF(COUNTIFS([1]Sheet1!$A$2:$A$190,$A78,[1]Sheet1!$B$2:$B$190,$B78,[1]Sheet1!$C$2:$C$190,"&gt;=0")=0,0,SUMIFS([1]Sheet1!$C$2:$C$190,[1]Sheet1!$A$2:$A$190,$A78,[1]Sheet1!$B$2:$B$190,$B78)-$AO78))</f>
        <v>1337</v>
      </c>
    </row>
    <row r="79" spans="1:42" x14ac:dyDescent="0.3">
      <c r="A79" s="15" t="s">
        <v>215</v>
      </c>
      <c r="B79" s="15">
        <v>100</v>
      </c>
      <c r="C79" s="15" t="s">
        <v>54</v>
      </c>
      <c r="D79" s="15" t="s">
        <v>55</v>
      </c>
      <c r="E79" s="15" cm="1">
        <f t="array" ref="E79">IFERROR(_xlfn.XLOOKUP($A79&amp;"|"&amp;$B79&amp;"|"&amp;$D79,'21-AUGUST-2026'!$A$3:$A$199&amp;"|"&amp;'21-AUGUST-2026'!$B$3:$B$199&amp;"|"&amp;'21-AUGUST-2026'!$D$3:$D$199,'21-AUGUST-2026'!$T$3:$T$199,_xlfn.XLOOKUP($A79&amp;"|"&amp;$B79,'21-AUGUST-2026'!$A$3:$A$199&amp;"|"&amp;'21-AUGUST-2026'!$B$3:$B$199,'21-AUGUST-2026'!$T$3:$T$199,0)),0)</f>
        <v>363</v>
      </c>
      <c r="F79" s="15" cm="1">
        <f t="array" ref="F79">IFERROR(_xlfn.XLOOKUP($A79&amp;"|"&amp;$B79&amp;"|"&amp;$D79,'21-AUGUST-2026'!$A$3:$A$199&amp;"|"&amp;'21-AUGUST-2026'!$B$3:$B$199&amp;"|"&amp;'21-AUGUST-2026'!$D$3:$D$199,'21-AUGUST-2026'!$U$3:$U$199,_xlfn.XLOOKUP($A79&amp;"|"&amp;$B79,'21-AUGUST-2026'!$A$3:$A$199&amp;"|"&amp;'21-AUGUST-2026'!$B$3:$B$199,'21-AUGUST-2026'!$U$3:$U$199,0)),0)</f>
        <v>642</v>
      </c>
      <c r="G79" s="15">
        <f t="shared" si="26"/>
        <v>1005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20">
        <v>0</v>
      </c>
      <c r="S79" s="20">
        <v>0</v>
      </c>
      <c r="T79" s="20">
        <v>0</v>
      </c>
      <c r="U79" s="17"/>
      <c r="V79" s="17"/>
      <c r="W79" s="20">
        <f t="shared" si="27"/>
        <v>0</v>
      </c>
      <c r="X79" s="21">
        <f t="shared" si="35"/>
        <v>6246</v>
      </c>
      <c r="Y79" s="15">
        <f t="shared" si="36"/>
        <v>5604</v>
      </c>
      <c r="Z79" s="15">
        <f t="shared" si="28"/>
        <v>642</v>
      </c>
      <c r="AA79" s="18" t="str">
        <f t="shared" si="29"/>
        <v/>
      </c>
      <c r="AB79" s="17">
        <v>0</v>
      </c>
      <c r="AC79" s="17">
        <v>0</v>
      </c>
      <c r="AD79" s="15">
        <f t="shared" si="31"/>
        <v>0</v>
      </c>
      <c r="AE79" s="17">
        <v>0</v>
      </c>
      <c r="AF79" s="17">
        <v>0</v>
      </c>
      <c r="AG79" s="15">
        <f t="shared" si="32"/>
        <v>0</v>
      </c>
      <c r="AH79" s="17">
        <v>0</v>
      </c>
      <c r="AI79" s="17">
        <v>0</v>
      </c>
      <c r="AJ79" s="15">
        <f t="shared" si="33"/>
        <v>0</v>
      </c>
      <c r="AK79" s="17">
        <v>0</v>
      </c>
      <c r="AL79" s="17">
        <v>0</v>
      </c>
      <c r="AM79" s="15">
        <f t="shared" si="34"/>
        <v>0</v>
      </c>
      <c r="AN79" s="17"/>
      <c r="AO79" s="53">
        <f t="shared" si="30"/>
        <v>363</v>
      </c>
      <c r="AP79" s="53">
        <f>IF($A79="",0,IF(COUNTIFS([1]Sheet1!$A$2:$A$190,$A79,[1]Sheet1!$B$2:$B$190,$B79,[1]Sheet1!$C$2:$C$190,"&gt;=0")=0,0,SUMIFS([1]Sheet1!$C$2:$C$190,[1]Sheet1!$A$2:$A$190,$A79,[1]Sheet1!$B$2:$B$190,$B79)-$AO79))</f>
        <v>5241</v>
      </c>
    </row>
    <row r="80" spans="1:42" x14ac:dyDescent="0.3">
      <c r="A80" s="15" t="s">
        <v>216</v>
      </c>
      <c r="B80" s="15">
        <v>100</v>
      </c>
      <c r="C80" s="15" t="s">
        <v>54</v>
      </c>
      <c r="D80" s="15" t="s">
        <v>55</v>
      </c>
      <c r="E80" s="15" cm="1">
        <f t="array" ref="E80">IFERROR(_xlfn.XLOOKUP($A80&amp;"|"&amp;$B80&amp;"|"&amp;$D80,'21-AUGUST-2026'!$A$3:$A$199&amp;"|"&amp;'21-AUGUST-2026'!$B$3:$B$199&amp;"|"&amp;'21-AUGUST-2026'!$D$3:$D$199,'21-AUGUST-2026'!$T$3:$T$199,_xlfn.XLOOKUP($A80&amp;"|"&amp;$B80,'21-AUGUST-2026'!$A$3:$A$199&amp;"|"&amp;'21-AUGUST-2026'!$B$3:$B$199,'21-AUGUST-2026'!$T$3:$T$199,0)),0)</f>
        <v>0</v>
      </c>
      <c r="F80" s="15" cm="1">
        <f t="array" ref="F80">IFERROR(_xlfn.XLOOKUP($A80&amp;"|"&amp;$B80&amp;"|"&amp;$D80,'21-AUGUST-2026'!$A$3:$A$199&amp;"|"&amp;'21-AUGUST-2026'!$B$3:$B$199&amp;"|"&amp;'21-AUGUST-2026'!$D$3:$D$199,'21-AUGUST-2026'!$U$3:$U$199,_xlfn.XLOOKUP($A80&amp;"|"&amp;$B80,'21-AUGUST-2026'!$A$3:$A$199&amp;"|"&amp;'21-AUGUST-2026'!$B$3:$B$199,'21-AUGUST-2026'!$U$3:$U$199,0)),0)</f>
        <v>9</v>
      </c>
      <c r="G80" s="15">
        <f t="shared" si="26"/>
        <v>9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20">
        <v>0</v>
      </c>
      <c r="S80" s="20">
        <v>0</v>
      </c>
      <c r="T80" s="20">
        <v>0</v>
      </c>
      <c r="U80" s="17"/>
      <c r="V80" s="17"/>
      <c r="W80" s="20">
        <f t="shared" si="27"/>
        <v>0</v>
      </c>
      <c r="X80" s="21">
        <f t="shared" si="35"/>
        <v>9</v>
      </c>
      <c r="Y80" s="15">
        <f t="shared" si="36"/>
        <v>0</v>
      </c>
      <c r="Z80" s="15">
        <f t="shared" si="28"/>
        <v>9</v>
      </c>
      <c r="AA80" s="18" t="str">
        <f t="shared" si="29"/>
        <v/>
      </c>
      <c r="AB80" s="17">
        <v>0</v>
      </c>
      <c r="AC80" s="17">
        <v>0</v>
      </c>
      <c r="AD80" s="15">
        <f t="shared" si="31"/>
        <v>0</v>
      </c>
      <c r="AE80" s="17">
        <v>0</v>
      </c>
      <c r="AF80" s="17">
        <v>0</v>
      </c>
      <c r="AG80" s="15">
        <f t="shared" si="32"/>
        <v>0</v>
      </c>
      <c r="AH80" s="17">
        <v>0</v>
      </c>
      <c r="AI80" s="17">
        <v>0</v>
      </c>
      <c r="AJ80" s="15">
        <f t="shared" si="33"/>
        <v>0</v>
      </c>
      <c r="AK80" s="17">
        <v>0</v>
      </c>
      <c r="AL80" s="17">
        <v>0</v>
      </c>
      <c r="AM80" s="15">
        <f t="shared" si="34"/>
        <v>0</v>
      </c>
      <c r="AN80" s="17" t="s">
        <v>286</v>
      </c>
      <c r="AO80" s="53">
        <f t="shared" si="30"/>
        <v>0</v>
      </c>
      <c r="AP80" s="53">
        <f>IF($A80="",0,IF(COUNTIFS([1]Sheet1!$A$2:$A$190,$A80,[1]Sheet1!$B$2:$B$190,$B80,[1]Sheet1!$C$2:$C$190,"&gt;=0")=0,0,SUMIFS([1]Sheet1!$C$2:$C$190,[1]Sheet1!$A$2:$A$190,$A80,[1]Sheet1!$B$2:$B$190,$B80)-$AO80))</f>
        <v>0</v>
      </c>
    </row>
    <row r="81" spans="1:42" x14ac:dyDescent="0.3">
      <c r="A81" s="15" t="s">
        <v>217</v>
      </c>
      <c r="B81" s="15">
        <v>100</v>
      </c>
      <c r="C81" s="15" t="s">
        <v>54</v>
      </c>
      <c r="D81" s="15" t="s">
        <v>55</v>
      </c>
      <c r="E81" s="15" cm="1">
        <f t="array" ref="E81">IFERROR(_xlfn.XLOOKUP($A81&amp;"|"&amp;$B81&amp;"|"&amp;$D81,'21-AUGUST-2026'!$A$3:$A$199&amp;"|"&amp;'21-AUGUST-2026'!$B$3:$B$199&amp;"|"&amp;'21-AUGUST-2026'!$D$3:$D$199,'21-AUGUST-2026'!$T$3:$T$199,_xlfn.XLOOKUP($A81&amp;"|"&amp;$B81,'21-AUGUST-2026'!$A$3:$A$199&amp;"|"&amp;'21-AUGUST-2026'!$B$3:$B$199,'21-AUGUST-2026'!$T$3:$T$199,0)),0)</f>
        <v>22</v>
      </c>
      <c r="F81" s="15" cm="1">
        <f t="array" ref="F81">IFERROR(_xlfn.XLOOKUP($A81&amp;"|"&amp;$B81&amp;"|"&amp;$D81,'21-AUGUST-2026'!$A$3:$A$199&amp;"|"&amp;'21-AUGUST-2026'!$B$3:$B$199&amp;"|"&amp;'21-AUGUST-2026'!$D$3:$D$199,'21-AUGUST-2026'!$U$3:$U$199,_xlfn.XLOOKUP($A81&amp;"|"&amp;$B81,'21-AUGUST-2026'!$A$3:$A$199&amp;"|"&amp;'21-AUGUST-2026'!$B$3:$B$199,'21-AUGUST-2026'!$U$3:$U$199,0)),0)</f>
        <v>5</v>
      </c>
      <c r="G81" s="15">
        <f t="shared" si="26"/>
        <v>27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20">
        <v>0</v>
      </c>
      <c r="S81" s="20">
        <v>0</v>
      </c>
      <c r="T81" s="20">
        <v>0</v>
      </c>
      <c r="U81" s="17"/>
      <c r="V81" s="17"/>
      <c r="W81" s="20">
        <f t="shared" si="27"/>
        <v>0</v>
      </c>
      <c r="X81" s="21">
        <f t="shared" si="35"/>
        <v>27</v>
      </c>
      <c r="Y81" s="15">
        <f t="shared" si="36"/>
        <v>22</v>
      </c>
      <c r="Z81" s="15">
        <f t="shared" si="28"/>
        <v>5</v>
      </c>
      <c r="AA81" s="18" t="str">
        <f t="shared" si="29"/>
        <v/>
      </c>
      <c r="AB81" s="17">
        <v>0</v>
      </c>
      <c r="AC81" s="17">
        <v>0</v>
      </c>
      <c r="AD81" s="15">
        <f t="shared" si="31"/>
        <v>0</v>
      </c>
      <c r="AE81" s="17">
        <v>0</v>
      </c>
      <c r="AF81" s="17">
        <v>0</v>
      </c>
      <c r="AG81" s="15">
        <f t="shared" si="32"/>
        <v>0</v>
      </c>
      <c r="AH81" s="17">
        <v>0</v>
      </c>
      <c r="AI81" s="17">
        <v>0</v>
      </c>
      <c r="AJ81" s="15">
        <f t="shared" si="33"/>
        <v>0</v>
      </c>
      <c r="AK81" s="17">
        <v>0</v>
      </c>
      <c r="AL81" s="17">
        <v>0</v>
      </c>
      <c r="AM81" s="15">
        <f t="shared" si="34"/>
        <v>0</v>
      </c>
      <c r="AN81" s="17"/>
      <c r="AO81" s="53">
        <f t="shared" si="30"/>
        <v>22</v>
      </c>
      <c r="AP81" s="53">
        <f>IF($A81="",0,IF(COUNTIFS([1]Sheet1!$A$2:$A$190,$A81,[1]Sheet1!$B$2:$B$190,$B81,[1]Sheet1!$C$2:$C$190,"&gt;=0")=0,0,SUMIFS([1]Sheet1!$C$2:$C$190,[1]Sheet1!$A$2:$A$190,$A81,[1]Sheet1!$B$2:$B$190,$B81)-$AO81))</f>
        <v>0</v>
      </c>
    </row>
    <row r="82" spans="1:42" x14ac:dyDescent="0.3">
      <c r="A82" s="15" t="s">
        <v>218</v>
      </c>
      <c r="B82" s="15">
        <v>100</v>
      </c>
      <c r="C82" s="15" t="s">
        <v>54</v>
      </c>
      <c r="D82" s="15" t="s">
        <v>55</v>
      </c>
      <c r="E82" s="15" cm="1">
        <f t="array" ref="E82">IFERROR(_xlfn.XLOOKUP($A82&amp;"|"&amp;$B82&amp;"|"&amp;$D82,'21-AUGUST-2026'!$A$3:$A$199&amp;"|"&amp;'21-AUGUST-2026'!$B$3:$B$199&amp;"|"&amp;'21-AUGUST-2026'!$D$3:$D$199,'21-AUGUST-2026'!$T$3:$T$199,_xlfn.XLOOKUP($A82&amp;"|"&amp;$B82,'21-AUGUST-2026'!$A$3:$A$199&amp;"|"&amp;'21-AUGUST-2026'!$B$3:$B$199,'21-AUGUST-2026'!$T$3:$T$199,0)),0)</f>
        <v>252</v>
      </c>
      <c r="F82" s="15" cm="1">
        <f t="array" ref="F82">IFERROR(_xlfn.XLOOKUP($A82&amp;"|"&amp;$B82&amp;"|"&amp;$D82,'21-AUGUST-2026'!$A$3:$A$199&amp;"|"&amp;'21-AUGUST-2026'!$B$3:$B$199&amp;"|"&amp;'21-AUGUST-2026'!$D$3:$D$199,'21-AUGUST-2026'!$U$3:$U$199,_xlfn.XLOOKUP($A82&amp;"|"&amp;$B82,'21-AUGUST-2026'!$A$3:$A$199&amp;"|"&amp;'21-AUGUST-2026'!$B$3:$B$199,'21-AUGUST-2026'!$U$3:$U$199,0)),0)</f>
        <v>36</v>
      </c>
      <c r="G82" s="15">
        <f t="shared" si="26"/>
        <v>288</v>
      </c>
      <c r="H82" s="17">
        <v>0</v>
      </c>
      <c r="I82" s="17">
        <v>0</v>
      </c>
      <c r="J82" s="17">
        <v>0</v>
      </c>
      <c r="K82" s="17">
        <v>8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20">
        <v>0</v>
      </c>
      <c r="S82" s="20">
        <v>0</v>
      </c>
      <c r="T82" s="20">
        <v>0</v>
      </c>
      <c r="U82" s="17"/>
      <c r="V82" s="17"/>
      <c r="W82" s="20">
        <f t="shared" si="27"/>
        <v>0</v>
      </c>
      <c r="X82" s="21">
        <f t="shared" si="35"/>
        <v>280</v>
      </c>
      <c r="Y82" s="15">
        <f t="shared" si="36"/>
        <v>244</v>
      </c>
      <c r="Z82" s="15">
        <f t="shared" si="28"/>
        <v>36</v>
      </c>
      <c r="AA82" s="18" t="str">
        <f t="shared" si="29"/>
        <v/>
      </c>
      <c r="AB82" s="17">
        <v>8</v>
      </c>
      <c r="AC82" s="17">
        <v>0</v>
      </c>
      <c r="AD82" s="15">
        <f t="shared" si="31"/>
        <v>8</v>
      </c>
      <c r="AE82" s="17">
        <v>0</v>
      </c>
      <c r="AF82" s="17">
        <v>0</v>
      </c>
      <c r="AG82" s="15">
        <f t="shared" si="32"/>
        <v>0</v>
      </c>
      <c r="AH82" s="17">
        <v>0</v>
      </c>
      <c r="AI82" s="17">
        <v>0</v>
      </c>
      <c r="AJ82" s="15">
        <f t="shared" si="33"/>
        <v>0</v>
      </c>
      <c r="AK82" s="17">
        <v>0</v>
      </c>
      <c r="AL82" s="17">
        <v>0</v>
      </c>
      <c r="AM82" s="15">
        <f t="shared" si="34"/>
        <v>0</v>
      </c>
      <c r="AN82" s="17"/>
      <c r="AO82" s="53">
        <f t="shared" si="30"/>
        <v>244</v>
      </c>
      <c r="AP82" s="53">
        <f>IF($A82="",0,IF(COUNTIFS([1]Sheet1!$A$2:$A$190,$A82,[1]Sheet1!$B$2:$B$190,$B82,[1]Sheet1!$C$2:$C$190,"&gt;=0")=0,0,SUMIFS([1]Sheet1!$C$2:$C$190,[1]Sheet1!$A$2:$A$190,$A82,[1]Sheet1!$B$2:$B$190,$B82)-$AO82))</f>
        <v>0</v>
      </c>
    </row>
    <row r="83" spans="1:42" x14ac:dyDescent="0.3">
      <c r="A83" s="15" t="s">
        <v>219</v>
      </c>
      <c r="B83" s="15">
        <v>100</v>
      </c>
      <c r="C83" s="15" t="s">
        <v>54</v>
      </c>
      <c r="D83" s="15" t="s">
        <v>55</v>
      </c>
      <c r="E83" s="15" cm="1">
        <f t="array" ref="E83">IFERROR(_xlfn.XLOOKUP($A83&amp;"|"&amp;$B83&amp;"|"&amp;$D83,'21-AUGUST-2026'!$A$3:$A$199&amp;"|"&amp;'21-AUGUST-2026'!$B$3:$B$199&amp;"|"&amp;'21-AUGUST-2026'!$D$3:$D$199,'21-AUGUST-2026'!$T$3:$T$199,_xlfn.XLOOKUP($A83&amp;"|"&amp;$B83,'21-AUGUST-2026'!$A$3:$A$199&amp;"|"&amp;'21-AUGUST-2026'!$B$3:$B$199,'21-AUGUST-2026'!$T$3:$T$199,0)),0)</f>
        <v>32</v>
      </c>
      <c r="F83" s="15" cm="1">
        <f t="array" ref="F83">IFERROR(_xlfn.XLOOKUP($A83&amp;"|"&amp;$B83&amp;"|"&amp;$D83,'21-AUGUST-2026'!$A$3:$A$199&amp;"|"&amp;'21-AUGUST-2026'!$B$3:$B$199&amp;"|"&amp;'21-AUGUST-2026'!$D$3:$D$199,'21-AUGUST-2026'!$U$3:$U$199,_xlfn.XLOOKUP($A83&amp;"|"&amp;$B83,'21-AUGUST-2026'!$A$3:$A$199&amp;"|"&amp;'21-AUGUST-2026'!$B$3:$B$199,'21-AUGUST-2026'!$U$3:$U$199,0)),0)</f>
        <v>1</v>
      </c>
      <c r="G83" s="15">
        <f t="shared" si="26"/>
        <v>33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20">
        <v>0</v>
      </c>
      <c r="S83" s="20">
        <v>0</v>
      </c>
      <c r="T83" s="20">
        <v>0</v>
      </c>
      <c r="U83" s="17"/>
      <c r="V83" s="17"/>
      <c r="W83" s="20">
        <f t="shared" si="27"/>
        <v>0</v>
      </c>
      <c r="X83" s="21">
        <f t="shared" si="35"/>
        <v>29</v>
      </c>
      <c r="Y83" s="15">
        <f t="shared" si="36"/>
        <v>28</v>
      </c>
      <c r="Z83" s="15">
        <f t="shared" si="28"/>
        <v>1</v>
      </c>
      <c r="AA83" s="18" t="str">
        <f t="shared" si="29"/>
        <v/>
      </c>
      <c r="AB83" s="17">
        <v>0</v>
      </c>
      <c r="AC83" s="17">
        <v>0</v>
      </c>
      <c r="AD83" s="15">
        <f t="shared" si="31"/>
        <v>0</v>
      </c>
      <c r="AE83" s="17">
        <v>0</v>
      </c>
      <c r="AF83" s="17">
        <v>0</v>
      </c>
      <c r="AG83" s="15">
        <f t="shared" si="32"/>
        <v>0</v>
      </c>
      <c r="AH83" s="17">
        <v>0</v>
      </c>
      <c r="AI83" s="17">
        <v>0</v>
      </c>
      <c r="AJ83" s="15">
        <f t="shared" si="33"/>
        <v>0</v>
      </c>
      <c r="AK83" s="17">
        <v>0</v>
      </c>
      <c r="AL83" s="17">
        <v>0</v>
      </c>
      <c r="AM83" s="15">
        <f t="shared" si="34"/>
        <v>0</v>
      </c>
      <c r="AN83" s="17"/>
      <c r="AO83" s="53">
        <f t="shared" si="30"/>
        <v>32</v>
      </c>
      <c r="AP83" s="53">
        <f>IF($A83="",0,IF(COUNTIFS([1]Sheet1!$A$2:$A$190,$A83,[1]Sheet1!$B$2:$B$190,$B83,[1]Sheet1!$C$2:$C$190,"&gt;=0")=0,0,SUMIFS([1]Sheet1!$C$2:$C$190,[1]Sheet1!$A$2:$A$190,$A83,[1]Sheet1!$B$2:$B$190,$B83)-$AO83))</f>
        <v>-4</v>
      </c>
    </row>
    <row r="84" spans="1:42" x14ac:dyDescent="0.3">
      <c r="A84" s="15" t="s">
        <v>224</v>
      </c>
      <c r="B84" s="15" t="s">
        <v>225</v>
      </c>
      <c r="C84" s="15" t="s">
        <v>54</v>
      </c>
      <c r="D84" s="15" t="s">
        <v>55</v>
      </c>
      <c r="E84" s="15" cm="1">
        <f t="array" ref="E84">IFERROR(_xlfn.XLOOKUP($A84&amp;"|"&amp;$B84&amp;"|"&amp;$D84,'21-AUGUST-2026'!$A$3:$A$199&amp;"|"&amp;'21-AUGUST-2026'!$B$3:$B$199&amp;"|"&amp;'21-AUGUST-2026'!$D$3:$D$199,'21-AUGUST-2026'!$T$3:$T$199,_xlfn.XLOOKUP($A84&amp;"|"&amp;$B84,'21-AUGUST-2026'!$A$3:$A$199&amp;"|"&amp;'21-AUGUST-2026'!$B$3:$B$199,'21-AUGUST-2026'!$T$3:$T$199,0)),0)</f>
        <v>0</v>
      </c>
      <c r="F84" s="15" cm="1">
        <f t="array" ref="F84">IFERROR(_xlfn.XLOOKUP($A84&amp;"|"&amp;$B84&amp;"|"&amp;$D84,'21-AUGUST-2026'!$A$3:$A$199&amp;"|"&amp;'21-AUGUST-2026'!$B$3:$B$199&amp;"|"&amp;'21-AUGUST-2026'!$D$3:$D$199,'21-AUGUST-2026'!$U$3:$U$199,_xlfn.XLOOKUP($A84&amp;"|"&amp;$B84,'21-AUGUST-2026'!$A$3:$A$199&amp;"|"&amp;'21-AUGUST-2026'!$B$3:$B$199,'21-AUGUST-2026'!$U$3:$U$199,0)),0)</f>
        <v>4</v>
      </c>
      <c r="G84" s="15">
        <f t="shared" si="26"/>
        <v>4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20">
        <v>0</v>
      </c>
      <c r="S84" s="20">
        <v>0</v>
      </c>
      <c r="T84" s="20">
        <v>0</v>
      </c>
      <c r="U84" s="17"/>
      <c r="V84" s="17"/>
      <c r="W84" s="20">
        <f t="shared" si="27"/>
        <v>0</v>
      </c>
      <c r="X84" s="21">
        <f t="shared" si="35"/>
        <v>4</v>
      </c>
      <c r="Y84" s="15">
        <f t="shared" si="36"/>
        <v>0</v>
      </c>
      <c r="Z84" s="15">
        <f t="shared" si="28"/>
        <v>4</v>
      </c>
      <c r="AA84" s="18" t="str">
        <f t="shared" si="29"/>
        <v/>
      </c>
      <c r="AB84" s="17">
        <v>0</v>
      </c>
      <c r="AC84" s="17">
        <v>0</v>
      </c>
      <c r="AD84" s="15">
        <f t="shared" si="31"/>
        <v>0</v>
      </c>
      <c r="AE84" s="17">
        <v>0</v>
      </c>
      <c r="AF84" s="17">
        <v>0</v>
      </c>
      <c r="AG84" s="15">
        <f t="shared" si="32"/>
        <v>0</v>
      </c>
      <c r="AH84" s="17">
        <v>0</v>
      </c>
      <c r="AI84" s="17">
        <v>0</v>
      </c>
      <c r="AJ84" s="15">
        <f t="shared" si="33"/>
        <v>0</v>
      </c>
      <c r="AK84" s="17">
        <v>0</v>
      </c>
      <c r="AL84" s="17">
        <v>0</v>
      </c>
      <c r="AM84" s="15">
        <f t="shared" si="34"/>
        <v>0</v>
      </c>
      <c r="AN84" s="17" t="s">
        <v>286</v>
      </c>
      <c r="AO84" s="53">
        <f t="shared" si="30"/>
        <v>0</v>
      </c>
      <c r="AP84" s="53">
        <f>IF($A84="",0,IF(COUNTIFS([1]Sheet1!$A$2:$A$190,$A84,[1]Sheet1!$B$2:$B$190,$B84,[1]Sheet1!$C$2:$C$190,"&gt;=0")=0,0,SUMIFS([1]Sheet1!$C$2:$C$190,[1]Sheet1!$A$2:$A$190,$A84,[1]Sheet1!$B$2:$B$190,$B84)-$AO84))</f>
        <v>0</v>
      </c>
    </row>
    <row r="85" spans="1:42" x14ac:dyDescent="0.3">
      <c r="A85" s="15" t="s">
        <v>227</v>
      </c>
      <c r="B85" s="15">
        <v>100</v>
      </c>
      <c r="C85" s="15" t="s">
        <v>54</v>
      </c>
      <c r="D85" s="15" t="s">
        <v>55</v>
      </c>
      <c r="E85" s="15" cm="1">
        <f t="array" ref="E85">IFERROR(_xlfn.XLOOKUP($A85&amp;"|"&amp;$B85&amp;"|"&amp;$D85,'21-AUGUST-2026'!$A$3:$A$199&amp;"|"&amp;'21-AUGUST-2026'!$B$3:$B$199&amp;"|"&amp;'21-AUGUST-2026'!$D$3:$D$199,'21-AUGUST-2026'!$T$3:$T$199,_xlfn.XLOOKUP($A85&amp;"|"&amp;$B85,'21-AUGUST-2026'!$A$3:$A$199&amp;"|"&amp;'21-AUGUST-2026'!$B$3:$B$199,'21-AUGUST-2026'!$T$3:$T$199,0)),0)</f>
        <v>81</v>
      </c>
      <c r="F85" s="15" cm="1">
        <f t="array" ref="F85">IFERROR(_xlfn.XLOOKUP($A85&amp;"|"&amp;$B85&amp;"|"&amp;$D85,'21-AUGUST-2026'!$A$3:$A$199&amp;"|"&amp;'21-AUGUST-2026'!$B$3:$B$199&amp;"|"&amp;'21-AUGUST-2026'!$D$3:$D$199,'21-AUGUST-2026'!$U$3:$U$199,_xlfn.XLOOKUP($A85&amp;"|"&amp;$B85,'21-AUGUST-2026'!$A$3:$A$199&amp;"|"&amp;'21-AUGUST-2026'!$B$3:$B$199,'21-AUGUST-2026'!$U$3:$U$199,0)),0)</f>
        <v>0</v>
      </c>
      <c r="G85" s="15">
        <f t="shared" si="26"/>
        <v>81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20">
        <v>0</v>
      </c>
      <c r="S85" s="20">
        <v>0</v>
      </c>
      <c r="T85" s="20">
        <v>0</v>
      </c>
      <c r="U85" s="17"/>
      <c r="V85" s="17"/>
      <c r="W85" s="20">
        <f t="shared" si="27"/>
        <v>0</v>
      </c>
      <c r="X85" s="21">
        <f t="shared" si="35"/>
        <v>70</v>
      </c>
      <c r="Y85" s="15">
        <f t="shared" si="36"/>
        <v>70</v>
      </c>
      <c r="Z85" s="15">
        <f t="shared" si="28"/>
        <v>0</v>
      </c>
      <c r="AA85" s="18" t="str">
        <f t="shared" si="29"/>
        <v/>
      </c>
      <c r="AB85" s="17">
        <v>0</v>
      </c>
      <c r="AC85" s="17">
        <v>0</v>
      </c>
      <c r="AD85" s="15">
        <f t="shared" si="31"/>
        <v>0</v>
      </c>
      <c r="AE85" s="17">
        <v>0</v>
      </c>
      <c r="AF85" s="17">
        <v>0</v>
      </c>
      <c r="AG85" s="15">
        <f t="shared" si="32"/>
        <v>0</v>
      </c>
      <c r="AH85" s="17">
        <v>0</v>
      </c>
      <c r="AI85" s="17">
        <v>0</v>
      </c>
      <c r="AJ85" s="15">
        <f t="shared" si="33"/>
        <v>0</v>
      </c>
      <c r="AK85" s="17">
        <v>0</v>
      </c>
      <c r="AL85" s="17">
        <v>0</v>
      </c>
      <c r="AM85" s="15">
        <f t="shared" si="34"/>
        <v>0</v>
      </c>
      <c r="AN85" s="17"/>
      <c r="AO85" s="53">
        <f t="shared" si="30"/>
        <v>81</v>
      </c>
      <c r="AP85" s="53">
        <f>IF($A85="",0,IF(COUNTIFS([1]Sheet1!$A$2:$A$190,$A85,[1]Sheet1!$B$2:$B$190,$B85,[1]Sheet1!$C$2:$C$190,"&gt;=0")=0,0,SUMIFS([1]Sheet1!$C$2:$C$190,[1]Sheet1!$A$2:$A$190,$A85,[1]Sheet1!$B$2:$B$190,$B85)-$AO85))</f>
        <v>-11</v>
      </c>
    </row>
    <row r="86" spans="1:42" x14ac:dyDescent="0.3">
      <c r="A86" s="15" t="s">
        <v>236</v>
      </c>
      <c r="B86" s="15">
        <v>1000</v>
      </c>
      <c r="C86" s="15" t="s">
        <v>54</v>
      </c>
      <c r="D86" s="15" t="s">
        <v>55</v>
      </c>
      <c r="E86" s="15" cm="1">
        <f t="array" ref="E86">IFERROR(_xlfn.XLOOKUP($A86&amp;"|"&amp;$B86&amp;"|"&amp;$D86,'21-AUGUST-2026'!$A$3:$A$199&amp;"|"&amp;'21-AUGUST-2026'!$B$3:$B$199&amp;"|"&amp;'21-AUGUST-2026'!$D$3:$D$199,'21-AUGUST-2026'!$T$3:$T$199,_xlfn.XLOOKUP($A86&amp;"|"&amp;$B86,'21-AUGUST-2026'!$A$3:$A$199&amp;"|"&amp;'21-AUGUST-2026'!$B$3:$B$199,'21-AUGUST-2026'!$T$3:$T$199,0)),0)</f>
        <v>12</v>
      </c>
      <c r="F86" s="15" cm="1">
        <f t="array" ref="F86">IFERROR(_xlfn.XLOOKUP($A86&amp;"|"&amp;$B86&amp;"|"&amp;$D86,'21-AUGUST-2026'!$A$3:$A$199&amp;"|"&amp;'21-AUGUST-2026'!$B$3:$B$199&amp;"|"&amp;'21-AUGUST-2026'!$D$3:$D$199,'21-AUGUST-2026'!$U$3:$U$199,_xlfn.XLOOKUP($A86&amp;"|"&amp;$B86,'21-AUGUST-2026'!$A$3:$A$199&amp;"|"&amp;'21-AUGUST-2026'!$B$3:$B$199,'21-AUGUST-2026'!$U$3:$U$199,0)),0)</f>
        <v>0</v>
      </c>
      <c r="G86" s="15">
        <f t="shared" si="26"/>
        <v>12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20">
        <v>0</v>
      </c>
      <c r="S86" s="20">
        <v>0</v>
      </c>
      <c r="T86" s="20">
        <v>0</v>
      </c>
      <c r="U86" s="17"/>
      <c r="V86" s="17"/>
      <c r="W86" s="20">
        <f t="shared" si="27"/>
        <v>0</v>
      </c>
      <c r="X86" s="21">
        <f t="shared" si="35"/>
        <v>13</v>
      </c>
      <c r="Y86" s="15">
        <f t="shared" si="36"/>
        <v>13</v>
      </c>
      <c r="Z86" s="15">
        <f t="shared" si="28"/>
        <v>0</v>
      </c>
      <c r="AA86" s="18" t="str">
        <f t="shared" si="29"/>
        <v/>
      </c>
      <c r="AB86" s="17">
        <v>0</v>
      </c>
      <c r="AC86" s="17">
        <v>0</v>
      </c>
      <c r="AD86" s="15">
        <f t="shared" si="31"/>
        <v>0</v>
      </c>
      <c r="AE86" s="17">
        <v>0</v>
      </c>
      <c r="AF86" s="17">
        <v>0</v>
      </c>
      <c r="AG86" s="15">
        <f t="shared" si="32"/>
        <v>0</v>
      </c>
      <c r="AH86" s="17">
        <v>0</v>
      </c>
      <c r="AI86" s="17">
        <v>0</v>
      </c>
      <c r="AJ86" s="15">
        <f t="shared" si="33"/>
        <v>0</v>
      </c>
      <c r="AK86" s="17">
        <v>0</v>
      </c>
      <c r="AL86" s="17">
        <v>0</v>
      </c>
      <c r="AM86" s="15">
        <f t="shared" si="34"/>
        <v>0</v>
      </c>
      <c r="AN86" s="17"/>
      <c r="AO86" s="53">
        <f t="shared" si="30"/>
        <v>12</v>
      </c>
      <c r="AP86" s="53">
        <f>IF($A86="",0,IF(COUNTIFS([1]Sheet1!$A$2:$A$190,$A86,[1]Sheet1!$B$2:$B$190,$B86,[1]Sheet1!$C$2:$C$190,"&gt;=0")=0,0,SUMIFS([1]Sheet1!$C$2:$C$190,[1]Sheet1!$A$2:$A$190,$A86,[1]Sheet1!$B$2:$B$190,$B86)-$AO86))</f>
        <v>1</v>
      </c>
    </row>
    <row r="87" spans="1:42" x14ac:dyDescent="0.3">
      <c r="A87" s="15" t="s">
        <v>237</v>
      </c>
      <c r="B87" s="15">
        <v>1000</v>
      </c>
      <c r="C87" s="15" t="s">
        <v>54</v>
      </c>
      <c r="D87" s="15" t="s">
        <v>55</v>
      </c>
      <c r="E87" s="15" cm="1">
        <f t="array" ref="E87">IFERROR(_xlfn.XLOOKUP($A87&amp;"|"&amp;$B87&amp;"|"&amp;$D87,'21-AUGUST-2026'!$A$3:$A$199&amp;"|"&amp;'21-AUGUST-2026'!$B$3:$B$199&amp;"|"&amp;'21-AUGUST-2026'!$D$3:$D$199,'21-AUGUST-2026'!$T$3:$T$199,_xlfn.XLOOKUP($A87&amp;"|"&amp;$B87,'21-AUGUST-2026'!$A$3:$A$199&amp;"|"&amp;'21-AUGUST-2026'!$B$3:$B$199,'21-AUGUST-2026'!$T$3:$T$199,0)),0)</f>
        <v>1</v>
      </c>
      <c r="F87" s="15" cm="1">
        <f t="array" ref="F87">IFERROR(_xlfn.XLOOKUP($A87&amp;"|"&amp;$B87&amp;"|"&amp;$D87,'21-AUGUST-2026'!$A$3:$A$199&amp;"|"&amp;'21-AUGUST-2026'!$B$3:$B$199&amp;"|"&amp;'21-AUGUST-2026'!$D$3:$D$199,'21-AUGUST-2026'!$U$3:$U$199,_xlfn.XLOOKUP($A87&amp;"|"&amp;$B87,'21-AUGUST-2026'!$A$3:$A$199&amp;"|"&amp;'21-AUGUST-2026'!$B$3:$B$199,'21-AUGUST-2026'!$U$3:$U$199,0)),0)</f>
        <v>27</v>
      </c>
      <c r="G87" s="15">
        <f t="shared" si="26"/>
        <v>28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20">
        <v>0</v>
      </c>
      <c r="S87" s="20">
        <v>0</v>
      </c>
      <c r="T87" s="20">
        <v>0</v>
      </c>
      <c r="U87" s="17"/>
      <c r="V87" s="17"/>
      <c r="W87" s="20">
        <f t="shared" si="27"/>
        <v>0</v>
      </c>
      <c r="X87" s="21">
        <f t="shared" si="35"/>
        <v>28</v>
      </c>
      <c r="Y87" s="15">
        <f t="shared" si="36"/>
        <v>1</v>
      </c>
      <c r="Z87" s="15">
        <f t="shared" si="28"/>
        <v>27</v>
      </c>
      <c r="AA87" s="18" t="str">
        <f t="shared" si="29"/>
        <v/>
      </c>
      <c r="AB87" s="17">
        <v>0</v>
      </c>
      <c r="AC87" s="17">
        <v>0</v>
      </c>
      <c r="AD87" s="15">
        <f t="shared" si="31"/>
        <v>0</v>
      </c>
      <c r="AE87" s="17">
        <v>0</v>
      </c>
      <c r="AF87" s="17">
        <v>0</v>
      </c>
      <c r="AG87" s="15">
        <f t="shared" si="32"/>
        <v>0</v>
      </c>
      <c r="AH87" s="17">
        <v>0</v>
      </c>
      <c r="AI87" s="17">
        <v>0</v>
      </c>
      <c r="AJ87" s="15">
        <f t="shared" si="33"/>
        <v>0</v>
      </c>
      <c r="AK87" s="17">
        <v>0</v>
      </c>
      <c r="AL87" s="17">
        <v>0</v>
      </c>
      <c r="AM87" s="15">
        <f t="shared" si="34"/>
        <v>0</v>
      </c>
      <c r="AN87" s="17"/>
      <c r="AO87" s="53">
        <f t="shared" si="30"/>
        <v>1</v>
      </c>
      <c r="AP87" s="53">
        <f>IF($A87="",0,IF(COUNTIFS([1]Sheet1!$A$2:$A$190,$A87,[1]Sheet1!$B$2:$B$190,$B87,[1]Sheet1!$C$2:$C$190,"&gt;=0")=0,0,SUMIFS([1]Sheet1!$C$2:$C$190,[1]Sheet1!$A$2:$A$190,$A87,[1]Sheet1!$B$2:$B$190,$B87)-$AO87))</f>
        <v>0</v>
      </c>
    </row>
    <row r="88" spans="1:42" x14ac:dyDescent="0.3">
      <c r="A88" s="15" t="s">
        <v>238</v>
      </c>
      <c r="B88" s="15">
        <v>1000</v>
      </c>
      <c r="C88" s="15" t="s">
        <v>54</v>
      </c>
      <c r="D88" s="15" t="s">
        <v>55</v>
      </c>
      <c r="E88" s="15" cm="1">
        <f t="array" ref="E88">IFERROR(_xlfn.XLOOKUP($A88&amp;"|"&amp;$B88&amp;"|"&amp;$D88,'21-AUGUST-2026'!$A$3:$A$199&amp;"|"&amp;'21-AUGUST-2026'!$B$3:$B$199&amp;"|"&amp;'21-AUGUST-2026'!$D$3:$D$199,'21-AUGUST-2026'!$T$3:$T$199,_xlfn.XLOOKUP($A88&amp;"|"&amp;$B88,'21-AUGUST-2026'!$A$3:$A$199&amp;"|"&amp;'21-AUGUST-2026'!$B$3:$B$199,'21-AUGUST-2026'!$T$3:$T$199,0)),0)</f>
        <v>4</v>
      </c>
      <c r="F88" s="15" cm="1">
        <f t="array" ref="F88">IFERROR(_xlfn.XLOOKUP($A88&amp;"|"&amp;$B88&amp;"|"&amp;$D88,'21-AUGUST-2026'!$A$3:$A$199&amp;"|"&amp;'21-AUGUST-2026'!$B$3:$B$199&amp;"|"&amp;'21-AUGUST-2026'!$D$3:$D$199,'21-AUGUST-2026'!$U$3:$U$199,_xlfn.XLOOKUP($A88&amp;"|"&amp;$B88,'21-AUGUST-2026'!$A$3:$A$199&amp;"|"&amp;'21-AUGUST-2026'!$B$3:$B$199,'21-AUGUST-2026'!$U$3:$U$199,0)),0)</f>
        <v>0</v>
      </c>
      <c r="G88" s="15">
        <f t="shared" si="26"/>
        <v>4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20">
        <v>0</v>
      </c>
      <c r="S88" s="20">
        <v>0</v>
      </c>
      <c r="T88" s="20">
        <v>0</v>
      </c>
      <c r="U88" s="17"/>
      <c r="V88" s="17"/>
      <c r="W88" s="20">
        <f t="shared" si="27"/>
        <v>0</v>
      </c>
      <c r="X88" s="21">
        <f t="shared" si="35"/>
        <v>3</v>
      </c>
      <c r="Y88" s="15">
        <f t="shared" si="36"/>
        <v>3</v>
      </c>
      <c r="Z88" s="15">
        <f t="shared" si="28"/>
        <v>0</v>
      </c>
      <c r="AA88" s="18" t="str">
        <f t="shared" si="29"/>
        <v/>
      </c>
      <c r="AB88" s="17">
        <v>0</v>
      </c>
      <c r="AC88" s="17">
        <v>0</v>
      </c>
      <c r="AD88" s="15">
        <f t="shared" si="31"/>
        <v>0</v>
      </c>
      <c r="AE88" s="17">
        <v>0</v>
      </c>
      <c r="AF88" s="17">
        <v>0</v>
      </c>
      <c r="AG88" s="15">
        <f t="shared" si="32"/>
        <v>0</v>
      </c>
      <c r="AH88" s="17">
        <v>0</v>
      </c>
      <c r="AI88" s="17">
        <v>0</v>
      </c>
      <c r="AJ88" s="15">
        <f t="shared" si="33"/>
        <v>0</v>
      </c>
      <c r="AK88" s="17">
        <v>0</v>
      </c>
      <c r="AL88" s="17">
        <v>0</v>
      </c>
      <c r="AM88" s="15">
        <f t="shared" si="34"/>
        <v>0</v>
      </c>
      <c r="AN88" s="17"/>
      <c r="AO88" s="53">
        <f t="shared" si="30"/>
        <v>4</v>
      </c>
      <c r="AP88" s="53">
        <f>IF($A88="",0,IF(COUNTIFS([1]Sheet1!$A$2:$A$190,$A88,[1]Sheet1!$B$2:$B$190,$B88,[1]Sheet1!$C$2:$C$190,"&gt;=0")=0,0,SUMIFS([1]Sheet1!$C$2:$C$190,[1]Sheet1!$A$2:$A$190,$A88,[1]Sheet1!$B$2:$B$190,$B88)-$AO88))</f>
        <v>-1</v>
      </c>
    </row>
    <row r="89" spans="1:42" x14ac:dyDescent="0.3">
      <c r="A89" s="15" t="s">
        <v>239</v>
      </c>
      <c r="B89" s="15">
        <v>1000</v>
      </c>
      <c r="C89" s="15" t="s">
        <v>54</v>
      </c>
      <c r="D89" s="15" t="s">
        <v>55</v>
      </c>
      <c r="E89" s="17">
        <v>0</v>
      </c>
      <c r="F89" s="17">
        <v>0</v>
      </c>
      <c r="G89" s="15">
        <f t="shared" si="26"/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20">
        <v>0</v>
      </c>
      <c r="S89" s="20">
        <v>0</v>
      </c>
      <c r="T89" s="20">
        <v>0</v>
      </c>
      <c r="U89" s="17"/>
      <c r="V89" s="17"/>
      <c r="W89" s="20">
        <f t="shared" si="27"/>
        <v>0</v>
      </c>
      <c r="X89" s="21">
        <f t="shared" si="35"/>
        <v>2</v>
      </c>
      <c r="Y89" s="15">
        <f t="shared" si="36"/>
        <v>2</v>
      </c>
      <c r="Z89" s="15">
        <f t="shared" si="28"/>
        <v>0</v>
      </c>
      <c r="AA89" s="18" t="str">
        <f t="shared" si="29"/>
        <v/>
      </c>
      <c r="AB89" s="17">
        <v>0</v>
      </c>
      <c r="AC89" s="17">
        <v>0</v>
      </c>
      <c r="AD89" s="15">
        <f t="shared" si="31"/>
        <v>0</v>
      </c>
      <c r="AE89" s="17">
        <v>0</v>
      </c>
      <c r="AF89" s="17">
        <v>0</v>
      </c>
      <c r="AG89" s="15">
        <f t="shared" si="32"/>
        <v>0</v>
      </c>
      <c r="AH89" s="17">
        <v>0</v>
      </c>
      <c r="AI89" s="17">
        <v>0</v>
      </c>
      <c r="AJ89" s="15">
        <f t="shared" si="33"/>
        <v>0</v>
      </c>
      <c r="AK89" s="17">
        <v>0</v>
      </c>
      <c r="AL89" s="17">
        <v>0</v>
      </c>
      <c r="AM89" s="15">
        <f t="shared" si="34"/>
        <v>0</v>
      </c>
      <c r="AN89" s="17"/>
      <c r="AO89" s="53">
        <f t="shared" si="30"/>
        <v>0</v>
      </c>
      <c r="AP89" s="53">
        <f>IF($A89="",0,IF(COUNTIFS([1]Sheet1!$A$2:$A$190,$A89,[1]Sheet1!$B$2:$B$190,$B89,[1]Sheet1!$C$2:$C$190,"&gt;=0")=0,0,SUMIFS([1]Sheet1!$C$2:$C$190,[1]Sheet1!$A$2:$A$190,$A89,[1]Sheet1!$B$2:$B$190,$B89)-$AO89))</f>
        <v>2</v>
      </c>
    </row>
    <row r="90" spans="1:42" x14ac:dyDescent="0.3">
      <c r="A90" s="15" t="s">
        <v>239</v>
      </c>
      <c r="B90" s="15">
        <v>2500</v>
      </c>
      <c r="C90" s="15" t="s">
        <v>54</v>
      </c>
      <c r="D90" s="15" t="s">
        <v>55</v>
      </c>
      <c r="E90" s="15" cm="1">
        <f t="array" ref="E90">IFERROR(_xlfn.XLOOKUP($A90&amp;"|"&amp;$B90&amp;"|"&amp;$D90,'21-AUGUST-2026'!$A$3:$A$199&amp;"|"&amp;'21-AUGUST-2026'!$B$3:$B$199&amp;"|"&amp;'21-AUGUST-2026'!$D$3:$D$199,'21-AUGUST-2026'!$T$3:$T$199,_xlfn.XLOOKUP($A90&amp;"|"&amp;$B90,'21-AUGUST-2026'!$A$3:$A$199&amp;"|"&amp;'21-AUGUST-2026'!$B$3:$B$199,'21-AUGUST-2026'!$T$3:$T$199,0)),0)</f>
        <v>0</v>
      </c>
      <c r="F90" s="15" cm="1">
        <f t="array" ref="F90">IFERROR(_xlfn.XLOOKUP($A90&amp;"|"&amp;$B90&amp;"|"&amp;$D90,'21-AUGUST-2026'!$A$3:$A$199&amp;"|"&amp;'21-AUGUST-2026'!$B$3:$B$199&amp;"|"&amp;'21-AUGUST-2026'!$D$3:$D$199,'21-AUGUST-2026'!$U$3:$U$199,_xlfn.XLOOKUP($A90&amp;"|"&amp;$B90,'21-AUGUST-2026'!$A$3:$A$199&amp;"|"&amp;'21-AUGUST-2026'!$B$3:$B$199,'21-AUGUST-2026'!$U$3:$U$199,0)),0)</f>
        <v>0</v>
      </c>
      <c r="G90" s="15">
        <f t="shared" si="26"/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20">
        <v>0</v>
      </c>
      <c r="S90" s="20">
        <v>0</v>
      </c>
      <c r="T90" s="20">
        <v>0</v>
      </c>
      <c r="U90" s="17"/>
      <c r="V90" s="17"/>
      <c r="W90" s="20">
        <f t="shared" si="27"/>
        <v>0</v>
      </c>
      <c r="X90" s="21">
        <f t="shared" si="35"/>
        <v>0</v>
      </c>
      <c r="Y90" s="15">
        <f t="shared" si="36"/>
        <v>0</v>
      </c>
      <c r="Z90" s="15">
        <f t="shared" si="28"/>
        <v>0</v>
      </c>
      <c r="AA90" s="18" t="str">
        <f t="shared" si="29"/>
        <v/>
      </c>
      <c r="AB90" s="17">
        <v>0</v>
      </c>
      <c r="AC90" s="17">
        <v>0</v>
      </c>
      <c r="AD90" s="15">
        <f t="shared" si="31"/>
        <v>0</v>
      </c>
      <c r="AE90" s="17">
        <v>0</v>
      </c>
      <c r="AF90" s="17">
        <v>0</v>
      </c>
      <c r="AG90" s="15">
        <f t="shared" si="32"/>
        <v>0</v>
      </c>
      <c r="AH90" s="17">
        <v>0</v>
      </c>
      <c r="AI90" s="17">
        <v>0</v>
      </c>
      <c r="AJ90" s="15">
        <f t="shared" si="33"/>
        <v>0</v>
      </c>
      <c r="AK90" s="17">
        <v>0</v>
      </c>
      <c r="AL90" s="17">
        <v>0</v>
      </c>
      <c r="AM90" s="15">
        <f t="shared" si="34"/>
        <v>0</v>
      </c>
      <c r="AN90" s="17"/>
      <c r="AO90" s="53">
        <f t="shared" si="30"/>
        <v>0</v>
      </c>
      <c r="AP90" s="53">
        <f>IF($A90="",0,IF(COUNTIFS([1]Sheet1!$A$2:$A$190,$A90,[1]Sheet1!$B$2:$B$190,$B90,[1]Sheet1!$C$2:$C$190,"&gt;=0")=0,0,SUMIFS([1]Sheet1!$C$2:$C$190,[1]Sheet1!$A$2:$A$190,$A90,[1]Sheet1!$B$2:$B$190,$B90)-$AO90))</f>
        <v>0</v>
      </c>
    </row>
    <row r="91" spans="1:42" x14ac:dyDescent="0.3">
      <c r="A91" s="15" t="s">
        <v>240</v>
      </c>
      <c r="B91" s="15">
        <v>100</v>
      </c>
      <c r="C91" s="15" t="s">
        <v>54</v>
      </c>
      <c r="D91" s="15" t="s">
        <v>55</v>
      </c>
      <c r="E91" s="15" cm="1">
        <f t="array" ref="E91">IFERROR(_xlfn.XLOOKUP($A91&amp;"|"&amp;$B91&amp;"|"&amp;$D91,'21-AUGUST-2026'!$A$3:$A$199&amp;"|"&amp;'21-AUGUST-2026'!$B$3:$B$199&amp;"|"&amp;'21-AUGUST-2026'!$D$3:$D$199,'21-AUGUST-2026'!$T$3:$T$199,_xlfn.XLOOKUP($A91&amp;"|"&amp;$B91,'21-AUGUST-2026'!$A$3:$A$199&amp;"|"&amp;'21-AUGUST-2026'!$B$3:$B$199,'21-AUGUST-2026'!$T$3:$T$199,0)),0)</f>
        <v>38</v>
      </c>
      <c r="F91" s="15" cm="1">
        <f t="array" ref="F91">IFERROR(_xlfn.XLOOKUP($A91&amp;"|"&amp;$B91&amp;"|"&amp;$D91,'21-AUGUST-2026'!$A$3:$A$199&amp;"|"&amp;'21-AUGUST-2026'!$B$3:$B$199&amp;"|"&amp;'21-AUGUST-2026'!$D$3:$D$199,'21-AUGUST-2026'!$U$3:$U$199,_xlfn.XLOOKUP($A91&amp;"|"&amp;$B91,'21-AUGUST-2026'!$A$3:$A$199&amp;"|"&amp;'21-AUGUST-2026'!$B$3:$B$199,'21-AUGUST-2026'!$U$3:$U$199,0)),0)</f>
        <v>0</v>
      </c>
      <c r="G91" s="15">
        <f t="shared" si="26"/>
        <v>38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20">
        <v>0</v>
      </c>
      <c r="S91" s="20">
        <v>0</v>
      </c>
      <c r="T91" s="20">
        <v>0</v>
      </c>
      <c r="U91" s="17"/>
      <c r="V91" s="17"/>
      <c r="W91" s="20">
        <f t="shared" si="27"/>
        <v>0</v>
      </c>
      <c r="X91" s="21">
        <f t="shared" si="35"/>
        <v>38</v>
      </c>
      <c r="Y91" s="15">
        <f t="shared" si="36"/>
        <v>38</v>
      </c>
      <c r="Z91" s="15">
        <f t="shared" si="28"/>
        <v>0</v>
      </c>
      <c r="AA91" s="18" t="str">
        <f t="shared" si="29"/>
        <v/>
      </c>
      <c r="AB91" s="17">
        <v>0</v>
      </c>
      <c r="AC91" s="17">
        <v>0</v>
      </c>
      <c r="AD91" s="15">
        <f t="shared" si="31"/>
        <v>0</v>
      </c>
      <c r="AE91" s="17">
        <v>0</v>
      </c>
      <c r="AF91" s="17">
        <v>0</v>
      </c>
      <c r="AG91" s="15">
        <f t="shared" si="32"/>
        <v>0</v>
      </c>
      <c r="AH91" s="17">
        <v>0</v>
      </c>
      <c r="AI91" s="17">
        <v>0</v>
      </c>
      <c r="AJ91" s="15">
        <f t="shared" si="33"/>
        <v>0</v>
      </c>
      <c r="AK91" s="17">
        <v>0</v>
      </c>
      <c r="AL91" s="17">
        <v>0</v>
      </c>
      <c r="AM91" s="15">
        <f t="shared" si="34"/>
        <v>0</v>
      </c>
      <c r="AN91" s="17"/>
      <c r="AO91" s="53">
        <f t="shared" si="30"/>
        <v>38</v>
      </c>
      <c r="AP91" s="53">
        <f>IF($A91="",0,IF(COUNTIFS([1]Sheet1!$A$2:$A$190,$A91,[1]Sheet1!$B$2:$B$190,$B91,[1]Sheet1!$C$2:$C$190,"&gt;=0")=0,0,SUMIFS([1]Sheet1!$C$2:$C$190,[1]Sheet1!$A$2:$A$190,$A91,[1]Sheet1!$B$2:$B$190,$B91)-$AO91))</f>
        <v>0</v>
      </c>
    </row>
    <row r="92" spans="1:42" x14ac:dyDescent="0.3">
      <c r="A92" s="15" t="s">
        <v>240</v>
      </c>
      <c r="B92" s="15">
        <v>1000</v>
      </c>
      <c r="C92" s="15" t="s">
        <v>54</v>
      </c>
      <c r="D92" s="15" t="s">
        <v>55</v>
      </c>
      <c r="E92" s="15" cm="1">
        <f t="array" ref="E92">IFERROR(_xlfn.XLOOKUP($A92&amp;"|"&amp;$B92&amp;"|"&amp;$D92,'21-AUGUST-2026'!$A$3:$A$199&amp;"|"&amp;'21-AUGUST-2026'!$B$3:$B$199&amp;"|"&amp;'21-AUGUST-2026'!$D$3:$D$199,'21-AUGUST-2026'!$T$3:$T$199,_xlfn.XLOOKUP($A92&amp;"|"&amp;$B92,'21-AUGUST-2026'!$A$3:$A$199&amp;"|"&amp;'21-AUGUST-2026'!$B$3:$B$199,'21-AUGUST-2026'!$T$3:$T$199,0)),0)</f>
        <v>14</v>
      </c>
      <c r="F92" s="15" cm="1">
        <f t="array" ref="F92">IFERROR(_xlfn.XLOOKUP($A92&amp;"|"&amp;$B92&amp;"|"&amp;$D92,'21-AUGUST-2026'!$A$3:$A$199&amp;"|"&amp;'21-AUGUST-2026'!$B$3:$B$199&amp;"|"&amp;'21-AUGUST-2026'!$D$3:$D$199,'21-AUGUST-2026'!$U$3:$U$199,_xlfn.XLOOKUP($A92&amp;"|"&amp;$B92,'21-AUGUST-2026'!$A$3:$A$199&amp;"|"&amp;'21-AUGUST-2026'!$B$3:$B$199,'21-AUGUST-2026'!$U$3:$U$199,0)),0)</f>
        <v>0</v>
      </c>
      <c r="G92" s="15">
        <f t="shared" si="26"/>
        <v>14</v>
      </c>
      <c r="H92" s="17">
        <v>0</v>
      </c>
      <c r="I92" s="17">
        <v>0</v>
      </c>
      <c r="J92" s="17">
        <v>0</v>
      </c>
      <c r="K92" s="17">
        <v>2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20">
        <v>0</v>
      </c>
      <c r="S92" s="20">
        <v>0</v>
      </c>
      <c r="T92" s="20">
        <v>0</v>
      </c>
      <c r="U92" s="17"/>
      <c r="V92" s="17"/>
      <c r="W92" s="20">
        <f t="shared" si="27"/>
        <v>0</v>
      </c>
      <c r="X92" s="21">
        <f t="shared" si="35"/>
        <v>18</v>
      </c>
      <c r="Y92" s="15">
        <f t="shared" si="36"/>
        <v>18</v>
      </c>
      <c r="Z92" s="15">
        <f t="shared" si="28"/>
        <v>0</v>
      </c>
      <c r="AA92" s="18" t="str">
        <f t="shared" si="29"/>
        <v/>
      </c>
      <c r="AB92" s="17">
        <v>0</v>
      </c>
      <c r="AC92" s="17">
        <v>0</v>
      </c>
      <c r="AD92" s="15">
        <f t="shared" si="31"/>
        <v>0</v>
      </c>
      <c r="AE92" s="17">
        <v>2</v>
      </c>
      <c r="AF92" s="17">
        <v>0</v>
      </c>
      <c r="AG92" s="15">
        <f t="shared" si="32"/>
        <v>2</v>
      </c>
      <c r="AH92" s="17">
        <v>0</v>
      </c>
      <c r="AI92" s="17">
        <v>0</v>
      </c>
      <c r="AJ92" s="15">
        <f t="shared" si="33"/>
        <v>0</v>
      </c>
      <c r="AK92" s="17">
        <v>0</v>
      </c>
      <c r="AL92" s="17">
        <v>0</v>
      </c>
      <c r="AM92" s="15">
        <f t="shared" si="34"/>
        <v>0</v>
      </c>
      <c r="AN92" s="17"/>
      <c r="AO92" s="53">
        <f t="shared" si="30"/>
        <v>12</v>
      </c>
      <c r="AP92" s="53">
        <f>IF($A92="",0,IF(COUNTIFS([1]Sheet1!$A$2:$A$190,$A92,[1]Sheet1!$B$2:$B$190,$B92,[1]Sheet1!$C$2:$C$190,"&gt;=0")=0,0,SUMIFS([1]Sheet1!$C$2:$C$190,[1]Sheet1!$A$2:$A$190,$A92,[1]Sheet1!$B$2:$B$190,$B92)-$AO92))</f>
        <v>6</v>
      </c>
    </row>
    <row r="93" spans="1:42" x14ac:dyDescent="0.3">
      <c r="A93" s="15" t="s">
        <v>244</v>
      </c>
      <c r="B93" s="15">
        <v>100000</v>
      </c>
      <c r="C93" s="15"/>
      <c r="D93" s="15" t="s">
        <v>55</v>
      </c>
      <c r="E93" s="15" cm="1">
        <f t="array" ref="E93">IFERROR(_xlfn.XLOOKUP($A93&amp;"|"&amp;$B93&amp;"|"&amp;$D93,'21-AUGUST-2026'!$A$3:$A$199&amp;"|"&amp;'21-AUGUST-2026'!$B$3:$B$199&amp;"|"&amp;'21-AUGUST-2026'!$D$3:$D$199,'21-AUGUST-2026'!$T$3:$T$199,_xlfn.XLOOKUP($A93&amp;"|"&amp;$B93,'21-AUGUST-2026'!$A$3:$A$199&amp;"|"&amp;'21-AUGUST-2026'!$B$3:$B$199,'21-AUGUST-2026'!$T$3:$T$199,0)),0)</f>
        <v>0</v>
      </c>
      <c r="F93" s="15" cm="1">
        <f t="array" ref="F93">IFERROR(_xlfn.XLOOKUP($A93&amp;"|"&amp;$B93&amp;"|"&amp;$D93,'21-AUGUST-2026'!$A$3:$A$199&amp;"|"&amp;'21-AUGUST-2026'!$B$3:$B$199&amp;"|"&amp;'21-AUGUST-2026'!$D$3:$D$199,'21-AUGUST-2026'!$U$3:$U$199,_xlfn.XLOOKUP($A93&amp;"|"&amp;$B93,'21-AUGUST-2026'!$A$3:$A$199&amp;"|"&amp;'21-AUGUST-2026'!$B$3:$B$199,'21-AUGUST-2026'!$U$3:$U$199,0)),0)</f>
        <v>0</v>
      </c>
      <c r="G93" s="15">
        <f t="shared" si="26"/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20">
        <v>0</v>
      </c>
      <c r="S93" s="20">
        <v>0</v>
      </c>
      <c r="T93" s="20">
        <v>0</v>
      </c>
      <c r="U93" s="17"/>
      <c r="V93" s="17"/>
      <c r="W93" s="20">
        <f t="shared" si="27"/>
        <v>0</v>
      </c>
      <c r="X93" s="21">
        <f t="shared" si="35"/>
        <v>0</v>
      </c>
      <c r="Y93" s="15">
        <f t="shared" si="36"/>
        <v>0</v>
      </c>
      <c r="Z93" s="15">
        <f t="shared" si="28"/>
        <v>0</v>
      </c>
      <c r="AA93" s="18" t="str">
        <f t="shared" si="29"/>
        <v/>
      </c>
      <c r="AB93" s="17">
        <v>0</v>
      </c>
      <c r="AC93" s="17">
        <v>0</v>
      </c>
      <c r="AD93" s="15">
        <f t="shared" si="31"/>
        <v>0</v>
      </c>
      <c r="AE93" s="17">
        <v>0</v>
      </c>
      <c r="AF93" s="17">
        <v>0</v>
      </c>
      <c r="AG93" s="15">
        <f t="shared" si="32"/>
        <v>0</v>
      </c>
      <c r="AH93" s="17">
        <v>0</v>
      </c>
      <c r="AI93" s="17">
        <v>0</v>
      </c>
      <c r="AJ93" s="15">
        <f t="shared" si="33"/>
        <v>0</v>
      </c>
      <c r="AK93" s="17">
        <v>0</v>
      </c>
      <c r="AL93" s="17">
        <v>0</v>
      </c>
      <c r="AM93" s="15">
        <f t="shared" si="34"/>
        <v>0</v>
      </c>
      <c r="AN93" s="17"/>
      <c r="AO93" s="53">
        <f t="shared" si="30"/>
        <v>0</v>
      </c>
      <c r="AP93" s="53">
        <f>IF($A93="",0,IF(COUNTIFS([1]Sheet1!$A$2:$A$190,$A93,[1]Sheet1!$B$2:$B$190,$B93,[1]Sheet1!$C$2:$C$190,"&gt;=0")=0,0,SUMIFS([1]Sheet1!$C$2:$C$190,[1]Sheet1!$A$2:$A$190,$A93,[1]Sheet1!$B$2:$B$190,$B93)-$AO93))</f>
        <v>0</v>
      </c>
    </row>
    <row r="94" spans="1:42" x14ac:dyDescent="0.3">
      <c r="A94" s="15" t="s">
        <v>56</v>
      </c>
      <c r="B94" s="15">
        <v>500</v>
      </c>
      <c r="C94" s="15" t="s">
        <v>54</v>
      </c>
      <c r="D94" s="15" t="s">
        <v>57</v>
      </c>
      <c r="E94" s="15" cm="1">
        <f t="array" ref="E94">IFERROR(_xlfn.XLOOKUP($A94&amp;"|"&amp;$B94&amp;"|"&amp;$D94,'21-AUGUST-2026'!$A$3:$A$199&amp;"|"&amp;'21-AUGUST-2026'!$B$3:$B$199&amp;"|"&amp;'21-AUGUST-2026'!$D$3:$D$199,'21-AUGUST-2026'!$T$3:$T$199,_xlfn.XLOOKUP($A94&amp;"|"&amp;$B94,'21-AUGUST-2026'!$A$3:$A$199&amp;"|"&amp;'21-AUGUST-2026'!$B$3:$B$199,'21-AUGUST-2026'!$T$3:$T$199,0)),0)</f>
        <v>-2</v>
      </c>
      <c r="F94" s="15" cm="1">
        <f t="array" ref="F94">IFERROR(_xlfn.XLOOKUP($A94&amp;"|"&amp;$B94&amp;"|"&amp;$D94,'21-AUGUST-2026'!$A$3:$A$199&amp;"|"&amp;'21-AUGUST-2026'!$B$3:$B$199&amp;"|"&amp;'21-AUGUST-2026'!$D$3:$D$199,'21-AUGUST-2026'!$U$3:$U$199,_xlfn.XLOOKUP($A94&amp;"|"&amp;$B94,'21-AUGUST-2026'!$A$3:$A$199&amp;"|"&amp;'21-AUGUST-2026'!$B$3:$B$199,'21-AUGUST-2026'!$U$3:$U$199,0)),0)</f>
        <v>0</v>
      </c>
      <c r="G94" s="15">
        <f t="shared" si="26"/>
        <v>-2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20">
        <v>0</v>
      </c>
      <c r="S94" s="20">
        <v>0</v>
      </c>
      <c r="T94" s="20">
        <v>0</v>
      </c>
      <c r="U94" s="17"/>
      <c r="V94" s="17"/>
      <c r="W94" s="20">
        <f t="shared" si="27"/>
        <v>0</v>
      </c>
      <c r="X94" s="21">
        <f t="shared" si="35"/>
        <v>0</v>
      </c>
      <c r="Y94" s="15">
        <f t="shared" si="36"/>
        <v>0</v>
      </c>
      <c r="Z94" s="15">
        <f t="shared" si="28"/>
        <v>0</v>
      </c>
      <c r="AA94" s="18" t="str">
        <f t="shared" si="29"/>
        <v/>
      </c>
      <c r="AB94" s="17">
        <v>0</v>
      </c>
      <c r="AC94" s="17">
        <v>0</v>
      </c>
      <c r="AD94" s="15">
        <f t="shared" si="31"/>
        <v>0</v>
      </c>
      <c r="AE94" s="17">
        <v>0</v>
      </c>
      <c r="AF94" s="17">
        <v>0</v>
      </c>
      <c r="AG94" s="15">
        <f t="shared" si="32"/>
        <v>0</v>
      </c>
      <c r="AH94" s="17">
        <v>0</v>
      </c>
      <c r="AI94" s="17">
        <v>0</v>
      </c>
      <c r="AJ94" s="15">
        <f t="shared" si="33"/>
        <v>0</v>
      </c>
      <c r="AK94" s="17">
        <v>0</v>
      </c>
      <c r="AL94" s="17">
        <v>0</v>
      </c>
      <c r="AM94" s="15">
        <f t="shared" si="34"/>
        <v>0</v>
      </c>
      <c r="AN94" s="17"/>
      <c r="AO94" s="53">
        <f t="shared" si="30"/>
        <v>-2</v>
      </c>
      <c r="AP94" s="53">
        <f>IF($A94="",0,IF(COUNTIFS([1]Sheet1!$A$2:$A$190,$A94,[1]Sheet1!$B$2:$B$190,$B94,[1]Sheet1!$C$2:$C$190,"&gt;=0")=0,0,SUMIFS([1]Sheet1!$C$2:$C$190,[1]Sheet1!$A$2:$A$190,$A94,[1]Sheet1!$B$2:$B$190,$B94)-$AO94))</f>
        <v>2</v>
      </c>
    </row>
    <row r="95" spans="1:42" x14ac:dyDescent="0.3">
      <c r="A95" s="15" t="s">
        <v>72</v>
      </c>
      <c r="B95" s="15">
        <v>100</v>
      </c>
      <c r="C95" s="15" t="s">
        <v>54</v>
      </c>
      <c r="D95" s="15" t="s">
        <v>57</v>
      </c>
      <c r="E95" s="15" cm="1">
        <f t="array" ref="E95">IFERROR(_xlfn.XLOOKUP($A95&amp;"|"&amp;$B95&amp;"|"&amp;$D95,'21-AUGUST-2026'!$A$3:$A$199&amp;"|"&amp;'21-AUGUST-2026'!$B$3:$B$199&amp;"|"&amp;'21-AUGUST-2026'!$D$3:$D$199,'21-AUGUST-2026'!$T$3:$T$199,_xlfn.XLOOKUP($A95&amp;"|"&amp;$B95,'21-AUGUST-2026'!$A$3:$A$199&amp;"|"&amp;'21-AUGUST-2026'!$B$3:$B$199,'21-AUGUST-2026'!$T$3:$T$199,0)),0)</f>
        <v>18</v>
      </c>
      <c r="F95" s="15" cm="1">
        <f t="array" ref="F95">IFERROR(_xlfn.XLOOKUP($A95&amp;"|"&amp;$B95&amp;"|"&amp;$D95,'21-AUGUST-2026'!$A$3:$A$199&amp;"|"&amp;'21-AUGUST-2026'!$B$3:$B$199&amp;"|"&amp;'21-AUGUST-2026'!$D$3:$D$199,'21-AUGUST-2026'!$U$3:$U$199,_xlfn.XLOOKUP($A95&amp;"|"&amp;$B95,'21-AUGUST-2026'!$A$3:$A$199&amp;"|"&amp;'21-AUGUST-2026'!$B$3:$B$199,'21-AUGUST-2026'!$U$3:$U$199,0)),0)</f>
        <v>0</v>
      </c>
      <c r="G95" s="15">
        <f t="shared" si="26"/>
        <v>18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20">
        <v>0</v>
      </c>
      <c r="S95" s="20">
        <v>0</v>
      </c>
      <c r="T95" s="20">
        <v>0</v>
      </c>
      <c r="U95" s="17"/>
      <c r="V95" s="17"/>
      <c r="W95" s="20">
        <f t="shared" si="27"/>
        <v>0</v>
      </c>
      <c r="X95" s="21">
        <f t="shared" si="35"/>
        <v>18</v>
      </c>
      <c r="Y95" s="15">
        <f t="shared" si="36"/>
        <v>18</v>
      </c>
      <c r="Z95" s="15">
        <f t="shared" si="28"/>
        <v>0</v>
      </c>
      <c r="AA95" s="18" t="str">
        <f t="shared" si="29"/>
        <v/>
      </c>
      <c r="AB95" s="17">
        <v>0</v>
      </c>
      <c r="AC95" s="17">
        <v>0</v>
      </c>
      <c r="AD95" s="15">
        <f t="shared" si="31"/>
        <v>0</v>
      </c>
      <c r="AE95" s="17">
        <v>0</v>
      </c>
      <c r="AF95" s="17">
        <v>0</v>
      </c>
      <c r="AG95" s="15">
        <f t="shared" si="32"/>
        <v>0</v>
      </c>
      <c r="AH95" s="17">
        <v>0</v>
      </c>
      <c r="AI95" s="17">
        <v>0</v>
      </c>
      <c r="AJ95" s="15">
        <f t="shared" si="33"/>
        <v>0</v>
      </c>
      <c r="AK95" s="17">
        <v>0</v>
      </c>
      <c r="AL95" s="17">
        <v>0</v>
      </c>
      <c r="AM95" s="15">
        <f t="shared" si="34"/>
        <v>0</v>
      </c>
      <c r="AN95" s="17"/>
      <c r="AO95" s="53">
        <f t="shared" si="30"/>
        <v>18</v>
      </c>
      <c r="AP95" s="53">
        <f>IF($A95="",0,IF(COUNTIFS([1]Sheet1!$A$2:$A$190,$A95,[1]Sheet1!$B$2:$B$190,$B95,[1]Sheet1!$C$2:$C$190,"&gt;=0")=0,0,SUMIFS([1]Sheet1!$C$2:$C$190,[1]Sheet1!$A$2:$A$190,$A95,[1]Sheet1!$B$2:$B$190,$B95)-$AO95))</f>
        <v>0</v>
      </c>
    </row>
    <row r="96" spans="1:42" x14ac:dyDescent="0.3">
      <c r="A96" s="15" t="s">
        <v>72</v>
      </c>
      <c r="B96" s="15">
        <v>500</v>
      </c>
      <c r="C96" s="15" t="s">
        <v>54</v>
      </c>
      <c r="D96" s="15" t="s">
        <v>57</v>
      </c>
      <c r="E96" s="15" cm="1">
        <f t="array" ref="E96">IFERROR(_xlfn.XLOOKUP($A96&amp;"|"&amp;$B96&amp;"|"&amp;$D96,'21-AUGUST-2026'!$A$3:$A$199&amp;"|"&amp;'21-AUGUST-2026'!$B$3:$B$199&amp;"|"&amp;'21-AUGUST-2026'!$D$3:$D$199,'21-AUGUST-2026'!$T$3:$T$199,_xlfn.XLOOKUP($A96&amp;"|"&amp;$B96,'21-AUGUST-2026'!$A$3:$A$199&amp;"|"&amp;'21-AUGUST-2026'!$B$3:$B$199,'21-AUGUST-2026'!$T$3:$T$199,0)),0)</f>
        <v>-4</v>
      </c>
      <c r="F96" s="15" cm="1">
        <f t="array" ref="F96">IFERROR(_xlfn.XLOOKUP($A96&amp;"|"&amp;$B96&amp;"|"&amp;$D96,'21-AUGUST-2026'!$A$3:$A$199&amp;"|"&amp;'21-AUGUST-2026'!$B$3:$B$199&amp;"|"&amp;'21-AUGUST-2026'!$D$3:$D$199,'21-AUGUST-2026'!$U$3:$U$199,_xlfn.XLOOKUP($A96&amp;"|"&amp;$B96,'21-AUGUST-2026'!$A$3:$A$199&amp;"|"&amp;'21-AUGUST-2026'!$B$3:$B$199,'21-AUGUST-2026'!$U$3:$U$199,0)),0)</f>
        <v>0</v>
      </c>
      <c r="G96" s="15">
        <f t="shared" si="26"/>
        <v>-4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20">
        <v>0</v>
      </c>
      <c r="S96" s="20">
        <v>0</v>
      </c>
      <c r="T96" s="20">
        <v>0</v>
      </c>
      <c r="U96" s="17"/>
      <c r="V96" s="17"/>
      <c r="W96" s="20">
        <f t="shared" si="27"/>
        <v>0</v>
      </c>
      <c r="X96" s="21">
        <f t="shared" si="35"/>
        <v>1</v>
      </c>
      <c r="Y96" s="15">
        <f t="shared" si="36"/>
        <v>1</v>
      </c>
      <c r="Z96" s="15">
        <f t="shared" si="28"/>
        <v>0</v>
      </c>
      <c r="AA96" s="18" t="str">
        <f t="shared" si="29"/>
        <v/>
      </c>
      <c r="AB96" s="17">
        <v>0</v>
      </c>
      <c r="AC96" s="17">
        <v>0</v>
      </c>
      <c r="AD96" s="15">
        <f t="shared" si="31"/>
        <v>0</v>
      </c>
      <c r="AE96" s="17">
        <v>0</v>
      </c>
      <c r="AF96" s="17">
        <v>0</v>
      </c>
      <c r="AG96" s="15">
        <f t="shared" si="32"/>
        <v>0</v>
      </c>
      <c r="AH96" s="17">
        <v>0</v>
      </c>
      <c r="AI96" s="17">
        <v>0</v>
      </c>
      <c r="AJ96" s="15">
        <f t="shared" si="33"/>
        <v>0</v>
      </c>
      <c r="AK96" s="17">
        <v>0</v>
      </c>
      <c r="AL96" s="17">
        <v>0</v>
      </c>
      <c r="AM96" s="15">
        <f t="shared" si="34"/>
        <v>0</v>
      </c>
      <c r="AN96" s="17"/>
      <c r="AO96" s="53">
        <f t="shared" si="30"/>
        <v>-4</v>
      </c>
      <c r="AP96" s="53">
        <f>IF($A96="",0,IF(COUNTIFS([1]Sheet1!$A$2:$A$190,$A96,[1]Sheet1!$B$2:$B$190,$B96,[1]Sheet1!$C$2:$C$190,"&gt;=0")=0,0,SUMIFS([1]Sheet1!$C$2:$C$190,[1]Sheet1!$A$2:$A$190,$A96,[1]Sheet1!$B$2:$B$190,$B96)-$AO96))</f>
        <v>5</v>
      </c>
    </row>
    <row r="97" spans="1:42" x14ac:dyDescent="0.3">
      <c r="A97" s="15" t="s">
        <v>83</v>
      </c>
      <c r="B97" s="15">
        <v>100</v>
      </c>
      <c r="C97" s="15" t="s">
        <v>54</v>
      </c>
      <c r="D97" s="15" t="s">
        <v>57</v>
      </c>
      <c r="E97" s="15" cm="1">
        <f t="array" ref="E97">IFERROR(_xlfn.XLOOKUP($A97&amp;"|"&amp;$B97&amp;"|"&amp;$D97,'21-AUGUST-2026'!$A$3:$A$199&amp;"|"&amp;'21-AUGUST-2026'!$B$3:$B$199&amp;"|"&amp;'21-AUGUST-2026'!$D$3:$D$199,'21-AUGUST-2026'!$T$3:$T$199,_xlfn.XLOOKUP($A97&amp;"|"&amp;$B97,'21-AUGUST-2026'!$A$3:$A$199&amp;"|"&amp;'21-AUGUST-2026'!$B$3:$B$199,'21-AUGUST-2026'!$T$3:$T$199,0)),0)</f>
        <v>2</v>
      </c>
      <c r="F97" s="15" cm="1">
        <f t="array" ref="F97">IFERROR(_xlfn.XLOOKUP($A97&amp;"|"&amp;$B97&amp;"|"&amp;$D97,'21-AUGUST-2026'!$A$3:$A$199&amp;"|"&amp;'21-AUGUST-2026'!$B$3:$B$199&amp;"|"&amp;'21-AUGUST-2026'!$D$3:$D$199,'21-AUGUST-2026'!$U$3:$U$199,_xlfn.XLOOKUP($A97&amp;"|"&amp;$B97,'21-AUGUST-2026'!$A$3:$A$199&amp;"|"&amp;'21-AUGUST-2026'!$B$3:$B$199,'21-AUGUST-2026'!$U$3:$U$199,0)),0)</f>
        <v>0</v>
      </c>
      <c r="G97" s="15">
        <f t="shared" si="26"/>
        <v>2</v>
      </c>
      <c r="H97" s="17">
        <v>0</v>
      </c>
      <c r="I97" s="17">
        <v>1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20">
        <v>0</v>
      </c>
      <c r="S97" s="20">
        <v>0</v>
      </c>
      <c r="T97" s="20">
        <v>0</v>
      </c>
      <c r="U97" s="17"/>
      <c r="V97" s="17"/>
      <c r="W97" s="20">
        <f t="shared" si="27"/>
        <v>0</v>
      </c>
      <c r="X97" s="21">
        <f t="shared" si="35"/>
        <v>0</v>
      </c>
      <c r="Y97" s="15">
        <f t="shared" si="36"/>
        <v>1</v>
      </c>
      <c r="Z97" s="15">
        <f t="shared" si="28"/>
        <v>-1</v>
      </c>
      <c r="AA97" s="18" t="str">
        <f t="shared" si="29"/>
        <v>NEGATIVE STOCK - CHECK ENTRIES</v>
      </c>
      <c r="AB97" s="17">
        <v>0</v>
      </c>
      <c r="AC97" s="17">
        <v>0</v>
      </c>
      <c r="AD97" s="15">
        <f t="shared" si="31"/>
        <v>0</v>
      </c>
      <c r="AE97" s="17">
        <v>0</v>
      </c>
      <c r="AF97" s="17">
        <v>0</v>
      </c>
      <c r="AG97" s="15">
        <f t="shared" si="32"/>
        <v>0</v>
      </c>
      <c r="AH97" s="17">
        <v>0</v>
      </c>
      <c r="AI97" s="17">
        <v>0</v>
      </c>
      <c r="AJ97" s="15">
        <f t="shared" si="33"/>
        <v>0</v>
      </c>
      <c r="AK97" s="17">
        <v>0</v>
      </c>
      <c r="AL97" s="17">
        <v>0</v>
      </c>
      <c r="AM97" s="15">
        <f t="shared" si="34"/>
        <v>0</v>
      </c>
      <c r="AN97" s="17"/>
      <c r="AO97" s="53">
        <f t="shared" si="30"/>
        <v>2</v>
      </c>
      <c r="AP97" s="53">
        <f>IF($A97="",0,IF(COUNTIFS([1]Sheet1!$A$2:$A$190,$A97,[1]Sheet1!$B$2:$B$190,$B97,[1]Sheet1!$C$2:$C$190,"&gt;=0")=0,0,SUMIFS([1]Sheet1!$C$2:$C$190,[1]Sheet1!$A$2:$A$190,$A97,[1]Sheet1!$B$2:$B$190,$B97)-$AO97))</f>
        <v>-1</v>
      </c>
    </row>
    <row r="98" spans="1:42" x14ac:dyDescent="0.3">
      <c r="A98" s="15" t="s">
        <v>86</v>
      </c>
      <c r="B98" s="15">
        <v>100</v>
      </c>
      <c r="C98" s="15" t="s">
        <v>54</v>
      </c>
      <c r="D98" s="15" t="s">
        <v>57</v>
      </c>
      <c r="E98" s="15" cm="1">
        <f t="array" ref="E98">IFERROR(_xlfn.XLOOKUP($A98&amp;"|"&amp;$B98&amp;"|"&amp;$D98,'21-AUGUST-2026'!$A$3:$A$199&amp;"|"&amp;'21-AUGUST-2026'!$B$3:$B$199&amp;"|"&amp;'21-AUGUST-2026'!$D$3:$D$199,'21-AUGUST-2026'!$T$3:$T$199,_xlfn.XLOOKUP($A98&amp;"|"&amp;$B98,'21-AUGUST-2026'!$A$3:$A$199&amp;"|"&amp;'21-AUGUST-2026'!$B$3:$B$199,'21-AUGUST-2026'!$T$3:$T$199,0)),0)</f>
        <v>1</v>
      </c>
      <c r="F98" s="15" cm="1">
        <f t="array" ref="F98">IFERROR(_xlfn.XLOOKUP($A98&amp;"|"&amp;$B98&amp;"|"&amp;$D98,'21-AUGUST-2026'!$A$3:$A$199&amp;"|"&amp;'21-AUGUST-2026'!$B$3:$B$199&amp;"|"&amp;'21-AUGUST-2026'!$D$3:$D$199,'21-AUGUST-2026'!$U$3:$U$199,_xlfn.XLOOKUP($A98&amp;"|"&amp;$B98,'21-AUGUST-2026'!$A$3:$A$199&amp;"|"&amp;'21-AUGUST-2026'!$B$3:$B$199,'21-AUGUST-2026'!$U$3:$U$199,0)),0)</f>
        <v>0</v>
      </c>
      <c r="G98" s="15">
        <f t="shared" si="26"/>
        <v>1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20">
        <v>0</v>
      </c>
      <c r="S98" s="20">
        <v>0</v>
      </c>
      <c r="T98" s="20">
        <v>0</v>
      </c>
      <c r="U98" s="17"/>
      <c r="V98" s="17"/>
      <c r="W98" s="20">
        <f t="shared" si="27"/>
        <v>0</v>
      </c>
      <c r="X98" s="21">
        <f t="shared" si="35"/>
        <v>0</v>
      </c>
      <c r="Y98" s="15">
        <f t="shared" si="36"/>
        <v>0</v>
      </c>
      <c r="Z98" s="15">
        <f t="shared" si="28"/>
        <v>0</v>
      </c>
      <c r="AA98" s="18" t="str">
        <f t="shared" si="29"/>
        <v/>
      </c>
      <c r="AB98" s="17">
        <v>0</v>
      </c>
      <c r="AC98" s="17">
        <v>0</v>
      </c>
      <c r="AD98" s="15">
        <f t="shared" si="31"/>
        <v>0</v>
      </c>
      <c r="AE98" s="17">
        <v>0</v>
      </c>
      <c r="AF98" s="17">
        <v>0</v>
      </c>
      <c r="AG98" s="15">
        <f t="shared" si="32"/>
        <v>0</v>
      </c>
      <c r="AH98" s="17">
        <v>0</v>
      </c>
      <c r="AI98" s="17">
        <v>0</v>
      </c>
      <c r="AJ98" s="15">
        <f t="shared" si="33"/>
        <v>0</v>
      </c>
      <c r="AK98" s="17">
        <v>0</v>
      </c>
      <c r="AL98" s="17">
        <v>0</v>
      </c>
      <c r="AM98" s="15">
        <f t="shared" si="34"/>
        <v>0</v>
      </c>
      <c r="AN98" s="17"/>
      <c r="AO98" s="53">
        <f t="shared" si="30"/>
        <v>1</v>
      </c>
      <c r="AP98" s="53">
        <f>IF($A98="",0,IF(COUNTIFS([1]Sheet1!$A$2:$A$190,$A98,[1]Sheet1!$B$2:$B$190,$B98,[1]Sheet1!$C$2:$C$190,"&gt;=0")=0,0,SUMIFS([1]Sheet1!$C$2:$C$190,[1]Sheet1!$A$2:$A$190,$A98,[1]Sheet1!$B$2:$B$190,$B98)-$AO98))</f>
        <v>-1</v>
      </c>
    </row>
    <row r="99" spans="1:42" x14ac:dyDescent="0.3">
      <c r="A99" s="15" t="s">
        <v>90</v>
      </c>
      <c r="B99" s="15">
        <v>100</v>
      </c>
      <c r="C99" s="15" t="s">
        <v>54</v>
      </c>
      <c r="D99" s="15" t="s">
        <v>57</v>
      </c>
      <c r="E99" s="15" cm="1">
        <f t="array" ref="E99">IFERROR(_xlfn.XLOOKUP($A99&amp;"|"&amp;$B99&amp;"|"&amp;$D99,'21-AUGUST-2026'!$A$3:$A$199&amp;"|"&amp;'21-AUGUST-2026'!$B$3:$B$199&amp;"|"&amp;'21-AUGUST-2026'!$D$3:$D$199,'21-AUGUST-2026'!$T$3:$T$199,_xlfn.XLOOKUP($A99&amp;"|"&amp;$B99,'21-AUGUST-2026'!$A$3:$A$199&amp;"|"&amp;'21-AUGUST-2026'!$B$3:$B$199,'21-AUGUST-2026'!$T$3:$T$199,0)),0)</f>
        <v>10</v>
      </c>
      <c r="F99" s="15" cm="1">
        <f t="array" ref="F99">IFERROR(_xlfn.XLOOKUP($A99&amp;"|"&amp;$B99&amp;"|"&amp;$D99,'21-AUGUST-2026'!$A$3:$A$199&amp;"|"&amp;'21-AUGUST-2026'!$B$3:$B$199&amp;"|"&amp;'21-AUGUST-2026'!$D$3:$D$199,'21-AUGUST-2026'!$U$3:$U$199,_xlfn.XLOOKUP($A99&amp;"|"&amp;$B99,'21-AUGUST-2026'!$A$3:$A$199&amp;"|"&amp;'21-AUGUST-2026'!$B$3:$B$199,'21-AUGUST-2026'!$U$3:$U$199,0)),0)</f>
        <v>0</v>
      </c>
      <c r="G99" s="15">
        <f t="shared" ref="G99:G130" si="37">E99+F99</f>
        <v>10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20">
        <v>0</v>
      </c>
      <c r="S99" s="20">
        <v>0</v>
      </c>
      <c r="T99" s="20">
        <v>0</v>
      </c>
      <c r="U99" s="17"/>
      <c r="V99" s="17"/>
      <c r="W99" s="20">
        <f t="shared" ref="W99:W130" si="38">R99+S99+T99</f>
        <v>0</v>
      </c>
      <c r="X99" s="21">
        <f t="shared" si="35"/>
        <v>9</v>
      </c>
      <c r="Y99" s="15">
        <f t="shared" si="36"/>
        <v>9</v>
      </c>
      <c r="Z99" s="15">
        <f t="shared" ref="Z99:Z130" si="39">F99+O99+IF($V99="Moro",$W99,0)-I99-L99</f>
        <v>0</v>
      </c>
      <c r="AA99" s="18" t="str">
        <f t="shared" ref="AA99:AA130" si="40">IF(AND(V99&gt;0,U99=""),"IMPORT NEEDS DESTINATION",IF(MIN(Y99,Z99)&lt;0,"NEGATIVE STOCK - CHECK ENTRIES",""))</f>
        <v/>
      </c>
      <c r="AB99" s="17">
        <v>0</v>
      </c>
      <c r="AC99" s="17">
        <v>0</v>
      </c>
      <c r="AD99" s="15">
        <f t="shared" si="31"/>
        <v>0</v>
      </c>
      <c r="AE99" s="17">
        <v>0</v>
      </c>
      <c r="AF99" s="17">
        <v>0</v>
      </c>
      <c r="AG99" s="15">
        <f t="shared" si="32"/>
        <v>0</v>
      </c>
      <c r="AH99" s="17">
        <v>0</v>
      </c>
      <c r="AI99" s="17">
        <v>0</v>
      </c>
      <c r="AJ99" s="15">
        <f t="shared" si="33"/>
        <v>0</v>
      </c>
      <c r="AK99" s="17">
        <v>0</v>
      </c>
      <c r="AL99" s="17">
        <v>0</v>
      </c>
      <c r="AM99" s="15">
        <f t="shared" si="34"/>
        <v>0</v>
      </c>
      <c r="AN99" s="17"/>
      <c r="AO99" s="53">
        <f t="shared" ref="AO99:AO130" si="41">E99+N99+IF($V99="Arusha",$W99,0)-H99-K99</f>
        <v>10</v>
      </c>
      <c r="AP99" s="53">
        <f>IF($A99="",0,IF(COUNTIFS([1]Sheet1!$A$2:$A$190,$A99,[1]Sheet1!$B$2:$B$190,$B99,[1]Sheet1!$C$2:$C$190,"&gt;=0")=0,0,SUMIFS([1]Sheet1!$C$2:$C$190,[1]Sheet1!$A$2:$A$190,$A99,[1]Sheet1!$B$2:$B$190,$B99)-$AO99))</f>
        <v>-1</v>
      </c>
    </row>
    <row r="100" spans="1:42" x14ac:dyDescent="0.3">
      <c r="A100" s="15" t="s">
        <v>95</v>
      </c>
      <c r="B100" s="15">
        <v>100</v>
      </c>
      <c r="C100" s="15" t="s">
        <v>54</v>
      </c>
      <c r="D100" s="15" t="s">
        <v>57</v>
      </c>
      <c r="E100" s="15" cm="1">
        <f t="array" ref="E100">IFERROR(_xlfn.XLOOKUP($A100&amp;"|"&amp;$B100&amp;"|"&amp;$D100,'21-AUGUST-2026'!$A$3:$A$199&amp;"|"&amp;'21-AUGUST-2026'!$B$3:$B$199&amp;"|"&amp;'21-AUGUST-2026'!$D$3:$D$199,'21-AUGUST-2026'!$T$3:$T$199,_xlfn.XLOOKUP($A100&amp;"|"&amp;$B100,'21-AUGUST-2026'!$A$3:$A$199&amp;"|"&amp;'21-AUGUST-2026'!$B$3:$B$199,'21-AUGUST-2026'!$T$3:$T$199,0)),0)</f>
        <v>1</v>
      </c>
      <c r="F100" s="15" cm="1">
        <f t="array" ref="F100">IFERROR(_xlfn.XLOOKUP($A100&amp;"|"&amp;$B100&amp;"|"&amp;$D100,'21-AUGUST-2026'!$A$3:$A$199&amp;"|"&amp;'21-AUGUST-2026'!$B$3:$B$199&amp;"|"&amp;'21-AUGUST-2026'!$D$3:$D$199,'21-AUGUST-2026'!$U$3:$U$199,_xlfn.XLOOKUP($A100&amp;"|"&amp;$B100,'21-AUGUST-2026'!$A$3:$A$199&amp;"|"&amp;'21-AUGUST-2026'!$B$3:$B$199,'21-AUGUST-2026'!$U$3:$U$199,0)),0)</f>
        <v>0</v>
      </c>
      <c r="G100" s="15">
        <f t="shared" si="37"/>
        <v>1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20">
        <v>0</v>
      </c>
      <c r="S100" s="20">
        <v>0</v>
      </c>
      <c r="T100" s="20">
        <v>0</v>
      </c>
      <c r="U100" s="17"/>
      <c r="V100" s="17"/>
      <c r="W100" s="20">
        <f t="shared" si="38"/>
        <v>0</v>
      </c>
      <c r="X100" s="21">
        <f t="shared" si="35"/>
        <v>1</v>
      </c>
      <c r="Y100" s="15">
        <f t="shared" si="36"/>
        <v>1</v>
      </c>
      <c r="Z100" s="15">
        <f t="shared" si="39"/>
        <v>0</v>
      </c>
      <c r="AA100" s="18" t="str">
        <f t="shared" si="40"/>
        <v/>
      </c>
      <c r="AB100" s="17">
        <v>0</v>
      </c>
      <c r="AC100" s="17">
        <v>0</v>
      </c>
      <c r="AD100" s="15">
        <f t="shared" ref="AD100:AD131" si="42">AB100-AC100</f>
        <v>0</v>
      </c>
      <c r="AE100" s="17">
        <v>0</v>
      </c>
      <c r="AF100" s="17">
        <v>0</v>
      </c>
      <c r="AG100" s="15">
        <f t="shared" ref="AG100:AG131" si="43">AE100-AF100</f>
        <v>0</v>
      </c>
      <c r="AH100" s="17">
        <v>0</v>
      </c>
      <c r="AI100" s="17">
        <v>0</v>
      </c>
      <c r="AJ100" s="15">
        <f t="shared" ref="AJ100:AJ131" si="44">AH100-AI100</f>
        <v>0</v>
      </c>
      <c r="AK100" s="17">
        <v>0</v>
      </c>
      <c r="AL100" s="17">
        <v>0</v>
      </c>
      <c r="AM100" s="15">
        <f t="shared" ref="AM100:AM131" si="45">AK100-AL100</f>
        <v>0</v>
      </c>
      <c r="AN100" s="17"/>
      <c r="AO100" s="53">
        <f t="shared" si="41"/>
        <v>1</v>
      </c>
      <c r="AP100" s="53">
        <f>IF($A100="",0,IF(COUNTIFS([1]Sheet1!$A$2:$A$190,$A100,[1]Sheet1!$B$2:$B$190,$B100,[1]Sheet1!$C$2:$C$190,"&gt;=0")=0,0,SUMIFS([1]Sheet1!$C$2:$C$190,[1]Sheet1!$A$2:$A$190,$A100,[1]Sheet1!$B$2:$B$190,$B100)-$AO100))</f>
        <v>0</v>
      </c>
    </row>
    <row r="101" spans="1:42" x14ac:dyDescent="0.3">
      <c r="A101" s="15" t="s">
        <v>102</v>
      </c>
      <c r="B101" s="15">
        <v>5000</v>
      </c>
      <c r="C101" s="15" t="s">
        <v>54</v>
      </c>
      <c r="D101" s="15" t="s">
        <v>57</v>
      </c>
      <c r="E101" s="15" cm="1">
        <f t="array" ref="E101">IFERROR(_xlfn.XLOOKUP($A101&amp;"|"&amp;$B101&amp;"|"&amp;$D101,'21-AUGUST-2026'!$A$3:$A$199&amp;"|"&amp;'21-AUGUST-2026'!$B$3:$B$199&amp;"|"&amp;'21-AUGUST-2026'!$D$3:$D$199,'21-AUGUST-2026'!$T$3:$T$199,_xlfn.XLOOKUP($A101&amp;"|"&amp;$B101,'21-AUGUST-2026'!$A$3:$A$199&amp;"|"&amp;'21-AUGUST-2026'!$B$3:$B$199,'21-AUGUST-2026'!$T$3:$T$199,0)),0)</f>
        <v>1</v>
      </c>
      <c r="F101" s="15" cm="1">
        <f t="array" ref="F101">IFERROR(_xlfn.XLOOKUP($A101&amp;"|"&amp;$B101&amp;"|"&amp;$D101,'21-AUGUST-2026'!$A$3:$A$199&amp;"|"&amp;'21-AUGUST-2026'!$B$3:$B$199&amp;"|"&amp;'21-AUGUST-2026'!$D$3:$D$199,'21-AUGUST-2026'!$U$3:$U$199,_xlfn.XLOOKUP($A101&amp;"|"&amp;$B101,'21-AUGUST-2026'!$A$3:$A$199&amp;"|"&amp;'21-AUGUST-2026'!$B$3:$B$199,'21-AUGUST-2026'!$U$3:$U$199,0)),0)</f>
        <v>0</v>
      </c>
      <c r="G101" s="15">
        <f t="shared" si="37"/>
        <v>1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20">
        <v>0</v>
      </c>
      <c r="S101" s="20">
        <v>0</v>
      </c>
      <c r="T101" s="20">
        <v>0</v>
      </c>
      <c r="U101" s="17"/>
      <c r="V101" s="17"/>
      <c r="W101" s="20">
        <f t="shared" si="38"/>
        <v>0</v>
      </c>
      <c r="X101" s="21">
        <f t="shared" si="35"/>
        <v>1</v>
      </c>
      <c r="Y101" s="15">
        <f t="shared" si="36"/>
        <v>1</v>
      </c>
      <c r="Z101" s="15">
        <f t="shared" si="39"/>
        <v>0</v>
      </c>
      <c r="AA101" s="18" t="str">
        <f t="shared" si="40"/>
        <v/>
      </c>
      <c r="AB101" s="17">
        <v>0</v>
      </c>
      <c r="AC101" s="17">
        <v>0</v>
      </c>
      <c r="AD101" s="15">
        <f t="shared" si="42"/>
        <v>0</v>
      </c>
      <c r="AE101" s="17">
        <v>0</v>
      </c>
      <c r="AF101" s="17">
        <v>0</v>
      </c>
      <c r="AG101" s="15">
        <f t="shared" si="43"/>
        <v>0</v>
      </c>
      <c r="AH101" s="17">
        <v>0</v>
      </c>
      <c r="AI101" s="17">
        <v>0</v>
      </c>
      <c r="AJ101" s="15">
        <f t="shared" si="44"/>
        <v>0</v>
      </c>
      <c r="AK101" s="17">
        <v>0</v>
      </c>
      <c r="AL101" s="17">
        <v>0</v>
      </c>
      <c r="AM101" s="15">
        <f t="shared" si="45"/>
        <v>0</v>
      </c>
      <c r="AN101" s="17"/>
      <c r="AO101" s="53">
        <f t="shared" si="41"/>
        <v>1</v>
      </c>
      <c r="AP101" s="53">
        <f>IF($A101="",0,IF(COUNTIFS([1]Sheet1!$A$2:$A$190,$A101,[1]Sheet1!$B$2:$B$190,$B101,[1]Sheet1!$C$2:$C$190,"&gt;=0")=0,0,SUMIFS([1]Sheet1!$C$2:$C$190,[1]Sheet1!$A$2:$A$190,$A101,[1]Sheet1!$B$2:$B$190,$B101)-$AO101))</f>
        <v>0</v>
      </c>
    </row>
    <row r="102" spans="1:42" x14ac:dyDescent="0.3">
      <c r="A102" s="15" t="s">
        <v>114</v>
      </c>
      <c r="B102" s="15">
        <v>100</v>
      </c>
      <c r="C102" s="15" t="s">
        <v>54</v>
      </c>
      <c r="D102" s="15" t="s">
        <v>57</v>
      </c>
      <c r="E102" s="15" cm="1">
        <f t="array" ref="E102">IFERROR(_xlfn.XLOOKUP($A102&amp;"|"&amp;$B102&amp;"|"&amp;$D102,'21-AUGUST-2026'!$A$3:$A$199&amp;"|"&amp;'21-AUGUST-2026'!$B$3:$B$199&amp;"|"&amp;'21-AUGUST-2026'!$D$3:$D$199,'21-AUGUST-2026'!$T$3:$T$199,_xlfn.XLOOKUP($A102&amp;"|"&amp;$B102,'21-AUGUST-2026'!$A$3:$A$199&amp;"|"&amp;'21-AUGUST-2026'!$B$3:$B$199,'21-AUGUST-2026'!$T$3:$T$199,0)),0)</f>
        <v>4</v>
      </c>
      <c r="F102" s="15" cm="1">
        <f t="array" ref="F102">IFERROR(_xlfn.XLOOKUP($A102&amp;"|"&amp;$B102&amp;"|"&amp;$D102,'21-AUGUST-2026'!$A$3:$A$199&amp;"|"&amp;'21-AUGUST-2026'!$B$3:$B$199&amp;"|"&amp;'21-AUGUST-2026'!$D$3:$D$199,'21-AUGUST-2026'!$U$3:$U$199,_xlfn.XLOOKUP($A102&amp;"|"&amp;$B102,'21-AUGUST-2026'!$A$3:$A$199&amp;"|"&amp;'21-AUGUST-2026'!$B$3:$B$199,'21-AUGUST-2026'!$U$3:$U$199,0)),0)</f>
        <v>0</v>
      </c>
      <c r="G102" s="15">
        <f t="shared" si="37"/>
        <v>4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20">
        <v>0</v>
      </c>
      <c r="S102" s="20">
        <v>0</v>
      </c>
      <c r="T102" s="20">
        <v>0</v>
      </c>
      <c r="U102" s="17"/>
      <c r="V102" s="17"/>
      <c r="W102" s="20">
        <f t="shared" si="38"/>
        <v>0</v>
      </c>
      <c r="X102" s="21">
        <f t="shared" si="35"/>
        <v>2</v>
      </c>
      <c r="Y102" s="15">
        <f t="shared" si="36"/>
        <v>2</v>
      </c>
      <c r="Z102" s="15">
        <f t="shared" si="39"/>
        <v>0</v>
      </c>
      <c r="AA102" s="18" t="str">
        <f t="shared" si="40"/>
        <v/>
      </c>
      <c r="AB102" s="17">
        <v>0</v>
      </c>
      <c r="AC102" s="17">
        <v>0</v>
      </c>
      <c r="AD102" s="15">
        <f t="shared" si="42"/>
        <v>0</v>
      </c>
      <c r="AE102" s="17">
        <v>0</v>
      </c>
      <c r="AF102" s="17">
        <v>0</v>
      </c>
      <c r="AG102" s="15">
        <f t="shared" si="43"/>
        <v>0</v>
      </c>
      <c r="AH102" s="17">
        <v>0</v>
      </c>
      <c r="AI102" s="17">
        <v>0</v>
      </c>
      <c r="AJ102" s="15">
        <f t="shared" si="44"/>
        <v>0</v>
      </c>
      <c r="AK102" s="17">
        <v>0</v>
      </c>
      <c r="AL102" s="17">
        <v>0</v>
      </c>
      <c r="AM102" s="15">
        <f t="shared" si="45"/>
        <v>0</v>
      </c>
      <c r="AN102" s="17"/>
      <c r="AO102" s="53">
        <f t="shared" si="41"/>
        <v>4</v>
      </c>
      <c r="AP102" s="53">
        <f>IF($A102="",0,IF(COUNTIFS([1]Sheet1!$A$2:$A$190,$A102,[1]Sheet1!$B$2:$B$190,$B102,[1]Sheet1!$C$2:$C$190,"&gt;=0")=0,0,SUMIFS([1]Sheet1!$C$2:$C$190,[1]Sheet1!$A$2:$A$190,$A102,[1]Sheet1!$B$2:$B$190,$B102)-$AO102))</f>
        <v>-2</v>
      </c>
    </row>
    <row r="103" spans="1:42" x14ac:dyDescent="0.3">
      <c r="A103" s="15" t="s">
        <v>117</v>
      </c>
      <c r="B103" s="15">
        <v>100</v>
      </c>
      <c r="C103" s="15" t="s">
        <v>54</v>
      </c>
      <c r="D103" s="15" t="s">
        <v>57</v>
      </c>
      <c r="E103" s="15" cm="1">
        <f t="array" ref="E103">IFERROR(_xlfn.XLOOKUP($A103&amp;"|"&amp;$B103&amp;"|"&amp;$D103,'21-AUGUST-2026'!$A$3:$A$199&amp;"|"&amp;'21-AUGUST-2026'!$B$3:$B$199&amp;"|"&amp;'21-AUGUST-2026'!$D$3:$D$199,'21-AUGUST-2026'!$T$3:$T$199,_xlfn.XLOOKUP($A103&amp;"|"&amp;$B103,'21-AUGUST-2026'!$A$3:$A$199&amp;"|"&amp;'21-AUGUST-2026'!$B$3:$B$199,'21-AUGUST-2026'!$T$3:$T$199,0)),0)</f>
        <v>10</v>
      </c>
      <c r="F103" s="15" cm="1">
        <f t="array" ref="F103">IFERROR(_xlfn.XLOOKUP($A103&amp;"|"&amp;$B103&amp;"|"&amp;$D103,'21-AUGUST-2026'!$A$3:$A$199&amp;"|"&amp;'21-AUGUST-2026'!$B$3:$B$199&amp;"|"&amp;'21-AUGUST-2026'!$D$3:$D$199,'21-AUGUST-2026'!$U$3:$U$199,_xlfn.XLOOKUP($A103&amp;"|"&amp;$B103,'21-AUGUST-2026'!$A$3:$A$199&amp;"|"&amp;'21-AUGUST-2026'!$B$3:$B$199,'21-AUGUST-2026'!$U$3:$U$199,0)),0)</f>
        <v>0</v>
      </c>
      <c r="G103" s="15">
        <f t="shared" si="37"/>
        <v>10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20">
        <v>0</v>
      </c>
      <c r="S103" s="20">
        <v>0</v>
      </c>
      <c r="T103" s="20">
        <v>0</v>
      </c>
      <c r="U103" s="17"/>
      <c r="V103" s="17"/>
      <c r="W103" s="20">
        <f t="shared" si="38"/>
        <v>0</v>
      </c>
      <c r="X103" s="21">
        <f t="shared" si="35"/>
        <v>7</v>
      </c>
      <c r="Y103" s="15">
        <f t="shared" si="36"/>
        <v>7</v>
      </c>
      <c r="Z103" s="15">
        <f t="shared" si="39"/>
        <v>0</v>
      </c>
      <c r="AA103" s="18" t="str">
        <f t="shared" si="40"/>
        <v/>
      </c>
      <c r="AB103" s="17">
        <v>0</v>
      </c>
      <c r="AC103" s="17">
        <v>0</v>
      </c>
      <c r="AD103" s="15">
        <f t="shared" si="42"/>
        <v>0</v>
      </c>
      <c r="AE103" s="17">
        <v>0</v>
      </c>
      <c r="AF103" s="17">
        <v>0</v>
      </c>
      <c r="AG103" s="15">
        <f t="shared" si="43"/>
        <v>0</v>
      </c>
      <c r="AH103" s="17">
        <v>0</v>
      </c>
      <c r="AI103" s="17">
        <v>0</v>
      </c>
      <c r="AJ103" s="15">
        <f t="shared" si="44"/>
        <v>0</v>
      </c>
      <c r="AK103" s="17">
        <v>0</v>
      </c>
      <c r="AL103" s="17">
        <v>0</v>
      </c>
      <c r="AM103" s="15">
        <f t="shared" si="45"/>
        <v>0</v>
      </c>
      <c r="AN103" s="17"/>
      <c r="AO103" s="53">
        <f t="shared" si="41"/>
        <v>10</v>
      </c>
      <c r="AP103" s="53">
        <f>IF($A103="",0,IF(COUNTIFS([1]Sheet1!$A$2:$A$190,$A103,[1]Sheet1!$B$2:$B$190,$B103,[1]Sheet1!$C$2:$C$190,"&gt;=0")=0,0,SUMIFS([1]Sheet1!$C$2:$C$190,[1]Sheet1!$A$2:$A$190,$A103,[1]Sheet1!$B$2:$B$190,$B103)-$AO103))</f>
        <v>-3</v>
      </c>
    </row>
    <row r="104" spans="1:42" x14ac:dyDescent="0.3">
      <c r="A104" s="15" t="s">
        <v>120</v>
      </c>
      <c r="B104" s="15">
        <v>100</v>
      </c>
      <c r="C104" s="15" t="s">
        <v>54</v>
      </c>
      <c r="D104" s="15" t="s">
        <v>57</v>
      </c>
      <c r="E104" s="15" cm="1">
        <f t="array" ref="E104">IFERROR(_xlfn.XLOOKUP($A104&amp;"|"&amp;$B104&amp;"|"&amp;$D104,'21-AUGUST-2026'!$A$3:$A$199&amp;"|"&amp;'21-AUGUST-2026'!$B$3:$B$199&amp;"|"&amp;'21-AUGUST-2026'!$D$3:$D$199,'21-AUGUST-2026'!$T$3:$T$199,_xlfn.XLOOKUP($A104&amp;"|"&amp;$B104,'21-AUGUST-2026'!$A$3:$A$199&amp;"|"&amp;'21-AUGUST-2026'!$B$3:$B$199,'21-AUGUST-2026'!$T$3:$T$199,0)),0)</f>
        <v>2</v>
      </c>
      <c r="F104" s="15" cm="1">
        <f t="array" ref="F104">IFERROR(_xlfn.XLOOKUP($A104&amp;"|"&amp;$B104&amp;"|"&amp;$D104,'21-AUGUST-2026'!$A$3:$A$199&amp;"|"&amp;'21-AUGUST-2026'!$B$3:$B$199&amp;"|"&amp;'21-AUGUST-2026'!$D$3:$D$199,'21-AUGUST-2026'!$U$3:$U$199,_xlfn.XLOOKUP($A104&amp;"|"&amp;$B104,'21-AUGUST-2026'!$A$3:$A$199&amp;"|"&amp;'21-AUGUST-2026'!$B$3:$B$199,'21-AUGUST-2026'!$U$3:$U$199,0)),0)</f>
        <v>0</v>
      </c>
      <c r="G104" s="15">
        <f t="shared" si="37"/>
        <v>2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20">
        <v>0</v>
      </c>
      <c r="S104" s="20">
        <v>0</v>
      </c>
      <c r="T104" s="20">
        <v>0</v>
      </c>
      <c r="U104" s="17"/>
      <c r="V104" s="17"/>
      <c r="W104" s="20">
        <f t="shared" si="38"/>
        <v>0</v>
      </c>
      <c r="X104" s="21">
        <f t="shared" si="35"/>
        <v>2</v>
      </c>
      <c r="Y104" s="15">
        <f t="shared" si="36"/>
        <v>2</v>
      </c>
      <c r="Z104" s="15">
        <f t="shared" si="39"/>
        <v>0</v>
      </c>
      <c r="AA104" s="18" t="str">
        <f t="shared" si="40"/>
        <v/>
      </c>
      <c r="AB104" s="17">
        <v>0</v>
      </c>
      <c r="AC104" s="17">
        <v>0</v>
      </c>
      <c r="AD104" s="15">
        <f t="shared" si="42"/>
        <v>0</v>
      </c>
      <c r="AE104" s="17">
        <v>0</v>
      </c>
      <c r="AF104" s="17">
        <v>0</v>
      </c>
      <c r="AG104" s="15">
        <f t="shared" si="43"/>
        <v>0</v>
      </c>
      <c r="AH104" s="17">
        <v>0</v>
      </c>
      <c r="AI104" s="17">
        <v>0</v>
      </c>
      <c r="AJ104" s="15">
        <f t="shared" si="44"/>
        <v>0</v>
      </c>
      <c r="AK104" s="17">
        <v>0</v>
      </c>
      <c r="AL104" s="17">
        <v>0</v>
      </c>
      <c r="AM104" s="15">
        <f t="shared" si="45"/>
        <v>0</v>
      </c>
      <c r="AN104" s="17"/>
      <c r="AO104" s="53">
        <f t="shared" si="41"/>
        <v>2</v>
      </c>
      <c r="AP104" s="53">
        <f>IF($A104="",0,IF(COUNTIFS([1]Sheet1!$A$2:$A$190,$A104,[1]Sheet1!$B$2:$B$190,$B104,[1]Sheet1!$C$2:$C$190,"&gt;=0")=0,0,SUMIFS([1]Sheet1!$C$2:$C$190,[1]Sheet1!$A$2:$A$190,$A104,[1]Sheet1!$B$2:$B$190,$B104)-$AO104))</f>
        <v>0</v>
      </c>
    </row>
    <row r="105" spans="1:42" x14ac:dyDescent="0.3">
      <c r="A105" s="15" t="s">
        <v>134</v>
      </c>
      <c r="B105" s="15">
        <v>100</v>
      </c>
      <c r="C105" s="15" t="s">
        <v>54</v>
      </c>
      <c r="D105" s="15" t="s">
        <v>57</v>
      </c>
      <c r="E105" s="15" cm="1">
        <f t="array" ref="E105">IFERROR(_xlfn.XLOOKUP($A105&amp;"|"&amp;$B105&amp;"|"&amp;$D105,'21-AUGUST-2026'!$A$3:$A$199&amp;"|"&amp;'21-AUGUST-2026'!$B$3:$B$199&amp;"|"&amp;'21-AUGUST-2026'!$D$3:$D$199,'21-AUGUST-2026'!$T$3:$T$199,_xlfn.XLOOKUP($A105&amp;"|"&amp;$B105,'21-AUGUST-2026'!$A$3:$A$199&amp;"|"&amp;'21-AUGUST-2026'!$B$3:$B$199,'21-AUGUST-2026'!$T$3:$T$199,0)),0)</f>
        <v>3</v>
      </c>
      <c r="F105" s="15" cm="1">
        <f t="array" ref="F105">IFERROR(_xlfn.XLOOKUP($A105&amp;"|"&amp;$B105&amp;"|"&amp;$D105,'21-AUGUST-2026'!$A$3:$A$199&amp;"|"&amp;'21-AUGUST-2026'!$B$3:$B$199&amp;"|"&amp;'21-AUGUST-2026'!$D$3:$D$199,'21-AUGUST-2026'!$U$3:$U$199,_xlfn.XLOOKUP($A105&amp;"|"&amp;$B105,'21-AUGUST-2026'!$A$3:$A$199&amp;"|"&amp;'21-AUGUST-2026'!$B$3:$B$199,'21-AUGUST-2026'!$U$3:$U$199,0)),0)</f>
        <v>0</v>
      </c>
      <c r="G105" s="15">
        <f t="shared" si="37"/>
        <v>3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20">
        <v>0</v>
      </c>
      <c r="S105" s="20">
        <v>0</v>
      </c>
      <c r="T105" s="20">
        <v>0</v>
      </c>
      <c r="U105" s="17"/>
      <c r="V105" s="17"/>
      <c r="W105" s="20">
        <f t="shared" si="38"/>
        <v>0</v>
      </c>
      <c r="X105" s="21">
        <f t="shared" si="35"/>
        <v>3</v>
      </c>
      <c r="Y105" s="15">
        <f t="shared" si="36"/>
        <v>3</v>
      </c>
      <c r="Z105" s="15">
        <f t="shared" si="39"/>
        <v>0</v>
      </c>
      <c r="AA105" s="18" t="str">
        <f t="shared" si="40"/>
        <v/>
      </c>
      <c r="AB105" s="17">
        <v>0</v>
      </c>
      <c r="AC105" s="17">
        <v>0</v>
      </c>
      <c r="AD105" s="15">
        <f t="shared" si="42"/>
        <v>0</v>
      </c>
      <c r="AE105" s="17">
        <v>0</v>
      </c>
      <c r="AF105" s="17">
        <v>0</v>
      </c>
      <c r="AG105" s="15">
        <f t="shared" si="43"/>
        <v>0</v>
      </c>
      <c r="AH105" s="17">
        <v>0</v>
      </c>
      <c r="AI105" s="17">
        <v>0</v>
      </c>
      <c r="AJ105" s="15">
        <f t="shared" si="44"/>
        <v>0</v>
      </c>
      <c r="AK105" s="17">
        <v>0</v>
      </c>
      <c r="AL105" s="17">
        <v>0</v>
      </c>
      <c r="AM105" s="15">
        <f t="shared" si="45"/>
        <v>0</v>
      </c>
      <c r="AN105" s="17"/>
      <c r="AO105" s="53">
        <f t="shared" si="41"/>
        <v>3</v>
      </c>
      <c r="AP105" s="53">
        <f>IF($A105="",0,IF(COUNTIFS([1]Sheet1!$A$2:$A$190,$A105,[1]Sheet1!$B$2:$B$190,$B105,[1]Sheet1!$C$2:$C$190,"&gt;=0")=0,0,SUMIFS([1]Sheet1!$C$2:$C$190,[1]Sheet1!$A$2:$A$190,$A105,[1]Sheet1!$B$2:$B$190,$B105)-$AO105))</f>
        <v>0</v>
      </c>
    </row>
    <row r="106" spans="1:42" x14ac:dyDescent="0.3">
      <c r="A106" s="15" t="s">
        <v>135</v>
      </c>
      <c r="B106" s="15">
        <v>100</v>
      </c>
      <c r="C106" s="15" t="s">
        <v>54</v>
      </c>
      <c r="D106" s="15" t="s">
        <v>57</v>
      </c>
      <c r="E106" s="15" cm="1">
        <f t="array" ref="E106">IFERROR(_xlfn.XLOOKUP($A106&amp;"|"&amp;$B106&amp;"|"&amp;$D106,'21-AUGUST-2026'!$A$3:$A$199&amp;"|"&amp;'21-AUGUST-2026'!$B$3:$B$199&amp;"|"&amp;'21-AUGUST-2026'!$D$3:$D$199,'21-AUGUST-2026'!$T$3:$T$199,_xlfn.XLOOKUP($A106&amp;"|"&amp;$B106,'21-AUGUST-2026'!$A$3:$A$199&amp;"|"&amp;'21-AUGUST-2026'!$B$3:$B$199,'21-AUGUST-2026'!$T$3:$T$199,0)),0)</f>
        <v>4</v>
      </c>
      <c r="F106" s="15" cm="1">
        <f t="array" ref="F106">IFERROR(_xlfn.XLOOKUP($A106&amp;"|"&amp;$B106&amp;"|"&amp;$D106,'21-AUGUST-2026'!$A$3:$A$199&amp;"|"&amp;'21-AUGUST-2026'!$B$3:$B$199&amp;"|"&amp;'21-AUGUST-2026'!$D$3:$D$199,'21-AUGUST-2026'!$U$3:$U$199,_xlfn.XLOOKUP($A106&amp;"|"&amp;$B106,'21-AUGUST-2026'!$A$3:$A$199&amp;"|"&amp;'21-AUGUST-2026'!$B$3:$B$199,'21-AUGUST-2026'!$U$3:$U$199,0)),0)</f>
        <v>0</v>
      </c>
      <c r="G106" s="15">
        <f t="shared" si="37"/>
        <v>4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20">
        <v>0</v>
      </c>
      <c r="S106" s="20">
        <v>0</v>
      </c>
      <c r="T106" s="20">
        <v>0</v>
      </c>
      <c r="U106" s="17"/>
      <c r="V106" s="17"/>
      <c r="W106" s="20">
        <f t="shared" si="38"/>
        <v>0</v>
      </c>
      <c r="X106" s="21">
        <f t="shared" si="35"/>
        <v>4</v>
      </c>
      <c r="Y106" s="15">
        <f t="shared" si="36"/>
        <v>4</v>
      </c>
      <c r="Z106" s="15">
        <f t="shared" si="39"/>
        <v>0</v>
      </c>
      <c r="AA106" s="18" t="str">
        <f t="shared" si="40"/>
        <v/>
      </c>
      <c r="AB106" s="17">
        <v>0</v>
      </c>
      <c r="AC106" s="17">
        <v>0</v>
      </c>
      <c r="AD106" s="15">
        <f t="shared" si="42"/>
        <v>0</v>
      </c>
      <c r="AE106" s="17">
        <v>0</v>
      </c>
      <c r="AF106" s="17">
        <v>0</v>
      </c>
      <c r="AG106" s="15">
        <f t="shared" si="43"/>
        <v>0</v>
      </c>
      <c r="AH106" s="17">
        <v>0</v>
      </c>
      <c r="AI106" s="17">
        <v>0</v>
      </c>
      <c r="AJ106" s="15">
        <f t="shared" si="44"/>
        <v>0</v>
      </c>
      <c r="AK106" s="17">
        <v>0</v>
      </c>
      <c r="AL106" s="17">
        <v>0</v>
      </c>
      <c r="AM106" s="15">
        <f t="shared" si="45"/>
        <v>0</v>
      </c>
      <c r="AN106" s="17"/>
      <c r="AO106" s="53">
        <f t="shared" si="41"/>
        <v>4</v>
      </c>
      <c r="AP106" s="53">
        <f>IF($A106="",0,IF(COUNTIFS([1]Sheet1!$A$2:$A$190,$A106,[1]Sheet1!$B$2:$B$190,$B106,[1]Sheet1!$C$2:$C$190,"&gt;=0")=0,0,SUMIFS([1]Sheet1!$C$2:$C$190,[1]Sheet1!$A$2:$A$190,$A106,[1]Sheet1!$B$2:$B$190,$B106)-$AO106))</f>
        <v>0</v>
      </c>
    </row>
    <row r="107" spans="1:42" x14ac:dyDescent="0.3">
      <c r="A107" s="15" t="s">
        <v>135</v>
      </c>
      <c r="B107" s="15">
        <v>1000</v>
      </c>
      <c r="C107" s="15" t="s">
        <v>54</v>
      </c>
      <c r="D107" s="15" t="s">
        <v>57</v>
      </c>
      <c r="E107" s="15" cm="1">
        <f t="array" ref="E107">IFERROR(_xlfn.XLOOKUP($A107&amp;"|"&amp;$B107&amp;"|"&amp;$D107,'21-AUGUST-2026'!$A$3:$A$199&amp;"|"&amp;'21-AUGUST-2026'!$B$3:$B$199&amp;"|"&amp;'21-AUGUST-2026'!$D$3:$D$199,'21-AUGUST-2026'!$T$3:$T$199,_xlfn.XLOOKUP($A107&amp;"|"&amp;$B107,'21-AUGUST-2026'!$A$3:$A$199&amp;"|"&amp;'21-AUGUST-2026'!$B$3:$B$199,'21-AUGUST-2026'!$T$3:$T$199,0)),0)</f>
        <v>1</v>
      </c>
      <c r="F107" s="15" cm="1">
        <f t="array" ref="F107">IFERROR(_xlfn.XLOOKUP($A107&amp;"|"&amp;$B107&amp;"|"&amp;$D107,'21-AUGUST-2026'!$A$3:$A$199&amp;"|"&amp;'21-AUGUST-2026'!$B$3:$B$199&amp;"|"&amp;'21-AUGUST-2026'!$D$3:$D$199,'21-AUGUST-2026'!$U$3:$U$199,_xlfn.XLOOKUP($A107&amp;"|"&amp;$B107,'21-AUGUST-2026'!$A$3:$A$199&amp;"|"&amp;'21-AUGUST-2026'!$B$3:$B$199,'21-AUGUST-2026'!$U$3:$U$199,0)),0)</f>
        <v>0</v>
      </c>
      <c r="G107" s="15">
        <f t="shared" si="37"/>
        <v>1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20">
        <v>0</v>
      </c>
      <c r="S107" s="20">
        <v>0</v>
      </c>
      <c r="T107" s="20">
        <v>0</v>
      </c>
      <c r="U107" s="17"/>
      <c r="V107" s="17"/>
      <c r="W107" s="20">
        <f t="shared" si="38"/>
        <v>0</v>
      </c>
      <c r="X107" s="21">
        <f t="shared" si="35"/>
        <v>1</v>
      </c>
      <c r="Y107" s="15">
        <f t="shared" si="36"/>
        <v>1</v>
      </c>
      <c r="Z107" s="15">
        <f t="shared" si="39"/>
        <v>0</v>
      </c>
      <c r="AA107" s="18" t="str">
        <f t="shared" si="40"/>
        <v/>
      </c>
      <c r="AB107" s="17">
        <v>0</v>
      </c>
      <c r="AC107" s="17">
        <v>0</v>
      </c>
      <c r="AD107" s="15">
        <f t="shared" si="42"/>
        <v>0</v>
      </c>
      <c r="AE107" s="17">
        <v>0</v>
      </c>
      <c r="AF107" s="17">
        <v>0</v>
      </c>
      <c r="AG107" s="15">
        <f t="shared" si="43"/>
        <v>0</v>
      </c>
      <c r="AH107" s="17">
        <v>0</v>
      </c>
      <c r="AI107" s="17">
        <v>0</v>
      </c>
      <c r="AJ107" s="15">
        <f t="shared" si="44"/>
        <v>0</v>
      </c>
      <c r="AK107" s="17">
        <v>0</v>
      </c>
      <c r="AL107" s="17">
        <v>0</v>
      </c>
      <c r="AM107" s="15">
        <f t="shared" si="45"/>
        <v>0</v>
      </c>
      <c r="AN107" s="17"/>
      <c r="AO107" s="53">
        <f t="shared" si="41"/>
        <v>1</v>
      </c>
      <c r="AP107" s="53">
        <f>IF($A107="",0,IF(COUNTIFS([1]Sheet1!$A$2:$A$190,$A107,[1]Sheet1!$B$2:$B$190,$B107,[1]Sheet1!$C$2:$C$190,"&gt;=0")=0,0,SUMIFS([1]Sheet1!$C$2:$C$190,[1]Sheet1!$A$2:$A$190,$A107,[1]Sheet1!$B$2:$B$190,$B107)-$AO107))</f>
        <v>0</v>
      </c>
    </row>
    <row r="108" spans="1:42" x14ac:dyDescent="0.3">
      <c r="A108" s="15" t="s">
        <v>138</v>
      </c>
      <c r="B108" s="15">
        <v>100</v>
      </c>
      <c r="C108" s="15" t="s">
        <v>54</v>
      </c>
      <c r="D108" s="15" t="s">
        <v>57</v>
      </c>
      <c r="E108" s="15" cm="1">
        <f t="array" ref="E108">IFERROR(_xlfn.XLOOKUP($A108&amp;"|"&amp;$B108&amp;"|"&amp;$D108,'21-AUGUST-2026'!$A$3:$A$199&amp;"|"&amp;'21-AUGUST-2026'!$B$3:$B$199&amp;"|"&amp;'21-AUGUST-2026'!$D$3:$D$199,'21-AUGUST-2026'!$T$3:$T$199,_xlfn.XLOOKUP($A108&amp;"|"&amp;$B108,'21-AUGUST-2026'!$A$3:$A$199&amp;"|"&amp;'21-AUGUST-2026'!$B$3:$B$199,'21-AUGUST-2026'!$T$3:$T$199,0)),0)</f>
        <v>-12</v>
      </c>
      <c r="F108" s="15" cm="1">
        <f t="array" ref="F108">IFERROR(_xlfn.XLOOKUP($A108&amp;"|"&amp;$B108&amp;"|"&amp;$D108,'21-AUGUST-2026'!$A$3:$A$199&amp;"|"&amp;'21-AUGUST-2026'!$B$3:$B$199&amp;"|"&amp;'21-AUGUST-2026'!$D$3:$D$199,'21-AUGUST-2026'!$U$3:$U$199,_xlfn.XLOOKUP($A108&amp;"|"&amp;$B108,'21-AUGUST-2026'!$A$3:$A$199&amp;"|"&amp;'21-AUGUST-2026'!$B$3:$B$199,'21-AUGUST-2026'!$U$3:$U$199,0)),0)</f>
        <v>0</v>
      </c>
      <c r="G108" s="15">
        <f t="shared" si="37"/>
        <v>-12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20">
        <v>0</v>
      </c>
      <c r="S108" s="20">
        <v>0</v>
      </c>
      <c r="T108" s="20">
        <v>0</v>
      </c>
      <c r="U108" s="17"/>
      <c r="V108" s="17"/>
      <c r="W108" s="20">
        <f t="shared" si="38"/>
        <v>0</v>
      </c>
      <c r="X108" s="21">
        <f t="shared" si="35"/>
        <v>1</v>
      </c>
      <c r="Y108" s="15">
        <f t="shared" si="36"/>
        <v>1</v>
      </c>
      <c r="Z108" s="15">
        <f t="shared" si="39"/>
        <v>0</v>
      </c>
      <c r="AA108" s="18" t="str">
        <f t="shared" si="40"/>
        <v/>
      </c>
      <c r="AB108" s="17">
        <v>0</v>
      </c>
      <c r="AC108" s="17">
        <v>0</v>
      </c>
      <c r="AD108" s="15">
        <f t="shared" si="42"/>
        <v>0</v>
      </c>
      <c r="AE108" s="17">
        <v>0</v>
      </c>
      <c r="AF108" s="17">
        <v>0</v>
      </c>
      <c r="AG108" s="15">
        <f t="shared" si="43"/>
        <v>0</v>
      </c>
      <c r="AH108" s="17">
        <v>0</v>
      </c>
      <c r="AI108" s="17">
        <v>0</v>
      </c>
      <c r="AJ108" s="15">
        <f t="shared" si="44"/>
        <v>0</v>
      </c>
      <c r="AK108" s="17">
        <v>0</v>
      </c>
      <c r="AL108" s="17">
        <v>0</v>
      </c>
      <c r="AM108" s="15">
        <f t="shared" si="45"/>
        <v>0</v>
      </c>
      <c r="AN108" s="17"/>
      <c r="AO108" s="53">
        <f t="shared" si="41"/>
        <v>-12</v>
      </c>
      <c r="AP108" s="53">
        <f>IF($A108="",0,IF(COUNTIFS([1]Sheet1!$A$2:$A$190,$A108,[1]Sheet1!$B$2:$B$190,$B108,[1]Sheet1!$C$2:$C$190,"&gt;=0")=0,0,SUMIFS([1]Sheet1!$C$2:$C$190,[1]Sheet1!$A$2:$A$190,$A108,[1]Sheet1!$B$2:$B$190,$B108)-$AO108))</f>
        <v>13</v>
      </c>
    </row>
    <row r="109" spans="1:42" x14ac:dyDescent="0.3">
      <c r="A109" s="15" t="s">
        <v>143</v>
      </c>
      <c r="B109" s="15">
        <v>1000</v>
      </c>
      <c r="C109" s="15" t="s">
        <v>54</v>
      </c>
      <c r="D109" s="15" t="s">
        <v>57</v>
      </c>
      <c r="E109" s="15" cm="1">
        <f t="array" ref="E109">IFERROR(_xlfn.XLOOKUP($A109&amp;"|"&amp;$B109&amp;"|"&amp;$D109,'21-AUGUST-2026'!$A$3:$A$199&amp;"|"&amp;'21-AUGUST-2026'!$B$3:$B$199&amp;"|"&amp;'21-AUGUST-2026'!$D$3:$D$199,'21-AUGUST-2026'!$T$3:$T$199,_xlfn.XLOOKUP($A109&amp;"|"&amp;$B109,'21-AUGUST-2026'!$A$3:$A$199&amp;"|"&amp;'21-AUGUST-2026'!$B$3:$B$199,'21-AUGUST-2026'!$T$3:$T$199,0)),0)</f>
        <v>1</v>
      </c>
      <c r="F109" s="15" cm="1">
        <f t="array" ref="F109">IFERROR(_xlfn.XLOOKUP($A109&amp;"|"&amp;$B109&amp;"|"&amp;$D109,'21-AUGUST-2026'!$A$3:$A$199&amp;"|"&amp;'21-AUGUST-2026'!$B$3:$B$199&amp;"|"&amp;'21-AUGUST-2026'!$D$3:$D$199,'21-AUGUST-2026'!$U$3:$U$199,_xlfn.XLOOKUP($A109&amp;"|"&amp;$B109,'21-AUGUST-2026'!$A$3:$A$199&amp;"|"&amp;'21-AUGUST-2026'!$B$3:$B$199,'21-AUGUST-2026'!$U$3:$U$199,0)),0)</f>
        <v>0</v>
      </c>
      <c r="G109" s="15">
        <f t="shared" si="37"/>
        <v>1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20">
        <v>0</v>
      </c>
      <c r="S109" s="20">
        <v>0</v>
      </c>
      <c r="T109" s="20">
        <v>0</v>
      </c>
      <c r="U109" s="17"/>
      <c r="V109" s="17"/>
      <c r="W109" s="20">
        <f t="shared" si="38"/>
        <v>0</v>
      </c>
      <c r="X109" s="21">
        <f t="shared" ref="X109:X140" si="46">Y109+Z109</f>
        <v>1</v>
      </c>
      <c r="Y109" s="15">
        <f t="shared" ref="Y109:Y140" si="47">AO109+AP109</f>
        <v>1</v>
      </c>
      <c r="Z109" s="15">
        <f t="shared" si="39"/>
        <v>0</v>
      </c>
      <c r="AA109" s="18" t="str">
        <f t="shared" si="40"/>
        <v/>
      </c>
      <c r="AB109" s="17">
        <v>0</v>
      </c>
      <c r="AC109" s="17">
        <v>0</v>
      </c>
      <c r="AD109" s="15">
        <f t="shared" si="42"/>
        <v>0</v>
      </c>
      <c r="AE109" s="17">
        <v>0</v>
      </c>
      <c r="AF109" s="17">
        <v>0</v>
      </c>
      <c r="AG109" s="15">
        <f t="shared" si="43"/>
        <v>0</v>
      </c>
      <c r="AH109" s="17">
        <v>0</v>
      </c>
      <c r="AI109" s="17">
        <v>0</v>
      </c>
      <c r="AJ109" s="15">
        <f t="shared" si="44"/>
        <v>0</v>
      </c>
      <c r="AK109" s="17">
        <v>0</v>
      </c>
      <c r="AL109" s="17">
        <v>0</v>
      </c>
      <c r="AM109" s="15">
        <f t="shared" si="45"/>
        <v>0</v>
      </c>
      <c r="AN109" s="17"/>
      <c r="AO109" s="53">
        <f t="shared" si="41"/>
        <v>1</v>
      </c>
      <c r="AP109" s="53">
        <f>IF($A109="",0,IF(COUNTIFS([1]Sheet1!$A$2:$A$190,$A109,[1]Sheet1!$B$2:$B$190,$B109,[1]Sheet1!$C$2:$C$190,"&gt;=0")=0,0,SUMIFS([1]Sheet1!$C$2:$C$190,[1]Sheet1!$A$2:$A$190,$A109,[1]Sheet1!$B$2:$B$190,$B109)-$AO109))</f>
        <v>0</v>
      </c>
    </row>
    <row r="110" spans="1:42" x14ac:dyDescent="0.3">
      <c r="A110" s="15" t="s">
        <v>148</v>
      </c>
      <c r="B110" s="15">
        <v>100</v>
      </c>
      <c r="C110" s="15" t="s">
        <v>54</v>
      </c>
      <c r="D110" s="15" t="s">
        <v>57</v>
      </c>
      <c r="E110" s="15" cm="1">
        <f t="array" ref="E110">IFERROR(_xlfn.XLOOKUP($A110&amp;"|"&amp;$B110&amp;"|"&amp;$D110,'21-AUGUST-2026'!$A$3:$A$199&amp;"|"&amp;'21-AUGUST-2026'!$B$3:$B$199&amp;"|"&amp;'21-AUGUST-2026'!$D$3:$D$199,'21-AUGUST-2026'!$T$3:$T$199,_xlfn.XLOOKUP($A110&amp;"|"&amp;$B110,'21-AUGUST-2026'!$A$3:$A$199&amp;"|"&amp;'21-AUGUST-2026'!$B$3:$B$199,'21-AUGUST-2026'!$T$3:$T$199,0)),0)</f>
        <v>2</v>
      </c>
      <c r="F110" s="15" cm="1">
        <f t="array" ref="F110">IFERROR(_xlfn.XLOOKUP($A110&amp;"|"&amp;$B110&amp;"|"&amp;$D110,'21-AUGUST-2026'!$A$3:$A$199&amp;"|"&amp;'21-AUGUST-2026'!$B$3:$B$199&amp;"|"&amp;'21-AUGUST-2026'!$D$3:$D$199,'21-AUGUST-2026'!$U$3:$U$199,_xlfn.XLOOKUP($A110&amp;"|"&amp;$B110,'21-AUGUST-2026'!$A$3:$A$199&amp;"|"&amp;'21-AUGUST-2026'!$B$3:$B$199,'21-AUGUST-2026'!$U$3:$U$199,0)),0)</f>
        <v>0</v>
      </c>
      <c r="G110" s="15">
        <f t="shared" si="37"/>
        <v>2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20">
        <v>0</v>
      </c>
      <c r="S110" s="20">
        <v>0</v>
      </c>
      <c r="T110" s="20">
        <v>0</v>
      </c>
      <c r="U110" s="17"/>
      <c r="V110" s="17"/>
      <c r="W110" s="20">
        <f t="shared" si="38"/>
        <v>0</v>
      </c>
      <c r="X110" s="21">
        <f t="shared" si="46"/>
        <v>2</v>
      </c>
      <c r="Y110" s="15">
        <f t="shared" si="47"/>
        <v>2</v>
      </c>
      <c r="Z110" s="15">
        <f t="shared" si="39"/>
        <v>0</v>
      </c>
      <c r="AA110" s="18" t="str">
        <f t="shared" si="40"/>
        <v/>
      </c>
      <c r="AB110" s="17">
        <v>0</v>
      </c>
      <c r="AC110" s="17">
        <v>0</v>
      </c>
      <c r="AD110" s="15">
        <f t="shared" si="42"/>
        <v>0</v>
      </c>
      <c r="AE110" s="17">
        <v>0</v>
      </c>
      <c r="AF110" s="17">
        <v>0</v>
      </c>
      <c r="AG110" s="15">
        <f t="shared" si="43"/>
        <v>0</v>
      </c>
      <c r="AH110" s="17">
        <v>0</v>
      </c>
      <c r="AI110" s="17">
        <v>0</v>
      </c>
      <c r="AJ110" s="15">
        <f t="shared" si="44"/>
        <v>0</v>
      </c>
      <c r="AK110" s="17">
        <v>0</v>
      </c>
      <c r="AL110" s="17">
        <v>0</v>
      </c>
      <c r="AM110" s="15">
        <f t="shared" si="45"/>
        <v>0</v>
      </c>
      <c r="AN110" s="17"/>
      <c r="AO110" s="53">
        <f t="shared" si="41"/>
        <v>2</v>
      </c>
      <c r="AP110" s="53">
        <f>IF($A110="",0,IF(COUNTIFS([1]Sheet1!$A$2:$A$190,$A110,[1]Sheet1!$B$2:$B$190,$B110,[1]Sheet1!$C$2:$C$190,"&gt;=0")=0,0,SUMIFS([1]Sheet1!$C$2:$C$190,[1]Sheet1!$A$2:$A$190,$A110,[1]Sheet1!$B$2:$B$190,$B110)-$AO110))</f>
        <v>0</v>
      </c>
    </row>
    <row r="111" spans="1:42" x14ac:dyDescent="0.3">
      <c r="A111" s="15" t="s">
        <v>152</v>
      </c>
      <c r="B111" s="15">
        <v>500</v>
      </c>
      <c r="C111" s="15" t="s">
        <v>54</v>
      </c>
      <c r="D111" s="15" t="s">
        <v>57</v>
      </c>
      <c r="E111" s="15" cm="1">
        <f t="array" ref="E111">IFERROR(_xlfn.XLOOKUP($A111&amp;"|"&amp;$B111&amp;"|"&amp;$D111,'21-AUGUST-2026'!$A$3:$A$199&amp;"|"&amp;'21-AUGUST-2026'!$B$3:$B$199&amp;"|"&amp;'21-AUGUST-2026'!$D$3:$D$199,'21-AUGUST-2026'!$T$3:$T$199,_xlfn.XLOOKUP($A111&amp;"|"&amp;$B111,'21-AUGUST-2026'!$A$3:$A$199&amp;"|"&amp;'21-AUGUST-2026'!$B$3:$B$199,'21-AUGUST-2026'!$T$3:$T$199,0)),0)</f>
        <v>1</v>
      </c>
      <c r="F111" s="15" cm="1">
        <f t="array" ref="F111">IFERROR(_xlfn.XLOOKUP($A111&amp;"|"&amp;$B111&amp;"|"&amp;$D111,'21-AUGUST-2026'!$A$3:$A$199&amp;"|"&amp;'21-AUGUST-2026'!$B$3:$B$199&amp;"|"&amp;'21-AUGUST-2026'!$D$3:$D$199,'21-AUGUST-2026'!$U$3:$U$199,_xlfn.XLOOKUP($A111&amp;"|"&amp;$B111,'21-AUGUST-2026'!$A$3:$A$199&amp;"|"&amp;'21-AUGUST-2026'!$B$3:$B$199,'21-AUGUST-2026'!$U$3:$U$199,0)),0)</f>
        <v>0</v>
      </c>
      <c r="G111" s="15">
        <f t="shared" si="37"/>
        <v>1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20">
        <v>0</v>
      </c>
      <c r="S111" s="20">
        <v>0</v>
      </c>
      <c r="T111" s="20">
        <v>0</v>
      </c>
      <c r="U111" s="17"/>
      <c r="V111" s="17"/>
      <c r="W111" s="20">
        <f t="shared" si="38"/>
        <v>0</v>
      </c>
      <c r="X111" s="21">
        <f t="shared" si="46"/>
        <v>1</v>
      </c>
      <c r="Y111" s="15">
        <f t="shared" si="47"/>
        <v>1</v>
      </c>
      <c r="Z111" s="15">
        <f t="shared" si="39"/>
        <v>0</v>
      </c>
      <c r="AA111" s="18" t="str">
        <f t="shared" si="40"/>
        <v/>
      </c>
      <c r="AB111" s="17">
        <v>0</v>
      </c>
      <c r="AC111" s="17">
        <v>0</v>
      </c>
      <c r="AD111" s="15">
        <f t="shared" si="42"/>
        <v>0</v>
      </c>
      <c r="AE111" s="17">
        <v>0</v>
      </c>
      <c r="AF111" s="17">
        <v>0</v>
      </c>
      <c r="AG111" s="15">
        <f t="shared" si="43"/>
        <v>0</v>
      </c>
      <c r="AH111" s="17">
        <v>0</v>
      </c>
      <c r="AI111" s="17">
        <v>0</v>
      </c>
      <c r="AJ111" s="15">
        <f t="shared" si="44"/>
        <v>0</v>
      </c>
      <c r="AK111" s="17">
        <v>0</v>
      </c>
      <c r="AL111" s="17">
        <v>0</v>
      </c>
      <c r="AM111" s="15">
        <f t="shared" si="45"/>
        <v>0</v>
      </c>
      <c r="AN111" s="17"/>
      <c r="AO111" s="53">
        <f t="shared" si="41"/>
        <v>1</v>
      </c>
      <c r="AP111" s="53">
        <f>IF($A111="",0,IF(COUNTIFS([1]Sheet1!$A$2:$A$190,$A111,[1]Sheet1!$B$2:$B$190,$B111,[1]Sheet1!$C$2:$C$190,"&gt;=0")=0,0,SUMIFS([1]Sheet1!$C$2:$C$190,[1]Sheet1!$A$2:$A$190,$A111,[1]Sheet1!$B$2:$B$190,$B111)-$AO111))</f>
        <v>0</v>
      </c>
    </row>
    <row r="112" spans="1:42" x14ac:dyDescent="0.3">
      <c r="A112" s="15" t="s">
        <v>157</v>
      </c>
      <c r="B112" s="15">
        <v>100</v>
      </c>
      <c r="C112" s="15" t="s">
        <v>54</v>
      </c>
      <c r="D112" s="15" t="s">
        <v>57</v>
      </c>
      <c r="E112" s="15" cm="1">
        <f t="array" ref="E112">IFERROR(_xlfn.XLOOKUP($A112&amp;"|"&amp;$B112&amp;"|"&amp;$D112,'21-AUGUST-2026'!$A$3:$A$199&amp;"|"&amp;'21-AUGUST-2026'!$B$3:$B$199&amp;"|"&amp;'21-AUGUST-2026'!$D$3:$D$199,'21-AUGUST-2026'!$T$3:$T$199,_xlfn.XLOOKUP($A112&amp;"|"&amp;$B112,'21-AUGUST-2026'!$A$3:$A$199&amp;"|"&amp;'21-AUGUST-2026'!$B$3:$B$199,'21-AUGUST-2026'!$T$3:$T$199,0)),0)</f>
        <v>2</v>
      </c>
      <c r="F112" s="15" cm="1">
        <f t="array" ref="F112">IFERROR(_xlfn.XLOOKUP($A112&amp;"|"&amp;$B112&amp;"|"&amp;$D112,'21-AUGUST-2026'!$A$3:$A$199&amp;"|"&amp;'21-AUGUST-2026'!$B$3:$B$199&amp;"|"&amp;'21-AUGUST-2026'!$D$3:$D$199,'21-AUGUST-2026'!$U$3:$U$199,_xlfn.XLOOKUP($A112&amp;"|"&amp;$B112,'21-AUGUST-2026'!$A$3:$A$199&amp;"|"&amp;'21-AUGUST-2026'!$B$3:$B$199,'21-AUGUST-2026'!$U$3:$U$199,0)),0)</f>
        <v>0</v>
      </c>
      <c r="G112" s="15">
        <f t="shared" si="37"/>
        <v>2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20">
        <v>0</v>
      </c>
      <c r="S112" s="20">
        <v>0</v>
      </c>
      <c r="T112" s="20">
        <v>0</v>
      </c>
      <c r="U112" s="17"/>
      <c r="V112" s="17"/>
      <c r="W112" s="20">
        <f t="shared" si="38"/>
        <v>0</v>
      </c>
      <c r="X112" s="21">
        <f t="shared" si="46"/>
        <v>0</v>
      </c>
      <c r="Y112" s="15">
        <f t="shared" si="47"/>
        <v>0</v>
      </c>
      <c r="Z112" s="15">
        <f t="shared" si="39"/>
        <v>0</v>
      </c>
      <c r="AA112" s="18" t="str">
        <f t="shared" si="40"/>
        <v/>
      </c>
      <c r="AB112" s="17">
        <v>0</v>
      </c>
      <c r="AC112" s="17">
        <v>0</v>
      </c>
      <c r="AD112" s="15">
        <f t="shared" si="42"/>
        <v>0</v>
      </c>
      <c r="AE112" s="17">
        <v>0</v>
      </c>
      <c r="AF112" s="17">
        <v>0</v>
      </c>
      <c r="AG112" s="15">
        <f t="shared" si="43"/>
        <v>0</v>
      </c>
      <c r="AH112" s="17">
        <v>0</v>
      </c>
      <c r="AI112" s="17">
        <v>0</v>
      </c>
      <c r="AJ112" s="15">
        <f t="shared" si="44"/>
        <v>0</v>
      </c>
      <c r="AK112" s="17">
        <v>0</v>
      </c>
      <c r="AL112" s="17">
        <v>0</v>
      </c>
      <c r="AM112" s="15">
        <f t="shared" si="45"/>
        <v>0</v>
      </c>
      <c r="AN112" s="17"/>
      <c r="AO112" s="53">
        <f t="shared" si="41"/>
        <v>2</v>
      </c>
      <c r="AP112" s="53">
        <f>IF($A112="",0,IF(COUNTIFS([1]Sheet1!$A$2:$A$190,$A112,[1]Sheet1!$B$2:$B$190,$B112,[1]Sheet1!$C$2:$C$190,"&gt;=0")=0,0,SUMIFS([1]Sheet1!$C$2:$C$190,[1]Sheet1!$A$2:$A$190,$A112,[1]Sheet1!$B$2:$B$190,$B112)-$AO112))</f>
        <v>-2</v>
      </c>
    </row>
    <row r="113" spans="1:42" x14ac:dyDescent="0.3">
      <c r="A113" s="15" t="s">
        <v>175</v>
      </c>
      <c r="B113" s="15">
        <v>100</v>
      </c>
      <c r="C113" s="15" t="s">
        <v>54</v>
      </c>
      <c r="D113" s="15" t="s">
        <v>57</v>
      </c>
      <c r="E113" s="15" cm="1">
        <f t="array" ref="E113">IFERROR(_xlfn.XLOOKUP($A113&amp;"|"&amp;$B113&amp;"|"&amp;$D113,'21-AUGUST-2026'!$A$3:$A$199&amp;"|"&amp;'21-AUGUST-2026'!$B$3:$B$199&amp;"|"&amp;'21-AUGUST-2026'!$D$3:$D$199,'21-AUGUST-2026'!$T$3:$T$199,_xlfn.XLOOKUP($A113&amp;"|"&amp;$B113,'21-AUGUST-2026'!$A$3:$A$199&amp;"|"&amp;'21-AUGUST-2026'!$B$3:$B$199,'21-AUGUST-2026'!$T$3:$T$199,0)),0)</f>
        <v>4</v>
      </c>
      <c r="F113" s="15" cm="1">
        <f t="array" ref="F113">IFERROR(_xlfn.XLOOKUP($A113&amp;"|"&amp;$B113&amp;"|"&amp;$D113,'21-AUGUST-2026'!$A$3:$A$199&amp;"|"&amp;'21-AUGUST-2026'!$B$3:$B$199&amp;"|"&amp;'21-AUGUST-2026'!$D$3:$D$199,'21-AUGUST-2026'!$U$3:$U$199,_xlfn.XLOOKUP($A113&amp;"|"&amp;$B113,'21-AUGUST-2026'!$A$3:$A$199&amp;"|"&amp;'21-AUGUST-2026'!$B$3:$B$199,'21-AUGUST-2026'!$U$3:$U$199,0)),0)</f>
        <v>0</v>
      </c>
      <c r="G113" s="15">
        <f t="shared" si="37"/>
        <v>4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20">
        <v>0</v>
      </c>
      <c r="S113" s="20">
        <v>0</v>
      </c>
      <c r="T113" s="20">
        <v>0</v>
      </c>
      <c r="U113" s="17"/>
      <c r="V113" s="17"/>
      <c r="W113" s="20">
        <f t="shared" si="38"/>
        <v>0</v>
      </c>
      <c r="X113" s="21">
        <f t="shared" si="46"/>
        <v>1</v>
      </c>
      <c r="Y113" s="15">
        <f t="shared" si="47"/>
        <v>1</v>
      </c>
      <c r="Z113" s="15">
        <f t="shared" si="39"/>
        <v>0</v>
      </c>
      <c r="AA113" s="18" t="str">
        <f t="shared" si="40"/>
        <v/>
      </c>
      <c r="AB113" s="17">
        <v>0</v>
      </c>
      <c r="AC113" s="17">
        <v>0</v>
      </c>
      <c r="AD113" s="15">
        <f t="shared" si="42"/>
        <v>0</v>
      </c>
      <c r="AE113" s="17">
        <v>0</v>
      </c>
      <c r="AF113" s="17">
        <v>0</v>
      </c>
      <c r="AG113" s="15">
        <f t="shared" si="43"/>
        <v>0</v>
      </c>
      <c r="AH113" s="17">
        <v>0</v>
      </c>
      <c r="AI113" s="17">
        <v>0</v>
      </c>
      <c r="AJ113" s="15">
        <f t="shared" si="44"/>
        <v>0</v>
      </c>
      <c r="AK113" s="17">
        <v>0</v>
      </c>
      <c r="AL113" s="17">
        <v>0</v>
      </c>
      <c r="AM113" s="15">
        <f t="shared" si="45"/>
        <v>0</v>
      </c>
      <c r="AN113" s="17"/>
      <c r="AO113" s="53">
        <f t="shared" si="41"/>
        <v>4</v>
      </c>
      <c r="AP113" s="53">
        <f>IF($A113="",0,IF(COUNTIFS([1]Sheet1!$A$2:$A$190,$A113,[1]Sheet1!$B$2:$B$190,$B113,[1]Sheet1!$C$2:$C$190,"&gt;=0")=0,0,SUMIFS([1]Sheet1!$C$2:$C$190,[1]Sheet1!$A$2:$A$190,$A113,[1]Sheet1!$B$2:$B$190,$B113)-$AO113))</f>
        <v>-3</v>
      </c>
    </row>
    <row r="114" spans="1:42" x14ac:dyDescent="0.3">
      <c r="A114" s="15" t="s">
        <v>181</v>
      </c>
      <c r="B114" s="15">
        <v>100</v>
      </c>
      <c r="C114" s="15" t="s">
        <v>54</v>
      </c>
      <c r="D114" s="15" t="s">
        <v>57</v>
      </c>
      <c r="E114" s="15" cm="1">
        <f t="array" ref="E114">IFERROR(_xlfn.XLOOKUP($A114&amp;"|"&amp;$B114&amp;"|"&amp;$D114,'21-AUGUST-2026'!$A$3:$A$199&amp;"|"&amp;'21-AUGUST-2026'!$B$3:$B$199&amp;"|"&amp;'21-AUGUST-2026'!$D$3:$D$199,'21-AUGUST-2026'!$T$3:$T$199,_xlfn.XLOOKUP($A114&amp;"|"&amp;$B114,'21-AUGUST-2026'!$A$3:$A$199&amp;"|"&amp;'21-AUGUST-2026'!$B$3:$B$199,'21-AUGUST-2026'!$T$3:$T$199,0)),0)</f>
        <v>7</v>
      </c>
      <c r="F114" s="15" cm="1">
        <f t="array" ref="F114">IFERROR(_xlfn.XLOOKUP($A114&amp;"|"&amp;$B114&amp;"|"&amp;$D114,'21-AUGUST-2026'!$A$3:$A$199&amp;"|"&amp;'21-AUGUST-2026'!$B$3:$B$199&amp;"|"&amp;'21-AUGUST-2026'!$D$3:$D$199,'21-AUGUST-2026'!$U$3:$U$199,_xlfn.XLOOKUP($A114&amp;"|"&amp;$B114,'21-AUGUST-2026'!$A$3:$A$199&amp;"|"&amp;'21-AUGUST-2026'!$B$3:$B$199,'21-AUGUST-2026'!$U$3:$U$199,0)),0)</f>
        <v>0</v>
      </c>
      <c r="G114" s="15">
        <f t="shared" si="37"/>
        <v>7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20">
        <v>0</v>
      </c>
      <c r="S114" s="20">
        <v>0</v>
      </c>
      <c r="T114" s="20">
        <v>0</v>
      </c>
      <c r="U114" s="17"/>
      <c r="V114" s="17"/>
      <c r="W114" s="20">
        <f t="shared" si="38"/>
        <v>0</v>
      </c>
      <c r="X114" s="21">
        <f t="shared" si="46"/>
        <v>4</v>
      </c>
      <c r="Y114" s="15">
        <f t="shared" si="47"/>
        <v>4</v>
      </c>
      <c r="Z114" s="15">
        <f t="shared" si="39"/>
        <v>0</v>
      </c>
      <c r="AA114" s="18" t="str">
        <f t="shared" si="40"/>
        <v/>
      </c>
      <c r="AB114" s="17">
        <v>0</v>
      </c>
      <c r="AC114" s="17">
        <v>0</v>
      </c>
      <c r="AD114" s="15">
        <f t="shared" si="42"/>
        <v>0</v>
      </c>
      <c r="AE114" s="17">
        <v>0</v>
      </c>
      <c r="AF114" s="17">
        <v>0</v>
      </c>
      <c r="AG114" s="15">
        <f t="shared" si="43"/>
        <v>0</v>
      </c>
      <c r="AH114" s="17">
        <v>0</v>
      </c>
      <c r="AI114" s="17">
        <v>0</v>
      </c>
      <c r="AJ114" s="15">
        <f t="shared" si="44"/>
        <v>0</v>
      </c>
      <c r="AK114" s="17">
        <v>0</v>
      </c>
      <c r="AL114" s="17">
        <v>0</v>
      </c>
      <c r="AM114" s="15">
        <f t="shared" si="45"/>
        <v>0</v>
      </c>
      <c r="AN114" s="17"/>
      <c r="AO114" s="53">
        <f t="shared" si="41"/>
        <v>7</v>
      </c>
      <c r="AP114" s="53">
        <f>IF($A114="",0,IF(COUNTIFS([1]Sheet1!$A$2:$A$190,$A114,[1]Sheet1!$B$2:$B$190,$B114,[1]Sheet1!$C$2:$C$190,"&gt;=0")=0,0,SUMIFS([1]Sheet1!$C$2:$C$190,[1]Sheet1!$A$2:$A$190,$A114,[1]Sheet1!$B$2:$B$190,$B114)-$AO114))</f>
        <v>-3</v>
      </c>
    </row>
    <row r="115" spans="1:42" x14ac:dyDescent="0.3">
      <c r="A115" s="15" t="s">
        <v>186</v>
      </c>
      <c r="B115" s="15">
        <v>100</v>
      </c>
      <c r="C115" s="15" t="s">
        <v>54</v>
      </c>
      <c r="D115" s="15" t="s">
        <v>57</v>
      </c>
      <c r="E115" s="15" cm="1">
        <f t="array" ref="E115">IFERROR(_xlfn.XLOOKUP($A115&amp;"|"&amp;$B115&amp;"|"&amp;$D115,'21-AUGUST-2026'!$A$3:$A$199&amp;"|"&amp;'21-AUGUST-2026'!$B$3:$B$199&amp;"|"&amp;'21-AUGUST-2026'!$D$3:$D$199,'21-AUGUST-2026'!$T$3:$T$199,_xlfn.XLOOKUP($A115&amp;"|"&amp;$B115,'21-AUGUST-2026'!$A$3:$A$199&amp;"|"&amp;'21-AUGUST-2026'!$B$3:$B$199,'21-AUGUST-2026'!$T$3:$T$199,0)),0)</f>
        <v>4</v>
      </c>
      <c r="F115" s="15" cm="1">
        <f t="array" ref="F115">IFERROR(_xlfn.XLOOKUP($A115&amp;"|"&amp;$B115&amp;"|"&amp;$D115,'21-AUGUST-2026'!$A$3:$A$199&amp;"|"&amp;'21-AUGUST-2026'!$B$3:$B$199&amp;"|"&amp;'21-AUGUST-2026'!$D$3:$D$199,'21-AUGUST-2026'!$U$3:$U$199,_xlfn.XLOOKUP($A115&amp;"|"&amp;$B115,'21-AUGUST-2026'!$A$3:$A$199&amp;"|"&amp;'21-AUGUST-2026'!$B$3:$B$199,'21-AUGUST-2026'!$U$3:$U$199,0)),0)</f>
        <v>0</v>
      </c>
      <c r="G115" s="15">
        <f t="shared" si="37"/>
        <v>4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20">
        <v>0</v>
      </c>
      <c r="S115" s="20">
        <v>0</v>
      </c>
      <c r="T115" s="20">
        <v>0</v>
      </c>
      <c r="U115" s="17"/>
      <c r="V115" s="17"/>
      <c r="W115" s="20">
        <f t="shared" si="38"/>
        <v>0</v>
      </c>
      <c r="X115" s="21">
        <f t="shared" si="46"/>
        <v>2</v>
      </c>
      <c r="Y115" s="15">
        <f t="shared" si="47"/>
        <v>2</v>
      </c>
      <c r="Z115" s="15">
        <f t="shared" si="39"/>
        <v>0</v>
      </c>
      <c r="AA115" s="18" t="str">
        <f t="shared" si="40"/>
        <v/>
      </c>
      <c r="AB115" s="17">
        <v>0</v>
      </c>
      <c r="AC115" s="17">
        <v>0</v>
      </c>
      <c r="AD115" s="15">
        <f t="shared" si="42"/>
        <v>0</v>
      </c>
      <c r="AE115" s="17">
        <v>0</v>
      </c>
      <c r="AF115" s="17">
        <v>0</v>
      </c>
      <c r="AG115" s="15">
        <f t="shared" si="43"/>
        <v>0</v>
      </c>
      <c r="AH115" s="17">
        <v>0</v>
      </c>
      <c r="AI115" s="17">
        <v>0</v>
      </c>
      <c r="AJ115" s="15">
        <f t="shared" si="44"/>
        <v>0</v>
      </c>
      <c r="AK115" s="17">
        <v>0</v>
      </c>
      <c r="AL115" s="17">
        <v>0</v>
      </c>
      <c r="AM115" s="15">
        <f t="shared" si="45"/>
        <v>0</v>
      </c>
      <c r="AN115" s="17"/>
      <c r="AO115" s="53">
        <f t="shared" si="41"/>
        <v>4</v>
      </c>
      <c r="AP115" s="53">
        <f>IF($A115="",0,IF(COUNTIFS([1]Sheet1!$A$2:$A$190,$A115,[1]Sheet1!$B$2:$B$190,$B115,[1]Sheet1!$C$2:$C$190,"&gt;=0")=0,0,SUMIFS([1]Sheet1!$C$2:$C$190,[1]Sheet1!$A$2:$A$190,$A115,[1]Sheet1!$B$2:$B$190,$B115)-$AO115))</f>
        <v>-2</v>
      </c>
    </row>
    <row r="116" spans="1:42" x14ac:dyDescent="0.3">
      <c r="A116" s="15" t="s">
        <v>188</v>
      </c>
      <c r="B116" s="15">
        <v>100</v>
      </c>
      <c r="C116" s="15" t="s">
        <v>54</v>
      </c>
      <c r="D116" s="15" t="s">
        <v>57</v>
      </c>
      <c r="E116" s="15" cm="1">
        <f t="array" ref="E116">IFERROR(_xlfn.XLOOKUP($A116&amp;"|"&amp;$B116&amp;"|"&amp;$D116,'21-AUGUST-2026'!$A$3:$A$199&amp;"|"&amp;'21-AUGUST-2026'!$B$3:$B$199&amp;"|"&amp;'21-AUGUST-2026'!$D$3:$D$199,'21-AUGUST-2026'!$T$3:$T$199,_xlfn.XLOOKUP($A116&amp;"|"&amp;$B116,'21-AUGUST-2026'!$A$3:$A$199&amp;"|"&amp;'21-AUGUST-2026'!$B$3:$B$199,'21-AUGUST-2026'!$T$3:$T$199,0)),0)</f>
        <v>3</v>
      </c>
      <c r="F116" s="15" cm="1">
        <f t="array" ref="F116">IFERROR(_xlfn.XLOOKUP($A116&amp;"|"&amp;$B116&amp;"|"&amp;$D116,'21-AUGUST-2026'!$A$3:$A$199&amp;"|"&amp;'21-AUGUST-2026'!$B$3:$B$199&amp;"|"&amp;'21-AUGUST-2026'!$D$3:$D$199,'21-AUGUST-2026'!$U$3:$U$199,_xlfn.XLOOKUP($A116&amp;"|"&amp;$B116,'21-AUGUST-2026'!$A$3:$A$199&amp;"|"&amp;'21-AUGUST-2026'!$B$3:$B$199,'21-AUGUST-2026'!$U$3:$U$199,0)),0)</f>
        <v>0</v>
      </c>
      <c r="G116" s="15">
        <f t="shared" si="37"/>
        <v>3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20">
        <v>0</v>
      </c>
      <c r="S116" s="20">
        <v>0</v>
      </c>
      <c r="T116" s="20">
        <v>0</v>
      </c>
      <c r="U116" s="17"/>
      <c r="V116" s="17"/>
      <c r="W116" s="20">
        <f t="shared" si="38"/>
        <v>0</v>
      </c>
      <c r="X116" s="21">
        <f t="shared" si="46"/>
        <v>3</v>
      </c>
      <c r="Y116" s="15">
        <f t="shared" si="47"/>
        <v>3</v>
      </c>
      <c r="Z116" s="15">
        <f t="shared" si="39"/>
        <v>0</v>
      </c>
      <c r="AA116" s="18" t="str">
        <f t="shared" si="40"/>
        <v/>
      </c>
      <c r="AB116" s="17">
        <v>0</v>
      </c>
      <c r="AC116" s="17">
        <v>0</v>
      </c>
      <c r="AD116" s="15">
        <f t="shared" si="42"/>
        <v>0</v>
      </c>
      <c r="AE116" s="17">
        <v>0</v>
      </c>
      <c r="AF116" s="17">
        <v>0</v>
      </c>
      <c r="AG116" s="15">
        <f t="shared" si="43"/>
        <v>0</v>
      </c>
      <c r="AH116" s="17">
        <v>0</v>
      </c>
      <c r="AI116" s="17">
        <v>0</v>
      </c>
      <c r="AJ116" s="15">
        <f t="shared" si="44"/>
        <v>0</v>
      </c>
      <c r="AK116" s="17">
        <v>0</v>
      </c>
      <c r="AL116" s="17">
        <v>0</v>
      </c>
      <c r="AM116" s="15">
        <f t="shared" si="45"/>
        <v>0</v>
      </c>
      <c r="AN116" s="17"/>
      <c r="AO116" s="53">
        <f t="shared" si="41"/>
        <v>3</v>
      </c>
      <c r="AP116" s="53">
        <f>IF($A116="",0,IF(COUNTIFS([1]Sheet1!$A$2:$A$190,$A116,[1]Sheet1!$B$2:$B$190,$B116,[1]Sheet1!$C$2:$C$190,"&gt;=0")=0,0,SUMIFS([1]Sheet1!$C$2:$C$190,[1]Sheet1!$A$2:$A$190,$A116,[1]Sheet1!$B$2:$B$190,$B116)-$AO116))</f>
        <v>0</v>
      </c>
    </row>
    <row r="117" spans="1:42" x14ac:dyDescent="0.3">
      <c r="A117" s="15" t="s">
        <v>190</v>
      </c>
      <c r="B117" s="15">
        <v>100</v>
      </c>
      <c r="C117" s="15" t="s">
        <v>54</v>
      </c>
      <c r="D117" s="15" t="s">
        <v>57</v>
      </c>
      <c r="E117" s="15" cm="1">
        <f t="array" ref="E117">IFERROR(_xlfn.XLOOKUP($A117&amp;"|"&amp;$B117&amp;"|"&amp;$D117,'21-AUGUST-2026'!$A$3:$A$199&amp;"|"&amp;'21-AUGUST-2026'!$B$3:$B$199&amp;"|"&amp;'21-AUGUST-2026'!$D$3:$D$199,'21-AUGUST-2026'!$T$3:$T$199,_xlfn.XLOOKUP($A117&amp;"|"&amp;$B117,'21-AUGUST-2026'!$A$3:$A$199&amp;"|"&amp;'21-AUGUST-2026'!$B$3:$B$199,'21-AUGUST-2026'!$T$3:$T$199,0)),0)</f>
        <v>4</v>
      </c>
      <c r="F117" s="15" cm="1">
        <f t="array" ref="F117">IFERROR(_xlfn.XLOOKUP($A117&amp;"|"&amp;$B117&amp;"|"&amp;$D117,'21-AUGUST-2026'!$A$3:$A$199&amp;"|"&amp;'21-AUGUST-2026'!$B$3:$B$199&amp;"|"&amp;'21-AUGUST-2026'!$D$3:$D$199,'21-AUGUST-2026'!$U$3:$U$199,_xlfn.XLOOKUP($A117&amp;"|"&amp;$B117,'21-AUGUST-2026'!$A$3:$A$199&amp;"|"&amp;'21-AUGUST-2026'!$B$3:$B$199,'21-AUGUST-2026'!$U$3:$U$199,0)),0)</f>
        <v>-8</v>
      </c>
      <c r="G117" s="15">
        <f t="shared" si="37"/>
        <v>-4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20">
        <v>0</v>
      </c>
      <c r="S117" s="20">
        <v>0</v>
      </c>
      <c r="T117" s="20">
        <v>0</v>
      </c>
      <c r="U117" s="17"/>
      <c r="V117" s="17"/>
      <c r="W117" s="20">
        <f t="shared" si="38"/>
        <v>0</v>
      </c>
      <c r="X117" s="21">
        <f t="shared" si="46"/>
        <v>-5</v>
      </c>
      <c r="Y117" s="15">
        <f t="shared" si="47"/>
        <v>3</v>
      </c>
      <c r="Z117" s="15">
        <f t="shared" si="39"/>
        <v>-8</v>
      </c>
      <c r="AA117" s="18" t="str">
        <f t="shared" si="40"/>
        <v>NEGATIVE STOCK - CHECK ENTRIES</v>
      </c>
      <c r="AB117" s="17">
        <v>0</v>
      </c>
      <c r="AC117" s="17">
        <v>0</v>
      </c>
      <c r="AD117" s="15">
        <f t="shared" si="42"/>
        <v>0</v>
      </c>
      <c r="AE117" s="17">
        <v>0</v>
      </c>
      <c r="AF117" s="17">
        <v>0</v>
      </c>
      <c r="AG117" s="15">
        <f t="shared" si="43"/>
        <v>0</v>
      </c>
      <c r="AH117" s="17">
        <v>0</v>
      </c>
      <c r="AI117" s="17">
        <v>0</v>
      </c>
      <c r="AJ117" s="15">
        <f t="shared" si="44"/>
        <v>0</v>
      </c>
      <c r="AK117" s="17">
        <v>0</v>
      </c>
      <c r="AL117" s="17">
        <v>0</v>
      </c>
      <c r="AM117" s="15">
        <f t="shared" si="45"/>
        <v>0</v>
      </c>
      <c r="AN117" s="17"/>
      <c r="AO117" s="53">
        <f t="shared" si="41"/>
        <v>4</v>
      </c>
      <c r="AP117" s="53">
        <f>IF($A117="",0,IF(COUNTIFS([1]Sheet1!$A$2:$A$190,$A117,[1]Sheet1!$B$2:$B$190,$B117,[1]Sheet1!$C$2:$C$190,"&gt;=0")=0,0,SUMIFS([1]Sheet1!$C$2:$C$190,[1]Sheet1!$A$2:$A$190,$A117,[1]Sheet1!$B$2:$B$190,$B117)-$AO117))</f>
        <v>-1</v>
      </c>
    </row>
    <row r="118" spans="1:42" x14ac:dyDescent="0.3">
      <c r="A118" s="15" t="s">
        <v>193</v>
      </c>
      <c r="B118" s="15">
        <v>100</v>
      </c>
      <c r="C118" s="15" t="s">
        <v>54</v>
      </c>
      <c r="D118" s="15" t="s">
        <v>57</v>
      </c>
      <c r="E118" s="15" cm="1">
        <f t="array" ref="E118">IFERROR(_xlfn.XLOOKUP($A118&amp;"|"&amp;$B118&amp;"|"&amp;$D118,'21-AUGUST-2026'!$A$3:$A$199&amp;"|"&amp;'21-AUGUST-2026'!$B$3:$B$199&amp;"|"&amp;'21-AUGUST-2026'!$D$3:$D$199,'21-AUGUST-2026'!$T$3:$T$199,_xlfn.XLOOKUP($A118&amp;"|"&amp;$B118,'21-AUGUST-2026'!$A$3:$A$199&amp;"|"&amp;'21-AUGUST-2026'!$B$3:$B$199,'21-AUGUST-2026'!$T$3:$T$199,0)),0)</f>
        <v>1</v>
      </c>
      <c r="F118" s="15" cm="1">
        <f t="array" ref="F118">IFERROR(_xlfn.XLOOKUP($A118&amp;"|"&amp;$B118&amp;"|"&amp;$D118,'21-AUGUST-2026'!$A$3:$A$199&amp;"|"&amp;'21-AUGUST-2026'!$B$3:$B$199&amp;"|"&amp;'21-AUGUST-2026'!$D$3:$D$199,'21-AUGUST-2026'!$U$3:$U$199,_xlfn.XLOOKUP($A118&amp;"|"&amp;$B118,'21-AUGUST-2026'!$A$3:$A$199&amp;"|"&amp;'21-AUGUST-2026'!$B$3:$B$199,'21-AUGUST-2026'!$U$3:$U$199,0)),0)</f>
        <v>0</v>
      </c>
      <c r="G118" s="15">
        <f t="shared" si="37"/>
        <v>1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20">
        <v>0</v>
      </c>
      <c r="S118" s="20">
        <v>0</v>
      </c>
      <c r="T118" s="20">
        <v>0</v>
      </c>
      <c r="U118" s="17"/>
      <c r="V118" s="17"/>
      <c r="W118" s="20">
        <f t="shared" si="38"/>
        <v>0</v>
      </c>
      <c r="X118" s="21">
        <f t="shared" si="46"/>
        <v>2</v>
      </c>
      <c r="Y118" s="15">
        <f t="shared" si="47"/>
        <v>2</v>
      </c>
      <c r="Z118" s="15">
        <f t="shared" si="39"/>
        <v>0</v>
      </c>
      <c r="AA118" s="18" t="str">
        <f t="shared" si="40"/>
        <v/>
      </c>
      <c r="AB118" s="17">
        <v>0</v>
      </c>
      <c r="AC118" s="17">
        <v>0</v>
      </c>
      <c r="AD118" s="15">
        <f t="shared" si="42"/>
        <v>0</v>
      </c>
      <c r="AE118" s="17">
        <v>0</v>
      </c>
      <c r="AF118" s="17">
        <v>0</v>
      </c>
      <c r="AG118" s="15">
        <f t="shared" si="43"/>
        <v>0</v>
      </c>
      <c r="AH118" s="17">
        <v>0</v>
      </c>
      <c r="AI118" s="17">
        <v>0</v>
      </c>
      <c r="AJ118" s="15">
        <f t="shared" si="44"/>
        <v>0</v>
      </c>
      <c r="AK118" s="17">
        <v>0</v>
      </c>
      <c r="AL118" s="17">
        <v>0</v>
      </c>
      <c r="AM118" s="15">
        <f t="shared" si="45"/>
        <v>0</v>
      </c>
      <c r="AN118" s="17"/>
      <c r="AO118" s="53">
        <f t="shared" si="41"/>
        <v>1</v>
      </c>
      <c r="AP118" s="53">
        <f>IF($A118="",0,IF(COUNTIFS([1]Sheet1!$A$2:$A$190,$A118,[1]Sheet1!$B$2:$B$190,$B118,[1]Sheet1!$C$2:$C$190,"&gt;=0")=0,0,SUMIFS([1]Sheet1!$C$2:$C$190,[1]Sheet1!$A$2:$A$190,$A118,[1]Sheet1!$B$2:$B$190,$B118)-$AO118))</f>
        <v>1</v>
      </c>
    </row>
    <row r="119" spans="1:42" x14ac:dyDescent="0.3">
      <c r="A119" s="15" t="s">
        <v>205</v>
      </c>
      <c r="B119" s="15">
        <v>1000</v>
      </c>
      <c r="C119" s="15" t="s">
        <v>54</v>
      </c>
      <c r="D119" s="15" t="s">
        <v>57</v>
      </c>
      <c r="E119" s="15" cm="1">
        <f t="array" ref="E119">IFERROR(_xlfn.XLOOKUP($A119&amp;"|"&amp;$B119&amp;"|"&amp;$D119,'21-AUGUST-2026'!$A$3:$A$199&amp;"|"&amp;'21-AUGUST-2026'!$B$3:$B$199&amp;"|"&amp;'21-AUGUST-2026'!$D$3:$D$199,'21-AUGUST-2026'!$T$3:$T$199,_xlfn.XLOOKUP($A119&amp;"|"&amp;$B119,'21-AUGUST-2026'!$A$3:$A$199&amp;"|"&amp;'21-AUGUST-2026'!$B$3:$B$199,'21-AUGUST-2026'!$T$3:$T$199,0)),0)</f>
        <v>5</v>
      </c>
      <c r="F119" s="15" cm="1">
        <f t="array" ref="F119">IFERROR(_xlfn.XLOOKUP($A119&amp;"|"&amp;$B119&amp;"|"&amp;$D119,'21-AUGUST-2026'!$A$3:$A$199&amp;"|"&amp;'21-AUGUST-2026'!$B$3:$B$199&amp;"|"&amp;'21-AUGUST-2026'!$D$3:$D$199,'21-AUGUST-2026'!$U$3:$U$199,_xlfn.XLOOKUP($A119&amp;"|"&amp;$B119,'21-AUGUST-2026'!$A$3:$A$199&amp;"|"&amp;'21-AUGUST-2026'!$B$3:$B$199,'21-AUGUST-2026'!$U$3:$U$199,0)),0)</f>
        <v>0</v>
      </c>
      <c r="G119" s="15">
        <f t="shared" si="37"/>
        <v>5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20">
        <v>0</v>
      </c>
      <c r="S119" s="20">
        <v>0</v>
      </c>
      <c r="T119" s="20">
        <v>0</v>
      </c>
      <c r="U119" s="17"/>
      <c r="V119" s="17"/>
      <c r="W119" s="20">
        <f t="shared" si="38"/>
        <v>0</v>
      </c>
      <c r="X119" s="21">
        <f t="shared" si="46"/>
        <v>1</v>
      </c>
      <c r="Y119" s="15">
        <f t="shared" si="47"/>
        <v>1</v>
      </c>
      <c r="Z119" s="15">
        <f t="shared" si="39"/>
        <v>0</v>
      </c>
      <c r="AA119" s="18" t="str">
        <f t="shared" si="40"/>
        <v/>
      </c>
      <c r="AB119" s="17">
        <v>0</v>
      </c>
      <c r="AC119" s="17">
        <v>0</v>
      </c>
      <c r="AD119" s="15">
        <f t="shared" si="42"/>
        <v>0</v>
      </c>
      <c r="AE119" s="17">
        <v>0</v>
      </c>
      <c r="AF119" s="17">
        <v>0</v>
      </c>
      <c r="AG119" s="15">
        <f t="shared" si="43"/>
        <v>0</v>
      </c>
      <c r="AH119" s="17">
        <v>0</v>
      </c>
      <c r="AI119" s="17">
        <v>0</v>
      </c>
      <c r="AJ119" s="15">
        <f t="shared" si="44"/>
        <v>0</v>
      </c>
      <c r="AK119" s="17">
        <v>0</v>
      </c>
      <c r="AL119" s="17">
        <v>0</v>
      </c>
      <c r="AM119" s="15">
        <f t="shared" si="45"/>
        <v>0</v>
      </c>
      <c r="AN119" s="17"/>
      <c r="AO119" s="53">
        <f t="shared" si="41"/>
        <v>5</v>
      </c>
      <c r="AP119" s="53">
        <f>IF($A119="",0,IF(COUNTIFS([1]Sheet1!$A$2:$A$190,$A119,[1]Sheet1!$B$2:$B$190,$B119,[1]Sheet1!$C$2:$C$190,"&gt;=0")=0,0,SUMIFS([1]Sheet1!$C$2:$C$190,[1]Sheet1!$A$2:$A$190,$A119,[1]Sheet1!$B$2:$B$190,$B119)-$AO119))</f>
        <v>-4</v>
      </c>
    </row>
    <row r="120" spans="1:42" x14ac:dyDescent="0.3">
      <c r="A120" s="15" t="s">
        <v>206</v>
      </c>
      <c r="B120" s="15">
        <v>1000</v>
      </c>
      <c r="C120" s="15" t="s">
        <v>54</v>
      </c>
      <c r="D120" s="15" t="s">
        <v>57</v>
      </c>
      <c r="E120" s="15" cm="1">
        <f t="array" ref="E120">IFERROR(_xlfn.XLOOKUP($A120&amp;"|"&amp;$B120&amp;"|"&amp;$D120,'21-AUGUST-2026'!$A$3:$A$199&amp;"|"&amp;'21-AUGUST-2026'!$B$3:$B$199&amp;"|"&amp;'21-AUGUST-2026'!$D$3:$D$199,'21-AUGUST-2026'!$T$3:$T$199,_xlfn.XLOOKUP($A120&amp;"|"&amp;$B120,'21-AUGUST-2026'!$A$3:$A$199&amp;"|"&amp;'21-AUGUST-2026'!$B$3:$B$199,'21-AUGUST-2026'!$T$3:$T$199,0)),0)</f>
        <v>-6</v>
      </c>
      <c r="F120" s="15" cm="1">
        <f t="array" ref="F120">IFERROR(_xlfn.XLOOKUP($A120&amp;"|"&amp;$B120&amp;"|"&amp;$D120,'21-AUGUST-2026'!$A$3:$A$199&amp;"|"&amp;'21-AUGUST-2026'!$B$3:$B$199&amp;"|"&amp;'21-AUGUST-2026'!$D$3:$D$199,'21-AUGUST-2026'!$U$3:$U$199,_xlfn.XLOOKUP($A120&amp;"|"&amp;$B120,'21-AUGUST-2026'!$A$3:$A$199&amp;"|"&amp;'21-AUGUST-2026'!$B$3:$B$199,'21-AUGUST-2026'!$U$3:$U$199,0)),0)</f>
        <v>0</v>
      </c>
      <c r="G120" s="15">
        <f t="shared" si="37"/>
        <v>-6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20">
        <v>0</v>
      </c>
      <c r="S120" s="20">
        <v>0</v>
      </c>
      <c r="T120" s="20">
        <v>0</v>
      </c>
      <c r="U120" s="17"/>
      <c r="V120" s="17"/>
      <c r="W120" s="20">
        <f t="shared" si="38"/>
        <v>0</v>
      </c>
      <c r="X120" s="21">
        <f t="shared" si="46"/>
        <v>2</v>
      </c>
      <c r="Y120" s="15">
        <f t="shared" si="47"/>
        <v>2</v>
      </c>
      <c r="Z120" s="15">
        <f t="shared" si="39"/>
        <v>0</v>
      </c>
      <c r="AA120" s="18" t="str">
        <f t="shared" si="40"/>
        <v/>
      </c>
      <c r="AB120" s="17">
        <v>0</v>
      </c>
      <c r="AC120" s="17">
        <v>0</v>
      </c>
      <c r="AD120" s="15">
        <f t="shared" si="42"/>
        <v>0</v>
      </c>
      <c r="AE120" s="17">
        <v>0</v>
      </c>
      <c r="AF120" s="17">
        <v>0</v>
      </c>
      <c r="AG120" s="15">
        <f t="shared" si="43"/>
        <v>0</v>
      </c>
      <c r="AH120" s="17">
        <v>0</v>
      </c>
      <c r="AI120" s="17">
        <v>0</v>
      </c>
      <c r="AJ120" s="15">
        <f t="shared" si="44"/>
        <v>0</v>
      </c>
      <c r="AK120" s="17">
        <v>0</v>
      </c>
      <c r="AL120" s="17">
        <v>0</v>
      </c>
      <c r="AM120" s="15">
        <f t="shared" si="45"/>
        <v>0</v>
      </c>
      <c r="AN120" s="17"/>
      <c r="AO120" s="53">
        <f t="shared" si="41"/>
        <v>-6</v>
      </c>
      <c r="AP120" s="53">
        <f>IF($A120="",0,IF(COUNTIFS([1]Sheet1!$A$2:$A$190,$A120,[1]Sheet1!$B$2:$B$190,$B120,[1]Sheet1!$C$2:$C$190,"&gt;=0")=0,0,SUMIFS([1]Sheet1!$C$2:$C$190,[1]Sheet1!$A$2:$A$190,$A120,[1]Sheet1!$B$2:$B$190,$B120)-$AO120))</f>
        <v>8</v>
      </c>
    </row>
    <row r="121" spans="1:42" x14ac:dyDescent="0.3">
      <c r="A121" s="15" t="s">
        <v>209</v>
      </c>
      <c r="B121" s="15">
        <v>100</v>
      </c>
      <c r="C121" s="15" t="s">
        <v>54</v>
      </c>
      <c r="D121" s="15" t="s">
        <v>57</v>
      </c>
      <c r="E121" s="15" cm="1">
        <f t="array" ref="E121">IFERROR(_xlfn.XLOOKUP($A121&amp;"|"&amp;$B121&amp;"|"&amp;$D121,'21-AUGUST-2026'!$A$3:$A$199&amp;"|"&amp;'21-AUGUST-2026'!$B$3:$B$199&amp;"|"&amp;'21-AUGUST-2026'!$D$3:$D$199,'21-AUGUST-2026'!$T$3:$T$199,_xlfn.XLOOKUP($A121&amp;"|"&amp;$B121,'21-AUGUST-2026'!$A$3:$A$199&amp;"|"&amp;'21-AUGUST-2026'!$B$3:$B$199,'21-AUGUST-2026'!$T$3:$T$199,0)),0)</f>
        <v>1</v>
      </c>
      <c r="F121" s="15" cm="1">
        <f t="array" ref="F121">IFERROR(_xlfn.XLOOKUP($A121&amp;"|"&amp;$B121&amp;"|"&amp;$D121,'21-AUGUST-2026'!$A$3:$A$199&amp;"|"&amp;'21-AUGUST-2026'!$B$3:$B$199&amp;"|"&amp;'21-AUGUST-2026'!$D$3:$D$199,'21-AUGUST-2026'!$U$3:$U$199,_xlfn.XLOOKUP($A121&amp;"|"&amp;$B121,'21-AUGUST-2026'!$A$3:$A$199&amp;"|"&amp;'21-AUGUST-2026'!$B$3:$B$199,'21-AUGUST-2026'!$U$3:$U$199,0)),0)</f>
        <v>0</v>
      </c>
      <c r="G121" s="15">
        <f t="shared" si="37"/>
        <v>1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20">
        <v>0</v>
      </c>
      <c r="S121" s="20">
        <v>0</v>
      </c>
      <c r="T121" s="20">
        <v>0</v>
      </c>
      <c r="U121" s="17"/>
      <c r="V121" s="17"/>
      <c r="W121" s="20">
        <f t="shared" si="38"/>
        <v>0</v>
      </c>
      <c r="X121" s="21">
        <f t="shared" si="46"/>
        <v>1</v>
      </c>
      <c r="Y121" s="15">
        <f t="shared" si="47"/>
        <v>1</v>
      </c>
      <c r="Z121" s="15">
        <f t="shared" si="39"/>
        <v>0</v>
      </c>
      <c r="AA121" s="18" t="str">
        <f t="shared" si="40"/>
        <v/>
      </c>
      <c r="AB121" s="17">
        <v>0</v>
      </c>
      <c r="AC121" s="17">
        <v>0</v>
      </c>
      <c r="AD121" s="15">
        <f t="shared" si="42"/>
        <v>0</v>
      </c>
      <c r="AE121" s="17">
        <v>0</v>
      </c>
      <c r="AF121" s="17">
        <v>0</v>
      </c>
      <c r="AG121" s="15">
        <f t="shared" si="43"/>
        <v>0</v>
      </c>
      <c r="AH121" s="17">
        <v>0</v>
      </c>
      <c r="AI121" s="17">
        <v>0</v>
      </c>
      <c r="AJ121" s="15">
        <f t="shared" si="44"/>
        <v>0</v>
      </c>
      <c r="AK121" s="17">
        <v>0</v>
      </c>
      <c r="AL121" s="17">
        <v>0</v>
      </c>
      <c r="AM121" s="15">
        <f t="shared" si="45"/>
        <v>0</v>
      </c>
      <c r="AN121" s="17"/>
      <c r="AO121" s="53">
        <f t="shared" si="41"/>
        <v>1</v>
      </c>
      <c r="AP121" s="53">
        <f>IF($A121="",0,IF(COUNTIFS([1]Sheet1!$A$2:$A$190,$A121,[1]Sheet1!$B$2:$B$190,$B121,[1]Sheet1!$C$2:$C$190,"&gt;=0")=0,0,SUMIFS([1]Sheet1!$C$2:$C$190,[1]Sheet1!$A$2:$A$190,$A121,[1]Sheet1!$B$2:$B$190,$B121)-$AO121))</f>
        <v>0</v>
      </c>
    </row>
    <row r="122" spans="1:42" x14ac:dyDescent="0.3">
      <c r="A122" s="15" t="s">
        <v>220</v>
      </c>
      <c r="B122" s="15">
        <v>1000</v>
      </c>
      <c r="C122" s="15" t="s">
        <v>54</v>
      </c>
      <c r="D122" s="15" t="s">
        <v>57</v>
      </c>
      <c r="E122" s="15" cm="1">
        <f t="array" ref="E122">IFERROR(_xlfn.XLOOKUP($A122&amp;"|"&amp;$B122&amp;"|"&amp;$D122,'21-AUGUST-2026'!$A$3:$A$199&amp;"|"&amp;'21-AUGUST-2026'!$B$3:$B$199&amp;"|"&amp;'21-AUGUST-2026'!$D$3:$D$199,'21-AUGUST-2026'!$T$3:$T$199,_xlfn.XLOOKUP($A122&amp;"|"&amp;$B122,'21-AUGUST-2026'!$A$3:$A$199&amp;"|"&amp;'21-AUGUST-2026'!$B$3:$B$199,'21-AUGUST-2026'!$T$3:$T$199,0)),0)</f>
        <v>5</v>
      </c>
      <c r="F122" s="15" cm="1">
        <f t="array" ref="F122">IFERROR(_xlfn.XLOOKUP($A122&amp;"|"&amp;$B122&amp;"|"&amp;$D122,'21-AUGUST-2026'!$A$3:$A$199&amp;"|"&amp;'21-AUGUST-2026'!$B$3:$B$199&amp;"|"&amp;'21-AUGUST-2026'!$D$3:$D$199,'21-AUGUST-2026'!$U$3:$U$199,_xlfn.XLOOKUP($A122&amp;"|"&amp;$B122,'21-AUGUST-2026'!$A$3:$A$199&amp;"|"&amp;'21-AUGUST-2026'!$B$3:$B$199,'21-AUGUST-2026'!$U$3:$U$199,0)),0)</f>
        <v>0</v>
      </c>
      <c r="G122" s="15">
        <f t="shared" si="37"/>
        <v>5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20">
        <v>0</v>
      </c>
      <c r="S122" s="20">
        <v>0</v>
      </c>
      <c r="T122" s="20">
        <v>0</v>
      </c>
      <c r="U122" s="17"/>
      <c r="V122" s="17"/>
      <c r="W122" s="20">
        <f t="shared" si="38"/>
        <v>0</v>
      </c>
      <c r="X122" s="21">
        <f t="shared" si="46"/>
        <v>4</v>
      </c>
      <c r="Y122" s="15">
        <f t="shared" si="47"/>
        <v>4</v>
      </c>
      <c r="Z122" s="15">
        <f t="shared" si="39"/>
        <v>0</v>
      </c>
      <c r="AA122" s="18" t="str">
        <f t="shared" si="40"/>
        <v/>
      </c>
      <c r="AB122" s="17">
        <v>0</v>
      </c>
      <c r="AC122" s="17">
        <v>0</v>
      </c>
      <c r="AD122" s="15">
        <f t="shared" si="42"/>
        <v>0</v>
      </c>
      <c r="AE122" s="17">
        <v>0</v>
      </c>
      <c r="AF122" s="17">
        <v>0</v>
      </c>
      <c r="AG122" s="15">
        <f t="shared" si="43"/>
        <v>0</v>
      </c>
      <c r="AH122" s="17">
        <v>0</v>
      </c>
      <c r="AI122" s="17">
        <v>0</v>
      </c>
      <c r="AJ122" s="15">
        <f t="shared" si="44"/>
        <v>0</v>
      </c>
      <c r="AK122" s="17">
        <v>0</v>
      </c>
      <c r="AL122" s="17">
        <v>0</v>
      </c>
      <c r="AM122" s="15">
        <f t="shared" si="45"/>
        <v>0</v>
      </c>
      <c r="AN122" s="17"/>
      <c r="AO122" s="53">
        <f t="shared" si="41"/>
        <v>5</v>
      </c>
      <c r="AP122" s="53">
        <f>IF($A122="",0,IF(COUNTIFS([1]Sheet1!$A$2:$A$190,$A122,[1]Sheet1!$B$2:$B$190,$B122,[1]Sheet1!$C$2:$C$190,"&gt;=0")=0,0,SUMIFS([1]Sheet1!$C$2:$C$190,[1]Sheet1!$A$2:$A$190,$A122,[1]Sheet1!$B$2:$B$190,$B122)-$AO122))</f>
        <v>-1</v>
      </c>
    </row>
    <row r="123" spans="1:42" x14ac:dyDescent="0.3">
      <c r="A123" s="15" t="s">
        <v>223</v>
      </c>
      <c r="B123" s="15">
        <v>100</v>
      </c>
      <c r="C123" s="15" t="s">
        <v>54</v>
      </c>
      <c r="D123" s="15" t="s">
        <v>57</v>
      </c>
      <c r="E123" s="15" cm="1">
        <f t="array" ref="E123">IFERROR(_xlfn.XLOOKUP($A123&amp;"|"&amp;$B123&amp;"|"&amp;$D123,'21-AUGUST-2026'!$A$3:$A$199&amp;"|"&amp;'21-AUGUST-2026'!$B$3:$B$199&amp;"|"&amp;'21-AUGUST-2026'!$D$3:$D$199,'21-AUGUST-2026'!$T$3:$T$199,_xlfn.XLOOKUP($A123&amp;"|"&amp;$B123,'21-AUGUST-2026'!$A$3:$A$199&amp;"|"&amp;'21-AUGUST-2026'!$B$3:$B$199,'21-AUGUST-2026'!$T$3:$T$199,0)),0)</f>
        <v>1</v>
      </c>
      <c r="F123" s="15" cm="1">
        <f t="array" ref="F123">IFERROR(_xlfn.XLOOKUP($A123&amp;"|"&amp;$B123&amp;"|"&amp;$D123,'21-AUGUST-2026'!$A$3:$A$199&amp;"|"&amp;'21-AUGUST-2026'!$B$3:$B$199&amp;"|"&amp;'21-AUGUST-2026'!$D$3:$D$199,'21-AUGUST-2026'!$U$3:$U$199,_xlfn.XLOOKUP($A123&amp;"|"&amp;$B123,'21-AUGUST-2026'!$A$3:$A$199&amp;"|"&amp;'21-AUGUST-2026'!$B$3:$B$199,'21-AUGUST-2026'!$U$3:$U$199,0)),0)</f>
        <v>0</v>
      </c>
      <c r="G123" s="15">
        <f t="shared" si="37"/>
        <v>1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20">
        <v>0</v>
      </c>
      <c r="S123" s="20">
        <v>0</v>
      </c>
      <c r="T123" s="20">
        <v>0</v>
      </c>
      <c r="U123" s="17"/>
      <c r="V123" s="17"/>
      <c r="W123" s="20">
        <f t="shared" si="38"/>
        <v>0</v>
      </c>
      <c r="X123" s="21">
        <f t="shared" si="46"/>
        <v>1</v>
      </c>
      <c r="Y123" s="15">
        <f t="shared" si="47"/>
        <v>1</v>
      </c>
      <c r="Z123" s="15">
        <f t="shared" si="39"/>
        <v>0</v>
      </c>
      <c r="AA123" s="18" t="str">
        <f t="shared" si="40"/>
        <v/>
      </c>
      <c r="AB123" s="17">
        <v>0</v>
      </c>
      <c r="AC123" s="17">
        <v>0</v>
      </c>
      <c r="AD123" s="15">
        <f t="shared" si="42"/>
        <v>0</v>
      </c>
      <c r="AE123" s="17">
        <v>0</v>
      </c>
      <c r="AF123" s="17">
        <v>0</v>
      </c>
      <c r="AG123" s="15">
        <f t="shared" si="43"/>
        <v>0</v>
      </c>
      <c r="AH123" s="17">
        <v>0</v>
      </c>
      <c r="AI123" s="17">
        <v>0</v>
      </c>
      <c r="AJ123" s="15">
        <f t="shared" si="44"/>
        <v>0</v>
      </c>
      <c r="AK123" s="17">
        <v>0</v>
      </c>
      <c r="AL123" s="17">
        <v>0</v>
      </c>
      <c r="AM123" s="15">
        <f t="shared" si="45"/>
        <v>0</v>
      </c>
      <c r="AN123" s="17"/>
      <c r="AO123" s="53">
        <f t="shared" si="41"/>
        <v>1</v>
      </c>
      <c r="AP123" s="53">
        <f>IF($A123="",0,IF(COUNTIFS([1]Sheet1!$A$2:$A$190,$A123,[1]Sheet1!$B$2:$B$190,$B123,[1]Sheet1!$C$2:$C$190,"&gt;=0")=0,0,SUMIFS([1]Sheet1!$C$2:$C$190,[1]Sheet1!$A$2:$A$190,$A123,[1]Sheet1!$B$2:$B$190,$B123)-$AO123))</f>
        <v>0</v>
      </c>
    </row>
    <row r="124" spans="1:42" x14ac:dyDescent="0.3">
      <c r="A124" s="15" t="s">
        <v>228</v>
      </c>
      <c r="B124" s="15">
        <v>1000</v>
      </c>
      <c r="C124" s="15" t="s">
        <v>54</v>
      </c>
      <c r="D124" s="15" t="s">
        <v>57</v>
      </c>
      <c r="E124" s="15" cm="1">
        <f t="array" ref="E124">IFERROR(_xlfn.XLOOKUP($A124&amp;"|"&amp;$B124&amp;"|"&amp;$D124,'21-AUGUST-2026'!$A$3:$A$199&amp;"|"&amp;'21-AUGUST-2026'!$B$3:$B$199&amp;"|"&amp;'21-AUGUST-2026'!$D$3:$D$199,'21-AUGUST-2026'!$T$3:$T$199,_xlfn.XLOOKUP($A124&amp;"|"&amp;$B124,'21-AUGUST-2026'!$A$3:$A$199&amp;"|"&amp;'21-AUGUST-2026'!$B$3:$B$199,'21-AUGUST-2026'!$T$3:$T$199,0)),0)</f>
        <v>5</v>
      </c>
      <c r="F124" s="15" cm="1">
        <f t="array" ref="F124">IFERROR(_xlfn.XLOOKUP($A124&amp;"|"&amp;$B124&amp;"|"&amp;$D124,'21-AUGUST-2026'!$A$3:$A$199&amp;"|"&amp;'21-AUGUST-2026'!$B$3:$B$199&amp;"|"&amp;'21-AUGUST-2026'!$D$3:$D$199,'21-AUGUST-2026'!$U$3:$U$199,_xlfn.XLOOKUP($A124&amp;"|"&amp;$B124,'21-AUGUST-2026'!$A$3:$A$199&amp;"|"&amp;'21-AUGUST-2026'!$B$3:$B$199,'21-AUGUST-2026'!$U$3:$U$199,0)),0)</f>
        <v>0</v>
      </c>
      <c r="G124" s="15">
        <f t="shared" si="37"/>
        <v>5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20">
        <v>0</v>
      </c>
      <c r="S124" s="20">
        <v>0</v>
      </c>
      <c r="T124" s="20">
        <v>0</v>
      </c>
      <c r="U124" s="17"/>
      <c r="V124" s="17"/>
      <c r="W124" s="20">
        <f t="shared" si="38"/>
        <v>0</v>
      </c>
      <c r="X124" s="21">
        <f t="shared" si="46"/>
        <v>5</v>
      </c>
      <c r="Y124" s="15">
        <f t="shared" si="47"/>
        <v>5</v>
      </c>
      <c r="Z124" s="15">
        <f t="shared" si="39"/>
        <v>0</v>
      </c>
      <c r="AA124" s="18" t="str">
        <f t="shared" si="40"/>
        <v/>
      </c>
      <c r="AB124" s="17">
        <v>0</v>
      </c>
      <c r="AC124" s="17">
        <v>0</v>
      </c>
      <c r="AD124" s="15">
        <f t="shared" si="42"/>
        <v>0</v>
      </c>
      <c r="AE124" s="17">
        <v>0</v>
      </c>
      <c r="AF124" s="17">
        <v>0</v>
      </c>
      <c r="AG124" s="15">
        <f t="shared" si="43"/>
        <v>0</v>
      </c>
      <c r="AH124" s="17">
        <v>0</v>
      </c>
      <c r="AI124" s="17">
        <v>0</v>
      </c>
      <c r="AJ124" s="15">
        <f t="shared" si="44"/>
        <v>0</v>
      </c>
      <c r="AK124" s="17">
        <v>0</v>
      </c>
      <c r="AL124" s="17">
        <v>0</v>
      </c>
      <c r="AM124" s="15">
        <f t="shared" si="45"/>
        <v>0</v>
      </c>
      <c r="AN124" s="17"/>
      <c r="AO124" s="53">
        <f t="shared" si="41"/>
        <v>5</v>
      </c>
      <c r="AP124" s="53">
        <f>IF($A124="",0,IF(COUNTIFS([1]Sheet1!$A$2:$A$190,$A124,[1]Sheet1!$B$2:$B$190,$B124,[1]Sheet1!$C$2:$C$190,"&gt;=0")=0,0,SUMIFS([1]Sheet1!$C$2:$C$190,[1]Sheet1!$A$2:$A$190,$A124,[1]Sheet1!$B$2:$B$190,$B124)-$AO124))</f>
        <v>0</v>
      </c>
    </row>
    <row r="125" spans="1:42" x14ac:dyDescent="0.3">
      <c r="A125" s="15" t="s">
        <v>231</v>
      </c>
      <c r="B125" s="15">
        <v>100</v>
      </c>
      <c r="C125" s="15" t="s">
        <v>54</v>
      </c>
      <c r="D125" s="15" t="s">
        <v>57</v>
      </c>
      <c r="E125" s="15" cm="1">
        <f t="array" ref="E125">IFERROR(_xlfn.XLOOKUP($A125&amp;"|"&amp;$B125&amp;"|"&amp;$D125,'21-AUGUST-2026'!$A$3:$A$199&amp;"|"&amp;'21-AUGUST-2026'!$B$3:$B$199&amp;"|"&amp;'21-AUGUST-2026'!$D$3:$D$199,'21-AUGUST-2026'!$T$3:$T$199,_xlfn.XLOOKUP($A125&amp;"|"&amp;$B125,'21-AUGUST-2026'!$A$3:$A$199&amp;"|"&amp;'21-AUGUST-2026'!$B$3:$B$199,'21-AUGUST-2026'!$T$3:$T$199,0)),0)</f>
        <v>1</v>
      </c>
      <c r="F125" s="15" cm="1">
        <f t="array" ref="F125">IFERROR(_xlfn.XLOOKUP($A125&amp;"|"&amp;$B125&amp;"|"&amp;$D125,'21-AUGUST-2026'!$A$3:$A$199&amp;"|"&amp;'21-AUGUST-2026'!$B$3:$B$199&amp;"|"&amp;'21-AUGUST-2026'!$D$3:$D$199,'21-AUGUST-2026'!$U$3:$U$199,_xlfn.XLOOKUP($A125&amp;"|"&amp;$B125,'21-AUGUST-2026'!$A$3:$A$199&amp;"|"&amp;'21-AUGUST-2026'!$B$3:$B$199,'21-AUGUST-2026'!$U$3:$U$199,0)),0)</f>
        <v>0</v>
      </c>
      <c r="G125" s="15">
        <f t="shared" si="37"/>
        <v>1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20">
        <v>0</v>
      </c>
      <c r="S125" s="20">
        <v>0</v>
      </c>
      <c r="T125" s="20">
        <v>0</v>
      </c>
      <c r="U125" s="17"/>
      <c r="V125" s="17"/>
      <c r="W125" s="20">
        <f t="shared" si="38"/>
        <v>0</v>
      </c>
      <c r="X125" s="21">
        <f t="shared" si="46"/>
        <v>0</v>
      </c>
      <c r="Y125" s="15">
        <f t="shared" si="47"/>
        <v>0</v>
      </c>
      <c r="Z125" s="15">
        <f t="shared" si="39"/>
        <v>0</v>
      </c>
      <c r="AA125" s="18" t="str">
        <f t="shared" si="40"/>
        <v/>
      </c>
      <c r="AB125" s="17">
        <v>0</v>
      </c>
      <c r="AC125" s="17">
        <v>0</v>
      </c>
      <c r="AD125" s="15">
        <f t="shared" si="42"/>
        <v>0</v>
      </c>
      <c r="AE125" s="17">
        <v>0</v>
      </c>
      <c r="AF125" s="17">
        <v>0</v>
      </c>
      <c r="AG125" s="15">
        <f t="shared" si="43"/>
        <v>0</v>
      </c>
      <c r="AH125" s="17">
        <v>0</v>
      </c>
      <c r="AI125" s="17">
        <v>0</v>
      </c>
      <c r="AJ125" s="15">
        <f t="shared" si="44"/>
        <v>0</v>
      </c>
      <c r="AK125" s="17">
        <v>0</v>
      </c>
      <c r="AL125" s="17">
        <v>0</v>
      </c>
      <c r="AM125" s="15">
        <f t="shared" si="45"/>
        <v>0</v>
      </c>
      <c r="AN125" s="17"/>
      <c r="AO125" s="53">
        <f t="shared" si="41"/>
        <v>1</v>
      </c>
      <c r="AP125" s="53">
        <f>IF($A125="",0,IF(COUNTIFS([1]Sheet1!$A$2:$A$190,$A125,[1]Sheet1!$B$2:$B$190,$B125,[1]Sheet1!$C$2:$C$190,"&gt;=0")=0,0,SUMIFS([1]Sheet1!$C$2:$C$190,[1]Sheet1!$A$2:$A$190,$A125,[1]Sheet1!$B$2:$B$190,$B125)-$AO125))</f>
        <v>-1</v>
      </c>
    </row>
    <row r="126" spans="1:42" x14ac:dyDescent="0.3">
      <c r="A126" s="15" t="s">
        <v>233</v>
      </c>
      <c r="B126" s="15">
        <v>100</v>
      </c>
      <c r="C126" s="15" t="s">
        <v>54</v>
      </c>
      <c r="D126" s="15" t="s">
        <v>57</v>
      </c>
      <c r="E126" s="15" cm="1">
        <f t="array" ref="E126">IFERROR(_xlfn.XLOOKUP($A126&amp;"|"&amp;$B126&amp;"|"&amp;$D126,'21-AUGUST-2026'!$A$3:$A$199&amp;"|"&amp;'21-AUGUST-2026'!$B$3:$B$199&amp;"|"&amp;'21-AUGUST-2026'!$D$3:$D$199,'21-AUGUST-2026'!$T$3:$T$199,_xlfn.XLOOKUP($A126&amp;"|"&amp;$B126,'21-AUGUST-2026'!$A$3:$A$199&amp;"|"&amp;'21-AUGUST-2026'!$B$3:$B$199,'21-AUGUST-2026'!$T$3:$T$199,0)),0)</f>
        <v>3</v>
      </c>
      <c r="F126" s="15" cm="1">
        <f t="array" ref="F126">IFERROR(_xlfn.XLOOKUP($A126&amp;"|"&amp;$B126&amp;"|"&amp;$D126,'21-AUGUST-2026'!$A$3:$A$199&amp;"|"&amp;'21-AUGUST-2026'!$B$3:$B$199&amp;"|"&amp;'21-AUGUST-2026'!$D$3:$D$199,'21-AUGUST-2026'!$U$3:$U$199,_xlfn.XLOOKUP($A126&amp;"|"&amp;$B126,'21-AUGUST-2026'!$A$3:$A$199&amp;"|"&amp;'21-AUGUST-2026'!$B$3:$B$199,'21-AUGUST-2026'!$U$3:$U$199,0)),0)</f>
        <v>0</v>
      </c>
      <c r="G126" s="15">
        <f t="shared" si="37"/>
        <v>3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20">
        <v>0</v>
      </c>
      <c r="S126" s="20">
        <v>0</v>
      </c>
      <c r="T126" s="20">
        <v>0</v>
      </c>
      <c r="U126" s="17"/>
      <c r="V126" s="17"/>
      <c r="W126" s="20">
        <f t="shared" si="38"/>
        <v>0</v>
      </c>
      <c r="X126" s="21">
        <f t="shared" si="46"/>
        <v>3</v>
      </c>
      <c r="Y126" s="15">
        <f t="shared" si="47"/>
        <v>3</v>
      </c>
      <c r="Z126" s="15">
        <f t="shared" si="39"/>
        <v>0</v>
      </c>
      <c r="AA126" s="18" t="str">
        <f t="shared" si="40"/>
        <v/>
      </c>
      <c r="AB126" s="17">
        <v>0</v>
      </c>
      <c r="AC126" s="17">
        <v>0</v>
      </c>
      <c r="AD126" s="15">
        <f t="shared" si="42"/>
        <v>0</v>
      </c>
      <c r="AE126" s="17">
        <v>0</v>
      </c>
      <c r="AF126" s="17">
        <v>0</v>
      </c>
      <c r="AG126" s="15">
        <f t="shared" si="43"/>
        <v>0</v>
      </c>
      <c r="AH126" s="17">
        <v>0</v>
      </c>
      <c r="AI126" s="17">
        <v>0</v>
      </c>
      <c r="AJ126" s="15">
        <f t="shared" si="44"/>
        <v>0</v>
      </c>
      <c r="AK126" s="17">
        <v>0</v>
      </c>
      <c r="AL126" s="17">
        <v>0</v>
      </c>
      <c r="AM126" s="15">
        <f t="shared" si="45"/>
        <v>0</v>
      </c>
      <c r="AN126" s="17"/>
      <c r="AO126" s="53">
        <f t="shared" si="41"/>
        <v>3</v>
      </c>
      <c r="AP126" s="53">
        <f>IF($A126="",0,IF(COUNTIFS([1]Sheet1!$A$2:$A$190,$A126,[1]Sheet1!$B$2:$B$190,$B126,[1]Sheet1!$C$2:$C$190,"&gt;=0")=0,0,SUMIFS([1]Sheet1!$C$2:$C$190,[1]Sheet1!$A$2:$A$190,$A126,[1]Sheet1!$B$2:$B$190,$B126)-$AO126))</f>
        <v>0</v>
      </c>
    </row>
    <row r="127" spans="1:42" x14ac:dyDescent="0.3">
      <c r="A127" s="15" t="s">
        <v>243</v>
      </c>
      <c r="B127" s="15">
        <v>100000</v>
      </c>
      <c r="C127" s="15" t="s">
        <v>54</v>
      </c>
      <c r="D127" s="15" t="s">
        <v>57</v>
      </c>
      <c r="E127" s="15" cm="1">
        <f t="array" ref="E127">IFERROR(_xlfn.XLOOKUP($A127&amp;"|"&amp;$B127&amp;"|"&amp;$D127,'21-AUGUST-2026'!$A$3:$A$199&amp;"|"&amp;'21-AUGUST-2026'!$B$3:$B$199&amp;"|"&amp;'21-AUGUST-2026'!$D$3:$D$199,'21-AUGUST-2026'!$T$3:$T$199,_xlfn.XLOOKUP($A127&amp;"|"&amp;$B127,'21-AUGUST-2026'!$A$3:$A$199&amp;"|"&amp;'21-AUGUST-2026'!$B$3:$B$199,'21-AUGUST-2026'!$T$3:$T$199,0)),0)</f>
        <v>6</v>
      </c>
      <c r="F127" s="15" cm="1">
        <f t="array" ref="F127">IFERROR(_xlfn.XLOOKUP($A127&amp;"|"&amp;$B127&amp;"|"&amp;$D127,'21-AUGUST-2026'!$A$3:$A$199&amp;"|"&amp;'21-AUGUST-2026'!$B$3:$B$199&amp;"|"&amp;'21-AUGUST-2026'!$D$3:$D$199,'21-AUGUST-2026'!$U$3:$U$199,_xlfn.XLOOKUP($A127&amp;"|"&amp;$B127,'21-AUGUST-2026'!$A$3:$A$199&amp;"|"&amp;'21-AUGUST-2026'!$B$3:$B$199,'21-AUGUST-2026'!$U$3:$U$199,0)),0)</f>
        <v>0</v>
      </c>
      <c r="G127" s="15">
        <f t="shared" si="37"/>
        <v>6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20">
        <v>0</v>
      </c>
      <c r="S127" s="20">
        <v>0</v>
      </c>
      <c r="T127" s="20">
        <v>0</v>
      </c>
      <c r="U127" s="17"/>
      <c r="V127" s="17"/>
      <c r="W127" s="20">
        <f t="shared" si="38"/>
        <v>0</v>
      </c>
      <c r="X127" s="21">
        <f t="shared" si="46"/>
        <v>6</v>
      </c>
      <c r="Y127" s="15">
        <f t="shared" si="47"/>
        <v>6</v>
      </c>
      <c r="Z127" s="15">
        <f t="shared" si="39"/>
        <v>0</v>
      </c>
      <c r="AA127" s="18" t="str">
        <f t="shared" si="40"/>
        <v/>
      </c>
      <c r="AB127" s="17">
        <v>0</v>
      </c>
      <c r="AC127" s="17">
        <v>0</v>
      </c>
      <c r="AD127" s="15">
        <f t="shared" si="42"/>
        <v>0</v>
      </c>
      <c r="AE127" s="17">
        <v>0</v>
      </c>
      <c r="AF127" s="17">
        <v>0</v>
      </c>
      <c r="AG127" s="15">
        <f t="shared" si="43"/>
        <v>0</v>
      </c>
      <c r="AH127" s="17">
        <v>0</v>
      </c>
      <c r="AI127" s="17">
        <v>0</v>
      </c>
      <c r="AJ127" s="15">
        <f t="shared" si="44"/>
        <v>0</v>
      </c>
      <c r="AK127" s="17">
        <v>0</v>
      </c>
      <c r="AL127" s="17">
        <v>0</v>
      </c>
      <c r="AM127" s="15">
        <f t="shared" si="45"/>
        <v>0</v>
      </c>
      <c r="AN127" s="17"/>
      <c r="AO127" s="53">
        <f t="shared" si="41"/>
        <v>6</v>
      </c>
      <c r="AP127" s="53">
        <f>IF($A127="",0,IF(COUNTIFS([1]Sheet1!$A$2:$A$190,$A127,[1]Sheet1!$B$2:$B$190,$B127,[1]Sheet1!$C$2:$C$190,"&gt;=0")=0,0,SUMIFS([1]Sheet1!$C$2:$C$190,[1]Sheet1!$A$2:$A$190,$A127,[1]Sheet1!$B$2:$B$190,$B127)-$AO127))</f>
        <v>0</v>
      </c>
    </row>
    <row r="128" spans="1:42" x14ac:dyDescent="0.3">
      <c r="A128" s="15" t="s">
        <v>245</v>
      </c>
      <c r="B128" s="15">
        <v>25000</v>
      </c>
      <c r="C128" s="15" t="s">
        <v>54</v>
      </c>
      <c r="D128" s="15" t="s">
        <v>57</v>
      </c>
      <c r="E128" s="15" cm="1">
        <f t="array" ref="E128">IFERROR(_xlfn.XLOOKUP($A128&amp;"|"&amp;$B128&amp;"|"&amp;$D128,'21-AUGUST-2026'!$A$3:$A$199&amp;"|"&amp;'21-AUGUST-2026'!$B$3:$B$199&amp;"|"&amp;'21-AUGUST-2026'!$D$3:$D$199,'21-AUGUST-2026'!$T$3:$T$199,_xlfn.XLOOKUP($A128&amp;"|"&amp;$B128,'21-AUGUST-2026'!$A$3:$A$199&amp;"|"&amp;'21-AUGUST-2026'!$B$3:$B$199,'21-AUGUST-2026'!$T$3:$T$199,0)),0)</f>
        <v>2</v>
      </c>
      <c r="F128" s="15" cm="1">
        <f t="array" ref="F128">IFERROR(_xlfn.XLOOKUP($A128&amp;"|"&amp;$B128&amp;"|"&amp;$D128,'21-AUGUST-2026'!$A$3:$A$199&amp;"|"&amp;'21-AUGUST-2026'!$B$3:$B$199&amp;"|"&amp;'21-AUGUST-2026'!$D$3:$D$199,'21-AUGUST-2026'!$U$3:$U$199,_xlfn.XLOOKUP($A128&amp;"|"&amp;$B128,'21-AUGUST-2026'!$A$3:$A$199&amp;"|"&amp;'21-AUGUST-2026'!$B$3:$B$199,'21-AUGUST-2026'!$U$3:$U$199,0)),0)</f>
        <v>0</v>
      </c>
      <c r="G128" s="15">
        <f t="shared" si="37"/>
        <v>2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20">
        <v>0</v>
      </c>
      <c r="S128" s="20">
        <v>0</v>
      </c>
      <c r="T128" s="20">
        <v>0</v>
      </c>
      <c r="U128" s="17"/>
      <c r="V128" s="17"/>
      <c r="W128" s="20">
        <f t="shared" si="38"/>
        <v>0</v>
      </c>
      <c r="X128" s="21">
        <f t="shared" si="46"/>
        <v>1</v>
      </c>
      <c r="Y128" s="15">
        <f t="shared" si="47"/>
        <v>1</v>
      </c>
      <c r="Z128" s="15">
        <f t="shared" si="39"/>
        <v>0</v>
      </c>
      <c r="AA128" s="18" t="str">
        <f t="shared" si="40"/>
        <v/>
      </c>
      <c r="AB128" s="17">
        <v>0</v>
      </c>
      <c r="AC128" s="17">
        <v>0</v>
      </c>
      <c r="AD128" s="15">
        <f t="shared" si="42"/>
        <v>0</v>
      </c>
      <c r="AE128" s="17">
        <v>0</v>
      </c>
      <c r="AF128" s="17">
        <v>0</v>
      </c>
      <c r="AG128" s="15">
        <f t="shared" si="43"/>
        <v>0</v>
      </c>
      <c r="AH128" s="17">
        <v>0</v>
      </c>
      <c r="AI128" s="17">
        <v>0</v>
      </c>
      <c r="AJ128" s="15">
        <f t="shared" si="44"/>
        <v>0</v>
      </c>
      <c r="AK128" s="17">
        <v>0</v>
      </c>
      <c r="AL128" s="17">
        <v>0</v>
      </c>
      <c r="AM128" s="15">
        <f t="shared" si="45"/>
        <v>0</v>
      </c>
      <c r="AN128" s="17"/>
      <c r="AO128" s="53">
        <f t="shared" si="41"/>
        <v>2</v>
      </c>
      <c r="AP128" s="53">
        <f>IF($A128="",0,IF(COUNTIFS([1]Sheet1!$A$2:$A$190,$A128,[1]Sheet1!$B$2:$B$190,$B128,[1]Sheet1!$C$2:$C$190,"&gt;=0")=0,0,SUMIFS([1]Sheet1!$C$2:$C$190,[1]Sheet1!$A$2:$A$190,$A128,[1]Sheet1!$B$2:$B$190,$B128)-$AO128))</f>
        <v>-1</v>
      </c>
    </row>
    <row r="129" spans="1:42" x14ac:dyDescent="0.3">
      <c r="A129" s="15" t="s">
        <v>67</v>
      </c>
      <c r="B129" s="15">
        <v>1000</v>
      </c>
      <c r="C129" s="15" t="s">
        <v>54</v>
      </c>
      <c r="D129" s="15" t="s">
        <v>68</v>
      </c>
      <c r="E129" s="15" cm="1">
        <f t="array" ref="E129">IFERROR(_xlfn.XLOOKUP($A129&amp;"|"&amp;$B129&amp;"|"&amp;$D129,'21-AUGUST-2026'!$A$3:$A$199&amp;"|"&amp;'21-AUGUST-2026'!$B$3:$B$199&amp;"|"&amp;'21-AUGUST-2026'!$D$3:$D$199,'21-AUGUST-2026'!$T$3:$T$199,_xlfn.XLOOKUP($A129&amp;"|"&amp;$B129,'21-AUGUST-2026'!$A$3:$A$199&amp;"|"&amp;'21-AUGUST-2026'!$B$3:$B$199,'21-AUGUST-2026'!$T$3:$T$199,0)),0)</f>
        <v>3</v>
      </c>
      <c r="F129" s="15" cm="1">
        <f t="array" ref="F129">IFERROR(_xlfn.XLOOKUP($A129&amp;"|"&amp;$B129&amp;"|"&amp;$D129,'21-AUGUST-2026'!$A$3:$A$199&amp;"|"&amp;'21-AUGUST-2026'!$B$3:$B$199&amp;"|"&amp;'21-AUGUST-2026'!$D$3:$D$199,'21-AUGUST-2026'!$U$3:$U$199,_xlfn.XLOOKUP($A129&amp;"|"&amp;$B129,'21-AUGUST-2026'!$A$3:$A$199&amp;"|"&amp;'21-AUGUST-2026'!$B$3:$B$199,'21-AUGUST-2026'!$U$3:$U$199,0)),0)</f>
        <v>0</v>
      </c>
      <c r="G129" s="15">
        <f t="shared" si="37"/>
        <v>3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20">
        <v>0</v>
      </c>
      <c r="S129" s="20">
        <v>0</v>
      </c>
      <c r="T129" s="20">
        <v>0</v>
      </c>
      <c r="U129" s="17"/>
      <c r="V129" s="17"/>
      <c r="W129" s="20">
        <f t="shared" si="38"/>
        <v>0</v>
      </c>
      <c r="X129" s="21">
        <f t="shared" si="46"/>
        <v>3</v>
      </c>
      <c r="Y129" s="15">
        <f t="shared" si="47"/>
        <v>3</v>
      </c>
      <c r="Z129" s="15">
        <f t="shared" si="39"/>
        <v>0</v>
      </c>
      <c r="AA129" s="18" t="str">
        <f t="shared" si="40"/>
        <v/>
      </c>
      <c r="AB129" s="17">
        <v>0</v>
      </c>
      <c r="AC129" s="17">
        <v>0</v>
      </c>
      <c r="AD129" s="15">
        <f t="shared" si="42"/>
        <v>0</v>
      </c>
      <c r="AE129" s="17">
        <v>0</v>
      </c>
      <c r="AF129" s="17">
        <v>0</v>
      </c>
      <c r="AG129" s="15">
        <f t="shared" si="43"/>
        <v>0</v>
      </c>
      <c r="AH129" s="17">
        <v>0</v>
      </c>
      <c r="AI129" s="17">
        <v>0</v>
      </c>
      <c r="AJ129" s="15">
        <f t="shared" si="44"/>
        <v>0</v>
      </c>
      <c r="AK129" s="17">
        <v>0</v>
      </c>
      <c r="AL129" s="17">
        <v>0</v>
      </c>
      <c r="AM129" s="15">
        <f t="shared" si="45"/>
        <v>0</v>
      </c>
      <c r="AN129" s="17"/>
      <c r="AO129" s="53">
        <f t="shared" si="41"/>
        <v>3</v>
      </c>
      <c r="AP129" s="53">
        <f>IF($A129="",0,IF(COUNTIFS([1]Sheet1!$A$2:$A$190,$A129,[1]Sheet1!$B$2:$B$190,$B129,[1]Sheet1!$C$2:$C$190,"&gt;=0")=0,0,SUMIFS([1]Sheet1!$C$2:$C$190,[1]Sheet1!$A$2:$A$190,$A129,[1]Sheet1!$B$2:$B$190,$B129)-$AO129))</f>
        <v>0</v>
      </c>
    </row>
    <row r="130" spans="1:42" x14ac:dyDescent="0.3">
      <c r="A130" s="15" t="s">
        <v>69</v>
      </c>
      <c r="B130" s="15">
        <v>100000</v>
      </c>
      <c r="C130" s="15" t="s">
        <v>54</v>
      </c>
      <c r="D130" s="15" t="s">
        <v>68</v>
      </c>
      <c r="E130" s="15" cm="1">
        <f t="array" ref="E130">IFERROR(_xlfn.XLOOKUP($A130&amp;"|"&amp;$B130&amp;"|"&amp;$D130,'21-AUGUST-2026'!$A$3:$A$199&amp;"|"&amp;'21-AUGUST-2026'!$B$3:$B$199&amp;"|"&amp;'21-AUGUST-2026'!$D$3:$D$199,'21-AUGUST-2026'!$T$3:$T$199,_xlfn.XLOOKUP($A130&amp;"|"&amp;$B130,'21-AUGUST-2026'!$A$3:$A$199&amp;"|"&amp;'21-AUGUST-2026'!$B$3:$B$199,'21-AUGUST-2026'!$T$3:$T$199,0)),0)</f>
        <v>2</v>
      </c>
      <c r="F130" s="15" cm="1">
        <f t="array" ref="F130">IFERROR(_xlfn.XLOOKUP($A130&amp;"|"&amp;$B130&amp;"|"&amp;$D130,'21-AUGUST-2026'!$A$3:$A$199&amp;"|"&amp;'21-AUGUST-2026'!$B$3:$B$199&amp;"|"&amp;'21-AUGUST-2026'!$D$3:$D$199,'21-AUGUST-2026'!$U$3:$U$199,_xlfn.XLOOKUP($A130&amp;"|"&amp;$B130,'21-AUGUST-2026'!$A$3:$A$199&amp;"|"&amp;'21-AUGUST-2026'!$B$3:$B$199,'21-AUGUST-2026'!$U$3:$U$199,0)),0)</f>
        <v>0</v>
      </c>
      <c r="G130" s="15">
        <f t="shared" si="37"/>
        <v>2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20">
        <v>0</v>
      </c>
      <c r="S130" s="20">
        <v>0</v>
      </c>
      <c r="T130" s="20">
        <v>0</v>
      </c>
      <c r="U130" s="17"/>
      <c r="V130" s="17"/>
      <c r="W130" s="20">
        <f t="shared" si="38"/>
        <v>0</v>
      </c>
      <c r="X130" s="21">
        <f t="shared" si="46"/>
        <v>2</v>
      </c>
      <c r="Y130" s="15">
        <f t="shared" si="47"/>
        <v>2</v>
      </c>
      <c r="Z130" s="15">
        <f t="shared" si="39"/>
        <v>0</v>
      </c>
      <c r="AA130" s="18" t="str">
        <f t="shared" si="40"/>
        <v/>
      </c>
      <c r="AB130" s="17">
        <v>0</v>
      </c>
      <c r="AC130" s="17">
        <v>0</v>
      </c>
      <c r="AD130" s="15">
        <f t="shared" si="42"/>
        <v>0</v>
      </c>
      <c r="AE130" s="17">
        <v>0</v>
      </c>
      <c r="AF130" s="17">
        <v>0</v>
      </c>
      <c r="AG130" s="15">
        <f t="shared" si="43"/>
        <v>0</v>
      </c>
      <c r="AH130" s="17">
        <v>0</v>
      </c>
      <c r="AI130" s="17">
        <v>0</v>
      </c>
      <c r="AJ130" s="15">
        <f t="shared" si="44"/>
        <v>0</v>
      </c>
      <c r="AK130" s="17">
        <v>0</v>
      </c>
      <c r="AL130" s="17">
        <v>0</v>
      </c>
      <c r="AM130" s="15">
        <f t="shared" si="45"/>
        <v>0</v>
      </c>
      <c r="AN130" s="17"/>
      <c r="AO130" s="53">
        <f t="shared" si="41"/>
        <v>2</v>
      </c>
      <c r="AP130" s="53">
        <f>IF($A130="",0,IF(COUNTIFS([1]Sheet1!$A$2:$A$190,$A130,[1]Sheet1!$B$2:$B$190,$B130,[1]Sheet1!$C$2:$C$190,"&gt;=0")=0,0,SUMIFS([1]Sheet1!$C$2:$C$190,[1]Sheet1!$A$2:$A$190,$A130,[1]Sheet1!$B$2:$B$190,$B130)-$AO130))</f>
        <v>0</v>
      </c>
    </row>
    <row r="131" spans="1:42" x14ac:dyDescent="0.3">
      <c r="A131" s="15" t="s">
        <v>75</v>
      </c>
      <c r="B131" s="15">
        <v>1000</v>
      </c>
      <c r="C131" s="15" t="s">
        <v>54</v>
      </c>
      <c r="D131" s="15" t="s">
        <v>68</v>
      </c>
      <c r="E131" s="15" cm="1">
        <f t="array" ref="E131">IFERROR(_xlfn.XLOOKUP($A131&amp;"|"&amp;$B131&amp;"|"&amp;$D131,'21-AUGUST-2026'!$A$3:$A$199&amp;"|"&amp;'21-AUGUST-2026'!$B$3:$B$199&amp;"|"&amp;'21-AUGUST-2026'!$D$3:$D$199,'21-AUGUST-2026'!$T$3:$T$199,_xlfn.XLOOKUP($A131&amp;"|"&amp;$B131,'21-AUGUST-2026'!$A$3:$A$199&amp;"|"&amp;'21-AUGUST-2026'!$B$3:$B$199,'21-AUGUST-2026'!$T$3:$T$199,0)),0)</f>
        <v>-2</v>
      </c>
      <c r="F131" s="15" cm="1">
        <f t="array" ref="F131">IFERROR(_xlfn.XLOOKUP($A131&amp;"|"&amp;$B131&amp;"|"&amp;$D131,'21-AUGUST-2026'!$A$3:$A$199&amp;"|"&amp;'21-AUGUST-2026'!$B$3:$B$199&amp;"|"&amp;'21-AUGUST-2026'!$D$3:$D$199,'21-AUGUST-2026'!$U$3:$U$199,_xlfn.XLOOKUP($A131&amp;"|"&amp;$B131,'21-AUGUST-2026'!$A$3:$A$199&amp;"|"&amp;'21-AUGUST-2026'!$B$3:$B$199,'21-AUGUST-2026'!$U$3:$U$199,0)),0)</f>
        <v>0</v>
      </c>
      <c r="G131" s="15">
        <f t="shared" ref="G131:G162" si="48">E131+F131</f>
        <v>-2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20">
        <v>0</v>
      </c>
      <c r="S131" s="20">
        <v>0</v>
      </c>
      <c r="T131" s="20">
        <v>0</v>
      </c>
      <c r="U131" s="17"/>
      <c r="V131" s="17"/>
      <c r="W131" s="20">
        <f t="shared" ref="W131:W162" si="49">R131+S131+T131</f>
        <v>0</v>
      </c>
      <c r="X131" s="21">
        <f t="shared" si="46"/>
        <v>2</v>
      </c>
      <c r="Y131" s="15">
        <f t="shared" si="47"/>
        <v>2</v>
      </c>
      <c r="Z131" s="15">
        <f t="shared" ref="Z131:Z162" si="50">F131+O131+IF($V131="Moro",$W131,0)-I131-L131</f>
        <v>0</v>
      </c>
      <c r="AA131" s="18" t="str">
        <f t="shared" ref="AA131:AA162" si="51">IF(AND(V131&gt;0,U131=""),"IMPORT NEEDS DESTINATION",IF(MIN(Y131,Z131)&lt;0,"NEGATIVE STOCK - CHECK ENTRIES",""))</f>
        <v/>
      </c>
      <c r="AB131" s="17">
        <v>0</v>
      </c>
      <c r="AC131" s="17">
        <v>0</v>
      </c>
      <c r="AD131" s="15">
        <f t="shared" si="42"/>
        <v>0</v>
      </c>
      <c r="AE131" s="17">
        <v>0</v>
      </c>
      <c r="AF131" s="17">
        <v>0</v>
      </c>
      <c r="AG131" s="15">
        <f t="shared" si="43"/>
        <v>0</v>
      </c>
      <c r="AH131" s="17">
        <v>0</v>
      </c>
      <c r="AI131" s="17">
        <v>0</v>
      </c>
      <c r="AJ131" s="15">
        <f t="shared" si="44"/>
        <v>0</v>
      </c>
      <c r="AK131" s="17">
        <v>0</v>
      </c>
      <c r="AL131" s="17">
        <v>0</v>
      </c>
      <c r="AM131" s="15">
        <f t="shared" si="45"/>
        <v>0</v>
      </c>
      <c r="AN131" s="17"/>
      <c r="AO131" s="53">
        <f t="shared" ref="AO131:AO162" si="52">E131+N131+IF($V131="Arusha",$W131,0)-H131-K131</f>
        <v>-2</v>
      </c>
      <c r="AP131" s="53">
        <f>IF($A131="",0,IF(COUNTIFS([1]Sheet1!$A$2:$A$190,$A131,[1]Sheet1!$B$2:$B$190,$B131,[1]Sheet1!$C$2:$C$190,"&gt;=0")=0,0,SUMIFS([1]Sheet1!$C$2:$C$190,[1]Sheet1!$A$2:$A$190,$A131,[1]Sheet1!$B$2:$B$190,$B131)-$AO131))</f>
        <v>4</v>
      </c>
    </row>
    <row r="132" spans="1:42" x14ac:dyDescent="0.3">
      <c r="A132" s="15" t="s">
        <v>76</v>
      </c>
      <c r="B132" s="15">
        <v>100</v>
      </c>
      <c r="C132" s="15" t="s">
        <v>54</v>
      </c>
      <c r="D132" s="15" t="s">
        <v>68</v>
      </c>
      <c r="E132" s="15" cm="1">
        <f t="array" ref="E132">IFERROR(_xlfn.XLOOKUP($A132&amp;"|"&amp;$B132&amp;"|"&amp;$D132,'21-AUGUST-2026'!$A$3:$A$199&amp;"|"&amp;'21-AUGUST-2026'!$B$3:$B$199&amp;"|"&amp;'21-AUGUST-2026'!$D$3:$D$199,'21-AUGUST-2026'!$T$3:$T$199,_xlfn.XLOOKUP($A132&amp;"|"&amp;$B132,'21-AUGUST-2026'!$A$3:$A$199&amp;"|"&amp;'21-AUGUST-2026'!$B$3:$B$199,'21-AUGUST-2026'!$T$3:$T$199,0)),0)</f>
        <v>6</v>
      </c>
      <c r="F132" s="15" cm="1">
        <f t="array" ref="F132">IFERROR(_xlfn.XLOOKUP($A132&amp;"|"&amp;$B132&amp;"|"&amp;$D132,'21-AUGUST-2026'!$A$3:$A$199&amp;"|"&amp;'21-AUGUST-2026'!$B$3:$B$199&amp;"|"&amp;'21-AUGUST-2026'!$D$3:$D$199,'21-AUGUST-2026'!$U$3:$U$199,_xlfn.XLOOKUP($A132&amp;"|"&amp;$B132,'21-AUGUST-2026'!$A$3:$A$199&amp;"|"&amp;'21-AUGUST-2026'!$B$3:$B$199,'21-AUGUST-2026'!$U$3:$U$199,0)),0)</f>
        <v>0</v>
      </c>
      <c r="G132" s="15">
        <f t="shared" si="48"/>
        <v>6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20">
        <v>0</v>
      </c>
      <c r="S132" s="20">
        <v>0</v>
      </c>
      <c r="T132" s="20">
        <v>0</v>
      </c>
      <c r="U132" s="17"/>
      <c r="V132" s="17"/>
      <c r="W132" s="20">
        <f t="shared" si="49"/>
        <v>0</v>
      </c>
      <c r="X132" s="21">
        <f t="shared" si="46"/>
        <v>6</v>
      </c>
      <c r="Y132" s="15">
        <f t="shared" si="47"/>
        <v>6</v>
      </c>
      <c r="Z132" s="15">
        <f t="shared" si="50"/>
        <v>0</v>
      </c>
      <c r="AA132" s="18" t="str">
        <f t="shared" si="51"/>
        <v/>
      </c>
      <c r="AB132" s="17">
        <v>0</v>
      </c>
      <c r="AC132" s="17">
        <v>0</v>
      </c>
      <c r="AD132" s="15">
        <f t="shared" ref="AD132:AD163" si="53">AB132-AC132</f>
        <v>0</v>
      </c>
      <c r="AE132" s="17">
        <v>0</v>
      </c>
      <c r="AF132" s="17">
        <v>0</v>
      </c>
      <c r="AG132" s="15">
        <f t="shared" ref="AG132:AG163" si="54">AE132-AF132</f>
        <v>0</v>
      </c>
      <c r="AH132" s="17">
        <v>0</v>
      </c>
      <c r="AI132" s="17">
        <v>0</v>
      </c>
      <c r="AJ132" s="15">
        <f t="shared" ref="AJ132:AJ163" si="55">AH132-AI132</f>
        <v>0</v>
      </c>
      <c r="AK132" s="17">
        <v>0</v>
      </c>
      <c r="AL132" s="17">
        <v>0</v>
      </c>
      <c r="AM132" s="15">
        <f t="shared" ref="AM132:AM163" si="56">AK132-AL132</f>
        <v>0</v>
      </c>
      <c r="AN132" s="17"/>
      <c r="AO132" s="53">
        <f t="shared" si="52"/>
        <v>6</v>
      </c>
      <c r="AP132" s="53">
        <f>IF($A132="",0,IF(COUNTIFS([1]Sheet1!$A$2:$A$190,$A132,[1]Sheet1!$B$2:$B$190,$B132,[1]Sheet1!$C$2:$C$190,"&gt;=0")=0,0,SUMIFS([1]Sheet1!$C$2:$C$190,[1]Sheet1!$A$2:$A$190,$A132,[1]Sheet1!$B$2:$B$190,$B132)-$AO132))</f>
        <v>0</v>
      </c>
    </row>
    <row r="133" spans="1:42" x14ac:dyDescent="0.3">
      <c r="A133" s="15" t="s">
        <v>82</v>
      </c>
      <c r="B133" s="15">
        <v>1000</v>
      </c>
      <c r="C133" s="15" t="s">
        <v>54</v>
      </c>
      <c r="D133" s="15" t="s">
        <v>68</v>
      </c>
      <c r="E133" s="15" cm="1">
        <f t="array" ref="E133">IFERROR(_xlfn.XLOOKUP($A133&amp;"|"&amp;$B133&amp;"|"&amp;$D133,'21-AUGUST-2026'!$A$3:$A$199&amp;"|"&amp;'21-AUGUST-2026'!$B$3:$B$199&amp;"|"&amp;'21-AUGUST-2026'!$D$3:$D$199,'21-AUGUST-2026'!$T$3:$T$199,_xlfn.XLOOKUP($A133&amp;"|"&amp;$B133,'21-AUGUST-2026'!$A$3:$A$199&amp;"|"&amp;'21-AUGUST-2026'!$B$3:$B$199,'21-AUGUST-2026'!$T$3:$T$199,0)),0)</f>
        <v>2</v>
      </c>
      <c r="F133" s="15" cm="1">
        <f t="array" ref="F133">IFERROR(_xlfn.XLOOKUP($A133&amp;"|"&amp;$B133&amp;"|"&amp;$D133,'21-AUGUST-2026'!$A$3:$A$199&amp;"|"&amp;'21-AUGUST-2026'!$B$3:$B$199&amp;"|"&amp;'21-AUGUST-2026'!$D$3:$D$199,'21-AUGUST-2026'!$U$3:$U$199,_xlfn.XLOOKUP($A133&amp;"|"&amp;$B133,'21-AUGUST-2026'!$A$3:$A$199&amp;"|"&amp;'21-AUGUST-2026'!$B$3:$B$199,'21-AUGUST-2026'!$U$3:$U$199,0)),0)</f>
        <v>0</v>
      </c>
      <c r="G133" s="15">
        <f t="shared" si="48"/>
        <v>2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20">
        <v>0</v>
      </c>
      <c r="S133" s="20">
        <v>0</v>
      </c>
      <c r="T133" s="20">
        <v>0</v>
      </c>
      <c r="U133" s="17"/>
      <c r="V133" s="17"/>
      <c r="W133" s="20">
        <f t="shared" si="49"/>
        <v>0</v>
      </c>
      <c r="X133" s="21">
        <f t="shared" si="46"/>
        <v>2</v>
      </c>
      <c r="Y133" s="15">
        <f t="shared" si="47"/>
        <v>2</v>
      </c>
      <c r="Z133" s="15">
        <f t="shared" si="50"/>
        <v>0</v>
      </c>
      <c r="AA133" s="18" t="str">
        <f t="shared" si="51"/>
        <v/>
      </c>
      <c r="AB133" s="17">
        <v>0</v>
      </c>
      <c r="AC133" s="17">
        <v>0</v>
      </c>
      <c r="AD133" s="15">
        <f t="shared" si="53"/>
        <v>0</v>
      </c>
      <c r="AE133" s="17">
        <v>0</v>
      </c>
      <c r="AF133" s="17">
        <v>0</v>
      </c>
      <c r="AG133" s="15">
        <f t="shared" si="54"/>
        <v>0</v>
      </c>
      <c r="AH133" s="17">
        <v>0</v>
      </c>
      <c r="AI133" s="17">
        <v>0</v>
      </c>
      <c r="AJ133" s="15">
        <f t="shared" si="55"/>
        <v>0</v>
      </c>
      <c r="AK133" s="17">
        <v>0</v>
      </c>
      <c r="AL133" s="17">
        <v>0</v>
      </c>
      <c r="AM133" s="15">
        <f t="shared" si="56"/>
        <v>0</v>
      </c>
      <c r="AN133" s="17"/>
      <c r="AO133" s="53">
        <f t="shared" si="52"/>
        <v>2</v>
      </c>
      <c r="AP133" s="53">
        <f>IF($A133="",0,IF(COUNTIFS([1]Sheet1!$A$2:$A$190,$A133,[1]Sheet1!$B$2:$B$190,$B133,[1]Sheet1!$C$2:$C$190,"&gt;=0")=0,0,SUMIFS([1]Sheet1!$C$2:$C$190,[1]Sheet1!$A$2:$A$190,$A133,[1]Sheet1!$B$2:$B$190,$B133)-$AO133))</f>
        <v>0</v>
      </c>
    </row>
    <row r="134" spans="1:42" x14ac:dyDescent="0.3">
      <c r="A134" s="15" t="s">
        <v>85</v>
      </c>
      <c r="B134" s="15">
        <v>1000</v>
      </c>
      <c r="C134" s="15" t="s">
        <v>54</v>
      </c>
      <c r="D134" s="15" t="s">
        <v>68</v>
      </c>
      <c r="E134" s="15" cm="1">
        <f t="array" ref="E134">IFERROR(_xlfn.XLOOKUP($A134&amp;"|"&amp;$B134&amp;"|"&amp;$D134,'21-AUGUST-2026'!$A$3:$A$199&amp;"|"&amp;'21-AUGUST-2026'!$B$3:$B$199&amp;"|"&amp;'21-AUGUST-2026'!$D$3:$D$199,'21-AUGUST-2026'!$T$3:$T$199,_xlfn.XLOOKUP($A134&amp;"|"&amp;$B134,'21-AUGUST-2026'!$A$3:$A$199&amp;"|"&amp;'21-AUGUST-2026'!$B$3:$B$199,'21-AUGUST-2026'!$T$3:$T$199,0)),0)</f>
        <v>5</v>
      </c>
      <c r="F134" s="15" cm="1">
        <f t="array" ref="F134">IFERROR(_xlfn.XLOOKUP($A134&amp;"|"&amp;$B134&amp;"|"&amp;$D134,'21-AUGUST-2026'!$A$3:$A$199&amp;"|"&amp;'21-AUGUST-2026'!$B$3:$B$199&amp;"|"&amp;'21-AUGUST-2026'!$D$3:$D$199,'21-AUGUST-2026'!$U$3:$U$199,_xlfn.XLOOKUP($A134&amp;"|"&amp;$B134,'21-AUGUST-2026'!$A$3:$A$199&amp;"|"&amp;'21-AUGUST-2026'!$B$3:$B$199,'21-AUGUST-2026'!$U$3:$U$199,0)),0)</f>
        <v>0</v>
      </c>
      <c r="G134" s="15">
        <f t="shared" si="48"/>
        <v>5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20">
        <v>0</v>
      </c>
      <c r="S134" s="20">
        <v>0</v>
      </c>
      <c r="T134" s="20">
        <v>0</v>
      </c>
      <c r="U134" s="17"/>
      <c r="V134" s="17"/>
      <c r="W134" s="20">
        <f t="shared" si="49"/>
        <v>0</v>
      </c>
      <c r="X134" s="21">
        <f t="shared" si="46"/>
        <v>5</v>
      </c>
      <c r="Y134" s="15">
        <f t="shared" si="47"/>
        <v>5</v>
      </c>
      <c r="Z134" s="15">
        <f t="shared" si="50"/>
        <v>0</v>
      </c>
      <c r="AA134" s="18" t="str">
        <f t="shared" si="51"/>
        <v/>
      </c>
      <c r="AB134" s="17">
        <v>0</v>
      </c>
      <c r="AC134" s="17">
        <v>0</v>
      </c>
      <c r="AD134" s="15">
        <f t="shared" si="53"/>
        <v>0</v>
      </c>
      <c r="AE134" s="17">
        <v>0</v>
      </c>
      <c r="AF134" s="17">
        <v>0</v>
      </c>
      <c r="AG134" s="15">
        <f t="shared" si="54"/>
        <v>0</v>
      </c>
      <c r="AH134" s="17">
        <v>0</v>
      </c>
      <c r="AI134" s="17">
        <v>0</v>
      </c>
      <c r="AJ134" s="15">
        <f t="shared" si="55"/>
        <v>0</v>
      </c>
      <c r="AK134" s="17">
        <v>0</v>
      </c>
      <c r="AL134" s="17">
        <v>0</v>
      </c>
      <c r="AM134" s="15">
        <f t="shared" si="56"/>
        <v>0</v>
      </c>
      <c r="AN134" s="17"/>
      <c r="AO134" s="53">
        <f t="shared" si="52"/>
        <v>5</v>
      </c>
      <c r="AP134" s="53">
        <f>IF($A134="",0,IF(COUNTIFS([1]Sheet1!$A$2:$A$190,$A134,[1]Sheet1!$B$2:$B$190,$B134,[1]Sheet1!$C$2:$C$190,"&gt;=0")=0,0,SUMIFS([1]Sheet1!$C$2:$C$190,[1]Sheet1!$A$2:$A$190,$A134,[1]Sheet1!$B$2:$B$190,$B134)-$AO134))</f>
        <v>0</v>
      </c>
    </row>
    <row r="135" spans="1:42" x14ac:dyDescent="0.3">
      <c r="A135" s="15" t="s">
        <v>87</v>
      </c>
      <c r="B135" s="15">
        <v>100000</v>
      </c>
      <c r="C135" s="15" t="s">
        <v>54</v>
      </c>
      <c r="D135" s="15" t="s">
        <v>68</v>
      </c>
      <c r="E135" s="15" cm="1">
        <f t="array" ref="E135">IFERROR(_xlfn.XLOOKUP($A135&amp;"|"&amp;$B135&amp;"|"&amp;$D135,'21-AUGUST-2026'!$A$3:$A$199&amp;"|"&amp;'21-AUGUST-2026'!$B$3:$B$199&amp;"|"&amp;'21-AUGUST-2026'!$D$3:$D$199,'21-AUGUST-2026'!$T$3:$T$199,_xlfn.XLOOKUP($A135&amp;"|"&amp;$B135,'21-AUGUST-2026'!$A$3:$A$199&amp;"|"&amp;'21-AUGUST-2026'!$B$3:$B$199,'21-AUGUST-2026'!$T$3:$T$199,0)),0)</f>
        <v>2</v>
      </c>
      <c r="F135" s="15" cm="1">
        <f t="array" ref="F135">IFERROR(_xlfn.XLOOKUP($A135&amp;"|"&amp;$B135&amp;"|"&amp;$D135,'21-AUGUST-2026'!$A$3:$A$199&amp;"|"&amp;'21-AUGUST-2026'!$B$3:$B$199&amp;"|"&amp;'21-AUGUST-2026'!$D$3:$D$199,'21-AUGUST-2026'!$U$3:$U$199,_xlfn.XLOOKUP($A135&amp;"|"&amp;$B135,'21-AUGUST-2026'!$A$3:$A$199&amp;"|"&amp;'21-AUGUST-2026'!$B$3:$B$199,'21-AUGUST-2026'!$U$3:$U$199,0)),0)</f>
        <v>0</v>
      </c>
      <c r="G135" s="15">
        <f t="shared" si="48"/>
        <v>2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20">
        <v>0</v>
      </c>
      <c r="S135" s="20">
        <v>0</v>
      </c>
      <c r="T135" s="20">
        <v>0</v>
      </c>
      <c r="U135" s="17"/>
      <c r="V135" s="17"/>
      <c r="W135" s="20">
        <f t="shared" si="49"/>
        <v>0</v>
      </c>
      <c r="X135" s="21">
        <f t="shared" si="46"/>
        <v>2</v>
      </c>
      <c r="Y135" s="15">
        <f t="shared" si="47"/>
        <v>2</v>
      </c>
      <c r="Z135" s="15">
        <f t="shared" si="50"/>
        <v>0</v>
      </c>
      <c r="AA135" s="18" t="str">
        <f t="shared" si="51"/>
        <v/>
      </c>
      <c r="AB135" s="17">
        <v>0</v>
      </c>
      <c r="AC135" s="17">
        <v>0</v>
      </c>
      <c r="AD135" s="15">
        <f t="shared" si="53"/>
        <v>0</v>
      </c>
      <c r="AE135" s="17">
        <v>0</v>
      </c>
      <c r="AF135" s="17">
        <v>0</v>
      </c>
      <c r="AG135" s="15">
        <f t="shared" si="54"/>
        <v>0</v>
      </c>
      <c r="AH135" s="17">
        <v>0</v>
      </c>
      <c r="AI135" s="17">
        <v>0</v>
      </c>
      <c r="AJ135" s="15">
        <f t="shared" si="55"/>
        <v>0</v>
      </c>
      <c r="AK135" s="17">
        <v>0</v>
      </c>
      <c r="AL135" s="17">
        <v>0</v>
      </c>
      <c r="AM135" s="15">
        <f t="shared" si="56"/>
        <v>0</v>
      </c>
      <c r="AN135" s="17"/>
      <c r="AO135" s="53">
        <f t="shared" si="52"/>
        <v>2</v>
      </c>
      <c r="AP135" s="53">
        <f>IF($A135="",0,IF(COUNTIFS([1]Sheet1!$A$2:$A$190,$A135,[1]Sheet1!$B$2:$B$190,$B135,[1]Sheet1!$C$2:$C$190,"&gt;=0")=0,0,SUMIFS([1]Sheet1!$C$2:$C$190,[1]Sheet1!$A$2:$A$190,$A135,[1]Sheet1!$B$2:$B$190,$B135)-$AO135))</f>
        <v>0</v>
      </c>
    </row>
    <row r="136" spans="1:42" x14ac:dyDescent="0.3">
      <c r="A136" s="15" t="s">
        <v>88</v>
      </c>
      <c r="B136" s="15">
        <v>100000</v>
      </c>
      <c r="C136" s="15" t="s">
        <v>54</v>
      </c>
      <c r="D136" s="15" t="s">
        <v>68</v>
      </c>
      <c r="E136" s="15" cm="1">
        <f t="array" ref="E136">IFERROR(_xlfn.XLOOKUP($A136&amp;"|"&amp;$B136&amp;"|"&amp;$D136,'21-AUGUST-2026'!$A$3:$A$199&amp;"|"&amp;'21-AUGUST-2026'!$B$3:$B$199&amp;"|"&amp;'21-AUGUST-2026'!$D$3:$D$199,'21-AUGUST-2026'!$T$3:$T$199,_xlfn.XLOOKUP($A136&amp;"|"&amp;$B136,'21-AUGUST-2026'!$A$3:$A$199&amp;"|"&amp;'21-AUGUST-2026'!$B$3:$B$199,'21-AUGUST-2026'!$T$3:$T$199,0)),0)</f>
        <v>1</v>
      </c>
      <c r="F136" s="15" cm="1">
        <f t="array" ref="F136">IFERROR(_xlfn.XLOOKUP($A136&amp;"|"&amp;$B136&amp;"|"&amp;$D136,'21-AUGUST-2026'!$A$3:$A$199&amp;"|"&amp;'21-AUGUST-2026'!$B$3:$B$199&amp;"|"&amp;'21-AUGUST-2026'!$D$3:$D$199,'21-AUGUST-2026'!$U$3:$U$199,_xlfn.XLOOKUP($A136&amp;"|"&amp;$B136,'21-AUGUST-2026'!$A$3:$A$199&amp;"|"&amp;'21-AUGUST-2026'!$B$3:$B$199,'21-AUGUST-2026'!$U$3:$U$199,0)),0)</f>
        <v>0</v>
      </c>
      <c r="G136" s="15">
        <f t="shared" si="48"/>
        <v>1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20">
        <v>0</v>
      </c>
      <c r="S136" s="20">
        <v>0</v>
      </c>
      <c r="T136" s="20">
        <v>0</v>
      </c>
      <c r="U136" s="17"/>
      <c r="V136" s="17"/>
      <c r="W136" s="20">
        <f t="shared" si="49"/>
        <v>0</v>
      </c>
      <c r="X136" s="21">
        <f t="shared" si="46"/>
        <v>1</v>
      </c>
      <c r="Y136" s="15">
        <f t="shared" si="47"/>
        <v>1</v>
      </c>
      <c r="Z136" s="15">
        <f t="shared" si="50"/>
        <v>0</v>
      </c>
      <c r="AA136" s="18" t="str">
        <f t="shared" si="51"/>
        <v/>
      </c>
      <c r="AB136" s="17">
        <v>0</v>
      </c>
      <c r="AC136" s="17">
        <v>0</v>
      </c>
      <c r="AD136" s="15">
        <f t="shared" si="53"/>
        <v>0</v>
      </c>
      <c r="AE136" s="17">
        <v>0</v>
      </c>
      <c r="AF136" s="17">
        <v>0</v>
      </c>
      <c r="AG136" s="15">
        <f t="shared" si="54"/>
        <v>0</v>
      </c>
      <c r="AH136" s="17">
        <v>0</v>
      </c>
      <c r="AI136" s="17">
        <v>0</v>
      </c>
      <c r="AJ136" s="15">
        <f t="shared" si="55"/>
        <v>0</v>
      </c>
      <c r="AK136" s="17">
        <v>0</v>
      </c>
      <c r="AL136" s="17">
        <v>0</v>
      </c>
      <c r="AM136" s="15">
        <f t="shared" si="56"/>
        <v>0</v>
      </c>
      <c r="AN136" s="17"/>
      <c r="AO136" s="53">
        <f t="shared" si="52"/>
        <v>1</v>
      </c>
      <c r="AP136" s="53">
        <f>IF($A136="",0,IF(COUNTIFS([1]Sheet1!$A$2:$A$190,$A136,[1]Sheet1!$B$2:$B$190,$B136,[1]Sheet1!$C$2:$C$190,"&gt;=0")=0,0,SUMIFS([1]Sheet1!$C$2:$C$190,[1]Sheet1!$A$2:$A$190,$A136,[1]Sheet1!$B$2:$B$190,$B136)-$AO136))</f>
        <v>0</v>
      </c>
    </row>
    <row r="137" spans="1:42" x14ac:dyDescent="0.3">
      <c r="A137" s="15" t="s">
        <v>92</v>
      </c>
      <c r="B137" s="15">
        <v>100</v>
      </c>
      <c r="C137" s="15" t="s">
        <v>54</v>
      </c>
      <c r="D137" s="15" t="s">
        <v>68</v>
      </c>
      <c r="E137" s="15" cm="1">
        <f t="array" ref="E137">IFERROR(_xlfn.XLOOKUP($A137&amp;"|"&amp;$B137&amp;"|"&amp;$D137,'21-AUGUST-2026'!$A$3:$A$199&amp;"|"&amp;'21-AUGUST-2026'!$B$3:$B$199&amp;"|"&amp;'21-AUGUST-2026'!$D$3:$D$199,'21-AUGUST-2026'!$T$3:$T$199,_xlfn.XLOOKUP($A137&amp;"|"&amp;$B137,'21-AUGUST-2026'!$A$3:$A$199&amp;"|"&amp;'21-AUGUST-2026'!$B$3:$B$199,'21-AUGUST-2026'!$T$3:$T$199,0)),0)</f>
        <v>2</v>
      </c>
      <c r="F137" s="15" cm="1">
        <f t="array" ref="F137">IFERROR(_xlfn.XLOOKUP($A137&amp;"|"&amp;$B137&amp;"|"&amp;$D137,'21-AUGUST-2026'!$A$3:$A$199&amp;"|"&amp;'21-AUGUST-2026'!$B$3:$B$199&amp;"|"&amp;'21-AUGUST-2026'!$D$3:$D$199,'21-AUGUST-2026'!$U$3:$U$199,_xlfn.XLOOKUP($A137&amp;"|"&amp;$B137,'21-AUGUST-2026'!$A$3:$A$199&amp;"|"&amp;'21-AUGUST-2026'!$B$3:$B$199,'21-AUGUST-2026'!$U$3:$U$199,0)),0)</f>
        <v>0</v>
      </c>
      <c r="G137" s="15">
        <f t="shared" si="48"/>
        <v>2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20">
        <v>0</v>
      </c>
      <c r="S137" s="20">
        <v>0</v>
      </c>
      <c r="T137" s="20">
        <v>0</v>
      </c>
      <c r="U137" s="17"/>
      <c r="V137" s="17"/>
      <c r="W137" s="20">
        <f t="shared" si="49"/>
        <v>0</v>
      </c>
      <c r="X137" s="21">
        <f t="shared" si="46"/>
        <v>4</v>
      </c>
      <c r="Y137" s="15">
        <f t="shared" si="47"/>
        <v>4</v>
      </c>
      <c r="Z137" s="15">
        <f t="shared" si="50"/>
        <v>0</v>
      </c>
      <c r="AA137" s="18" t="str">
        <f t="shared" si="51"/>
        <v/>
      </c>
      <c r="AB137" s="17">
        <v>0</v>
      </c>
      <c r="AC137" s="17">
        <v>0</v>
      </c>
      <c r="AD137" s="15">
        <f t="shared" si="53"/>
        <v>0</v>
      </c>
      <c r="AE137" s="17">
        <v>0</v>
      </c>
      <c r="AF137" s="17">
        <v>0</v>
      </c>
      <c r="AG137" s="15">
        <f t="shared" si="54"/>
        <v>0</v>
      </c>
      <c r="AH137" s="17">
        <v>0</v>
      </c>
      <c r="AI137" s="17">
        <v>0</v>
      </c>
      <c r="AJ137" s="15">
        <f t="shared" si="55"/>
        <v>0</v>
      </c>
      <c r="AK137" s="17">
        <v>0</v>
      </c>
      <c r="AL137" s="17">
        <v>0</v>
      </c>
      <c r="AM137" s="15">
        <f t="shared" si="56"/>
        <v>0</v>
      </c>
      <c r="AN137" s="17"/>
      <c r="AO137" s="53">
        <f t="shared" si="52"/>
        <v>2</v>
      </c>
      <c r="AP137" s="53">
        <f>IF($A137="",0,IF(COUNTIFS([1]Sheet1!$A$2:$A$190,$A137,[1]Sheet1!$B$2:$B$190,$B137,[1]Sheet1!$C$2:$C$190,"&gt;=0")=0,0,SUMIFS([1]Sheet1!$C$2:$C$190,[1]Sheet1!$A$2:$A$190,$A137,[1]Sheet1!$B$2:$B$190,$B137)-$AO137))</f>
        <v>2</v>
      </c>
    </row>
    <row r="138" spans="1:42" x14ac:dyDescent="0.3">
      <c r="A138" s="15" t="s">
        <v>93</v>
      </c>
      <c r="B138" s="15">
        <v>100000</v>
      </c>
      <c r="C138" s="15" t="s">
        <v>54</v>
      </c>
      <c r="D138" s="15" t="s">
        <v>68</v>
      </c>
      <c r="E138" s="15" cm="1">
        <f t="array" ref="E138">IFERROR(_xlfn.XLOOKUP($A138&amp;"|"&amp;$B138&amp;"|"&amp;$D138,'21-AUGUST-2026'!$A$3:$A$199&amp;"|"&amp;'21-AUGUST-2026'!$B$3:$B$199&amp;"|"&amp;'21-AUGUST-2026'!$D$3:$D$199,'21-AUGUST-2026'!$T$3:$T$199,_xlfn.XLOOKUP($A138&amp;"|"&amp;$B138,'21-AUGUST-2026'!$A$3:$A$199&amp;"|"&amp;'21-AUGUST-2026'!$B$3:$B$199,'21-AUGUST-2026'!$T$3:$T$199,0)),0)</f>
        <v>2</v>
      </c>
      <c r="F138" s="15" cm="1">
        <f t="array" ref="F138">IFERROR(_xlfn.XLOOKUP($A138&amp;"|"&amp;$B138&amp;"|"&amp;$D138,'21-AUGUST-2026'!$A$3:$A$199&amp;"|"&amp;'21-AUGUST-2026'!$B$3:$B$199&amp;"|"&amp;'21-AUGUST-2026'!$D$3:$D$199,'21-AUGUST-2026'!$U$3:$U$199,_xlfn.XLOOKUP($A138&amp;"|"&amp;$B138,'21-AUGUST-2026'!$A$3:$A$199&amp;"|"&amp;'21-AUGUST-2026'!$B$3:$B$199,'21-AUGUST-2026'!$U$3:$U$199,0)),0)</f>
        <v>0</v>
      </c>
      <c r="G138" s="15">
        <f t="shared" si="48"/>
        <v>2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20">
        <v>0</v>
      </c>
      <c r="S138" s="20">
        <v>0</v>
      </c>
      <c r="T138" s="20">
        <v>0</v>
      </c>
      <c r="U138" s="17"/>
      <c r="V138" s="17"/>
      <c r="W138" s="20">
        <f t="shared" si="49"/>
        <v>0</v>
      </c>
      <c r="X138" s="21">
        <f t="shared" si="46"/>
        <v>2</v>
      </c>
      <c r="Y138" s="15">
        <f t="shared" si="47"/>
        <v>2</v>
      </c>
      <c r="Z138" s="15">
        <f t="shared" si="50"/>
        <v>0</v>
      </c>
      <c r="AA138" s="18" t="str">
        <f t="shared" si="51"/>
        <v/>
      </c>
      <c r="AB138" s="17">
        <v>0</v>
      </c>
      <c r="AC138" s="17">
        <v>0</v>
      </c>
      <c r="AD138" s="15">
        <f t="shared" si="53"/>
        <v>0</v>
      </c>
      <c r="AE138" s="17">
        <v>0</v>
      </c>
      <c r="AF138" s="17">
        <v>0</v>
      </c>
      <c r="AG138" s="15">
        <f t="shared" si="54"/>
        <v>0</v>
      </c>
      <c r="AH138" s="17">
        <v>0</v>
      </c>
      <c r="AI138" s="17">
        <v>0</v>
      </c>
      <c r="AJ138" s="15">
        <f t="shared" si="55"/>
        <v>0</v>
      </c>
      <c r="AK138" s="17">
        <v>0</v>
      </c>
      <c r="AL138" s="17">
        <v>0</v>
      </c>
      <c r="AM138" s="15">
        <f t="shared" si="56"/>
        <v>0</v>
      </c>
      <c r="AN138" s="17"/>
      <c r="AO138" s="53">
        <f t="shared" si="52"/>
        <v>2</v>
      </c>
      <c r="AP138" s="53">
        <f>IF($A138="",0,IF(COUNTIFS([1]Sheet1!$A$2:$A$190,$A138,[1]Sheet1!$B$2:$B$190,$B138,[1]Sheet1!$C$2:$C$190,"&gt;=0")=0,0,SUMIFS([1]Sheet1!$C$2:$C$190,[1]Sheet1!$A$2:$A$190,$A138,[1]Sheet1!$B$2:$B$190,$B138)-$AO138))</f>
        <v>0</v>
      </c>
    </row>
    <row r="139" spans="1:42" x14ac:dyDescent="0.3">
      <c r="A139" s="15" t="s">
        <v>100</v>
      </c>
      <c r="B139" s="15">
        <v>100</v>
      </c>
      <c r="C139" s="15" t="s">
        <v>54</v>
      </c>
      <c r="D139" s="15" t="s">
        <v>68</v>
      </c>
      <c r="E139" s="15" cm="1">
        <f t="array" ref="E139">IFERROR(_xlfn.XLOOKUP($A139&amp;"|"&amp;$B139&amp;"|"&amp;$D139,'21-AUGUST-2026'!$A$3:$A$199&amp;"|"&amp;'21-AUGUST-2026'!$B$3:$B$199&amp;"|"&amp;'21-AUGUST-2026'!$D$3:$D$199,'21-AUGUST-2026'!$T$3:$T$199,_xlfn.XLOOKUP($A139&amp;"|"&amp;$B139,'21-AUGUST-2026'!$A$3:$A$199&amp;"|"&amp;'21-AUGUST-2026'!$B$3:$B$199,'21-AUGUST-2026'!$T$3:$T$199,0)),0)</f>
        <v>3</v>
      </c>
      <c r="F139" s="15" cm="1">
        <f t="array" ref="F139">IFERROR(_xlfn.XLOOKUP($A139&amp;"|"&amp;$B139&amp;"|"&amp;$D139,'21-AUGUST-2026'!$A$3:$A$199&amp;"|"&amp;'21-AUGUST-2026'!$B$3:$B$199&amp;"|"&amp;'21-AUGUST-2026'!$D$3:$D$199,'21-AUGUST-2026'!$U$3:$U$199,_xlfn.XLOOKUP($A139&amp;"|"&amp;$B139,'21-AUGUST-2026'!$A$3:$A$199&amp;"|"&amp;'21-AUGUST-2026'!$B$3:$B$199,'21-AUGUST-2026'!$U$3:$U$199,0)),0)</f>
        <v>0</v>
      </c>
      <c r="G139" s="15">
        <f t="shared" si="48"/>
        <v>3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20">
        <v>0</v>
      </c>
      <c r="S139" s="20">
        <v>0</v>
      </c>
      <c r="T139" s="20">
        <v>0</v>
      </c>
      <c r="U139" s="17"/>
      <c r="V139" s="17"/>
      <c r="W139" s="20">
        <f t="shared" si="49"/>
        <v>0</v>
      </c>
      <c r="X139" s="21">
        <f t="shared" si="46"/>
        <v>3</v>
      </c>
      <c r="Y139" s="15">
        <f t="shared" si="47"/>
        <v>3</v>
      </c>
      <c r="Z139" s="15">
        <f t="shared" si="50"/>
        <v>0</v>
      </c>
      <c r="AA139" s="18" t="str">
        <f t="shared" si="51"/>
        <v/>
      </c>
      <c r="AB139" s="17">
        <v>0</v>
      </c>
      <c r="AC139" s="17">
        <v>0</v>
      </c>
      <c r="AD139" s="15">
        <f t="shared" si="53"/>
        <v>0</v>
      </c>
      <c r="AE139" s="17">
        <v>0</v>
      </c>
      <c r="AF139" s="17">
        <v>0</v>
      </c>
      <c r="AG139" s="15">
        <f t="shared" si="54"/>
        <v>0</v>
      </c>
      <c r="AH139" s="17">
        <v>0</v>
      </c>
      <c r="AI139" s="17">
        <v>0</v>
      </c>
      <c r="AJ139" s="15">
        <f t="shared" si="55"/>
        <v>0</v>
      </c>
      <c r="AK139" s="17">
        <v>0</v>
      </c>
      <c r="AL139" s="17">
        <v>0</v>
      </c>
      <c r="AM139" s="15">
        <f t="shared" si="56"/>
        <v>0</v>
      </c>
      <c r="AN139" s="17"/>
      <c r="AO139" s="53">
        <f t="shared" si="52"/>
        <v>3</v>
      </c>
      <c r="AP139" s="53">
        <f>IF($A139="",0,IF(COUNTIFS([1]Sheet1!$A$2:$A$190,$A139,[1]Sheet1!$B$2:$B$190,$B139,[1]Sheet1!$C$2:$C$190,"&gt;=0")=0,0,SUMIFS([1]Sheet1!$C$2:$C$190,[1]Sheet1!$A$2:$A$190,$A139,[1]Sheet1!$B$2:$B$190,$B139)-$AO139))</f>
        <v>0</v>
      </c>
    </row>
    <row r="140" spans="1:42" x14ac:dyDescent="0.3">
      <c r="A140" s="15" t="s">
        <v>101</v>
      </c>
      <c r="B140" s="15">
        <v>1000</v>
      </c>
      <c r="C140" s="15" t="s">
        <v>54</v>
      </c>
      <c r="D140" s="15" t="s">
        <v>68</v>
      </c>
      <c r="E140" s="15" cm="1">
        <f t="array" ref="E140">IFERROR(_xlfn.XLOOKUP($A140&amp;"|"&amp;$B140&amp;"|"&amp;$D140,'21-AUGUST-2026'!$A$3:$A$199&amp;"|"&amp;'21-AUGUST-2026'!$B$3:$B$199&amp;"|"&amp;'21-AUGUST-2026'!$D$3:$D$199,'21-AUGUST-2026'!$T$3:$T$199,_xlfn.XLOOKUP($A140&amp;"|"&amp;$B140,'21-AUGUST-2026'!$A$3:$A$199&amp;"|"&amp;'21-AUGUST-2026'!$B$3:$B$199,'21-AUGUST-2026'!$T$3:$T$199,0)),0)</f>
        <v>7</v>
      </c>
      <c r="F140" s="15" cm="1">
        <f t="array" ref="F140">IFERROR(_xlfn.XLOOKUP($A140&amp;"|"&amp;$B140&amp;"|"&amp;$D140,'21-AUGUST-2026'!$A$3:$A$199&amp;"|"&amp;'21-AUGUST-2026'!$B$3:$B$199&amp;"|"&amp;'21-AUGUST-2026'!$D$3:$D$199,'21-AUGUST-2026'!$U$3:$U$199,_xlfn.XLOOKUP($A140&amp;"|"&amp;$B140,'21-AUGUST-2026'!$A$3:$A$199&amp;"|"&amp;'21-AUGUST-2026'!$B$3:$B$199,'21-AUGUST-2026'!$U$3:$U$199,0)),0)</f>
        <v>0</v>
      </c>
      <c r="G140" s="15">
        <f t="shared" si="48"/>
        <v>7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20">
        <v>0</v>
      </c>
      <c r="S140" s="20">
        <v>0</v>
      </c>
      <c r="T140" s="20">
        <v>0</v>
      </c>
      <c r="U140" s="17"/>
      <c r="V140" s="17"/>
      <c r="W140" s="20">
        <f t="shared" si="49"/>
        <v>0</v>
      </c>
      <c r="X140" s="21">
        <f t="shared" si="46"/>
        <v>3</v>
      </c>
      <c r="Y140" s="15">
        <f t="shared" si="47"/>
        <v>3</v>
      </c>
      <c r="Z140" s="15">
        <f t="shared" si="50"/>
        <v>0</v>
      </c>
      <c r="AA140" s="18" t="str">
        <f t="shared" si="51"/>
        <v/>
      </c>
      <c r="AB140" s="17">
        <v>0</v>
      </c>
      <c r="AC140" s="17">
        <v>0</v>
      </c>
      <c r="AD140" s="15">
        <f t="shared" si="53"/>
        <v>0</v>
      </c>
      <c r="AE140" s="17">
        <v>0</v>
      </c>
      <c r="AF140" s="17">
        <v>0</v>
      </c>
      <c r="AG140" s="15">
        <f t="shared" si="54"/>
        <v>0</v>
      </c>
      <c r="AH140" s="17">
        <v>0</v>
      </c>
      <c r="AI140" s="17">
        <v>0</v>
      </c>
      <c r="AJ140" s="15">
        <f t="shared" si="55"/>
        <v>0</v>
      </c>
      <c r="AK140" s="17">
        <v>0</v>
      </c>
      <c r="AL140" s="17">
        <v>0</v>
      </c>
      <c r="AM140" s="15">
        <f t="shared" si="56"/>
        <v>0</v>
      </c>
      <c r="AN140" s="17"/>
      <c r="AO140" s="53">
        <f t="shared" si="52"/>
        <v>7</v>
      </c>
      <c r="AP140" s="53">
        <f>IF($A140="",0,IF(COUNTIFS([1]Sheet1!$A$2:$A$190,$A140,[1]Sheet1!$B$2:$B$190,$B140,[1]Sheet1!$C$2:$C$190,"&gt;=0")=0,0,SUMIFS([1]Sheet1!$C$2:$C$190,[1]Sheet1!$A$2:$A$190,$A140,[1]Sheet1!$B$2:$B$190,$B140)-$AO140))</f>
        <v>-4</v>
      </c>
    </row>
    <row r="141" spans="1:42" x14ac:dyDescent="0.3">
      <c r="A141" s="15" t="s">
        <v>103</v>
      </c>
      <c r="B141" s="15">
        <v>1000</v>
      </c>
      <c r="C141" s="15" t="s">
        <v>54</v>
      </c>
      <c r="D141" s="15" t="s">
        <v>68</v>
      </c>
      <c r="E141" s="15" cm="1">
        <f t="array" ref="E141">IFERROR(_xlfn.XLOOKUP($A141&amp;"|"&amp;$B141&amp;"|"&amp;$D141,'21-AUGUST-2026'!$A$3:$A$199&amp;"|"&amp;'21-AUGUST-2026'!$B$3:$B$199&amp;"|"&amp;'21-AUGUST-2026'!$D$3:$D$199,'21-AUGUST-2026'!$T$3:$T$199,_xlfn.XLOOKUP($A141&amp;"|"&amp;$B141,'21-AUGUST-2026'!$A$3:$A$199&amp;"|"&amp;'21-AUGUST-2026'!$B$3:$B$199,'21-AUGUST-2026'!$T$3:$T$199,0)),0)</f>
        <v>1</v>
      </c>
      <c r="F141" s="15" cm="1">
        <f t="array" ref="F141">IFERROR(_xlfn.XLOOKUP($A141&amp;"|"&amp;$B141&amp;"|"&amp;$D141,'21-AUGUST-2026'!$A$3:$A$199&amp;"|"&amp;'21-AUGUST-2026'!$B$3:$B$199&amp;"|"&amp;'21-AUGUST-2026'!$D$3:$D$199,'21-AUGUST-2026'!$U$3:$U$199,_xlfn.XLOOKUP($A141&amp;"|"&amp;$B141,'21-AUGUST-2026'!$A$3:$A$199&amp;"|"&amp;'21-AUGUST-2026'!$B$3:$B$199,'21-AUGUST-2026'!$U$3:$U$199,0)),0)</f>
        <v>0</v>
      </c>
      <c r="G141" s="15">
        <f t="shared" si="48"/>
        <v>1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20">
        <v>0</v>
      </c>
      <c r="S141" s="20">
        <v>0</v>
      </c>
      <c r="T141" s="20">
        <v>0</v>
      </c>
      <c r="U141" s="17"/>
      <c r="V141" s="17"/>
      <c r="W141" s="20">
        <f t="shared" si="49"/>
        <v>0</v>
      </c>
      <c r="X141" s="21">
        <f t="shared" ref="X141:X172" si="57">Y141+Z141</f>
        <v>1</v>
      </c>
      <c r="Y141" s="15">
        <f t="shared" ref="Y141:Y172" si="58">AO141+AP141</f>
        <v>1</v>
      </c>
      <c r="Z141" s="15">
        <f t="shared" si="50"/>
        <v>0</v>
      </c>
      <c r="AA141" s="18" t="str">
        <f t="shared" si="51"/>
        <v/>
      </c>
      <c r="AB141" s="17">
        <v>0</v>
      </c>
      <c r="AC141" s="17">
        <v>0</v>
      </c>
      <c r="AD141" s="15">
        <f t="shared" si="53"/>
        <v>0</v>
      </c>
      <c r="AE141" s="17">
        <v>0</v>
      </c>
      <c r="AF141" s="17">
        <v>0</v>
      </c>
      <c r="AG141" s="15">
        <f t="shared" si="54"/>
        <v>0</v>
      </c>
      <c r="AH141" s="17">
        <v>0</v>
      </c>
      <c r="AI141" s="17">
        <v>0</v>
      </c>
      <c r="AJ141" s="15">
        <f t="shared" si="55"/>
        <v>0</v>
      </c>
      <c r="AK141" s="17">
        <v>0</v>
      </c>
      <c r="AL141" s="17">
        <v>0</v>
      </c>
      <c r="AM141" s="15">
        <f t="shared" si="56"/>
        <v>0</v>
      </c>
      <c r="AN141" s="17"/>
      <c r="AO141" s="53">
        <f t="shared" si="52"/>
        <v>1</v>
      </c>
      <c r="AP141" s="53">
        <f>IF($A141="",0,IF(COUNTIFS([1]Sheet1!$A$2:$A$190,$A141,[1]Sheet1!$B$2:$B$190,$B141,[1]Sheet1!$C$2:$C$190,"&gt;=0")=0,0,SUMIFS([1]Sheet1!$C$2:$C$190,[1]Sheet1!$A$2:$A$190,$A141,[1]Sheet1!$B$2:$B$190,$B141)-$AO141))</f>
        <v>0</v>
      </c>
    </row>
    <row r="142" spans="1:42" x14ac:dyDescent="0.3">
      <c r="A142" s="15" t="s">
        <v>105</v>
      </c>
      <c r="B142" s="15">
        <v>100000</v>
      </c>
      <c r="C142" s="15" t="s">
        <v>54</v>
      </c>
      <c r="D142" s="15" t="s">
        <v>68</v>
      </c>
      <c r="E142" s="15" cm="1">
        <f t="array" ref="E142">IFERROR(_xlfn.XLOOKUP($A142&amp;"|"&amp;$B142&amp;"|"&amp;$D142,'21-AUGUST-2026'!$A$3:$A$199&amp;"|"&amp;'21-AUGUST-2026'!$B$3:$B$199&amp;"|"&amp;'21-AUGUST-2026'!$D$3:$D$199,'21-AUGUST-2026'!$T$3:$T$199,_xlfn.XLOOKUP($A142&amp;"|"&amp;$B142,'21-AUGUST-2026'!$A$3:$A$199&amp;"|"&amp;'21-AUGUST-2026'!$B$3:$B$199,'21-AUGUST-2026'!$T$3:$T$199,0)),0)</f>
        <v>2</v>
      </c>
      <c r="F142" s="15" cm="1">
        <f t="array" ref="F142">IFERROR(_xlfn.XLOOKUP($A142&amp;"|"&amp;$B142&amp;"|"&amp;$D142,'21-AUGUST-2026'!$A$3:$A$199&amp;"|"&amp;'21-AUGUST-2026'!$B$3:$B$199&amp;"|"&amp;'21-AUGUST-2026'!$D$3:$D$199,'21-AUGUST-2026'!$U$3:$U$199,_xlfn.XLOOKUP($A142&amp;"|"&amp;$B142,'21-AUGUST-2026'!$A$3:$A$199&amp;"|"&amp;'21-AUGUST-2026'!$B$3:$B$199,'21-AUGUST-2026'!$U$3:$U$199,0)),0)</f>
        <v>0</v>
      </c>
      <c r="G142" s="15">
        <f t="shared" si="48"/>
        <v>2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20">
        <v>0</v>
      </c>
      <c r="S142" s="20">
        <v>0</v>
      </c>
      <c r="T142" s="20">
        <v>0</v>
      </c>
      <c r="U142" s="17"/>
      <c r="V142" s="17"/>
      <c r="W142" s="20">
        <f t="shared" si="49"/>
        <v>0</v>
      </c>
      <c r="X142" s="21">
        <f t="shared" si="57"/>
        <v>2</v>
      </c>
      <c r="Y142" s="15">
        <f t="shared" si="58"/>
        <v>2</v>
      </c>
      <c r="Z142" s="15">
        <f t="shared" si="50"/>
        <v>0</v>
      </c>
      <c r="AA142" s="18" t="str">
        <f t="shared" si="51"/>
        <v/>
      </c>
      <c r="AB142" s="17">
        <v>0</v>
      </c>
      <c r="AC142" s="17">
        <v>0</v>
      </c>
      <c r="AD142" s="15">
        <f t="shared" si="53"/>
        <v>0</v>
      </c>
      <c r="AE142" s="17">
        <v>0</v>
      </c>
      <c r="AF142" s="17">
        <v>0</v>
      </c>
      <c r="AG142" s="15">
        <f t="shared" si="54"/>
        <v>0</v>
      </c>
      <c r="AH142" s="17">
        <v>0</v>
      </c>
      <c r="AI142" s="17">
        <v>0</v>
      </c>
      <c r="AJ142" s="15">
        <f t="shared" si="55"/>
        <v>0</v>
      </c>
      <c r="AK142" s="17">
        <v>0</v>
      </c>
      <c r="AL142" s="17">
        <v>0</v>
      </c>
      <c r="AM142" s="15">
        <f t="shared" si="56"/>
        <v>0</v>
      </c>
      <c r="AN142" s="17"/>
      <c r="AO142" s="53">
        <f t="shared" si="52"/>
        <v>2</v>
      </c>
      <c r="AP142" s="53">
        <f>IF($A142="",0,IF(COUNTIFS([1]Sheet1!$A$2:$A$190,$A142,[1]Sheet1!$B$2:$B$190,$B142,[1]Sheet1!$C$2:$C$190,"&gt;=0")=0,0,SUMIFS([1]Sheet1!$C$2:$C$190,[1]Sheet1!$A$2:$A$190,$A142,[1]Sheet1!$B$2:$B$190,$B142)-$AO142))</f>
        <v>0</v>
      </c>
    </row>
    <row r="143" spans="1:42" x14ac:dyDescent="0.3">
      <c r="A143" s="15" t="s">
        <v>107</v>
      </c>
      <c r="B143" s="15">
        <v>100000</v>
      </c>
      <c r="C143" s="15" t="s">
        <v>54</v>
      </c>
      <c r="D143" s="15" t="s">
        <v>68</v>
      </c>
      <c r="E143" s="15" cm="1">
        <f t="array" ref="E143">IFERROR(_xlfn.XLOOKUP($A143&amp;"|"&amp;$B143&amp;"|"&amp;$D143,'21-AUGUST-2026'!$A$3:$A$199&amp;"|"&amp;'21-AUGUST-2026'!$B$3:$B$199&amp;"|"&amp;'21-AUGUST-2026'!$D$3:$D$199,'21-AUGUST-2026'!$T$3:$T$199,_xlfn.XLOOKUP($A143&amp;"|"&amp;$B143,'21-AUGUST-2026'!$A$3:$A$199&amp;"|"&amp;'21-AUGUST-2026'!$B$3:$B$199,'21-AUGUST-2026'!$T$3:$T$199,0)),0)</f>
        <v>5</v>
      </c>
      <c r="F143" s="15" cm="1">
        <f t="array" ref="F143">IFERROR(_xlfn.XLOOKUP($A143&amp;"|"&amp;$B143&amp;"|"&amp;$D143,'21-AUGUST-2026'!$A$3:$A$199&amp;"|"&amp;'21-AUGUST-2026'!$B$3:$B$199&amp;"|"&amp;'21-AUGUST-2026'!$D$3:$D$199,'21-AUGUST-2026'!$U$3:$U$199,_xlfn.XLOOKUP($A143&amp;"|"&amp;$B143,'21-AUGUST-2026'!$A$3:$A$199&amp;"|"&amp;'21-AUGUST-2026'!$B$3:$B$199,'21-AUGUST-2026'!$U$3:$U$199,0)),0)</f>
        <v>0</v>
      </c>
      <c r="G143" s="15">
        <f t="shared" si="48"/>
        <v>5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20">
        <v>0</v>
      </c>
      <c r="S143" s="20">
        <v>0</v>
      </c>
      <c r="T143" s="20">
        <v>0</v>
      </c>
      <c r="U143" s="17"/>
      <c r="V143" s="17"/>
      <c r="W143" s="20">
        <f t="shared" si="49"/>
        <v>0</v>
      </c>
      <c r="X143" s="21">
        <f t="shared" si="57"/>
        <v>5</v>
      </c>
      <c r="Y143" s="15">
        <f t="shared" si="58"/>
        <v>5</v>
      </c>
      <c r="Z143" s="15">
        <f t="shared" si="50"/>
        <v>0</v>
      </c>
      <c r="AA143" s="18" t="str">
        <f t="shared" si="51"/>
        <v/>
      </c>
      <c r="AB143" s="17">
        <v>0</v>
      </c>
      <c r="AC143" s="17">
        <v>0</v>
      </c>
      <c r="AD143" s="15">
        <f t="shared" si="53"/>
        <v>0</v>
      </c>
      <c r="AE143" s="17">
        <v>0</v>
      </c>
      <c r="AF143" s="17">
        <v>0</v>
      </c>
      <c r="AG143" s="15">
        <f t="shared" si="54"/>
        <v>0</v>
      </c>
      <c r="AH143" s="17">
        <v>0</v>
      </c>
      <c r="AI143" s="17">
        <v>0</v>
      </c>
      <c r="AJ143" s="15">
        <f t="shared" si="55"/>
        <v>0</v>
      </c>
      <c r="AK143" s="17">
        <v>0</v>
      </c>
      <c r="AL143" s="17">
        <v>0</v>
      </c>
      <c r="AM143" s="15">
        <f t="shared" si="56"/>
        <v>0</v>
      </c>
      <c r="AN143" s="17"/>
      <c r="AO143" s="53">
        <f t="shared" si="52"/>
        <v>5</v>
      </c>
      <c r="AP143" s="53">
        <f>IF($A143="",0,IF(COUNTIFS([1]Sheet1!$A$2:$A$190,$A143,[1]Sheet1!$B$2:$B$190,$B143,[1]Sheet1!$C$2:$C$190,"&gt;=0")=0,0,SUMIFS([1]Sheet1!$C$2:$C$190,[1]Sheet1!$A$2:$A$190,$A143,[1]Sheet1!$B$2:$B$190,$B143)-$AO143))</f>
        <v>0</v>
      </c>
    </row>
    <row r="144" spans="1:42" x14ac:dyDescent="0.3">
      <c r="A144" s="15" t="s">
        <v>108</v>
      </c>
      <c r="B144" s="15">
        <v>100</v>
      </c>
      <c r="C144" s="15" t="s">
        <v>54</v>
      </c>
      <c r="D144" s="15" t="s">
        <v>68</v>
      </c>
      <c r="E144" s="15" cm="1">
        <f t="array" ref="E144">IFERROR(_xlfn.XLOOKUP($A144&amp;"|"&amp;$B144&amp;"|"&amp;$D144,'21-AUGUST-2026'!$A$3:$A$199&amp;"|"&amp;'21-AUGUST-2026'!$B$3:$B$199&amp;"|"&amp;'21-AUGUST-2026'!$D$3:$D$199,'21-AUGUST-2026'!$T$3:$T$199,_xlfn.XLOOKUP($A144&amp;"|"&amp;$B144,'21-AUGUST-2026'!$A$3:$A$199&amp;"|"&amp;'21-AUGUST-2026'!$B$3:$B$199,'21-AUGUST-2026'!$T$3:$T$199,0)),0)</f>
        <v>3</v>
      </c>
      <c r="F144" s="15" cm="1">
        <f t="array" ref="F144">IFERROR(_xlfn.XLOOKUP($A144&amp;"|"&amp;$B144&amp;"|"&amp;$D144,'21-AUGUST-2026'!$A$3:$A$199&amp;"|"&amp;'21-AUGUST-2026'!$B$3:$B$199&amp;"|"&amp;'21-AUGUST-2026'!$D$3:$D$199,'21-AUGUST-2026'!$U$3:$U$199,_xlfn.XLOOKUP($A144&amp;"|"&amp;$B144,'21-AUGUST-2026'!$A$3:$A$199&amp;"|"&amp;'21-AUGUST-2026'!$B$3:$B$199,'21-AUGUST-2026'!$U$3:$U$199,0)),0)</f>
        <v>0</v>
      </c>
      <c r="G144" s="15">
        <f t="shared" si="48"/>
        <v>3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20">
        <v>0</v>
      </c>
      <c r="S144" s="20">
        <v>0</v>
      </c>
      <c r="T144" s="20">
        <v>0</v>
      </c>
      <c r="U144" s="17"/>
      <c r="V144" s="17"/>
      <c r="W144" s="20">
        <f t="shared" si="49"/>
        <v>0</v>
      </c>
      <c r="X144" s="21">
        <f t="shared" si="57"/>
        <v>3</v>
      </c>
      <c r="Y144" s="15">
        <f t="shared" si="58"/>
        <v>3</v>
      </c>
      <c r="Z144" s="15">
        <f t="shared" si="50"/>
        <v>0</v>
      </c>
      <c r="AA144" s="18" t="str">
        <f t="shared" si="51"/>
        <v/>
      </c>
      <c r="AB144" s="17">
        <v>0</v>
      </c>
      <c r="AC144" s="17">
        <v>0</v>
      </c>
      <c r="AD144" s="15">
        <f t="shared" si="53"/>
        <v>0</v>
      </c>
      <c r="AE144" s="17">
        <v>0</v>
      </c>
      <c r="AF144" s="17">
        <v>0</v>
      </c>
      <c r="AG144" s="15">
        <f t="shared" si="54"/>
        <v>0</v>
      </c>
      <c r="AH144" s="17">
        <v>0</v>
      </c>
      <c r="AI144" s="17">
        <v>0</v>
      </c>
      <c r="AJ144" s="15">
        <f t="shared" si="55"/>
        <v>0</v>
      </c>
      <c r="AK144" s="17">
        <v>0</v>
      </c>
      <c r="AL144" s="17">
        <v>0</v>
      </c>
      <c r="AM144" s="15">
        <f t="shared" si="56"/>
        <v>0</v>
      </c>
      <c r="AN144" s="17"/>
      <c r="AO144" s="53">
        <f t="shared" si="52"/>
        <v>3</v>
      </c>
      <c r="AP144" s="53">
        <f>IF($A144="",0,IF(COUNTIFS([1]Sheet1!$A$2:$A$190,$A144,[1]Sheet1!$B$2:$B$190,$B144,[1]Sheet1!$C$2:$C$190,"&gt;=0")=0,0,SUMIFS([1]Sheet1!$C$2:$C$190,[1]Sheet1!$A$2:$A$190,$A144,[1]Sheet1!$B$2:$B$190,$B144)-$AO144))</f>
        <v>0</v>
      </c>
    </row>
    <row r="145" spans="1:42" x14ac:dyDescent="0.3">
      <c r="A145" s="15" t="s">
        <v>111</v>
      </c>
      <c r="B145" s="15">
        <v>1000</v>
      </c>
      <c r="C145" s="15" t="s">
        <v>54</v>
      </c>
      <c r="D145" s="15" t="s">
        <v>68</v>
      </c>
      <c r="E145" s="15" cm="1">
        <f t="array" ref="E145">IFERROR(_xlfn.XLOOKUP($A145&amp;"|"&amp;$B145&amp;"|"&amp;$D145,'21-AUGUST-2026'!$A$3:$A$199&amp;"|"&amp;'21-AUGUST-2026'!$B$3:$B$199&amp;"|"&amp;'21-AUGUST-2026'!$D$3:$D$199,'21-AUGUST-2026'!$T$3:$T$199,_xlfn.XLOOKUP($A145&amp;"|"&amp;$B145,'21-AUGUST-2026'!$A$3:$A$199&amp;"|"&amp;'21-AUGUST-2026'!$B$3:$B$199,'21-AUGUST-2026'!$T$3:$T$199,0)),0)</f>
        <v>3</v>
      </c>
      <c r="F145" s="15" cm="1">
        <f t="array" ref="F145">IFERROR(_xlfn.XLOOKUP($A145&amp;"|"&amp;$B145&amp;"|"&amp;$D145,'21-AUGUST-2026'!$A$3:$A$199&amp;"|"&amp;'21-AUGUST-2026'!$B$3:$B$199&amp;"|"&amp;'21-AUGUST-2026'!$D$3:$D$199,'21-AUGUST-2026'!$U$3:$U$199,_xlfn.XLOOKUP($A145&amp;"|"&amp;$B145,'21-AUGUST-2026'!$A$3:$A$199&amp;"|"&amp;'21-AUGUST-2026'!$B$3:$B$199,'21-AUGUST-2026'!$U$3:$U$199,0)),0)</f>
        <v>0</v>
      </c>
      <c r="G145" s="15">
        <f t="shared" si="48"/>
        <v>3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20">
        <v>0</v>
      </c>
      <c r="S145" s="20">
        <v>0</v>
      </c>
      <c r="T145" s="20">
        <v>0</v>
      </c>
      <c r="U145" s="17"/>
      <c r="V145" s="17"/>
      <c r="W145" s="20">
        <f t="shared" si="49"/>
        <v>0</v>
      </c>
      <c r="X145" s="21">
        <f t="shared" si="57"/>
        <v>3</v>
      </c>
      <c r="Y145" s="15">
        <f t="shared" si="58"/>
        <v>3</v>
      </c>
      <c r="Z145" s="15">
        <f t="shared" si="50"/>
        <v>0</v>
      </c>
      <c r="AA145" s="18" t="str">
        <f t="shared" si="51"/>
        <v/>
      </c>
      <c r="AB145" s="17">
        <v>0</v>
      </c>
      <c r="AC145" s="17">
        <v>0</v>
      </c>
      <c r="AD145" s="15">
        <f t="shared" si="53"/>
        <v>0</v>
      </c>
      <c r="AE145" s="17">
        <v>0</v>
      </c>
      <c r="AF145" s="17">
        <v>0</v>
      </c>
      <c r="AG145" s="15">
        <f t="shared" si="54"/>
        <v>0</v>
      </c>
      <c r="AH145" s="17">
        <v>0</v>
      </c>
      <c r="AI145" s="17">
        <v>0</v>
      </c>
      <c r="AJ145" s="15">
        <f t="shared" si="55"/>
        <v>0</v>
      </c>
      <c r="AK145" s="17">
        <v>0</v>
      </c>
      <c r="AL145" s="17">
        <v>0</v>
      </c>
      <c r="AM145" s="15">
        <f t="shared" si="56"/>
        <v>0</v>
      </c>
      <c r="AN145" s="17"/>
      <c r="AO145" s="53">
        <f t="shared" si="52"/>
        <v>3</v>
      </c>
      <c r="AP145" s="53">
        <f>IF($A145="",0,IF(COUNTIFS([1]Sheet1!$A$2:$A$190,$A145,[1]Sheet1!$B$2:$B$190,$B145,[1]Sheet1!$C$2:$C$190,"&gt;=0")=0,0,SUMIFS([1]Sheet1!$C$2:$C$190,[1]Sheet1!$A$2:$A$190,$A145,[1]Sheet1!$B$2:$B$190,$B145)-$AO145))</f>
        <v>0</v>
      </c>
    </row>
    <row r="146" spans="1:42" x14ac:dyDescent="0.3">
      <c r="A146" s="15" t="s">
        <v>112</v>
      </c>
      <c r="B146" s="15">
        <v>1000</v>
      </c>
      <c r="C146" s="15" t="s">
        <v>54</v>
      </c>
      <c r="D146" s="15" t="s">
        <v>68</v>
      </c>
      <c r="E146" s="15" cm="1">
        <f t="array" ref="E146">IFERROR(_xlfn.XLOOKUP($A146&amp;"|"&amp;$B146&amp;"|"&amp;$D146,'21-AUGUST-2026'!$A$3:$A$199&amp;"|"&amp;'21-AUGUST-2026'!$B$3:$B$199&amp;"|"&amp;'21-AUGUST-2026'!$D$3:$D$199,'21-AUGUST-2026'!$T$3:$T$199,_xlfn.XLOOKUP($A146&amp;"|"&amp;$B146,'21-AUGUST-2026'!$A$3:$A$199&amp;"|"&amp;'21-AUGUST-2026'!$B$3:$B$199,'21-AUGUST-2026'!$T$3:$T$199,0)),0)</f>
        <v>2</v>
      </c>
      <c r="F146" s="15" cm="1">
        <f t="array" ref="F146">IFERROR(_xlfn.XLOOKUP($A146&amp;"|"&amp;$B146&amp;"|"&amp;$D146,'21-AUGUST-2026'!$A$3:$A$199&amp;"|"&amp;'21-AUGUST-2026'!$B$3:$B$199&amp;"|"&amp;'21-AUGUST-2026'!$D$3:$D$199,'21-AUGUST-2026'!$U$3:$U$199,_xlfn.XLOOKUP($A146&amp;"|"&amp;$B146,'21-AUGUST-2026'!$A$3:$A$199&amp;"|"&amp;'21-AUGUST-2026'!$B$3:$B$199,'21-AUGUST-2026'!$U$3:$U$199,0)),0)</f>
        <v>0</v>
      </c>
      <c r="G146" s="15">
        <f t="shared" si="48"/>
        <v>2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20">
        <v>0</v>
      </c>
      <c r="S146" s="20">
        <v>0</v>
      </c>
      <c r="T146" s="20">
        <v>0</v>
      </c>
      <c r="U146" s="17"/>
      <c r="V146" s="17"/>
      <c r="W146" s="20">
        <f t="shared" si="49"/>
        <v>0</v>
      </c>
      <c r="X146" s="21">
        <f t="shared" si="57"/>
        <v>2</v>
      </c>
      <c r="Y146" s="15">
        <f t="shared" si="58"/>
        <v>2</v>
      </c>
      <c r="Z146" s="15">
        <f t="shared" si="50"/>
        <v>0</v>
      </c>
      <c r="AA146" s="18" t="str">
        <f t="shared" si="51"/>
        <v/>
      </c>
      <c r="AB146" s="17">
        <v>0</v>
      </c>
      <c r="AC146" s="17">
        <v>0</v>
      </c>
      <c r="AD146" s="15">
        <f t="shared" si="53"/>
        <v>0</v>
      </c>
      <c r="AE146" s="17">
        <v>0</v>
      </c>
      <c r="AF146" s="17">
        <v>0</v>
      </c>
      <c r="AG146" s="15">
        <f t="shared" si="54"/>
        <v>0</v>
      </c>
      <c r="AH146" s="17">
        <v>0</v>
      </c>
      <c r="AI146" s="17">
        <v>0</v>
      </c>
      <c r="AJ146" s="15">
        <f t="shared" si="55"/>
        <v>0</v>
      </c>
      <c r="AK146" s="17">
        <v>0</v>
      </c>
      <c r="AL146" s="17">
        <v>0</v>
      </c>
      <c r="AM146" s="15">
        <f t="shared" si="56"/>
        <v>0</v>
      </c>
      <c r="AN146" s="17"/>
      <c r="AO146" s="53">
        <f t="shared" si="52"/>
        <v>2</v>
      </c>
      <c r="AP146" s="53">
        <f>IF($A146="",0,IF(COUNTIFS([1]Sheet1!$A$2:$A$190,$A146,[1]Sheet1!$B$2:$B$190,$B146,[1]Sheet1!$C$2:$C$190,"&gt;=0")=0,0,SUMIFS([1]Sheet1!$C$2:$C$190,[1]Sheet1!$A$2:$A$190,$A146,[1]Sheet1!$B$2:$B$190,$B146)-$AO146))</f>
        <v>0</v>
      </c>
    </row>
    <row r="147" spans="1:42" x14ac:dyDescent="0.3">
      <c r="A147" s="15" t="s">
        <v>113</v>
      </c>
      <c r="B147" s="15">
        <v>1000</v>
      </c>
      <c r="C147" s="15" t="s">
        <v>54</v>
      </c>
      <c r="D147" s="15" t="s">
        <v>68</v>
      </c>
      <c r="E147" s="15" cm="1">
        <f t="array" ref="E147">IFERROR(_xlfn.XLOOKUP($A147&amp;"|"&amp;$B147&amp;"|"&amp;$D147,'21-AUGUST-2026'!$A$3:$A$199&amp;"|"&amp;'21-AUGUST-2026'!$B$3:$B$199&amp;"|"&amp;'21-AUGUST-2026'!$D$3:$D$199,'21-AUGUST-2026'!$T$3:$T$199,_xlfn.XLOOKUP($A147&amp;"|"&amp;$B147,'21-AUGUST-2026'!$A$3:$A$199&amp;"|"&amp;'21-AUGUST-2026'!$B$3:$B$199,'21-AUGUST-2026'!$T$3:$T$199,0)),0)</f>
        <v>4</v>
      </c>
      <c r="F147" s="15" cm="1">
        <f t="array" ref="F147">IFERROR(_xlfn.XLOOKUP($A147&amp;"|"&amp;$B147&amp;"|"&amp;$D147,'21-AUGUST-2026'!$A$3:$A$199&amp;"|"&amp;'21-AUGUST-2026'!$B$3:$B$199&amp;"|"&amp;'21-AUGUST-2026'!$D$3:$D$199,'21-AUGUST-2026'!$U$3:$U$199,_xlfn.XLOOKUP($A147&amp;"|"&amp;$B147,'21-AUGUST-2026'!$A$3:$A$199&amp;"|"&amp;'21-AUGUST-2026'!$B$3:$B$199,'21-AUGUST-2026'!$U$3:$U$199,0)),0)</f>
        <v>0</v>
      </c>
      <c r="G147" s="15">
        <f t="shared" si="48"/>
        <v>4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20">
        <v>0</v>
      </c>
      <c r="S147" s="20">
        <v>0</v>
      </c>
      <c r="T147" s="20">
        <v>0</v>
      </c>
      <c r="U147" s="17"/>
      <c r="V147" s="17"/>
      <c r="W147" s="20">
        <f t="shared" si="49"/>
        <v>0</v>
      </c>
      <c r="X147" s="21">
        <f t="shared" si="57"/>
        <v>4</v>
      </c>
      <c r="Y147" s="15">
        <f t="shared" si="58"/>
        <v>4</v>
      </c>
      <c r="Z147" s="15">
        <f t="shared" si="50"/>
        <v>0</v>
      </c>
      <c r="AA147" s="18" t="str">
        <f t="shared" si="51"/>
        <v/>
      </c>
      <c r="AB147" s="17">
        <v>0</v>
      </c>
      <c r="AC147" s="17">
        <v>0</v>
      </c>
      <c r="AD147" s="15">
        <f t="shared" si="53"/>
        <v>0</v>
      </c>
      <c r="AE147" s="17">
        <v>0</v>
      </c>
      <c r="AF147" s="17">
        <v>0</v>
      </c>
      <c r="AG147" s="15">
        <f t="shared" si="54"/>
        <v>0</v>
      </c>
      <c r="AH147" s="17">
        <v>0</v>
      </c>
      <c r="AI147" s="17">
        <v>0</v>
      </c>
      <c r="AJ147" s="15">
        <f t="shared" si="55"/>
        <v>0</v>
      </c>
      <c r="AK147" s="17">
        <v>0</v>
      </c>
      <c r="AL147" s="17">
        <v>0</v>
      </c>
      <c r="AM147" s="15">
        <f t="shared" si="56"/>
        <v>0</v>
      </c>
      <c r="AN147" s="17"/>
      <c r="AO147" s="53">
        <f t="shared" si="52"/>
        <v>4</v>
      </c>
      <c r="AP147" s="53">
        <f>IF($A147="",0,IF(COUNTIFS([1]Sheet1!$A$2:$A$190,$A147,[1]Sheet1!$B$2:$B$190,$B147,[1]Sheet1!$C$2:$C$190,"&gt;=0")=0,0,SUMIFS([1]Sheet1!$C$2:$C$190,[1]Sheet1!$A$2:$A$190,$A147,[1]Sheet1!$B$2:$B$190,$B147)-$AO147))</f>
        <v>0</v>
      </c>
    </row>
    <row r="148" spans="1:42" x14ac:dyDescent="0.3">
      <c r="A148" s="15" t="s">
        <v>116</v>
      </c>
      <c r="B148" s="15">
        <v>5000</v>
      </c>
      <c r="C148" s="15" t="s">
        <v>54</v>
      </c>
      <c r="D148" s="15" t="s">
        <v>68</v>
      </c>
      <c r="E148" s="15" cm="1">
        <f t="array" ref="E148">IFERROR(_xlfn.XLOOKUP($A148&amp;"|"&amp;$B148&amp;"|"&amp;$D148,'21-AUGUST-2026'!$A$3:$A$199&amp;"|"&amp;'21-AUGUST-2026'!$B$3:$B$199&amp;"|"&amp;'21-AUGUST-2026'!$D$3:$D$199,'21-AUGUST-2026'!$T$3:$T$199,_xlfn.XLOOKUP($A148&amp;"|"&amp;$B148,'21-AUGUST-2026'!$A$3:$A$199&amp;"|"&amp;'21-AUGUST-2026'!$B$3:$B$199,'21-AUGUST-2026'!$T$3:$T$199,0)),0)</f>
        <v>1</v>
      </c>
      <c r="F148" s="15" cm="1">
        <f t="array" ref="F148">IFERROR(_xlfn.XLOOKUP($A148&amp;"|"&amp;$B148&amp;"|"&amp;$D148,'21-AUGUST-2026'!$A$3:$A$199&amp;"|"&amp;'21-AUGUST-2026'!$B$3:$B$199&amp;"|"&amp;'21-AUGUST-2026'!$D$3:$D$199,'21-AUGUST-2026'!$U$3:$U$199,_xlfn.XLOOKUP($A148&amp;"|"&amp;$B148,'21-AUGUST-2026'!$A$3:$A$199&amp;"|"&amp;'21-AUGUST-2026'!$B$3:$B$199,'21-AUGUST-2026'!$U$3:$U$199,0)),0)</f>
        <v>0</v>
      </c>
      <c r="G148" s="15">
        <f t="shared" si="48"/>
        <v>1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20">
        <v>0</v>
      </c>
      <c r="S148" s="20">
        <v>0</v>
      </c>
      <c r="T148" s="20">
        <v>0</v>
      </c>
      <c r="U148" s="17"/>
      <c r="V148" s="17"/>
      <c r="W148" s="20">
        <f t="shared" si="49"/>
        <v>0</v>
      </c>
      <c r="X148" s="21">
        <f t="shared" si="57"/>
        <v>1</v>
      </c>
      <c r="Y148" s="15">
        <f t="shared" si="58"/>
        <v>1</v>
      </c>
      <c r="Z148" s="15">
        <f t="shared" si="50"/>
        <v>0</v>
      </c>
      <c r="AA148" s="18" t="str">
        <f t="shared" si="51"/>
        <v/>
      </c>
      <c r="AB148" s="17">
        <v>0</v>
      </c>
      <c r="AC148" s="17">
        <v>0</v>
      </c>
      <c r="AD148" s="15">
        <f t="shared" si="53"/>
        <v>0</v>
      </c>
      <c r="AE148" s="17">
        <v>0</v>
      </c>
      <c r="AF148" s="17">
        <v>0</v>
      </c>
      <c r="AG148" s="15">
        <f t="shared" si="54"/>
        <v>0</v>
      </c>
      <c r="AH148" s="17">
        <v>0</v>
      </c>
      <c r="AI148" s="17">
        <v>0</v>
      </c>
      <c r="AJ148" s="15">
        <f t="shared" si="55"/>
        <v>0</v>
      </c>
      <c r="AK148" s="17">
        <v>0</v>
      </c>
      <c r="AL148" s="17">
        <v>0</v>
      </c>
      <c r="AM148" s="15">
        <f t="shared" si="56"/>
        <v>0</v>
      </c>
      <c r="AN148" s="17"/>
      <c r="AO148" s="53">
        <f t="shared" si="52"/>
        <v>1</v>
      </c>
      <c r="AP148" s="53">
        <f>IF($A148="",0,IF(COUNTIFS([1]Sheet1!$A$2:$A$190,$A148,[1]Sheet1!$B$2:$B$190,$B148,[1]Sheet1!$C$2:$C$190,"&gt;=0")=0,0,SUMIFS([1]Sheet1!$C$2:$C$190,[1]Sheet1!$A$2:$A$190,$A148,[1]Sheet1!$B$2:$B$190,$B148)-$AO148))</f>
        <v>0</v>
      </c>
    </row>
    <row r="149" spans="1:42" x14ac:dyDescent="0.3">
      <c r="A149" s="15" t="s">
        <v>118</v>
      </c>
      <c r="B149" s="15">
        <v>5000</v>
      </c>
      <c r="C149" s="15" t="s">
        <v>54</v>
      </c>
      <c r="D149" s="15" t="s">
        <v>68</v>
      </c>
      <c r="E149" s="15" cm="1">
        <f t="array" ref="E149">IFERROR(_xlfn.XLOOKUP($A149&amp;"|"&amp;$B149&amp;"|"&amp;$D149,'21-AUGUST-2026'!$A$3:$A$199&amp;"|"&amp;'21-AUGUST-2026'!$B$3:$B$199&amp;"|"&amp;'21-AUGUST-2026'!$D$3:$D$199,'21-AUGUST-2026'!$T$3:$T$199,_xlfn.XLOOKUP($A149&amp;"|"&amp;$B149,'21-AUGUST-2026'!$A$3:$A$199&amp;"|"&amp;'21-AUGUST-2026'!$B$3:$B$199,'21-AUGUST-2026'!$T$3:$T$199,0)),0)</f>
        <v>3</v>
      </c>
      <c r="F149" s="15" cm="1">
        <f t="array" ref="F149">IFERROR(_xlfn.XLOOKUP($A149&amp;"|"&amp;$B149&amp;"|"&amp;$D149,'21-AUGUST-2026'!$A$3:$A$199&amp;"|"&amp;'21-AUGUST-2026'!$B$3:$B$199&amp;"|"&amp;'21-AUGUST-2026'!$D$3:$D$199,'21-AUGUST-2026'!$U$3:$U$199,_xlfn.XLOOKUP($A149&amp;"|"&amp;$B149,'21-AUGUST-2026'!$A$3:$A$199&amp;"|"&amp;'21-AUGUST-2026'!$B$3:$B$199,'21-AUGUST-2026'!$U$3:$U$199,0)),0)</f>
        <v>0</v>
      </c>
      <c r="G149" s="15">
        <f t="shared" si="48"/>
        <v>3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20">
        <v>0</v>
      </c>
      <c r="S149" s="20">
        <v>0</v>
      </c>
      <c r="T149" s="20">
        <v>0</v>
      </c>
      <c r="U149" s="17"/>
      <c r="V149" s="17"/>
      <c r="W149" s="20">
        <f t="shared" si="49"/>
        <v>0</v>
      </c>
      <c r="X149" s="21">
        <f t="shared" si="57"/>
        <v>3</v>
      </c>
      <c r="Y149" s="15">
        <f t="shared" si="58"/>
        <v>3</v>
      </c>
      <c r="Z149" s="15">
        <f t="shared" si="50"/>
        <v>0</v>
      </c>
      <c r="AA149" s="18" t="str">
        <f t="shared" si="51"/>
        <v/>
      </c>
      <c r="AB149" s="17">
        <v>0</v>
      </c>
      <c r="AC149" s="17">
        <v>0</v>
      </c>
      <c r="AD149" s="15">
        <f t="shared" si="53"/>
        <v>0</v>
      </c>
      <c r="AE149" s="17">
        <v>0</v>
      </c>
      <c r="AF149" s="17">
        <v>0</v>
      </c>
      <c r="AG149" s="15">
        <f t="shared" si="54"/>
        <v>0</v>
      </c>
      <c r="AH149" s="17">
        <v>0</v>
      </c>
      <c r="AI149" s="17">
        <v>0</v>
      </c>
      <c r="AJ149" s="15">
        <f t="shared" si="55"/>
        <v>0</v>
      </c>
      <c r="AK149" s="17">
        <v>0</v>
      </c>
      <c r="AL149" s="17">
        <v>0</v>
      </c>
      <c r="AM149" s="15">
        <f t="shared" si="56"/>
        <v>0</v>
      </c>
      <c r="AN149" s="17"/>
      <c r="AO149" s="53">
        <f t="shared" si="52"/>
        <v>3</v>
      </c>
      <c r="AP149" s="53">
        <f>IF($A149="",0,IF(COUNTIFS([1]Sheet1!$A$2:$A$190,$A149,[1]Sheet1!$B$2:$B$190,$B149,[1]Sheet1!$C$2:$C$190,"&gt;=0")=0,0,SUMIFS([1]Sheet1!$C$2:$C$190,[1]Sheet1!$A$2:$A$190,$A149,[1]Sheet1!$B$2:$B$190,$B149)-$AO149))</f>
        <v>0</v>
      </c>
    </row>
    <row r="150" spans="1:42" x14ac:dyDescent="0.3">
      <c r="A150" s="15" t="s">
        <v>119</v>
      </c>
      <c r="B150" s="15">
        <v>100</v>
      </c>
      <c r="C150" s="15" t="s">
        <v>54</v>
      </c>
      <c r="D150" s="15" t="s">
        <v>68</v>
      </c>
      <c r="E150" s="15" cm="1">
        <f t="array" ref="E150">IFERROR(_xlfn.XLOOKUP($A150&amp;"|"&amp;$B150&amp;"|"&amp;$D150,'21-AUGUST-2026'!$A$3:$A$199&amp;"|"&amp;'21-AUGUST-2026'!$B$3:$B$199&amp;"|"&amp;'21-AUGUST-2026'!$D$3:$D$199,'21-AUGUST-2026'!$T$3:$T$199,_xlfn.XLOOKUP($A150&amp;"|"&amp;$B150,'21-AUGUST-2026'!$A$3:$A$199&amp;"|"&amp;'21-AUGUST-2026'!$B$3:$B$199,'21-AUGUST-2026'!$T$3:$T$199,0)),0)</f>
        <v>-6</v>
      </c>
      <c r="F150" s="15" cm="1">
        <f t="array" ref="F150">IFERROR(_xlfn.XLOOKUP($A150&amp;"|"&amp;$B150&amp;"|"&amp;$D150,'21-AUGUST-2026'!$A$3:$A$199&amp;"|"&amp;'21-AUGUST-2026'!$B$3:$B$199&amp;"|"&amp;'21-AUGUST-2026'!$D$3:$D$199,'21-AUGUST-2026'!$U$3:$U$199,_xlfn.XLOOKUP($A150&amp;"|"&amp;$B150,'21-AUGUST-2026'!$A$3:$A$199&amp;"|"&amp;'21-AUGUST-2026'!$B$3:$B$199,'21-AUGUST-2026'!$U$3:$U$199,0)),0)</f>
        <v>0</v>
      </c>
      <c r="G150" s="15">
        <f t="shared" si="48"/>
        <v>-6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20">
        <v>0</v>
      </c>
      <c r="S150" s="20">
        <v>0</v>
      </c>
      <c r="T150" s="20">
        <v>0</v>
      </c>
      <c r="U150" s="17"/>
      <c r="V150" s="17"/>
      <c r="W150" s="20">
        <f t="shared" si="49"/>
        <v>0</v>
      </c>
      <c r="X150" s="21">
        <f t="shared" si="57"/>
        <v>-6</v>
      </c>
      <c r="Y150" s="15">
        <f t="shared" si="58"/>
        <v>-6</v>
      </c>
      <c r="Z150" s="15">
        <f t="shared" si="50"/>
        <v>0</v>
      </c>
      <c r="AA150" s="18" t="str">
        <f t="shared" si="51"/>
        <v>NEGATIVE STOCK - CHECK ENTRIES</v>
      </c>
      <c r="AB150" s="17">
        <v>0</v>
      </c>
      <c r="AC150" s="17">
        <v>0</v>
      </c>
      <c r="AD150" s="15">
        <f t="shared" si="53"/>
        <v>0</v>
      </c>
      <c r="AE150" s="17">
        <v>0</v>
      </c>
      <c r="AF150" s="17">
        <v>0</v>
      </c>
      <c r="AG150" s="15">
        <f t="shared" si="54"/>
        <v>0</v>
      </c>
      <c r="AH150" s="17">
        <v>0</v>
      </c>
      <c r="AI150" s="17">
        <v>0</v>
      </c>
      <c r="AJ150" s="15">
        <f t="shared" si="55"/>
        <v>0</v>
      </c>
      <c r="AK150" s="17">
        <v>0</v>
      </c>
      <c r="AL150" s="17">
        <v>0</v>
      </c>
      <c r="AM150" s="15">
        <f t="shared" si="56"/>
        <v>0</v>
      </c>
      <c r="AN150" s="17"/>
      <c r="AO150" s="53">
        <f t="shared" si="52"/>
        <v>-6</v>
      </c>
      <c r="AP150" s="53">
        <f>IF($A150="",0,IF(COUNTIFS([1]Sheet1!$A$2:$A$190,$A150,[1]Sheet1!$B$2:$B$190,$B150,[1]Sheet1!$C$2:$C$190,"&gt;=0")=0,0,SUMIFS([1]Sheet1!$C$2:$C$190,[1]Sheet1!$A$2:$A$190,$A150,[1]Sheet1!$B$2:$B$190,$B150)-$AO150))</f>
        <v>0</v>
      </c>
    </row>
    <row r="151" spans="1:42" x14ac:dyDescent="0.3">
      <c r="A151" s="15" t="s">
        <v>121</v>
      </c>
      <c r="B151" s="15">
        <v>100</v>
      </c>
      <c r="C151" s="15" t="s">
        <v>54</v>
      </c>
      <c r="D151" s="15" t="s">
        <v>68</v>
      </c>
      <c r="E151" s="15" cm="1">
        <f t="array" ref="E151">IFERROR(_xlfn.XLOOKUP($A151&amp;"|"&amp;$B151&amp;"|"&amp;$D151,'21-AUGUST-2026'!$A$3:$A$199&amp;"|"&amp;'21-AUGUST-2026'!$B$3:$B$199&amp;"|"&amp;'21-AUGUST-2026'!$D$3:$D$199,'21-AUGUST-2026'!$T$3:$T$199,_xlfn.XLOOKUP($A151&amp;"|"&amp;$B151,'21-AUGUST-2026'!$A$3:$A$199&amp;"|"&amp;'21-AUGUST-2026'!$B$3:$B$199,'21-AUGUST-2026'!$T$3:$T$199,0)),0)</f>
        <v>5</v>
      </c>
      <c r="F151" s="15" cm="1">
        <f t="array" ref="F151">IFERROR(_xlfn.XLOOKUP($A151&amp;"|"&amp;$B151&amp;"|"&amp;$D151,'21-AUGUST-2026'!$A$3:$A$199&amp;"|"&amp;'21-AUGUST-2026'!$B$3:$B$199&amp;"|"&amp;'21-AUGUST-2026'!$D$3:$D$199,'21-AUGUST-2026'!$U$3:$U$199,_xlfn.XLOOKUP($A151&amp;"|"&amp;$B151,'21-AUGUST-2026'!$A$3:$A$199&amp;"|"&amp;'21-AUGUST-2026'!$B$3:$B$199,'21-AUGUST-2026'!$U$3:$U$199,0)),0)</f>
        <v>0</v>
      </c>
      <c r="G151" s="15">
        <f t="shared" si="48"/>
        <v>5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20">
        <v>0</v>
      </c>
      <c r="S151" s="20">
        <v>0</v>
      </c>
      <c r="T151" s="20">
        <v>0</v>
      </c>
      <c r="U151" s="17"/>
      <c r="V151" s="17"/>
      <c r="W151" s="20">
        <f t="shared" si="49"/>
        <v>0</v>
      </c>
      <c r="X151" s="21">
        <f t="shared" si="57"/>
        <v>5</v>
      </c>
      <c r="Y151" s="15">
        <f t="shared" si="58"/>
        <v>5</v>
      </c>
      <c r="Z151" s="15">
        <f t="shared" si="50"/>
        <v>0</v>
      </c>
      <c r="AA151" s="18" t="str">
        <f t="shared" si="51"/>
        <v/>
      </c>
      <c r="AB151" s="17">
        <v>0</v>
      </c>
      <c r="AC151" s="17">
        <v>0</v>
      </c>
      <c r="AD151" s="15">
        <f t="shared" si="53"/>
        <v>0</v>
      </c>
      <c r="AE151" s="17">
        <v>0</v>
      </c>
      <c r="AF151" s="17">
        <v>0</v>
      </c>
      <c r="AG151" s="15">
        <f t="shared" si="54"/>
        <v>0</v>
      </c>
      <c r="AH151" s="17">
        <v>0</v>
      </c>
      <c r="AI151" s="17">
        <v>0</v>
      </c>
      <c r="AJ151" s="15">
        <f t="shared" si="55"/>
        <v>0</v>
      </c>
      <c r="AK151" s="17">
        <v>0</v>
      </c>
      <c r="AL151" s="17">
        <v>0</v>
      </c>
      <c r="AM151" s="15">
        <f t="shared" si="56"/>
        <v>0</v>
      </c>
      <c r="AN151" s="17"/>
      <c r="AO151" s="53">
        <f t="shared" si="52"/>
        <v>5</v>
      </c>
      <c r="AP151" s="53">
        <f>IF($A151="",0,IF(COUNTIFS([1]Sheet1!$A$2:$A$190,$A151,[1]Sheet1!$B$2:$B$190,$B151,[1]Sheet1!$C$2:$C$190,"&gt;=0")=0,0,SUMIFS([1]Sheet1!$C$2:$C$190,[1]Sheet1!$A$2:$A$190,$A151,[1]Sheet1!$B$2:$B$190,$B151)-$AO151))</f>
        <v>0</v>
      </c>
    </row>
    <row r="152" spans="1:42" x14ac:dyDescent="0.3">
      <c r="A152" s="15" t="s">
        <v>122</v>
      </c>
      <c r="B152" s="15">
        <v>1000</v>
      </c>
      <c r="C152" s="15" t="s">
        <v>54</v>
      </c>
      <c r="D152" s="15" t="s">
        <v>68</v>
      </c>
      <c r="E152" s="15" cm="1">
        <f t="array" ref="E152">IFERROR(_xlfn.XLOOKUP($A152&amp;"|"&amp;$B152&amp;"|"&amp;$D152,'21-AUGUST-2026'!$A$3:$A$199&amp;"|"&amp;'21-AUGUST-2026'!$B$3:$B$199&amp;"|"&amp;'21-AUGUST-2026'!$D$3:$D$199,'21-AUGUST-2026'!$T$3:$T$199,_xlfn.XLOOKUP($A152&amp;"|"&amp;$B152,'21-AUGUST-2026'!$A$3:$A$199&amp;"|"&amp;'21-AUGUST-2026'!$B$3:$B$199,'21-AUGUST-2026'!$T$3:$T$199,0)),0)</f>
        <v>2</v>
      </c>
      <c r="F152" s="15" cm="1">
        <f t="array" ref="F152">IFERROR(_xlfn.XLOOKUP($A152&amp;"|"&amp;$B152&amp;"|"&amp;$D152,'21-AUGUST-2026'!$A$3:$A$199&amp;"|"&amp;'21-AUGUST-2026'!$B$3:$B$199&amp;"|"&amp;'21-AUGUST-2026'!$D$3:$D$199,'21-AUGUST-2026'!$U$3:$U$199,_xlfn.XLOOKUP($A152&amp;"|"&amp;$B152,'21-AUGUST-2026'!$A$3:$A$199&amp;"|"&amp;'21-AUGUST-2026'!$B$3:$B$199,'21-AUGUST-2026'!$U$3:$U$199,0)),0)</f>
        <v>0</v>
      </c>
      <c r="G152" s="15">
        <f t="shared" si="48"/>
        <v>2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20">
        <v>0</v>
      </c>
      <c r="S152" s="20">
        <v>0</v>
      </c>
      <c r="T152" s="20">
        <v>0</v>
      </c>
      <c r="U152" s="17"/>
      <c r="V152" s="17"/>
      <c r="W152" s="20">
        <f t="shared" si="49"/>
        <v>0</v>
      </c>
      <c r="X152" s="21">
        <f t="shared" si="57"/>
        <v>2</v>
      </c>
      <c r="Y152" s="15">
        <f t="shared" si="58"/>
        <v>2</v>
      </c>
      <c r="Z152" s="15">
        <f t="shared" si="50"/>
        <v>0</v>
      </c>
      <c r="AA152" s="18" t="str">
        <f t="shared" si="51"/>
        <v/>
      </c>
      <c r="AB152" s="17">
        <v>0</v>
      </c>
      <c r="AC152" s="17">
        <v>0</v>
      </c>
      <c r="AD152" s="15">
        <f t="shared" si="53"/>
        <v>0</v>
      </c>
      <c r="AE152" s="17">
        <v>0</v>
      </c>
      <c r="AF152" s="17">
        <v>0</v>
      </c>
      <c r="AG152" s="15">
        <f t="shared" si="54"/>
        <v>0</v>
      </c>
      <c r="AH152" s="17">
        <v>0</v>
      </c>
      <c r="AI152" s="17">
        <v>0</v>
      </c>
      <c r="AJ152" s="15">
        <f t="shared" si="55"/>
        <v>0</v>
      </c>
      <c r="AK152" s="17">
        <v>0</v>
      </c>
      <c r="AL152" s="17">
        <v>0</v>
      </c>
      <c r="AM152" s="15">
        <f t="shared" si="56"/>
        <v>0</v>
      </c>
      <c r="AN152" s="17"/>
      <c r="AO152" s="53">
        <f t="shared" si="52"/>
        <v>2</v>
      </c>
      <c r="AP152" s="53">
        <f>IF($A152="",0,IF(COUNTIFS([1]Sheet1!$A$2:$A$190,$A152,[1]Sheet1!$B$2:$B$190,$B152,[1]Sheet1!$C$2:$C$190,"&gt;=0")=0,0,SUMIFS([1]Sheet1!$C$2:$C$190,[1]Sheet1!$A$2:$A$190,$A152,[1]Sheet1!$B$2:$B$190,$B152)-$AO152))</f>
        <v>0</v>
      </c>
    </row>
    <row r="153" spans="1:42" x14ac:dyDescent="0.3">
      <c r="A153" s="15" t="s">
        <v>125</v>
      </c>
      <c r="B153" s="15">
        <v>1000</v>
      </c>
      <c r="C153" s="15" t="s">
        <v>54</v>
      </c>
      <c r="D153" s="15" t="s">
        <v>68</v>
      </c>
      <c r="E153" s="15" cm="1">
        <f t="array" ref="E153">IFERROR(_xlfn.XLOOKUP($A153&amp;"|"&amp;$B153&amp;"|"&amp;$D153,'21-AUGUST-2026'!$A$3:$A$199&amp;"|"&amp;'21-AUGUST-2026'!$B$3:$B$199&amp;"|"&amp;'21-AUGUST-2026'!$D$3:$D$199,'21-AUGUST-2026'!$T$3:$T$199,_xlfn.XLOOKUP($A153&amp;"|"&amp;$B153,'21-AUGUST-2026'!$A$3:$A$199&amp;"|"&amp;'21-AUGUST-2026'!$B$3:$B$199,'21-AUGUST-2026'!$T$3:$T$199,0)),0)</f>
        <v>4</v>
      </c>
      <c r="F153" s="15" cm="1">
        <f t="array" ref="F153">IFERROR(_xlfn.XLOOKUP($A153&amp;"|"&amp;$B153&amp;"|"&amp;$D153,'21-AUGUST-2026'!$A$3:$A$199&amp;"|"&amp;'21-AUGUST-2026'!$B$3:$B$199&amp;"|"&amp;'21-AUGUST-2026'!$D$3:$D$199,'21-AUGUST-2026'!$U$3:$U$199,_xlfn.XLOOKUP($A153&amp;"|"&amp;$B153,'21-AUGUST-2026'!$A$3:$A$199&amp;"|"&amp;'21-AUGUST-2026'!$B$3:$B$199,'21-AUGUST-2026'!$U$3:$U$199,0)),0)</f>
        <v>0</v>
      </c>
      <c r="G153" s="15">
        <f t="shared" si="48"/>
        <v>4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20">
        <v>0</v>
      </c>
      <c r="S153" s="20">
        <v>0</v>
      </c>
      <c r="T153" s="20">
        <v>0</v>
      </c>
      <c r="U153" s="17"/>
      <c r="V153" s="17"/>
      <c r="W153" s="20">
        <f t="shared" si="49"/>
        <v>0</v>
      </c>
      <c r="X153" s="21">
        <f t="shared" si="57"/>
        <v>2</v>
      </c>
      <c r="Y153" s="15">
        <f t="shared" si="58"/>
        <v>2</v>
      </c>
      <c r="Z153" s="15">
        <f t="shared" si="50"/>
        <v>0</v>
      </c>
      <c r="AA153" s="18" t="str">
        <f t="shared" si="51"/>
        <v/>
      </c>
      <c r="AB153" s="17">
        <v>0</v>
      </c>
      <c r="AC153" s="17">
        <v>0</v>
      </c>
      <c r="AD153" s="15">
        <f t="shared" si="53"/>
        <v>0</v>
      </c>
      <c r="AE153" s="17">
        <v>0</v>
      </c>
      <c r="AF153" s="17">
        <v>0</v>
      </c>
      <c r="AG153" s="15">
        <f t="shared" si="54"/>
        <v>0</v>
      </c>
      <c r="AH153" s="17">
        <v>0</v>
      </c>
      <c r="AI153" s="17">
        <v>0</v>
      </c>
      <c r="AJ153" s="15">
        <f t="shared" si="55"/>
        <v>0</v>
      </c>
      <c r="AK153" s="17">
        <v>0</v>
      </c>
      <c r="AL153" s="17">
        <v>0</v>
      </c>
      <c r="AM153" s="15">
        <f t="shared" si="56"/>
        <v>0</v>
      </c>
      <c r="AN153" s="17"/>
      <c r="AO153" s="53">
        <f t="shared" si="52"/>
        <v>4</v>
      </c>
      <c r="AP153" s="53">
        <f>IF($A153="",0,IF(COUNTIFS([1]Sheet1!$A$2:$A$190,$A153,[1]Sheet1!$B$2:$B$190,$B153,[1]Sheet1!$C$2:$C$190,"&gt;=0")=0,0,SUMIFS([1]Sheet1!$C$2:$C$190,[1]Sheet1!$A$2:$A$190,$A153,[1]Sheet1!$B$2:$B$190,$B153)-$AO153))</f>
        <v>-2</v>
      </c>
    </row>
    <row r="154" spans="1:42" x14ac:dyDescent="0.3">
      <c r="A154" s="15" t="s">
        <v>126</v>
      </c>
      <c r="B154" s="15">
        <v>1000</v>
      </c>
      <c r="C154" s="15" t="s">
        <v>54</v>
      </c>
      <c r="D154" s="15" t="s">
        <v>68</v>
      </c>
      <c r="E154" s="15" cm="1">
        <f t="array" ref="E154">IFERROR(_xlfn.XLOOKUP($A154&amp;"|"&amp;$B154&amp;"|"&amp;$D154,'21-AUGUST-2026'!$A$3:$A$199&amp;"|"&amp;'21-AUGUST-2026'!$B$3:$B$199&amp;"|"&amp;'21-AUGUST-2026'!$D$3:$D$199,'21-AUGUST-2026'!$T$3:$T$199,_xlfn.XLOOKUP($A154&amp;"|"&amp;$B154,'21-AUGUST-2026'!$A$3:$A$199&amp;"|"&amp;'21-AUGUST-2026'!$B$3:$B$199,'21-AUGUST-2026'!$T$3:$T$199,0)),0)</f>
        <v>0</v>
      </c>
      <c r="F154" s="15" cm="1">
        <f t="array" ref="F154">IFERROR(_xlfn.XLOOKUP($A154&amp;"|"&amp;$B154&amp;"|"&amp;$D154,'21-AUGUST-2026'!$A$3:$A$199&amp;"|"&amp;'21-AUGUST-2026'!$B$3:$B$199&amp;"|"&amp;'21-AUGUST-2026'!$D$3:$D$199,'21-AUGUST-2026'!$U$3:$U$199,_xlfn.XLOOKUP($A154&amp;"|"&amp;$B154,'21-AUGUST-2026'!$A$3:$A$199&amp;"|"&amp;'21-AUGUST-2026'!$B$3:$B$199,'21-AUGUST-2026'!$U$3:$U$199,0)),0)</f>
        <v>0</v>
      </c>
      <c r="G154" s="15">
        <f t="shared" si="48"/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20">
        <v>0</v>
      </c>
      <c r="S154" s="20">
        <v>0</v>
      </c>
      <c r="T154" s="20">
        <v>0</v>
      </c>
      <c r="U154" s="17"/>
      <c r="V154" s="17"/>
      <c r="W154" s="20">
        <f t="shared" si="49"/>
        <v>0</v>
      </c>
      <c r="X154" s="21">
        <f t="shared" si="57"/>
        <v>3</v>
      </c>
      <c r="Y154" s="15">
        <f t="shared" si="58"/>
        <v>3</v>
      </c>
      <c r="Z154" s="15">
        <f t="shared" si="50"/>
        <v>0</v>
      </c>
      <c r="AA154" s="18" t="str">
        <f t="shared" si="51"/>
        <v/>
      </c>
      <c r="AB154" s="17">
        <v>0</v>
      </c>
      <c r="AC154" s="17">
        <v>0</v>
      </c>
      <c r="AD154" s="15">
        <f t="shared" si="53"/>
        <v>0</v>
      </c>
      <c r="AE154" s="17">
        <v>0</v>
      </c>
      <c r="AF154" s="17">
        <v>0</v>
      </c>
      <c r="AG154" s="15">
        <f t="shared" si="54"/>
        <v>0</v>
      </c>
      <c r="AH154" s="17">
        <v>0</v>
      </c>
      <c r="AI154" s="17">
        <v>0</v>
      </c>
      <c r="AJ154" s="15">
        <f t="shared" si="55"/>
        <v>0</v>
      </c>
      <c r="AK154" s="17">
        <v>0</v>
      </c>
      <c r="AL154" s="17">
        <v>0</v>
      </c>
      <c r="AM154" s="15">
        <f t="shared" si="56"/>
        <v>0</v>
      </c>
      <c r="AN154" s="17"/>
      <c r="AO154" s="53">
        <f t="shared" si="52"/>
        <v>0</v>
      </c>
      <c r="AP154" s="53">
        <f>IF($A154="",0,IF(COUNTIFS([1]Sheet1!$A$2:$A$190,$A154,[1]Sheet1!$B$2:$B$190,$B154,[1]Sheet1!$C$2:$C$190,"&gt;=0")=0,0,SUMIFS([1]Sheet1!$C$2:$C$190,[1]Sheet1!$A$2:$A$190,$A154,[1]Sheet1!$B$2:$B$190,$B154)-$AO154))</f>
        <v>3</v>
      </c>
    </row>
    <row r="155" spans="1:42" x14ac:dyDescent="0.3">
      <c r="A155" s="15" t="s">
        <v>136</v>
      </c>
      <c r="B155" s="15">
        <v>100000</v>
      </c>
      <c r="C155" s="15" t="s">
        <v>54</v>
      </c>
      <c r="D155" s="15" t="s">
        <v>68</v>
      </c>
      <c r="E155" s="15" cm="1">
        <f t="array" ref="E155">IFERROR(_xlfn.XLOOKUP($A155&amp;"|"&amp;$B155&amp;"|"&amp;$D155,'21-AUGUST-2026'!$A$3:$A$199&amp;"|"&amp;'21-AUGUST-2026'!$B$3:$B$199&amp;"|"&amp;'21-AUGUST-2026'!$D$3:$D$199,'21-AUGUST-2026'!$T$3:$T$199,_xlfn.XLOOKUP($A155&amp;"|"&amp;$B155,'21-AUGUST-2026'!$A$3:$A$199&amp;"|"&amp;'21-AUGUST-2026'!$B$3:$B$199,'21-AUGUST-2026'!$T$3:$T$199,0)),0)</f>
        <v>1</v>
      </c>
      <c r="F155" s="15" cm="1">
        <f t="array" ref="F155">IFERROR(_xlfn.XLOOKUP($A155&amp;"|"&amp;$B155&amp;"|"&amp;$D155,'21-AUGUST-2026'!$A$3:$A$199&amp;"|"&amp;'21-AUGUST-2026'!$B$3:$B$199&amp;"|"&amp;'21-AUGUST-2026'!$D$3:$D$199,'21-AUGUST-2026'!$U$3:$U$199,_xlfn.XLOOKUP($A155&amp;"|"&amp;$B155,'21-AUGUST-2026'!$A$3:$A$199&amp;"|"&amp;'21-AUGUST-2026'!$B$3:$B$199,'21-AUGUST-2026'!$U$3:$U$199,0)),0)</f>
        <v>0</v>
      </c>
      <c r="G155" s="15">
        <f t="shared" si="48"/>
        <v>1</v>
      </c>
      <c r="H155" s="17">
        <v>0</v>
      </c>
      <c r="I155" s="17">
        <v>0</v>
      </c>
      <c r="J155" s="17">
        <v>0</v>
      </c>
      <c r="K155" s="17">
        <v>1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20">
        <v>0</v>
      </c>
      <c r="S155" s="20">
        <v>0</v>
      </c>
      <c r="T155" s="20">
        <v>0</v>
      </c>
      <c r="U155" s="17"/>
      <c r="V155" s="17"/>
      <c r="W155" s="20">
        <f t="shared" si="49"/>
        <v>0</v>
      </c>
      <c r="X155" s="21">
        <f t="shared" si="57"/>
        <v>1</v>
      </c>
      <c r="Y155" s="15">
        <f t="shared" si="58"/>
        <v>1</v>
      </c>
      <c r="Z155" s="15">
        <f t="shared" si="50"/>
        <v>0</v>
      </c>
      <c r="AA155" s="18" t="str">
        <f t="shared" si="51"/>
        <v/>
      </c>
      <c r="AB155" s="17">
        <v>0</v>
      </c>
      <c r="AC155" s="17">
        <v>0</v>
      </c>
      <c r="AD155" s="15">
        <f t="shared" si="53"/>
        <v>0</v>
      </c>
      <c r="AE155" s="17">
        <v>1</v>
      </c>
      <c r="AF155" s="17">
        <v>0</v>
      </c>
      <c r="AG155" s="15">
        <f t="shared" si="54"/>
        <v>1</v>
      </c>
      <c r="AH155" s="17">
        <v>0</v>
      </c>
      <c r="AI155" s="17">
        <v>0</v>
      </c>
      <c r="AJ155" s="15">
        <f t="shared" si="55"/>
        <v>0</v>
      </c>
      <c r="AK155" s="17">
        <v>0</v>
      </c>
      <c r="AL155" s="17">
        <v>0</v>
      </c>
      <c r="AM155" s="15">
        <f t="shared" si="56"/>
        <v>0</v>
      </c>
      <c r="AN155" s="17"/>
      <c r="AO155" s="53">
        <f t="shared" si="52"/>
        <v>0</v>
      </c>
      <c r="AP155" s="53">
        <f>IF($A155="",0,IF(COUNTIFS([1]Sheet1!$A$2:$A$190,$A155,[1]Sheet1!$B$2:$B$190,$B155,[1]Sheet1!$C$2:$C$190,"&gt;=0")=0,0,SUMIFS([1]Sheet1!$C$2:$C$190,[1]Sheet1!$A$2:$A$190,$A155,[1]Sheet1!$B$2:$B$190,$B155)-$AO155))</f>
        <v>1</v>
      </c>
    </row>
    <row r="156" spans="1:42" x14ac:dyDescent="0.3">
      <c r="A156" s="15" t="s">
        <v>137</v>
      </c>
      <c r="B156" s="15">
        <v>1000</v>
      </c>
      <c r="C156" s="15" t="s">
        <v>54</v>
      </c>
      <c r="D156" s="15" t="s">
        <v>68</v>
      </c>
      <c r="E156" s="15" cm="1">
        <f t="array" ref="E156">IFERROR(_xlfn.XLOOKUP($A156&amp;"|"&amp;$B156&amp;"|"&amp;$D156,'21-AUGUST-2026'!$A$3:$A$199&amp;"|"&amp;'21-AUGUST-2026'!$B$3:$B$199&amp;"|"&amp;'21-AUGUST-2026'!$D$3:$D$199,'21-AUGUST-2026'!$T$3:$T$199,_xlfn.XLOOKUP($A156&amp;"|"&amp;$B156,'21-AUGUST-2026'!$A$3:$A$199&amp;"|"&amp;'21-AUGUST-2026'!$B$3:$B$199,'21-AUGUST-2026'!$T$3:$T$199,0)),0)</f>
        <v>5</v>
      </c>
      <c r="F156" s="15" cm="1">
        <f t="array" ref="F156">IFERROR(_xlfn.XLOOKUP($A156&amp;"|"&amp;$B156&amp;"|"&amp;$D156,'21-AUGUST-2026'!$A$3:$A$199&amp;"|"&amp;'21-AUGUST-2026'!$B$3:$B$199&amp;"|"&amp;'21-AUGUST-2026'!$D$3:$D$199,'21-AUGUST-2026'!$U$3:$U$199,_xlfn.XLOOKUP($A156&amp;"|"&amp;$B156,'21-AUGUST-2026'!$A$3:$A$199&amp;"|"&amp;'21-AUGUST-2026'!$B$3:$B$199,'21-AUGUST-2026'!$U$3:$U$199,0)),0)</f>
        <v>0</v>
      </c>
      <c r="G156" s="15">
        <f t="shared" si="48"/>
        <v>5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20">
        <v>0</v>
      </c>
      <c r="S156" s="20">
        <v>0</v>
      </c>
      <c r="T156" s="20">
        <v>0</v>
      </c>
      <c r="U156" s="17"/>
      <c r="V156" s="17"/>
      <c r="W156" s="20">
        <f t="shared" si="49"/>
        <v>0</v>
      </c>
      <c r="X156" s="21">
        <f t="shared" si="57"/>
        <v>5</v>
      </c>
      <c r="Y156" s="15">
        <f t="shared" si="58"/>
        <v>5</v>
      </c>
      <c r="Z156" s="15">
        <f t="shared" si="50"/>
        <v>0</v>
      </c>
      <c r="AA156" s="18" t="str">
        <f t="shared" si="51"/>
        <v/>
      </c>
      <c r="AB156" s="17">
        <v>0</v>
      </c>
      <c r="AC156" s="17">
        <v>0</v>
      </c>
      <c r="AD156" s="15">
        <f t="shared" si="53"/>
        <v>0</v>
      </c>
      <c r="AE156" s="17">
        <v>0</v>
      </c>
      <c r="AF156" s="17">
        <v>0</v>
      </c>
      <c r="AG156" s="15">
        <f t="shared" si="54"/>
        <v>0</v>
      </c>
      <c r="AH156" s="17">
        <v>0</v>
      </c>
      <c r="AI156" s="17">
        <v>0</v>
      </c>
      <c r="AJ156" s="15">
        <f t="shared" si="55"/>
        <v>0</v>
      </c>
      <c r="AK156" s="17">
        <v>0</v>
      </c>
      <c r="AL156" s="17">
        <v>0</v>
      </c>
      <c r="AM156" s="15">
        <f t="shared" si="56"/>
        <v>0</v>
      </c>
      <c r="AN156" s="17"/>
      <c r="AO156" s="53">
        <f t="shared" si="52"/>
        <v>5</v>
      </c>
      <c r="AP156" s="53">
        <f>IF($A156="",0,IF(COUNTIFS([1]Sheet1!$A$2:$A$190,$A156,[1]Sheet1!$B$2:$B$190,$B156,[1]Sheet1!$C$2:$C$190,"&gt;=0")=0,0,SUMIFS([1]Sheet1!$C$2:$C$190,[1]Sheet1!$A$2:$A$190,$A156,[1]Sheet1!$B$2:$B$190,$B156)-$AO156))</f>
        <v>0</v>
      </c>
    </row>
    <row r="157" spans="1:42" x14ac:dyDescent="0.3">
      <c r="A157" s="15" t="s">
        <v>139</v>
      </c>
      <c r="B157" s="15">
        <v>100</v>
      </c>
      <c r="C157" s="15" t="s">
        <v>54</v>
      </c>
      <c r="D157" s="15" t="s">
        <v>68</v>
      </c>
      <c r="E157" s="15" cm="1">
        <f t="array" ref="E157">IFERROR(_xlfn.XLOOKUP($A157&amp;"|"&amp;$B157&amp;"|"&amp;$D157,'21-AUGUST-2026'!$A$3:$A$199&amp;"|"&amp;'21-AUGUST-2026'!$B$3:$B$199&amp;"|"&amp;'21-AUGUST-2026'!$D$3:$D$199,'21-AUGUST-2026'!$T$3:$T$199,_xlfn.XLOOKUP($A157&amp;"|"&amp;$B157,'21-AUGUST-2026'!$A$3:$A$199&amp;"|"&amp;'21-AUGUST-2026'!$B$3:$B$199,'21-AUGUST-2026'!$T$3:$T$199,0)),0)</f>
        <v>8</v>
      </c>
      <c r="F157" s="15" cm="1">
        <f t="array" ref="F157">IFERROR(_xlfn.XLOOKUP($A157&amp;"|"&amp;$B157&amp;"|"&amp;$D157,'21-AUGUST-2026'!$A$3:$A$199&amp;"|"&amp;'21-AUGUST-2026'!$B$3:$B$199&amp;"|"&amp;'21-AUGUST-2026'!$D$3:$D$199,'21-AUGUST-2026'!$U$3:$U$199,_xlfn.XLOOKUP($A157&amp;"|"&amp;$B157,'21-AUGUST-2026'!$A$3:$A$199&amp;"|"&amp;'21-AUGUST-2026'!$B$3:$B$199,'21-AUGUST-2026'!$U$3:$U$199,0)),0)</f>
        <v>0</v>
      </c>
      <c r="G157" s="15">
        <f t="shared" si="48"/>
        <v>8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20">
        <v>0</v>
      </c>
      <c r="S157" s="20">
        <v>0</v>
      </c>
      <c r="T157" s="20">
        <v>0</v>
      </c>
      <c r="U157" s="17"/>
      <c r="V157" s="17"/>
      <c r="W157" s="20">
        <f t="shared" si="49"/>
        <v>0</v>
      </c>
      <c r="X157" s="21">
        <f t="shared" si="57"/>
        <v>8</v>
      </c>
      <c r="Y157" s="15">
        <f t="shared" si="58"/>
        <v>8</v>
      </c>
      <c r="Z157" s="15">
        <f t="shared" si="50"/>
        <v>0</v>
      </c>
      <c r="AA157" s="18" t="str">
        <f t="shared" si="51"/>
        <v/>
      </c>
      <c r="AB157" s="17">
        <v>0</v>
      </c>
      <c r="AC157" s="17">
        <v>0</v>
      </c>
      <c r="AD157" s="15">
        <f t="shared" si="53"/>
        <v>0</v>
      </c>
      <c r="AE157" s="17">
        <v>0</v>
      </c>
      <c r="AF157" s="17">
        <v>0</v>
      </c>
      <c r="AG157" s="15">
        <f t="shared" si="54"/>
        <v>0</v>
      </c>
      <c r="AH157" s="17">
        <v>0</v>
      </c>
      <c r="AI157" s="17">
        <v>0</v>
      </c>
      <c r="AJ157" s="15">
        <f t="shared" si="55"/>
        <v>0</v>
      </c>
      <c r="AK157" s="17">
        <v>0</v>
      </c>
      <c r="AL157" s="17">
        <v>0</v>
      </c>
      <c r="AM157" s="15">
        <f t="shared" si="56"/>
        <v>0</v>
      </c>
      <c r="AN157" s="17"/>
      <c r="AO157" s="53">
        <f t="shared" si="52"/>
        <v>8</v>
      </c>
      <c r="AP157" s="53">
        <f>IF($A157="",0,IF(COUNTIFS([1]Sheet1!$A$2:$A$190,$A157,[1]Sheet1!$B$2:$B$190,$B157,[1]Sheet1!$C$2:$C$190,"&gt;=0")=0,0,SUMIFS([1]Sheet1!$C$2:$C$190,[1]Sheet1!$A$2:$A$190,$A157,[1]Sheet1!$B$2:$B$190,$B157)-$AO157))</f>
        <v>0</v>
      </c>
    </row>
    <row r="158" spans="1:42" x14ac:dyDescent="0.3">
      <c r="A158" s="15" t="s">
        <v>140</v>
      </c>
      <c r="B158" s="15">
        <v>1000</v>
      </c>
      <c r="C158" s="15" t="s">
        <v>54</v>
      </c>
      <c r="D158" s="15" t="s">
        <v>68</v>
      </c>
      <c r="E158" s="15" cm="1">
        <f t="array" ref="E158">IFERROR(_xlfn.XLOOKUP($A158&amp;"|"&amp;$B158&amp;"|"&amp;$D158,'21-AUGUST-2026'!$A$3:$A$199&amp;"|"&amp;'21-AUGUST-2026'!$B$3:$B$199&amp;"|"&amp;'21-AUGUST-2026'!$D$3:$D$199,'21-AUGUST-2026'!$T$3:$T$199,_xlfn.XLOOKUP($A158&amp;"|"&amp;$B158,'21-AUGUST-2026'!$A$3:$A$199&amp;"|"&amp;'21-AUGUST-2026'!$B$3:$B$199,'21-AUGUST-2026'!$T$3:$T$199,0)),0)</f>
        <v>7</v>
      </c>
      <c r="F158" s="15" cm="1">
        <f t="array" ref="F158">IFERROR(_xlfn.XLOOKUP($A158&amp;"|"&amp;$B158&amp;"|"&amp;$D158,'21-AUGUST-2026'!$A$3:$A$199&amp;"|"&amp;'21-AUGUST-2026'!$B$3:$B$199&amp;"|"&amp;'21-AUGUST-2026'!$D$3:$D$199,'21-AUGUST-2026'!$U$3:$U$199,_xlfn.XLOOKUP($A158&amp;"|"&amp;$B158,'21-AUGUST-2026'!$A$3:$A$199&amp;"|"&amp;'21-AUGUST-2026'!$B$3:$B$199,'21-AUGUST-2026'!$U$3:$U$199,0)),0)</f>
        <v>0</v>
      </c>
      <c r="G158" s="15">
        <f t="shared" si="48"/>
        <v>7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20">
        <v>0</v>
      </c>
      <c r="S158" s="20">
        <v>0</v>
      </c>
      <c r="T158" s="20">
        <v>0</v>
      </c>
      <c r="U158" s="17"/>
      <c r="V158" s="17"/>
      <c r="W158" s="20">
        <f t="shared" si="49"/>
        <v>0</v>
      </c>
      <c r="X158" s="21">
        <f t="shared" si="57"/>
        <v>7</v>
      </c>
      <c r="Y158" s="15">
        <f t="shared" si="58"/>
        <v>7</v>
      </c>
      <c r="Z158" s="15">
        <f t="shared" si="50"/>
        <v>0</v>
      </c>
      <c r="AA158" s="18" t="str">
        <f t="shared" si="51"/>
        <v/>
      </c>
      <c r="AB158" s="17">
        <v>0</v>
      </c>
      <c r="AC158" s="17">
        <v>0</v>
      </c>
      <c r="AD158" s="15">
        <f t="shared" si="53"/>
        <v>0</v>
      </c>
      <c r="AE158" s="17">
        <v>0</v>
      </c>
      <c r="AF158" s="17">
        <v>0</v>
      </c>
      <c r="AG158" s="15">
        <f t="shared" si="54"/>
        <v>0</v>
      </c>
      <c r="AH158" s="17">
        <v>0</v>
      </c>
      <c r="AI158" s="17">
        <v>0</v>
      </c>
      <c r="AJ158" s="15">
        <f t="shared" si="55"/>
        <v>0</v>
      </c>
      <c r="AK158" s="17">
        <v>0</v>
      </c>
      <c r="AL158" s="17">
        <v>0</v>
      </c>
      <c r="AM158" s="15">
        <f t="shared" si="56"/>
        <v>0</v>
      </c>
      <c r="AN158" s="17"/>
      <c r="AO158" s="53">
        <f t="shared" si="52"/>
        <v>7</v>
      </c>
      <c r="AP158" s="53">
        <f>IF($A158="",0,IF(COUNTIFS([1]Sheet1!$A$2:$A$190,$A158,[1]Sheet1!$B$2:$B$190,$B158,[1]Sheet1!$C$2:$C$190,"&gt;=0")=0,0,SUMIFS([1]Sheet1!$C$2:$C$190,[1]Sheet1!$A$2:$A$190,$A158,[1]Sheet1!$B$2:$B$190,$B158)-$AO158))</f>
        <v>0</v>
      </c>
    </row>
    <row r="159" spans="1:42" x14ac:dyDescent="0.3">
      <c r="A159" s="15" t="s">
        <v>144</v>
      </c>
      <c r="B159" s="15">
        <v>1000</v>
      </c>
      <c r="C159" s="15" t="s">
        <v>54</v>
      </c>
      <c r="D159" s="15" t="s">
        <v>68</v>
      </c>
      <c r="E159" s="15" cm="1">
        <f t="array" ref="E159">IFERROR(_xlfn.XLOOKUP($A159&amp;"|"&amp;$B159&amp;"|"&amp;$D159,'21-AUGUST-2026'!$A$3:$A$199&amp;"|"&amp;'21-AUGUST-2026'!$B$3:$B$199&amp;"|"&amp;'21-AUGUST-2026'!$D$3:$D$199,'21-AUGUST-2026'!$T$3:$T$199,_xlfn.XLOOKUP($A159&amp;"|"&amp;$B159,'21-AUGUST-2026'!$A$3:$A$199&amp;"|"&amp;'21-AUGUST-2026'!$B$3:$B$199,'21-AUGUST-2026'!$T$3:$T$199,0)),0)</f>
        <v>1</v>
      </c>
      <c r="F159" s="15" cm="1">
        <f t="array" ref="F159">IFERROR(_xlfn.XLOOKUP($A159&amp;"|"&amp;$B159&amp;"|"&amp;$D159,'21-AUGUST-2026'!$A$3:$A$199&amp;"|"&amp;'21-AUGUST-2026'!$B$3:$B$199&amp;"|"&amp;'21-AUGUST-2026'!$D$3:$D$199,'21-AUGUST-2026'!$U$3:$U$199,_xlfn.XLOOKUP($A159&amp;"|"&amp;$B159,'21-AUGUST-2026'!$A$3:$A$199&amp;"|"&amp;'21-AUGUST-2026'!$B$3:$B$199,'21-AUGUST-2026'!$U$3:$U$199,0)),0)</f>
        <v>0</v>
      </c>
      <c r="G159" s="15">
        <f t="shared" si="48"/>
        <v>1</v>
      </c>
      <c r="H159" s="17">
        <v>0</v>
      </c>
      <c r="I159" s="17">
        <v>0</v>
      </c>
      <c r="J159" s="17">
        <v>0</v>
      </c>
      <c r="K159" s="17">
        <v>1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20">
        <v>0</v>
      </c>
      <c r="S159" s="20">
        <v>0</v>
      </c>
      <c r="T159" s="20">
        <v>0</v>
      </c>
      <c r="U159" s="17"/>
      <c r="V159" s="17"/>
      <c r="W159" s="20">
        <f t="shared" si="49"/>
        <v>0</v>
      </c>
      <c r="X159" s="21">
        <f t="shared" si="57"/>
        <v>0</v>
      </c>
      <c r="Y159" s="15">
        <f t="shared" si="58"/>
        <v>0</v>
      </c>
      <c r="Z159" s="15">
        <f t="shared" si="50"/>
        <v>0</v>
      </c>
      <c r="AA159" s="18" t="str">
        <f t="shared" si="51"/>
        <v/>
      </c>
      <c r="AB159" s="17">
        <v>1</v>
      </c>
      <c r="AC159" s="17">
        <v>0</v>
      </c>
      <c r="AD159" s="15">
        <f t="shared" si="53"/>
        <v>1</v>
      </c>
      <c r="AE159" s="17">
        <v>0</v>
      </c>
      <c r="AF159" s="17">
        <v>0</v>
      </c>
      <c r="AG159" s="15">
        <f t="shared" si="54"/>
        <v>0</v>
      </c>
      <c r="AH159" s="17">
        <v>0</v>
      </c>
      <c r="AI159" s="17">
        <v>0</v>
      </c>
      <c r="AJ159" s="15">
        <f t="shared" si="55"/>
        <v>0</v>
      </c>
      <c r="AK159" s="17">
        <v>0</v>
      </c>
      <c r="AL159" s="17">
        <v>0</v>
      </c>
      <c r="AM159" s="15">
        <f t="shared" si="56"/>
        <v>0</v>
      </c>
      <c r="AN159" s="17"/>
      <c r="AO159" s="53">
        <f t="shared" si="52"/>
        <v>0</v>
      </c>
      <c r="AP159" s="53">
        <f>IF($A159="",0,IF(COUNTIFS([1]Sheet1!$A$2:$A$190,$A159,[1]Sheet1!$B$2:$B$190,$B159,[1]Sheet1!$C$2:$C$190,"&gt;=0")=0,0,SUMIFS([1]Sheet1!$C$2:$C$190,[1]Sheet1!$A$2:$A$190,$A159,[1]Sheet1!$B$2:$B$190,$B159)-$AO159))</f>
        <v>0</v>
      </c>
    </row>
    <row r="160" spans="1:42" x14ac:dyDescent="0.3">
      <c r="A160" s="15" t="s">
        <v>145</v>
      </c>
      <c r="B160" s="15">
        <v>1000</v>
      </c>
      <c r="C160" s="15" t="s">
        <v>54</v>
      </c>
      <c r="D160" s="15" t="s">
        <v>68</v>
      </c>
      <c r="E160" s="15" cm="1">
        <f t="array" ref="E160">IFERROR(_xlfn.XLOOKUP($A160&amp;"|"&amp;$B160&amp;"|"&amp;$D160,'21-AUGUST-2026'!$A$3:$A$199&amp;"|"&amp;'21-AUGUST-2026'!$B$3:$B$199&amp;"|"&amp;'21-AUGUST-2026'!$D$3:$D$199,'21-AUGUST-2026'!$T$3:$T$199,_xlfn.XLOOKUP($A160&amp;"|"&amp;$B160,'21-AUGUST-2026'!$A$3:$A$199&amp;"|"&amp;'21-AUGUST-2026'!$B$3:$B$199,'21-AUGUST-2026'!$T$3:$T$199,0)),0)</f>
        <v>5</v>
      </c>
      <c r="F160" s="15" cm="1">
        <f t="array" ref="F160">IFERROR(_xlfn.XLOOKUP($A160&amp;"|"&amp;$B160&amp;"|"&amp;$D160,'21-AUGUST-2026'!$A$3:$A$199&amp;"|"&amp;'21-AUGUST-2026'!$B$3:$B$199&amp;"|"&amp;'21-AUGUST-2026'!$D$3:$D$199,'21-AUGUST-2026'!$U$3:$U$199,_xlfn.XLOOKUP($A160&amp;"|"&amp;$B160,'21-AUGUST-2026'!$A$3:$A$199&amp;"|"&amp;'21-AUGUST-2026'!$B$3:$B$199,'21-AUGUST-2026'!$U$3:$U$199,0)),0)</f>
        <v>0</v>
      </c>
      <c r="G160" s="15">
        <f t="shared" si="48"/>
        <v>5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20">
        <v>0</v>
      </c>
      <c r="S160" s="20">
        <v>0</v>
      </c>
      <c r="T160" s="20">
        <v>0</v>
      </c>
      <c r="U160" s="17"/>
      <c r="V160" s="17"/>
      <c r="W160" s="20">
        <f t="shared" si="49"/>
        <v>0</v>
      </c>
      <c r="X160" s="21">
        <f t="shared" si="57"/>
        <v>5</v>
      </c>
      <c r="Y160" s="15">
        <f t="shared" si="58"/>
        <v>5</v>
      </c>
      <c r="Z160" s="15">
        <f t="shared" si="50"/>
        <v>0</v>
      </c>
      <c r="AA160" s="18" t="str">
        <f t="shared" si="51"/>
        <v/>
      </c>
      <c r="AB160" s="17">
        <v>0</v>
      </c>
      <c r="AC160" s="17">
        <v>0</v>
      </c>
      <c r="AD160" s="15">
        <f t="shared" si="53"/>
        <v>0</v>
      </c>
      <c r="AE160" s="17">
        <v>0</v>
      </c>
      <c r="AF160" s="17">
        <v>0</v>
      </c>
      <c r="AG160" s="15">
        <f t="shared" si="54"/>
        <v>0</v>
      </c>
      <c r="AH160" s="17">
        <v>0</v>
      </c>
      <c r="AI160" s="17">
        <v>0</v>
      </c>
      <c r="AJ160" s="15">
        <f t="shared" si="55"/>
        <v>0</v>
      </c>
      <c r="AK160" s="17">
        <v>0</v>
      </c>
      <c r="AL160" s="17">
        <v>0</v>
      </c>
      <c r="AM160" s="15">
        <f t="shared" si="56"/>
        <v>0</v>
      </c>
      <c r="AN160" s="17"/>
      <c r="AO160" s="53">
        <f t="shared" si="52"/>
        <v>5</v>
      </c>
      <c r="AP160" s="53">
        <f>IF($A160="",0,IF(COUNTIFS([1]Sheet1!$A$2:$A$190,$A160,[1]Sheet1!$B$2:$B$190,$B160,[1]Sheet1!$C$2:$C$190,"&gt;=0")=0,0,SUMIFS([1]Sheet1!$C$2:$C$190,[1]Sheet1!$A$2:$A$190,$A160,[1]Sheet1!$B$2:$B$190,$B160)-$AO160))</f>
        <v>0</v>
      </c>
    </row>
    <row r="161" spans="1:42" x14ac:dyDescent="0.3">
      <c r="A161" s="15" t="s">
        <v>146</v>
      </c>
      <c r="B161" s="15">
        <v>1000</v>
      </c>
      <c r="C161" s="15" t="s">
        <v>54</v>
      </c>
      <c r="D161" s="15" t="s">
        <v>68</v>
      </c>
      <c r="E161" s="15" cm="1">
        <f t="array" ref="E161">IFERROR(_xlfn.XLOOKUP($A161&amp;"|"&amp;$B161&amp;"|"&amp;$D161,'21-AUGUST-2026'!$A$3:$A$199&amp;"|"&amp;'21-AUGUST-2026'!$B$3:$B$199&amp;"|"&amp;'21-AUGUST-2026'!$D$3:$D$199,'21-AUGUST-2026'!$T$3:$T$199,_xlfn.XLOOKUP($A161&amp;"|"&amp;$B161,'21-AUGUST-2026'!$A$3:$A$199&amp;"|"&amp;'21-AUGUST-2026'!$B$3:$B$199,'21-AUGUST-2026'!$T$3:$T$199,0)),0)</f>
        <v>0</v>
      </c>
      <c r="F161" s="15" cm="1">
        <f t="array" ref="F161">IFERROR(_xlfn.XLOOKUP($A161&amp;"|"&amp;$B161&amp;"|"&amp;$D161,'21-AUGUST-2026'!$A$3:$A$199&amp;"|"&amp;'21-AUGUST-2026'!$B$3:$B$199&amp;"|"&amp;'21-AUGUST-2026'!$D$3:$D$199,'21-AUGUST-2026'!$U$3:$U$199,_xlfn.XLOOKUP($A161&amp;"|"&amp;$B161,'21-AUGUST-2026'!$A$3:$A$199&amp;"|"&amp;'21-AUGUST-2026'!$B$3:$B$199,'21-AUGUST-2026'!$U$3:$U$199,0)),0)</f>
        <v>0</v>
      </c>
      <c r="G161" s="15">
        <f t="shared" si="48"/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20">
        <v>0</v>
      </c>
      <c r="S161" s="20">
        <v>0</v>
      </c>
      <c r="T161" s="20">
        <v>0</v>
      </c>
      <c r="U161" s="17"/>
      <c r="V161" s="17"/>
      <c r="W161" s="20">
        <f t="shared" si="49"/>
        <v>0</v>
      </c>
      <c r="X161" s="21">
        <f t="shared" si="57"/>
        <v>0</v>
      </c>
      <c r="Y161" s="15">
        <f t="shared" si="58"/>
        <v>0</v>
      </c>
      <c r="Z161" s="15">
        <f t="shared" si="50"/>
        <v>0</v>
      </c>
      <c r="AA161" s="18" t="str">
        <f t="shared" si="51"/>
        <v/>
      </c>
      <c r="AB161" s="17">
        <v>0</v>
      </c>
      <c r="AC161" s="17">
        <v>0</v>
      </c>
      <c r="AD161" s="15">
        <f t="shared" si="53"/>
        <v>0</v>
      </c>
      <c r="AE161" s="17">
        <v>0</v>
      </c>
      <c r="AF161" s="17">
        <v>0</v>
      </c>
      <c r="AG161" s="15">
        <f t="shared" si="54"/>
        <v>0</v>
      </c>
      <c r="AH161" s="17">
        <v>0</v>
      </c>
      <c r="AI161" s="17">
        <v>0</v>
      </c>
      <c r="AJ161" s="15">
        <f t="shared" si="55"/>
        <v>0</v>
      </c>
      <c r="AK161" s="17">
        <v>0</v>
      </c>
      <c r="AL161" s="17">
        <v>0</v>
      </c>
      <c r="AM161" s="15">
        <f t="shared" si="56"/>
        <v>0</v>
      </c>
      <c r="AN161" s="17"/>
      <c r="AO161" s="53">
        <f t="shared" si="52"/>
        <v>0</v>
      </c>
      <c r="AP161" s="53">
        <f>IF($A161="",0,IF(COUNTIFS([1]Sheet1!$A$2:$A$190,$A161,[1]Sheet1!$B$2:$B$190,$B161,[1]Sheet1!$C$2:$C$190,"&gt;=0")=0,0,SUMIFS([1]Sheet1!$C$2:$C$190,[1]Sheet1!$A$2:$A$190,$A161,[1]Sheet1!$B$2:$B$190,$B161)-$AO161))</f>
        <v>0</v>
      </c>
    </row>
    <row r="162" spans="1:42" x14ac:dyDescent="0.3">
      <c r="A162" s="15" t="s">
        <v>150</v>
      </c>
      <c r="B162" s="15">
        <v>10000</v>
      </c>
      <c r="C162" s="15" t="s">
        <v>54</v>
      </c>
      <c r="D162" s="15" t="s">
        <v>68</v>
      </c>
      <c r="E162" s="15" cm="1">
        <f t="array" ref="E162">IFERROR(_xlfn.XLOOKUP($A162&amp;"|"&amp;$B162&amp;"|"&amp;$D162,'21-AUGUST-2026'!$A$3:$A$199&amp;"|"&amp;'21-AUGUST-2026'!$B$3:$B$199&amp;"|"&amp;'21-AUGUST-2026'!$D$3:$D$199,'21-AUGUST-2026'!$T$3:$T$199,_xlfn.XLOOKUP($A162&amp;"|"&amp;$B162,'21-AUGUST-2026'!$A$3:$A$199&amp;"|"&amp;'21-AUGUST-2026'!$B$3:$B$199,'21-AUGUST-2026'!$T$3:$T$199,0)),0)</f>
        <v>1</v>
      </c>
      <c r="F162" s="15" cm="1">
        <f t="array" ref="F162">IFERROR(_xlfn.XLOOKUP($A162&amp;"|"&amp;$B162&amp;"|"&amp;$D162,'21-AUGUST-2026'!$A$3:$A$199&amp;"|"&amp;'21-AUGUST-2026'!$B$3:$B$199&amp;"|"&amp;'21-AUGUST-2026'!$D$3:$D$199,'21-AUGUST-2026'!$U$3:$U$199,_xlfn.XLOOKUP($A162&amp;"|"&amp;$B162,'21-AUGUST-2026'!$A$3:$A$199&amp;"|"&amp;'21-AUGUST-2026'!$B$3:$B$199,'21-AUGUST-2026'!$U$3:$U$199,0)),0)</f>
        <v>0</v>
      </c>
      <c r="G162" s="15">
        <f t="shared" si="48"/>
        <v>1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20">
        <v>0</v>
      </c>
      <c r="S162" s="20">
        <v>0</v>
      </c>
      <c r="T162" s="20">
        <v>0</v>
      </c>
      <c r="U162" s="17"/>
      <c r="V162" s="17"/>
      <c r="W162" s="20">
        <f t="shared" si="49"/>
        <v>0</v>
      </c>
      <c r="X162" s="21">
        <f t="shared" si="57"/>
        <v>1</v>
      </c>
      <c r="Y162" s="15">
        <f t="shared" si="58"/>
        <v>1</v>
      </c>
      <c r="Z162" s="15">
        <f t="shared" si="50"/>
        <v>0</v>
      </c>
      <c r="AA162" s="18" t="str">
        <f t="shared" si="51"/>
        <v/>
      </c>
      <c r="AB162" s="17">
        <v>0</v>
      </c>
      <c r="AC162" s="17">
        <v>0</v>
      </c>
      <c r="AD162" s="15">
        <f t="shared" si="53"/>
        <v>0</v>
      </c>
      <c r="AE162" s="17">
        <v>0</v>
      </c>
      <c r="AF162" s="17">
        <v>0</v>
      </c>
      <c r="AG162" s="15">
        <f t="shared" si="54"/>
        <v>0</v>
      </c>
      <c r="AH162" s="17">
        <v>0</v>
      </c>
      <c r="AI162" s="17">
        <v>0</v>
      </c>
      <c r="AJ162" s="15">
        <f t="shared" si="55"/>
        <v>0</v>
      </c>
      <c r="AK162" s="17">
        <v>0</v>
      </c>
      <c r="AL162" s="17">
        <v>0</v>
      </c>
      <c r="AM162" s="15">
        <f t="shared" si="56"/>
        <v>0</v>
      </c>
      <c r="AN162" s="17"/>
      <c r="AO162" s="53">
        <f t="shared" si="52"/>
        <v>1</v>
      </c>
      <c r="AP162" s="53">
        <f>IF($A162="",0,IF(COUNTIFS([1]Sheet1!$A$2:$A$190,$A162,[1]Sheet1!$B$2:$B$190,$B162,[1]Sheet1!$C$2:$C$190,"&gt;=0")=0,0,SUMIFS([1]Sheet1!$C$2:$C$190,[1]Sheet1!$A$2:$A$190,$A162,[1]Sheet1!$B$2:$B$190,$B162)-$AO162))</f>
        <v>0</v>
      </c>
    </row>
    <row r="163" spans="1:42" x14ac:dyDescent="0.3">
      <c r="A163" s="15" t="s">
        <v>151</v>
      </c>
      <c r="B163" s="15">
        <v>100000</v>
      </c>
      <c r="C163" s="15" t="s">
        <v>54</v>
      </c>
      <c r="D163" s="15" t="s">
        <v>68</v>
      </c>
      <c r="E163" s="15" cm="1">
        <f t="array" ref="E163">IFERROR(_xlfn.XLOOKUP($A163&amp;"|"&amp;$B163&amp;"|"&amp;$D163,'21-AUGUST-2026'!$A$3:$A$199&amp;"|"&amp;'21-AUGUST-2026'!$B$3:$B$199&amp;"|"&amp;'21-AUGUST-2026'!$D$3:$D$199,'21-AUGUST-2026'!$T$3:$T$199,_xlfn.XLOOKUP($A163&amp;"|"&amp;$B163,'21-AUGUST-2026'!$A$3:$A$199&amp;"|"&amp;'21-AUGUST-2026'!$B$3:$B$199,'21-AUGUST-2026'!$T$3:$T$199,0)),0)</f>
        <v>2</v>
      </c>
      <c r="F163" s="15" cm="1">
        <f t="array" ref="F163">IFERROR(_xlfn.XLOOKUP($A163&amp;"|"&amp;$B163&amp;"|"&amp;$D163,'21-AUGUST-2026'!$A$3:$A$199&amp;"|"&amp;'21-AUGUST-2026'!$B$3:$B$199&amp;"|"&amp;'21-AUGUST-2026'!$D$3:$D$199,'21-AUGUST-2026'!$U$3:$U$199,_xlfn.XLOOKUP($A163&amp;"|"&amp;$B163,'21-AUGUST-2026'!$A$3:$A$199&amp;"|"&amp;'21-AUGUST-2026'!$B$3:$B$199,'21-AUGUST-2026'!$U$3:$U$199,0)),0)</f>
        <v>0</v>
      </c>
      <c r="G163" s="15">
        <f t="shared" ref="G163:G194" si="59">E163+F163</f>
        <v>2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20">
        <v>0</v>
      </c>
      <c r="S163" s="20">
        <v>0</v>
      </c>
      <c r="T163" s="20">
        <v>0</v>
      </c>
      <c r="U163" s="17"/>
      <c r="V163" s="17"/>
      <c r="W163" s="20">
        <f t="shared" ref="W163:W197" si="60">R163+S163+T163</f>
        <v>0</v>
      </c>
      <c r="X163" s="21">
        <f t="shared" si="57"/>
        <v>2</v>
      </c>
      <c r="Y163" s="15">
        <f t="shared" si="58"/>
        <v>2</v>
      </c>
      <c r="Z163" s="15">
        <f t="shared" ref="Z163:Z197" si="61">F163+O163+IF($V163="Moro",$W163,0)-I163-L163</f>
        <v>0</v>
      </c>
      <c r="AA163" s="18" t="str">
        <f t="shared" ref="AA163:AA194" si="62">IF(AND(V163&gt;0,U163=""),"IMPORT NEEDS DESTINATION",IF(MIN(Y163,Z163)&lt;0,"NEGATIVE STOCK - CHECK ENTRIES",""))</f>
        <v/>
      </c>
      <c r="AB163" s="17">
        <v>0</v>
      </c>
      <c r="AC163" s="17">
        <v>0</v>
      </c>
      <c r="AD163" s="15">
        <f t="shared" si="53"/>
        <v>0</v>
      </c>
      <c r="AE163" s="17">
        <v>0</v>
      </c>
      <c r="AF163" s="17">
        <v>0</v>
      </c>
      <c r="AG163" s="15">
        <f t="shared" si="54"/>
        <v>0</v>
      </c>
      <c r="AH163" s="17">
        <v>0</v>
      </c>
      <c r="AI163" s="17">
        <v>0</v>
      </c>
      <c r="AJ163" s="15">
        <f t="shared" si="55"/>
        <v>0</v>
      </c>
      <c r="AK163" s="17">
        <v>0</v>
      </c>
      <c r="AL163" s="17">
        <v>0</v>
      </c>
      <c r="AM163" s="15">
        <f t="shared" si="56"/>
        <v>0</v>
      </c>
      <c r="AN163" s="17"/>
      <c r="AO163" s="53">
        <f t="shared" ref="AO163:AO197" si="63">E163+N163+IF($V163="Arusha",$W163,0)-H163-K163</f>
        <v>2</v>
      </c>
      <c r="AP163" s="53">
        <f>IF($A163="",0,IF(COUNTIFS([1]Sheet1!$A$2:$A$190,$A163,[1]Sheet1!$B$2:$B$190,$B163,[1]Sheet1!$C$2:$C$190,"&gt;=0")=0,0,SUMIFS([1]Sheet1!$C$2:$C$190,[1]Sheet1!$A$2:$A$190,$A163,[1]Sheet1!$B$2:$B$190,$B163)-$AO163))</f>
        <v>0</v>
      </c>
    </row>
    <row r="164" spans="1:42" x14ac:dyDescent="0.3">
      <c r="A164" s="15" t="s">
        <v>153</v>
      </c>
      <c r="B164" s="15">
        <v>100</v>
      </c>
      <c r="C164" s="15" t="s">
        <v>54</v>
      </c>
      <c r="D164" s="15" t="s">
        <v>68</v>
      </c>
      <c r="E164" s="15" cm="1">
        <f t="array" ref="E164">IFERROR(_xlfn.XLOOKUP($A164&amp;"|"&amp;$B164&amp;"|"&amp;$D164,'21-AUGUST-2026'!$A$3:$A$199&amp;"|"&amp;'21-AUGUST-2026'!$B$3:$B$199&amp;"|"&amp;'21-AUGUST-2026'!$D$3:$D$199,'21-AUGUST-2026'!$T$3:$T$199,_xlfn.XLOOKUP($A164&amp;"|"&amp;$B164,'21-AUGUST-2026'!$A$3:$A$199&amp;"|"&amp;'21-AUGUST-2026'!$B$3:$B$199,'21-AUGUST-2026'!$T$3:$T$199,0)),0)</f>
        <v>0</v>
      </c>
      <c r="F164" s="15" cm="1">
        <f t="array" ref="F164">IFERROR(_xlfn.XLOOKUP($A164&amp;"|"&amp;$B164&amp;"|"&amp;$D164,'21-AUGUST-2026'!$A$3:$A$199&amp;"|"&amp;'21-AUGUST-2026'!$B$3:$B$199&amp;"|"&amp;'21-AUGUST-2026'!$D$3:$D$199,'21-AUGUST-2026'!$U$3:$U$199,_xlfn.XLOOKUP($A164&amp;"|"&amp;$B164,'21-AUGUST-2026'!$A$3:$A$199&amp;"|"&amp;'21-AUGUST-2026'!$B$3:$B$199,'21-AUGUST-2026'!$U$3:$U$199,0)),0)</f>
        <v>0</v>
      </c>
      <c r="G164" s="15">
        <f t="shared" si="59"/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20">
        <v>0</v>
      </c>
      <c r="S164" s="20">
        <v>0</v>
      </c>
      <c r="T164" s="20">
        <v>0</v>
      </c>
      <c r="U164" s="17"/>
      <c r="V164" s="17"/>
      <c r="W164" s="20">
        <f t="shared" si="60"/>
        <v>0</v>
      </c>
      <c r="X164" s="21">
        <f t="shared" si="57"/>
        <v>0</v>
      </c>
      <c r="Y164" s="15">
        <f t="shared" si="58"/>
        <v>0</v>
      </c>
      <c r="Z164" s="15">
        <f t="shared" si="61"/>
        <v>0</v>
      </c>
      <c r="AA164" s="18" t="str">
        <f t="shared" si="62"/>
        <v/>
      </c>
      <c r="AB164" s="17">
        <v>0</v>
      </c>
      <c r="AC164" s="17">
        <v>0</v>
      </c>
      <c r="AD164" s="15">
        <f t="shared" ref="AD164:AD195" si="64">AB164-AC164</f>
        <v>0</v>
      </c>
      <c r="AE164" s="17">
        <v>0</v>
      </c>
      <c r="AF164" s="17">
        <v>0</v>
      </c>
      <c r="AG164" s="15">
        <f t="shared" ref="AG164:AG195" si="65">AE164-AF164</f>
        <v>0</v>
      </c>
      <c r="AH164" s="17">
        <v>0</v>
      </c>
      <c r="AI164" s="17">
        <v>0</v>
      </c>
      <c r="AJ164" s="15">
        <f t="shared" ref="AJ164:AJ195" si="66">AH164-AI164</f>
        <v>0</v>
      </c>
      <c r="AK164" s="17">
        <v>0</v>
      </c>
      <c r="AL164" s="17">
        <v>0</v>
      </c>
      <c r="AM164" s="15">
        <f t="shared" ref="AM164:AM195" si="67">AK164-AL164</f>
        <v>0</v>
      </c>
      <c r="AN164" s="17"/>
      <c r="AO164" s="53">
        <f t="shared" si="63"/>
        <v>0</v>
      </c>
      <c r="AP164" s="53">
        <f>IF($A164="",0,IF(COUNTIFS([1]Sheet1!$A$2:$A$190,$A164,[1]Sheet1!$B$2:$B$190,$B164,[1]Sheet1!$C$2:$C$190,"&gt;=0")=0,0,SUMIFS([1]Sheet1!$C$2:$C$190,[1]Sheet1!$A$2:$A$190,$A164,[1]Sheet1!$B$2:$B$190,$B164)-$AO164))</f>
        <v>0</v>
      </c>
    </row>
    <row r="165" spans="1:42" x14ac:dyDescent="0.3">
      <c r="A165" s="15" t="s">
        <v>155</v>
      </c>
      <c r="B165" s="15">
        <v>100</v>
      </c>
      <c r="C165" s="15" t="s">
        <v>54</v>
      </c>
      <c r="D165" s="15" t="s">
        <v>68</v>
      </c>
      <c r="E165" s="15" cm="1">
        <f t="array" ref="E165">IFERROR(_xlfn.XLOOKUP($A165&amp;"|"&amp;$B165&amp;"|"&amp;$D165,'21-AUGUST-2026'!$A$3:$A$199&amp;"|"&amp;'21-AUGUST-2026'!$B$3:$B$199&amp;"|"&amp;'21-AUGUST-2026'!$D$3:$D$199,'21-AUGUST-2026'!$T$3:$T$199,_xlfn.XLOOKUP($A165&amp;"|"&amp;$B165,'21-AUGUST-2026'!$A$3:$A$199&amp;"|"&amp;'21-AUGUST-2026'!$B$3:$B$199,'21-AUGUST-2026'!$T$3:$T$199,0)),0)</f>
        <v>1</v>
      </c>
      <c r="F165" s="15" cm="1">
        <f t="array" ref="F165">IFERROR(_xlfn.XLOOKUP($A165&amp;"|"&amp;$B165&amp;"|"&amp;$D165,'21-AUGUST-2026'!$A$3:$A$199&amp;"|"&amp;'21-AUGUST-2026'!$B$3:$B$199&amp;"|"&amp;'21-AUGUST-2026'!$D$3:$D$199,'21-AUGUST-2026'!$U$3:$U$199,_xlfn.XLOOKUP($A165&amp;"|"&amp;$B165,'21-AUGUST-2026'!$A$3:$A$199&amp;"|"&amp;'21-AUGUST-2026'!$B$3:$B$199,'21-AUGUST-2026'!$U$3:$U$199,0)),0)</f>
        <v>0</v>
      </c>
      <c r="G165" s="15">
        <f t="shared" si="59"/>
        <v>1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20">
        <v>0</v>
      </c>
      <c r="S165" s="20">
        <v>0</v>
      </c>
      <c r="T165" s="20">
        <v>0</v>
      </c>
      <c r="U165" s="17"/>
      <c r="V165" s="17"/>
      <c r="W165" s="20">
        <f t="shared" si="60"/>
        <v>0</v>
      </c>
      <c r="X165" s="21">
        <f t="shared" si="57"/>
        <v>1</v>
      </c>
      <c r="Y165" s="15">
        <f t="shared" si="58"/>
        <v>1</v>
      </c>
      <c r="Z165" s="15">
        <f t="shared" si="61"/>
        <v>0</v>
      </c>
      <c r="AA165" s="18" t="str">
        <f t="shared" si="62"/>
        <v/>
      </c>
      <c r="AB165" s="17">
        <v>0</v>
      </c>
      <c r="AC165" s="17">
        <v>0</v>
      </c>
      <c r="AD165" s="15">
        <f t="shared" si="64"/>
        <v>0</v>
      </c>
      <c r="AE165" s="17">
        <v>0</v>
      </c>
      <c r="AF165" s="17">
        <v>0</v>
      </c>
      <c r="AG165" s="15">
        <f t="shared" si="65"/>
        <v>0</v>
      </c>
      <c r="AH165" s="17">
        <v>0</v>
      </c>
      <c r="AI165" s="17">
        <v>0</v>
      </c>
      <c r="AJ165" s="15">
        <f t="shared" si="66"/>
        <v>0</v>
      </c>
      <c r="AK165" s="17">
        <v>0</v>
      </c>
      <c r="AL165" s="17">
        <v>0</v>
      </c>
      <c r="AM165" s="15">
        <f t="shared" si="67"/>
        <v>0</v>
      </c>
      <c r="AN165" s="17"/>
      <c r="AO165" s="53">
        <f t="shared" si="63"/>
        <v>1</v>
      </c>
      <c r="AP165" s="53">
        <f>IF($A165="",0,IF(COUNTIFS([1]Sheet1!$A$2:$A$190,$A165,[1]Sheet1!$B$2:$B$190,$B165,[1]Sheet1!$C$2:$C$190,"&gt;=0")=0,0,SUMIFS([1]Sheet1!$C$2:$C$190,[1]Sheet1!$A$2:$A$190,$A165,[1]Sheet1!$B$2:$B$190,$B165)-$AO165))</f>
        <v>0</v>
      </c>
    </row>
    <row r="166" spans="1:42" x14ac:dyDescent="0.3">
      <c r="A166" s="15" t="s">
        <v>156</v>
      </c>
      <c r="B166" s="15">
        <v>2500</v>
      </c>
      <c r="C166" s="15" t="s">
        <v>54</v>
      </c>
      <c r="D166" s="15" t="s">
        <v>68</v>
      </c>
      <c r="E166" s="15" cm="1">
        <f t="array" ref="E166">IFERROR(_xlfn.XLOOKUP($A166&amp;"|"&amp;$B166&amp;"|"&amp;$D166,'21-AUGUST-2026'!$A$3:$A$199&amp;"|"&amp;'21-AUGUST-2026'!$B$3:$B$199&amp;"|"&amp;'21-AUGUST-2026'!$D$3:$D$199,'21-AUGUST-2026'!$T$3:$T$199,_xlfn.XLOOKUP($A166&amp;"|"&amp;$B166,'21-AUGUST-2026'!$A$3:$A$199&amp;"|"&amp;'21-AUGUST-2026'!$B$3:$B$199,'21-AUGUST-2026'!$T$3:$T$199,0)),0)</f>
        <v>-3</v>
      </c>
      <c r="F166" s="15" cm="1">
        <f t="array" ref="F166">IFERROR(_xlfn.XLOOKUP($A166&amp;"|"&amp;$B166&amp;"|"&amp;$D166,'21-AUGUST-2026'!$A$3:$A$199&amp;"|"&amp;'21-AUGUST-2026'!$B$3:$B$199&amp;"|"&amp;'21-AUGUST-2026'!$D$3:$D$199,'21-AUGUST-2026'!$U$3:$U$199,_xlfn.XLOOKUP($A166&amp;"|"&amp;$B166,'21-AUGUST-2026'!$A$3:$A$199&amp;"|"&amp;'21-AUGUST-2026'!$B$3:$B$199,'21-AUGUST-2026'!$U$3:$U$199,0)),0)</f>
        <v>0</v>
      </c>
      <c r="G166" s="15">
        <f t="shared" si="59"/>
        <v>-3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20">
        <v>0</v>
      </c>
      <c r="S166" s="20">
        <v>0</v>
      </c>
      <c r="T166" s="20">
        <v>0</v>
      </c>
      <c r="U166" s="17"/>
      <c r="V166" s="17"/>
      <c r="W166" s="20">
        <f t="shared" si="60"/>
        <v>0</v>
      </c>
      <c r="X166" s="21">
        <f t="shared" si="57"/>
        <v>-3</v>
      </c>
      <c r="Y166" s="15">
        <f t="shared" si="58"/>
        <v>-3</v>
      </c>
      <c r="Z166" s="15">
        <f t="shared" si="61"/>
        <v>0</v>
      </c>
      <c r="AA166" s="18" t="str">
        <f t="shared" si="62"/>
        <v>NEGATIVE STOCK - CHECK ENTRIES</v>
      </c>
      <c r="AB166" s="17">
        <v>0</v>
      </c>
      <c r="AC166" s="17">
        <v>0</v>
      </c>
      <c r="AD166" s="15">
        <f t="shared" si="64"/>
        <v>0</v>
      </c>
      <c r="AE166" s="17">
        <v>0</v>
      </c>
      <c r="AF166" s="17">
        <v>0</v>
      </c>
      <c r="AG166" s="15">
        <f t="shared" si="65"/>
        <v>0</v>
      </c>
      <c r="AH166" s="17">
        <v>0</v>
      </c>
      <c r="AI166" s="17">
        <v>0</v>
      </c>
      <c r="AJ166" s="15">
        <f t="shared" si="66"/>
        <v>0</v>
      </c>
      <c r="AK166" s="17">
        <v>0</v>
      </c>
      <c r="AL166" s="17">
        <v>0</v>
      </c>
      <c r="AM166" s="15">
        <f t="shared" si="67"/>
        <v>0</v>
      </c>
      <c r="AN166" s="17"/>
      <c r="AO166" s="53">
        <f t="shared" si="63"/>
        <v>-3</v>
      </c>
      <c r="AP166" s="53">
        <f>IF($A166="",0,IF(COUNTIFS([1]Sheet1!$A$2:$A$190,$A166,[1]Sheet1!$B$2:$B$190,$B166,[1]Sheet1!$C$2:$C$190,"&gt;=0")=0,0,SUMIFS([1]Sheet1!$C$2:$C$190,[1]Sheet1!$A$2:$A$190,$A166,[1]Sheet1!$B$2:$B$190,$B166)-$AO166))</f>
        <v>0</v>
      </c>
    </row>
    <row r="167" spans="1:42" x14ac:dyDescent="0.3">
      <c r="A167" s="15" t="s">
        <v>164</v>
      </c>
      <c r="B167" s="15">
        <v>100</v>
      </c>
      <c r="C167" s="15" t="s">
        <v>54</v>
      </c>
      <c r="D167" s="15" t="s">
        <v>68</v>
      </c>
      <c r="E167" s="15" cm="1">
        <f t="array" ref="E167">IFERROR(_xlfn.XLOOKUP($A167&amp;"|"&amp;$B167&amp;"|"&amp;$D167,'21-AUGUST-2026'!$A$3:$A$199&amp;"|"&amp;'21-AUGUST-2026'!$B$3:$B$199&amp;"|"&amp;'21-AUGUST-2026'!$D$3:$D$199,'21-AUGUST-2026'!$T$3:$T$199,_xlfn.XLOOKUP($A167&amp;"|"&amp;$B167,'21-AUGUST-2026'!$A$3:$A$199&amp;"|"&amp;'21-AUGUST-2026'!$B$3:$B$199,'21-AUGUST-2026'!$T$3:$T$199,0)),0)</f>
        <v>2</v>
      </c>
      <c r="F167" s="15" cm="1">
        <f t="array" ref="F167">IFERROR(_xlfn.XLOOKUP($A167&amp;"|"&amp;$B167&amp;"|"&amp;$D167,'21-AUGUST-2026'!$A$3:$A$199&amp;"|"&amp;'21-AUGUST-2026'!$B$3:$B$199&amp;"|"&amp;'21-AUGUST-2026'!$D$3:$D$199,'21-AUGUST-2026'!$U$3:$U$199,_xlfn.XLOOKUP($A167&amp;"|"&amp;$B167,'21-AUGUST-2026'!$A$3:$A$199&amp;"|"&amp;'21-AUGUST-2026'!$B$3:$B$199,'21-AUGUST-2026'!$U$3:$U$199,0)),0)</f>
        <v>0</v>
      </c>
      <c r="G167" s="15">
        <f t="shared" si="59"/>
        <v>2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20">
        <v>0</v>
      </c>
      <c r="S167" s="20">
        <v>0</v>
      </c>
      <c r="T167" s="20">
        <v>0</v>
      </c>
      <c r="U167" s="17"/>
      <c r="V167" s="17"/>
      <c r="W167" s="20">
        <f t="shared" si="60"/>
        <v>0</v>
      </c>
      <c r="X167" s="21">
        <f t="shared" si="57"/>
        <v>2</v>
      </c>
      <c r="Y167" s="15">
        <f t="shared" si="58"/>
        <v>2</v>
      </c>
      <c r="Z167" s="15">
        <f t="shared" si="61"/>
        <v>0</v>
      </c>
      <c r="AA167" s="18" t="str">
        <f t="shared" si="62"/>
        <v/>
      </c>
      <c r="AB167" s="17">
        <v>0</v>
      </c>
      <c r="AC167" s="17">
        <v>0</v>
      </c>
      <c r="AD167" s="15">
        <f t="shared" si="64"/>
        <v>0</v>
      </c>
      <c r="AE167" s="17">
        <v>0</v>
      </c>
      <c r="AF167" s="17">
        <v>0</v>
      </c>
      <c r="AG167" s="15">
        <f t="shared" si="65"/>
        <v>0</v>
      </c>
      <c r="AH167" s="17">
        <v>0</v>
      </c>
      <c r="AI167" s="17">
        <v>0</v>
      </c>
      <c r="AJ167" s="15">
        <f t="shared" si="66"/>
        <v>0</v>
      </c>
      <c r="AK167" s="17">
        <v>0</v>
      </c>
      <c r="AL167" s="17">
        <v>0</v>
      </c>
      <c r="AM167" s="15">
        <f t="shared" si="67"/>
        <v>0</v>
      </c>
      <c r="AN167" s="17"/>
      <c r="AO167" s="53">
        <f t="shared" si="63"/>
        <v>2</v>
      </c>
      <c r="AP167" s="53">
        <f>IF($A167="",0,IF(COUNTIFS([1]Sheet1!$A$2:$A$190,$A167,[1]Sheet1!$B$2:$B$190,$B167,[1]Sheet1!$C$2:$C$190,"&gt;=0")=0,0,SUMIFS([1]Sheet1!$C$2:$C$190,[1]Sheet1!$A$2:$A$190,$A167,[1]Sheet1!$B$2:$B$190,$B167)-$AO167))</f>
        <v>0</v>
      </c>
    </row>
    <row r="168" spans="1:42" x14ac:dyDescent="0.3">
      <c r="A168" s="15" t="s">
        <v>165</v>
      </c>
      <c r="B168" s="15">
        <v>100000</v>
      </c>
      <c r="C168" s="15" t="s">
        <v>54</v>
      </c>
      <c r="D168" s="15" t="s">
        <v>68</v>
      </c>
      <c r="E168" s="15" cm="1">
        <f t="array" ref="E168">IFERROR(_xlfn.XLOOKUP($A168&amp;"|"&amp;$B168&amp;"|"&amp;$D168,'21-AUGUST-2026'!$A$3:$A$199&amp;"|"&amp;'21-AUGUST-2026'!$B$3:$B$199&amp;"|"&amp;'21-AUGUST-2026'!$D$3:$D$199,'21-AUGUST-2026'!$T$3:$T$199,_xlfn.XLOOKUP($A168&amp;"|"&amp;$B168,'21-AUGUST-2026'!$A$3:$A$199&amp;"|"&amp;'21-AUGUST-2026'!$B$3:$B$199,'21-AUGUST-2026'!$T$3:$T$199,0)),0)</f>
        <v>2</v>
      </c>
      <c r="F168" s="15" cm="1">
        <f t="array" ref="F168">IFERROR(_xlfn.XLOOKUP($A168&amp;"|"&amp;$B168&amp;"|"&amp;$D168,'21-AUGUST-2026'!$A$3:$A$199&amp;"|"&amp;'21-AUGUST-2026'!$B$3:$B$199&amp;"|"&amp;'21-AUGUST-2026'!$D$3:$D$199,'21-AUGUST-2026'!$U$3:$U$199,_xlfn.XLOOKUP($A168&amp;"|"&amp;$B168,'21-AUGUST-2026'!$A$3:$A$199&amp;"|"&amp;'21-AUGUST-2026'!$B$3:$B$199,'21-AUGUST-2026'!$U$3:$U$199,0)),0)</f>
        <v>0</v>
      </c>
      <c r="G168" s="15">
        <f t="shared" si="59"/>
        <v>2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20">
        <v>0</v>
      </c>
      <c r="S168" s="20">
        <v>0</v>
      </c>
      <c r="T168" s="20">
        <v>0</v>
      </c>
      <c r="U168" s="17"/>
      <c r="V168" s="17"/>
      <c r="W168" s="20">
        <f t="shared" si="60"/>
        <v>0</v>
      </c>
      <c r="X168" s="21">
        <f t="shared" si="57"/>
        <v>2</v>
      </c>
      <c r="Y168" s="15">
        <f t="shared" si="58"/>
        <v>2</v>
      </c>
      <c r="Z168" s="15">
        <f t="shared" si="61"/>
        <v>0</v>
      </c>
      <c r="AA168" s="18" t="str">
        <f t="shared" si="62"/>
        <v/>
      </c>
      <c r="AB168" s="17">
        <v>0</v>
      </c>
      <c r="AC168" s="17">
        <v>0</v>
      </c>
      <c r="AD168" s="15">
        <f t="shared" si="64"/>
        <v>0</v>
      </c>
      <c r="AE168" s="17">
        <v>0</v>
      </c>
      <c r="AF168" s="17">
        <v>0</v>
      </c>
      <c r="AG168" s="15">
        <f t="shared" si="65"/>
        <v>0</v>
      </c>
      <c r="AH168" s="17">
        <v>0</v>
      </c>
      <c r="AI168" s="17">
        <v>0</v>
      </c>
      <c r="AJ168" s="15">
        <f t="shared" si="66"/>
        <v>0</v>
      </c>
      <c r="AK168" s="17">
        <v>0</v>
      </c>
      <c r="AL168" s="17">
        <v>0</v>
      </c>
      <c r="AM168" s="15">
        <f t="shared" si="67"/>
        <v>0</v>
      </c>
      <c r="AN168" s="17"/>
      <c r="AO168" s="53">
        <f t="shared" si="63"/>
        <v>2</v>
      </c>
      <c r="AP168" s="53">
        <f>IF($A168="",0,IF(COUNTIFS([1]Sheet1!$A$2:$A$190,$A168,[1]Sheet1!$B$2:$B$190,$B168,[1]Sheet1!$C$2:$C$190,"&gt;=0")=0,0,SUMIFS([1]Sheet1!$C$2:$C$190,[1]Sheet1!$A$2:$A$190,$A168,[1]Sheet1!$B$2:$B$190,$B168)-$AO168))</f>
        <v>0</v>
      </c>
    </row>
    <row r="169" spans="1:42" x14ac:dyDescent="0.3">
      <c r="A169" s="15" t="s">
        <v>165</v>
      </c>
      <c r="B169" s="15">
        <v>25000</v>
      </c>
      <c r="C169" s="15" t="s">
        <v>54</v>
      </c>
      <c r="D169" s="15" t="s">
        <v>68</v>
      </c>
      <c r="E169" s="15" cm="1">
        <f t="array" ref="E169">IFERROR(_xlfn.XLOOKUP($A169&amp;"|"&amp;$B169&amp;"|"&amp;$D169,'21-AUGUST-2026'!$A$3:$A$199&amp;"|"&amp;'21-AUGUST-2026'!$B$3:$B$199&amp;"|"&amp;'21-AUGUST-2026'!$D$3:$D$199,'21-AUGUST-2026'!$T$3:$T$199,_xlfn.XLOOKUP($A169&amp;"|"&amp;$B169,'21-AUGUST-2026'!$A$3:$A$199&amp;"|"&amp;'21-AUGUST-2026'!$B$3:$B$199,'21-AUGUST-2026'!$T$3:$T$199,0)),0)</f>
        <v>-3</v>
      </c>
      <c r="F169" s="15" cm="1">
        <f t="array" ref="F169">IFERROR(_xlfn.XLOOKUP($A169&amp;"|"&amp;$B169&amp;"|"&amp;$D169,'21-AUGUST-2026'!$A$3:$A$199&amp;"|"&amp;'21-AUGUST-2026'!$B$3:$B$199&amp;"|"&amp;'21-AUGUST-2026'!$D$3:$D$199,'21-AUGUST-2026'!$U$3:$U$199,_xlfn.XLOOKUP($A169&amp;"|"&amp;$B169,'21-AUGUST-2026'!$A$3:$A$199&amp;"|"&amp;'21-AUGUST-2026'!$B$3:$B$199,'21-AUGUST-2026'!$U$3:$U$199,0)),0)</f>
        <v>0</v>
      </c>
      <c r="G169" s="15">
        <f t="shared" si="59"/>
        <v>-3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20">
        <v>0</v>
      </c>
      <c r="S169" s="20">
        <v>0</v>
      </c>
      <c r="T169" s="20">
        <v>0</v>
      </c>
      <c r="U169" s="17"/>
      <c r="V169" s="17"/>
      <c r="W169" s="20">
        <f t="shared" si="60"/>
        <v>0</v>
      </c>
      <c r="X169" s="21">
        <f t="shared" si="57"/>
        <v>-3</v>
      </c>
      <c r="Y169" s="15">
        <f t="shared" si="58"/>
        <v>-3</v>
      </c>
      <c r="Z169" s="15">
        <f t="shared" si="61"/>
        <v>0</v>
      </c>
      <c r="AA169" s="18" t="str">
        <f t="shared" si="62"/>
        <v>NEGATIVE STOCK - CHECK ENTRIES</v>
      </c>
      <c r="AB169" s="17">
        <v>0</v>
      </c>
      <c r="AC169" s="17">
        <v>0</v>
      </c>
      <c r="AD169" s="15">
        <f t="shared" si="64"/>
        <v>0</v>
      </c>
      <c r="AE169" s="17">
        <v>0</v>
      </c>
      <c r="AF169" s="17">
        <v>0</v>
      </c>
      <c r="AG169" s="15">
        <f t="shared" si="65"/>
        <v>0</v>
      </c>
      <c r="AH169" s="17">
        <v>0</v>
      </c>
      <c r="AI169" s="17">
        <v>0</v>
      </c>
      <c r="AJ169" s="15">
        <f t="shared" si="66"/>
        <v>0</v>
      </c>
      <c r="AK169" s="17">
        <v>0</v>
      </c>
      <c r="AL169" s="17">
        <v>0</v>
      </c>
      <c r="AM169" s="15">
        <f t="shared" si="67"/>
        <v>0</v>
      </c>
      <c r="AN169" s="17"/>
      <c r="AO169" s="53">
        <f t="shared" si="63"/>
        <v>-3</v>
      </c>
      <c r="AP169" s="53">
        <f>IF($A169="",0,IF(COUNTIFS([1]Sheet1!$A$2:$A$190,$A169,[1]Sheet1!$B$2:$B$190,$B169,[1]Sheet1!$C$2:$C$190,"&gt;=0")=0,0,SUMIFS([1]Sheet1!$C$2:$C$190,[1]Sheet1!$A$2:$A$190,$A169,[1]Sheet1!$B$2:$B$190,$B169)-$AO169))</f>
        <v>0</v>
      </c>
    </row>
    <row r="170" spans="1:42" x14ac:dyDescent="0.3">
      <c r="A170" s="15" t="s">
        <v>166</v>
      </c>
      <c r="B170" s="15">
        <v>100000</v>
      </c>
      <c r="C170" s="15" t="s">
        <v>54</v>
      </c>
      <c r="D170" s="15" t="s">
        <v>68</v>
      </c>
      <c r="E170" s="15" cm="1">
        <f t="array" ref="E170">IFERROR(_xlfn.XLOOKUP($A170&amp;"|"&amp;$B170&amp;"|"&amp;$D170,'21-AUGUST-2026'!$A$3:$A$199&amp;"|"&amp;'21-AUGUST-2026'!$B$3:$B$199&amp;"|"&amp;'21-AUGUST-2026'!$D$3:$D$199,'21-AUGUST-2026'!$T$3:$T$199,_xlfn.XLOOKUP($A170&amp;"|"&amp;$B170,'21-AUGUST-2026'!$A$3:$A$199&amp;"|"&amp;'21-AUGUST-2026'!$B$3:$B$199,'21-AUGUST-2026'!$T$3:$T$199,0)),0)</f>
        <v>2</v>
      </c>
      <c r="F170" s="15" cm="1">
        <f t="array" ref="F170">IFERROR(_xlfn.XLOOKUP($A170&amp;"|"&amp;$B170&amp;"|"&amp;$D170,'21-AUGUST-2026'!$A$3:$A$199&amp;"|"&amp;'21-AUGUST-2026'!$B$3:$B$199&amp;"|"&amp;'21-AUGUST-2026'!$D$3:$D$199,'21-AUGUST-2026'!$U$3:$U$199,_xlfn.XLOOKUP($A170&amp;"|"&amp;$B170,'21-AUGUST-2026'!$A$3:$A$199&amp;"|"&amp;'21-AUGUST-2026'!$B$3:$B$199,'21-AUGUST-2026'!$U$3:$U$199,0)),0)</f>
        <v>0</v>
      </c>
      <c r="G170" s="15">
        <f t="shared" si="59"/>
        <v>2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20">
        <v>0</v>
      </c>
      <c r="S170" s="20">
        <v>0</v>
      </c>
      <c r="T170" s="20">
        <v>0</v>
      </c>
      <c r="U170" s="17"/>
      <c r="V170" s="17"/>
      <c r="W170" s="20">
        <f t="shared" si="60"/>
        <v>0</v>
      </c>
      <c r="X170" s="21">
        <f t="shared" si="57"/>
        <v>0</v>
      </c>
      <c r="Y170" s="15">
        <f t="shared" si="58"/>
        <v>0</v>
      </c>
      <c r="Z170" s="15">
        <f t="shared" si="61"/>
        <v>0</v>
      </c>
      <c r="AA170" s="18" t="str">
        <f t="shared" si="62"/>
        <v/>
      </c>
      <c r="AB170" s="17">
        <v>0</v>
      </c>
      <c r="AC170" s="17">
        <v>0</v>
      </c>
      <c r="AD170" s="15">
        <f t="shared" si="64"/>
        <v>0</v>
      </c>
      <c r="AE170" s="17">
        <v>0</v>
      </c>
      <c r="AF170" s="17">
        <v>0</v>
      </c>
      <c r="AG170" s="15">
        <f t="shared" si="65"/>
        <v>0</v>
      </c>
      <c r="AH170" s="17">
        <v>0</v>
      </c>
      <c r="AI170" s="17">
        <v>0</v>
      </c>
      <c r="AJ170" s="15">
        <f t="shared" si="66"/>
        <v>0</v>
      </c>
      <c r="AK170" s="17">
        <v>0</v>
      </c>
      <c r="AL170" s="17">
        <v>0</v>
      </c>
      <c r="AM170" s="15">
        <f t="shared" si="67"/>
        <v>0</v>
      </c>
      <c r="AN170" s="17"/>
      <c r="AO170" s="53">
        <f t="shared" si="63"/>
        <v>2</v>
      </c>
      <c r="AP170" s="53">
        <f>IF($A170="",0,IF(COUNTIFS([1]Sheet1!$A$2:$A$190,$A170,[1]Sheet1!$B$2:$B$190,$B170,[1]Sheet1!$C$2:$C$190,"&gt;=0")=0,0,SUMIFS([1]Sheet1!$C$2:$C$190,[1]Sheet1!$A$2:$A$190,$A170,[1]Sheet1!$B$2:$B$190,$B170)-$AO170))</f>
        <v>-2</v>
      </c>
    </row>
    <row r="171" spans="1:42" x14ac:dyDescent="0.3">
      <c r="A171" s="15" t="s">
        <v>168</v>
      </c>
      <c r="B171" s="15">
        <v>100</v>
      </c>
      <c r="C171" s="15" t="s">
        <v>54</v>
      </c>
      <c r="D171" s="15" t="s">
        <v>68</v>
      </c>
      <c r="E171" s="15" cm="1">
        <f t="array" ref="E171">IFERROR(_xlfn.XLOOKUP($A171&amp;"|"&amp;$B171&amp;"|"&amp;$D171,'21-AUGUST-2026'!$A$3:$A$199&amp;"|"&amp;'21-AUGUST-2026'!$B$3:$B$199&amp;"|"&amp;'21-AUGUST-2026'!$D$3:$D$199,'21-AUGUST-2026'!$T$3:$T$199,_xlfn.XLOOKUP($A171&amp;"|"&amp;$B171,'21-AUGUST-2026'!$A$3:$A$199&amp;"|"&amp;'21-AUGUST-2026'!$B$3:$B$199,'21-AUGUST-2026'!$T$3:$T$199,0)),0)</f>
        <v>1</v>
      </c>
      <c r="F171" s="15" cm="1">
        <f t="array" ref="F171">IFERROR(_xlfn.XLOOKUP($A171&amp;"|"&amp;$B171&amp;"|"&amp;$D171,'21-AUGUST-2026'!$A$3:$A$199&amp;"|"&amp;'21-AUGUST-2026'!$B$3:$B$199&amp;"|"&amp;'21-AUGUST-2026'!$D$3:$D$199,'21-AUGUST-2026'!$U$3:$U$199,_xlfn.XLOOKUP($A171&amp;"|"&amp;$B171,'21-AUGUST-2026'!$A$3:$A$199&amp;"|"&amp;'21-AUGUST-2026'!$B$3:$B$199,'21-AUGUST-2026'!$U$3:$U$199,0)),0)</f>
        <v>0</v>
      </c>
      <c r="G171" s="15">
        <f t="shared" si="59"/>
        <v>1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20">
        <v>0</v>
      </c>
      <c r="S171" s="20">
        <v>0</v>
      </c>
      <c r="T171" s="20">
        <v>0</v>
      </c>
      <c r="U171" s="17"/>
      <c r="V171" s="17"/>
      <c r="W171" s="20">
        <f t="shared" si="60"/>
        <v>0</v>
      </c>
      <c r="X171" s="21">
        <f t="shared" si="57"/>
        <v>1</v>
      </c>
      <c r="Y171" s="15">
        <f t="shared" si="58"/>
        <v>1</v>
      </c>
      <c r="Z171" s="15">
        <f t="shared" si="61"/>
        <v>0</v>
      </c>
      <c r="AA171" s="18" t="str">
        <f t="shared" si="62"/>
        <v/>
      </c>
      <c r="AB171" s="17">
        <v>0</v>
      </c>
      <c r="AC171" s="17">
        <v>0</v>
      </c>
      <c r="AD171" s="15">
        <f t="shared" si="64"/>
        <v>0</v>
      </c>
      <c r="AE171" s="17">
        <v>0</v>
      </c>
      <c r="AF171" s="17">
        <v>0</v>
      </c>
      <c r="AG171" s="15">
        <f t="shared" si="65"/>
        <v>0</v>
      </c>
      <c r="AH171" s="17">
        <v>0</v>
      </c>
      <c r="AI171" s="17">
        <v>0</v>
      </c>
      <c r="AJ171" s="15">
        <f t="shared" si="66"/>
        <v>0</v>
      </c>
      <c r="AK171" s="17">
        <v>0</v>
      </c>
      <c r="AL171" s="17">
        <v>0</v>
      </c>
      <c r="AM171" s="15">
        <f t="shared" si="67"/>
        <v>0</v>
      </c>
      <c r="AN171" s="17"/>
      <c r="AO171" s="53">
        <f t="shared" si="63"/>
        <v>1</v>
      </c>
      <c r="AP171" s="53">
        <f>IF($A171="",0,IF(COUNTIFS([1]Sheet1!$A$2:$A$190,$A171,[1]Sheet1!$B$2:$B$190,$B171,[1]Sheet1!$C$2:$C$190,"&gt;=0")=0,0,SUMIFS([1]Sheet1!$C$2:$C$190,[1]Sheet1!$A$2:$A$190,$A171,[1]Sheet1!$B$2:$B$190,$B171)-$AO171))</f>
        <v>0</v>
      </c>
    </row>
    <row r="172" spans="1:42" x14ac:dyDescent="0.3">
      <c r="A172" s="15" t="s">
        <v>169</v>
      </c>
      <c r="B172" s="15">
        <v>1000</v>
      </c>
      <c r="C172" s="15" t="s">
        <v>54</v>
      </c>
      <c r="D172" s="15" t="s">
        <v>68</v>
      </c>
      <c r="E172" s="15" cm="1">
        <f t="array" ref="E172">IFERROR(_xlfn.XLOOKUP($A172&amp;"|"&amp;$B172&amp;"|"&amp;$D172,'21-AUGUST-2026'!$A$3:$A$199&amp;"|"&amp;'21-AUGUST-2026'!$B$3:$B$199&amp;"|"&amp;'21-AUGUST-2026'!$D$3:$D$199,'21-AUGUST-2026'!$T$3:$T$199,_xlfn.XLOOKUP($A172&amp;"|"&amp;$B172,'21-AUGUST-2026'!$A$3:$A$199&amp;"|"&amp;'21-AUGUST-2026'!$B$3:$B$199,'21-AUGUST-2026'!$T$3:$T$199,0)),0)</f>
        <v>2</v>
      </c>
      <c r="F172" s="15" cm="1">
        <f t="array" ref="F172">IFERROR(_xlfn.XLOOKUP($A172&amp;"|"&amp;$B172&amp;"|"&amp;$D172,'21-AUGUST-2026'!$A$3:$A$199&amp;"|"&amp;'21-AUGUST-2026'!$B$3:$B$199&amp;"|"&amp;'21-AUGUST-2026'!$D$3:$D$199,'21-AUGUST-2026'!$U$3:$U$199,_xlfn.XLOOKUP($A172&amp;"|"&amp;$B172,'21-AUGUST-2026'!$A$3:$A$199&amp;"|"&amp;'21-AUGUST-2026'!$B$3:$B$199,'21-AUGUST-2026'!$U$3:$U$199,0)),0)</f>
        <v>0</v>
      </c>
      <c r="G172" s="15">
        <f t="shared" si="59"/>
        <v>2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20">
        <v>0</v>
      </c>
      <c r="S172" s="20">
        <v>0</v>
      </c>
      <c r="T172" s="20">
        <v>0</v>
      </c>
      <c r="U172" s="17"/>
      <c r="V172" s="17"/>
      <c r="W172" s="20">
        <f t="shared" si="60"/>
        <v>0</v>
      </c>
      <c r="X172" s="21">
        <f t="shared" si="57"/>
        <v>2</v>
      </c>
      <c r="Y172" s="15">
        <f t="shared" si="58"/>
        <v>2</v>
      </c>
      <c r="Z172" s="15">
        <f t="shared" si="61"/>
        <v>0</v>
      </c>
      <c r="AA172" s="18" t="str">
        <f t="shared" si="62"/>
        <v/>
      </c>
      <c r="AB172" s="17">
        <v>0</v>
      </c>
      <c r="AC172" s="17">
        <v>0</v>
      </c>
      <c r="AD172" s="15">
        <f t="shared" si="64"/>
        <v>0</v>
      </c>
      <c r="AE172" s="17">
        <v>0</v>
      </c>
      <c r="AF172" s="17">
        <v>0</v>
      </c>
      <c r="AG172" s="15">
        <f t="shared" si="65"/>
        <v>0</v>
      </c>
      <c r="AH172" s="17">
        <v>0</v>
      </c>
      <c r="AI172" s="17">
        <v>0</v>
      </c>
      <c r="AJ172" s="15">
        <f t="shared" si="66"/>
        <v>0</v>
      </c>
      <c r="AK172" s="17">
        <v>0</v>
      </c>
      <c r="AL172" s="17">
        <v>0</v>
      </c>
      <c r="AM172" s="15">
        <f t="shared" si="67"/>
        <v>0</v>
      </c>
      <c r="AN172" s="17"/>
      <c r="AO172" s="53">
        <f t="shared" si="63"/>
        <v>2</v>
      </c>
      <c r="AP172" s="53">
        <f>IF($A172="",0,IF(COUNTIFS([1]Sheet1!$A$2:$A$190,$A172,[1]Sheet1!$B$2:$B$190,$B172,[1]Sheet1!$C$2:$C$190,"&gt;=0")=0,0,SUMIFS([1]Sheet1!$C$2:$C$190,[1]Sheet1!$A$2:$A$190,$A172,[1]Sheet1!$B$2:$B$190,$B172)-$AO172))</f>
        <v>0</v>
      </c>
    </row>
    <row r="173" spans="1:42" x14ac:dyDescent="0.3">
      <c r="A173" s="15" t="s">
        <v>172</v>
      </c>
      <c r="B173" s="15">
        <v>100</v>
      </c>
      <c r="C173" s="15" t="s">
        <v>54</v>
      </c>
      <c r="D173" s="15" t="s">
        <v>68</v>
      </c>
      <c r="E173" s="15" cm="1">
        <f t="array" ref="E173">IFERROR(_xlfn.XLOOKUP($A173&amp;"|"&amp;$B173&amp;"|"&amp;$D173,'21-AUGUST-2026'!$A$3:$A$199&amp;"|"&amp;'21-AUGUST-2026'!$B$3:$B$199&amp;"|"&amp;'21-AUGUST-2026'!$D$3:$D$199,'21-AUGUST-2026'!$T$3:$T$199,_xlfn.XLOOKUP($A173&amp;"|"&amp;$B173,'21-AUGUST-2026'!$A$3:$A$199&amp;"|"&amp;'21-AUGUST-2026'!$B$3:$B$199,'21-AUGUST-2026'!$T$3:$T$199,0)),0)</f>
        <v>10</v>
      </c>
      <c r="F173" s="15" cm="1">
        <f t="array" ref="F173">IFERROR(_xlfn.XLOOKUP($A173&amp;"|"&amp;$B173&amp;"|"&amp;$D173,'21-AUGUST-2026'!$A$3:$A$199&amp;"|"&amp;'21-AUGUST-2026'!$B$3:$B$199&amp;"|"&amp;'21-AUGUST-2026'!$D$3:$D$199,'21-AUGUST-2026'!$U$3:$U$199,_xlfn.XLOOKUP($A173&amp;"|"&amp;$B173,'21-AUGUST-2026'!$A$3:$A$199&amp;"|"&amp;'21-AUGUST-2026'!$B$3:$B$199,'21-AUGUST-2026'!$U$3:$U$199,0)),0)</f>
        <v>0</v>
      </c>
      <c r="G173" s="15">
        <f t="shared" si="59"/>
        <v>10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20">
        <v>0</v>
      </c>
      <c r="S173" s="20">
        <v>0</v>
      </c>
      <c r="T173" s="20">
        <v>0</v>
      </c>
      <c r="U173" s="17"/>
      <c r="V173" s="17"/>
      <c r="W173" s="20">
        <f t="shared" si="60"/>
        <v>0</v>
      </c>
      <c r="X173" s="21">
        <f t="shared" ref="X173:X197" si="68">Y173+Z173</f>
        <v>10</v>
      </c>
      <c r="Y173" s="15">
        <f t="shared" ref="Y173:Y197" si="69">AO173+AP173</f>
        <v>10</v>
      </c>
      <c r="Z173" s="15">
        <f t="shared" si="61"/>
        <v>0</v>
      </c>
      <c r="AA173" s="18" t="str">
        <f t="shared" si="62"/>
        <v/>
      </c>
      <c r="AB173" s="17">
        <v>0</v>
      </c>
      <c r="AC173" s="17">
        <v>0</v>
      </c>
      <c r="AD173" s="15">
        <f t="shared" si="64"/>
        <v>0</v>
      </c>
      <c r="AE173" s="17">
        <v>0</v>
      </c>
      <c r="AF173" s="17">
        <v>0</v>
      </c>
      <c r="AG173" s="15">
        <f t="shared" si="65"/>
        <v>0</v>
      </c>
      <c r="AH173" s="17">
        <v>0</v>
      </c>
      <c r="AI173" s="17">
        <v>0</v>
      </c>
      <c r="AJ173" s="15">
        <f t="shared" si="66"/>
        <v>0</v>
      </c>
      <c r="AK173" s="17">
        <v>0</v>
      </c>
      <c r="AL173" s="17">
        <v>0</v>
      </c>
      <c r="AM173" s="15">
        <f t="shared" si="67"/>
        <v>0</v>
      </c>
      <c r="AN173" s="17"/>
      <c r="AO173" s="53">
        <f t="shared" si="63"/>
        <v>10</v>
      </c>
      <c r="AP173" s="53">
        <f>IF($A173="",0,IF(COUNTIFS([1]Sheet1!$A$2:$A$190,$A173,[1]Sheet1!$B$2:$B$190,$B173,[1]Sheet1!$C$2:$C$190,"&gt;=0")=0,0,SUMIFS([1]Sheet1!$C$2:$C$190,[1]Sheet1!$A$2:$A$190,$A173,[1]Sheet1!$B$2:$B$190,$B173)-$AO173))</f>
        <v>0</v>
      </c>
    </row>
    <row r="174" spans="1:42" x14ac:dyDescent="0.3">
      <c r="A174" s="15" t="s">
        <v>173</v>
      </c>
      <c r="B174" s="15">
        <v>100</v>
      </c>
      <c r="C174" s="15" t="s">
        <v>54</v>
      </c>
      <c r="D174" s="15" t="s">
        <v>68</v>
      </c>
      <c r="E174" s="15" cm="1">
        <f t="array" ref="E174">IFERROR(_xlfn.XLOOKUP($A174&amp;"|"&amp;$B174&amp;"|"&amp;$D174,'21-AUGUST-2026'!$A$3:$A$199&amp;"|"&amp;'21-AUGUST-2026'!$B$3:$B$199&amp;"|"&amp;'21-AUGUST-2026'!$D$3:$D$199,'21-AUGUST-2026'!$T$3:$T$199,_xlfn.XLOOKUP($A174&amp;"|"&amp;$B174,'21-AUGUST-2026'!$A$3:$A$199&amp;"|"&amp;'21-AUGUST-2026'!$B$3:$B$199,'21-AUGUST-2026'!$T$3:$T$199,0)),0)</f>
        <v>4</v>
      </c>
      <c r="F174" s="15" cm="1">
        <f t="array" ref="F174">IFERROR(_xlfn.XLOOKUP($A174&amp;"|"&amp;$B174&amp;"|"&amp;$D174,'21-AUGUST-2026'!$A$3:$A$199&amp;"|"&amp;'21-AUGUST-2026'!$B$3:$B$199&amp;"|"&amp;'21-AUGUST-2026'!$D$3:$D$199,'21-AUGUST-2026'!$U$3:$U$199,_xlfn.XLOOKUP($A174&amp;"|"&amp;$B174,'21-AUGUST-2026'!$A$3:$A$199&amp;"|"&amp;'21-AUGUST-2026'!$B$3:$B$199,'21-AUGUST-2026'!$U$3:$U$199,0)),0)</f>
        <v>0</v>
      </c>
      <c r="G174" s="15">
        <f t="shared" si="59"/>
        <v>4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20">
        <v>0</v>
      </c>
      <c r="S174" s="20">
        <v>0</v>
      </c>
      <c r="T174" s="20">
        <v>0</v>
      </c>
      <c r="U174" s="17"/>
      <c r="V174" s="17"/>
      <c r="W174" s="20">
        <f t="shared" si="60"/>
        <v>0</v>
      </c>
      <c r="X174" s="21">
        <f t="shared" si="68"/>
        <v>10</v>
      </c>
      <c r="Y174" s="15">
        <f t="shared" si="69"/>
        <v>10</v>
      </c>
      <c r="Z174" s="15">
        <f t="shared" si="61"/>
        <v>0</v>
      </c>
      <c r="AA174" s="18" t="str">
        <f t="shared" si="62"/>
        <v/>
      </c>
      <c r="AB174" s="17">
        <v>0</v>
      </c>
      <c r="AC174" s="17">
        <v>0</v>
      </c>
      <c r="AD174" s="15">
        <f t="shared" si="64"/>
        <v>0</v>
      </c>
      <c r="AE174" s="17">
        <v>0</v>
      </c>
      <c r="AF174" s="17">
        <v>0</v>
      </c>
      <c r="AG174" s="15">
        <f t="shared" si="65"/>
        <v>0</v>
      </c>
      <c r="AH174" s="17">
        <v>0</v>
      </c>
      <c r="AI174" s="17">
        <v>0</v>
      </c>
      <c r="AJ174" s="15">
        <f t="shared" si="66"/>
        <v>0</v>
      </c>
      <c r="AK174" s="17">
        <v>0</v>
      </c>
      <c r="AL174" s="17">
        <v>0</v>
      </c>
      <c r="AM174" s="15">
        <f t="shared" si="67"/>
        <v>0</v>
      </c>
      <c r="AN174" s="17"/>
      <c r="AO174" s="53">
        <f t="shared" si="63"/>
        <v>4</v>
      </c>
      <c r="AP174" s="53">
        <f>IF($A174="",0,IF(COUNTIFS([1]Sheet1!$A$2:$A$190,$A174,[1]Sheet1!$B$2:$B$190,$B174,[1]Sheet1!$C$2:$C$190,"&gt;=0")=0,0,SUMIFS([1]Sheet1!$C$2:$C$190,[1]Sheet1!$A$2:$A$190,$A174,[1]Sheet1!$B$2:$B$190,$B174)-$AO174))</f>
        <v>6</v>
      </c>
    </row>
    <row r="175" spans="1:42" x14ac:dyDescent="0.3">
      <c r="A175" s="15" t="s">
        <v>174</v>
      </c>
      <c r="B175" s="15">
        <v>100</v>
      </c>
      <c r="C175" s="15" t="s">
        <v>54</v>
      </c>
      <c r="D175" s="15" t="s">
        <v>68</v>
      </c>
      <c r="E175" s="15" cm="1">
        <f t="array" ref="E175">IFERROR(_xlfn.XLOOKUP($A175&amp;"|"&amp;$B175&amp;"|"&amp;$D175,'21-AUGUST-2026'!$A$3:$A$199&amp;"|"&amp;'21-AUGUST-2026'!$B$3:$B$199&amp;"|"&amp;'21-AUGUST-2026'!$D$3:$D$199,'21-AUGUST-2026'!$T$3:$T$199,_xlfn.XLOOKUP($A175&amp;"|"&amp;$B175,'21-AUGUST-2026'!$A$3:$A$199&amp;"|"&amp;'21-AUGUST-2026'!$B$3:$B$199,'21-AUGUST-2026'!$T$3:$T$199,0)),0)</f>
        <v>4</v>
      </c>
      <c r="F175" s="15" cm="1">
        <f t="array" ref="F175">IFERROR(_xlfn.XLOOKUP($A175&amp;"|"&amp;$B175&amp;"|"&amp;$D175,'21-AUGUST-2026'!$A$3:$A$199&amp;"|"&amp;'21-AUGUST-2026'!$B$3:$B$199&amp;"|"&amp;'21-AUGUST-2026'!$D$3:$D$199,'21-AUGUST-2026'!$U$3:$U$199,_xlfn.XLOOKUP($A175&amp;"|"&amp;$B175,'21-AUGUST-2026'!$A$3:$A$199&amp;"|"&amp;'21-AUGUST-2026'!$B$3:$B$199,'21-AUGUST-2026'!$U$3:$U$199,0)),0)</f>
        <v>0</v>
      </c>
      <c r="G175" s="15">
        <f t="shared" si="59"/>
        <v>4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20">
        <v>0</v>
      </c>
      <c r="S175" s="20">
        <v>0</v>
      </c>
      <c r="T175" s="20">
        <v>0</v>
      </c>
      <c r="U175" s="17"/>
      <c r="V175" s="17"/>
      <c r="W175" s="20">
        <f t="shared" si="60"/>
        <v>0</v>
      </c>
      <c r="X175" s="21">
        <f t="shared" si="68"/>
        <v>4</v>
      </c>
      <c r="Y175" s="15">
        <f t="shared" si="69"/>
        <v>4</v>
      </c>
      <c r="Z175" s="15">
        <f t="shared" si="61"/>
        <v>0</v>
      </c>
      <c r="AA175" s="18" t="str">
        <f t="shared" si="62"/>
        <v/>
      </c>
      <c r="AB175" s="17">
        <v>0</v>
      </c>
      <c r="AC175" s="17">
        <v>0</v>
      </c>
      <c r="AD175" s="15">
        <f t="shared" si="64"/>
        <v>0</v>
      </c>
      <c r="AE175" s="17">
        <v>0</v>
      </c>
      <c r="AF175" s="17">
        <v>0</v>
      </c>
      <c r="AG175" s="15">
        <f t="shared" si="65"/>
        <v>0</v>
      </c>
      <c r="AH175" s="17">
        <v>0</v>
      </c>
      <c r="AI175" s="17">
        <v>0</v>
      </c>
      <c r="AJ175" s="15">
        <f t="shared" si="66"/>
        <v>0</v>
      </c>
      <c r="AK175" s="17">
        <v>0</v>
      </c>
      <c r="AL175" s="17">
        <v>0</v>
      </c>
      <c r="AM175" s="15">
        <f t="shared" si="67"/>
        <v>0</v>
      </c>
      <c r="AN175" s="17"/>
      <c r="AO175" s="53">
        <f t="shared" si="63"/>
        <v>4</v>
      </c>
      <c r="AP175" s="53">
        <f>IF($A175="",0,IF(COUNTIFS([1]Sheet1!$A$2:$A$190,$A175,[1]Sheet1!$B$2:$B$190,$B175,[1]Sheet1!$C$2:$C$190,"&gt;=0")=0,0,SUMIFS([1]Sheet1!$C$2:$C$190,[1]Sheet1!$A$2:$A$190,$A175,[1]Sheet1!$B$2:$B$190,$B175)-$AO175))</f>
        <v>0</v>
      </c>
    </row>
    <row r="176" spans="1:42" x14ac:dyDescent="0.3">
      <c r="A176" s="15" t="s">
        <v>179</v>
      </c>
      <c r="B176" s="15">
        <v>2500</v>
      </c>
      <c r="C176" s="15" t="s">
        <v>54</v>
      </c>
      <c r="D176" s="15" t="s">
        <v>68</v>
      </c>
      <c r="E176" s="15" cm="1">
        <f t="array" ref="E176">IFERROR(_xlfn.XLOOKUP($A176&amp;"|"&amp;$B176&amp;"|"&amp;$D176,'21-AUGUST-2026'!$A$3:$A$199&amp;"|"&amp;'21-AUGUST-2026'!$B$3:$B$199&amp;"|"&amp;'21-AUGUST-2026'!$D$3:$D$199,'21-AUGUST-2026'!$T$3:$T$199,_xlfn.XLOOKUP($A176&amp;"|"&amp;$B176,'21-AUGUST-2026'!$A$3:$A$199&amp;"|"&amp;'21-AUGUST-2026'!$B$3:$B$199,'21-AUGUST-2026'!$T$3:$T$199,0)),0)</f>
        <v>3</v>
      </c>
      <c r="F176" s="15" cm="1">
        <f t="array" ref="F176">IFERROR(_xlfn.XLOOKUP($A176&amp;"|"&amp;$B176&amp;"|"&amp;$D176,'21-AUGUST-2026'!$A$3:$A$199&amp;"|"&amp;'21-AUGUST-2026'!$B$3:$B$199&amp;"|"&amp;'21-AUGUST-2026'!$D$3:$D$199,'21-AUGUST-2026'!$U$3:$U$199,_xlfn.XLOOKUP($A176&amp;"|"&amp;$B176,'21-AUGUST-2026'!$A$3:$A$199&amp;"|"&amp;'21-AUGUST-2026'!$B$3:$B$199,'21-AUGUST-2026'!$U$3:$U$199,0)),0)</f>
        <v>0</v>
      </c>
      <c r="G176" s="15">
        <f t="shared" si="59"/>
        <v>3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20">
        <v>0</v>
      </c>
      <c r="S176" s="20">
        <v>0</v>
      </c>
      <c r="T176" s="20">
        <v>0</v>
      </c>
      <c r="U176" s="17"/>
      <c r="V176" s="17"/>
      <c r="W176" s="20">
        <f t="shared" si="60"/>
        <v>0</v>
      </c>
      <c r="X176" s="21">
        <f t="shared" si="68"/>
        <v>2</v>
      </c>
      <c r="Y176" s="15">
        <f t="shared" si="69"/>
        <v>2</v>
      </c>
      <c r="Z176" s="15">
        <f t="shared" si="61"/>
        <v>0</v>
      </c>
      <c r="AA176" s="18" t="str">
        <f t="shared" si="62"/>
        <v/>
      </c>
      <c r="AB176" s="17">
        <v>0</v>
      </c>
      <c r="AC176" s="17">
        <v>0</v>
      </c>
      <c r="AD176" s="15">
        <f t="shared" si="64"/>
        <v>0</v>
      </c>
      <c r="AE176" s="17">
        <v>0</v>
      </c>
      <c r="AF176" s="17">
        <v>0</v>
      </c>
      <c r="AG176" s="15">
        <f t="shared" si="65"/>
        <v>0</v>
      </c>
      <c r="AH176" s="17">
        <v>0</v>
      </c>
      <c r="AI176" s="17">
        <v>0</v>
      </c>
      <c r="AJ176" s="15">
        <f t="shared" si="66"/>
        <v>0</v>
      </c>
      <c r="AK176" s="17">
        <v>0</v>
      </c>
      <c r="AL176" s="17">
        <v>0</v>
      </c>
      <c r="AM176" s="15">
        <f t="shared" si="67"/>
        <v>0</v>
      </c>
      <c r="AN176" s="17"/>
      <c r="AO176" s="53">
        <f t="shared" si="63"/>
        <v>3</v>
      </c>
      <c r="AP176" s="53">
        <f>IF($A176="",0,IF(COUNTIFS([1]Sheet1!$A$2:$A$190,$A176,[1]Sheet1!$B$2:$B$190,$B176,[1]Sheet1!$C$2:$C$190,"&gt;=0")=0,0,SUMIFS([1]Sheet1!$C$2:$C$190,[1]Sheet1!$A$2:$A$190,$A176,[1]Sheet1!$B$2:$B$190,$B176)-$AO176))</f>
        <v>-1</v>
      </c>
    </row>
    <row r="177" spans="1:42" x14ac:dyDescent="0.3">
      <c r="A177" s="15" t="s">
        <v>180</v>
      </c>
      <c r="B177" s="15">
        <v>1000</v>
      </c>
      <c r="C177" s="15" t="s">
        <v>54</v>
      </c>
      <c r="D177" s="15" t="s">
        <v>68</v>
      </c>
      <c r="E177" s="15" cm="1">
        <f t="array" ref="E177">IFERROR(_xlfn.XLOOKUP($A177&amp;"|"&amp;$B177&amp;"|"&amp;$D177,'21-AUGUST-2026'!$A$3:$A$199&amp;"|"&amp;'21-AUGUST-2026'!$B$3:$B$199&amp;"|"&amp;'21-AUGUST-2026'!$D$3:$D$199,'21-AUGUST-2026'!$T$3:$T$199,_xlfn.XLOOKUP($A177&amp;"|"&amp;$B177,'21-AUGUST-2026'!$A$3:$A$199&amp;"|"&amp;'21-AUGUST-2026'!$B$3:$B$199,'21-AUGUST-2026'!$T$3:$T$199,0)),0)</f>
        <v>2</v>
      </c>
      <c r="F177" s="15" cm="1">
        <f t="array" ref="F177">IFERROR(_xlfn.XLOOKUP($A177&amp;"|"&amp;$B177&amp;"|"&amp;$D177,'21-AUGUST-2026'!$A$3:$A$199&amp;"|"&amp;'21-AUGUST-2026'!$B$3:$B$199&amp;"|"&amp;'21-AUGUST-2026'!$D$3:$D$199,'21-AUGUST-2026'!$U$3:$U$199,_xlfn.XLOOKUP($A177&amp;"|"&amp;$B177,'21-AUGUST-2026'!$A$3:$A$199&amp;"|"&amp;'21-AUGUST-2026'!$B$3:$B$199,'21-AUGUST-2026'!$U$3:$U$199,0)),0)</f>
        <v>0</v>
      </c>
      <c r="G177" s="15">
        <f t="shared" si="59"/>
        <v>2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20">
        <v>0</v>
      </c>
      <c r="S177" s="20">
        <v>0</v>
      </c>
      <c r="T177" s="20">
        <v>0</v>
      </c>
      <c r="U177" s="17"/>
      <c r="V177" s="17"/>
      <c r="W177" s="20">
        <f t="shared" si="60"/>
        <v>0</v>
      </c>
      <c r="X177" s="21">
        <f t="shared" si="68"/>
        <v>2</v>
      </c>
      <c r="Y177" s="15">
        <f t="shared" si="69"/>
        <v>2</v>
      </c>
      <c r="Z177" s="15">
        <f t="shared" si="61"/>
        <v>0</v>
      </c>
      <c r="AA177" s="18" t="str">
        <f t="shared" si="62"/>
        <v/>
      </c>
      <c r="AB177" s="17">
        <v>0</v>
      </c>
      <c r="AC177" s="17">
        <v>0</v>
      </c>
      <c r="AD177" s="15">
        <f t="shared" si="64"/>
        <v>0</v>
      </c>
      <c r="AE177" s="17">
        <v>0</v>
      </c>
      <c r="AF177" s="17">
        <v>0</v>
      </c>
      <c r="AG177" s="15">
        <f t="shared" si="65"/>
        <v>0</v>
      </c>
      <c r="AH177" s="17">
        <v>0</v>
      </c>
      <c r="AI177" s="17">
        <v>0</v>
      </c>
      <c r="AJ177" s="15">
        <f t="shared" si="66"/>
        <v>0</v>
      </c>
      <c r="AK177" s="17">
        <v>0</v>
      </c>
      <c r="AL177" s="17">
        <v>0</v>
      </c>
      <c r="AM177" s="15">
        <f t="shared" si="67"/>
        <v>0</v>
      </c>
      <c r="AN177" s="17"/>
      <c r="AO177" s="53">
        <f t="shared" si="63"/>
        <v>2</v>
      </c>
      <c r="AP177" s="53">
        <f>IF($A177="",0,IF(COUNTIFS([1]Sheet1!$A$2:$A$190,$A177,[1]Sheet1!$B$2:$B$190,$B177,[1]Sheet1!$C$2:$C$190,"&gt;=0")=0,0,SUMIFS([1]Sheet1!$C$2:$C$190,[1]Sheet1!$A$2:$A$190,$A177,[1]Sheet1!$B$2:$B$190,$B177)-$AO177))</f>
        <v>0</v>
      </c>
    </row>
    <row r="178" spans="1:42" x14ac:dyDescent="0.3">
      <c r="A178" s="15" t="s">
        <v>182</v>
      </c>
      <c r="B178" s="15">
        <v>1000</v>
      </c>
      <c r="C178" s="15" t="s">
        <v>54</v>
      </c>
      <c r="D178" s="15" t="s">
        <v>68</v>
      </c>
      <c r="E178" s="15" cm="1">
        <f t="array" ref="E178">IFERROR(_xlfn.XLOOKUP($A178&amp;"|"&amp;$B178&amp;"|"&amp;$D178,'21-AUGUST-2026'!$A$3:$A$199&amp;"|"&amp;'21-AUGUST-2026'!$B$3:$B$199&amp;"|"&amp;'21-AUGUST-2026'!$D$3:$D$199,'21-AUGUST-2026'!$T$3:$T$199,_xlfn.XLOOKUP($A178&amp;"|"&amp;$B178,'21-AUGUST-2026'!$A$3:$A$199&amp;"|"&amp;'21-AUGUST-2026'!$B$3:$B$199,'21-AUGUST-2026'!$T$3:$T$199,0)),0)</f>
        <v>4</v>
      </c>
      <c r="F178" s="15" cm="1">
        <f t="array" ref="F178">IFERROR(_xlfn.XLOOKUP($A178&amp;"|"&amp;$B178&amp;"|"&amp;$D178,'21-AUGUST-2026'!$A$3:$A$199&amp;"|"&amp;'21-AUGUST-2026'!$B$3:$B$199&amp;"|"&amp;'21-AUGUST-2026'!$D$3:$D$199,'21-AUGUST-2026'!$U$3:$U$199,_xlfn.XLOOKUP($A178&amp;"|"&amp;$B178,'21-AUGUST-2026'!$A$3:$A$199&amp;"|"&amp;'21-AUGUST-2026'!$B$3:$B$199,'21-AUGUST-2026'!$U$3:$U$199,0)),0)</f>
        <v>0</v>
      </c>
      <c r="G178" s="15">
        <f t="shared" si="59"/>
        <v>4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20">
        <v>0</v>
      </c>
      <c r="S178" s="20">
        <v>0</v>
      </c>
      <c r="T178" s="20">
        <v>0</v>
      </c>
      <c r="U178" s="17"/>
      <c r="V178" s="17"/>
      <c r="W178" s="20">
        <f t="shared" si="60"/>
        <v>0</v>
      </c>
      <c r="X178" s="21">
        <f t="shared" si="68"/>
        <v>4</v>
      </c>
      <c r="Y178" s="15">
        <f t="shared" si="69"/>
        <v>4</v>
      </c>
      <c r="Z178" s="15">
        <f t="shared" si="61"/>
        <v>0</v>
      </c>
      <c r="AA178" s="18" t="str">
        <f t="shared" si="62"/>
        <v/>
      </c>
      <c r="AB178" s="17">
        <v>0</v>
      </c>
      <c r="AC178" s="17">
        <v>0</v>
      </c>
      <c r="AD178" s="15">
        <f t="shared" si="64"/>
        <v>0</v>
      </c>
      <c r="AE178" s="17">
        <v>0</v>
      </c>
      <c r="AF178" s="17">
        <v>0</v>
      </c>
      <c r="AG178" s="15">
        <f t="shared" si="65"/>
        <v>0</v>
      </c>
      <c r="AH178" s="17">
        <v>0</v>
      </c>
      <c r="AI178" s="17">
        <v>0</v>
      </c>
      <c r="AJ178" s="15">
        <f t="shared" si="66"/>
        <v>0</v>
      </c>
      <c r="AK178" s="17">
        <v>0</v>
      </c>
      <c r="AL178" s="17">
        <v>0</v>
      </c>
      <c r="AM178" s="15">
        <f t="shared" si="67"/>
        <v>0</v>
      </c>
      <c r="AN178" s="17"/>
      <c r="AO178" s="53">
        <f t="shared" si="63"/>
        <v>4</v>
      </c>
      <c r="AP178" s="53">
        <f>IF($A178="",0,IF(COUNTIFS([1]Sheet1!$A$2:$A$190,$A178,[1]Sheet1!$B$2:$B$190,$B178,[1]Sheet1!$C$2:$C$190,"&gt;=0")=0,0,SUMIFS([1]Sheet1!$C$2:$C$190,[1]Sheet1!$A$2:$A$190,$A178,[1]Sheet1!$B$2:$B$190,$B178)-$AO178))</f>
        <v>0</v>
      </c>
    </row>
    <row r="179" spans="1:42" x14ac:dyDescent="0.3">
      <c r="A179" s="15" t="s">
        <v>183</v>
      </c>
      <c r="B179" s="15">
        <v>100</v>
      </c>
      <c r="C179" s="15" t="s">
        <v>54</v>
      </c>
      <c r="D179" s="15" t="s">
        <v>68</v>
      </c>
      <c r="E179" s="15" cm="1">
        <f t="array" ref="E179">IFERROR(_xlfn.XLOOKUP($A179&amp;"|"&amp;$B179&amp;"|"&amp;$D179,'21-AUGUST-2026'!$A$3:$A$199&amp;"|"&amp;'21-AUGUST-2026'!$B$3:$B$199&amp;"|"&amp;'21-AUGUST-2026'!$D$3:$D$199,'21-AUGUST-2026'!$T$3:$T$199,_xlfn.XLOOKUP($A179&amp;"|"&amp;$B179,'21-AUGUST-2026'!$A$3:$A$199&amp;"|"&amp;'21-AUGUST-2026'!$B$3:$B$199,'21-AUGUST-2026'!$T$3:$T$199,0)),0)</f>
        <v>2</v>
      </c>
      <c r="F179" s="15" cm="1">
        <f t="array" ref="F179">IFERROR(_xlfn.XLOOKUP($A179&amp;"|"&amp;$B179&amp;"|"&amp;$D179,'21-AUGUST-2026'!$A$3:$A$199&amp;"|"&amp;'21-AUGUST-2026'!$B$3:$B$199&amp;"|"&amp;'21-AUGUST-2026'!$D$3:$D$199,'21-AUGUST-2026'!$U$3:$U$199,_xlfn.XLOOKUP($A179&amp;"|"&amp;$B179,'21-AUGUST-2026'!$A$3:$A$199&amp;"|"&amp;'21-AUGUST-2026'!$B$3:$B$199,'21-AUGUST-2026'!$U$3:$U$199,0)),0)</f>
        <v>0</v>
      </c>
      <c r="G179" s="15">
        <f t="shared" si="59"/>
        <v>2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20">
        <v>0</v>
      </c>
      <c r="S179" s="20">
        <v>0</v>
      </c>
      <c r="T179" s="20">
        <v>0</v>
      </c>
      <c r="U179" s="17"/>
      <c r="V179" s="17"/>
      <c r="W179" s="20">
        <f t="shared" si="60"/>
        <v>0</v>
      </c>
      <c r="X179" s="21">
        <f t="shared" si="68"/>
        <v>2</v>
      </c>
      <c r="Y179" s="15">
        <f t="shared" si="69"/>
        <v>2</v>
      </c>
      <c r="Z179" s="15">
        <f t="shared" si="61"/>
        <v>0</v>
      </c>
      <c r="AA179" s="18" t="str">
        <f t="shared" si="62"/>
        <v/>
      </c>
      <c r="AB179" s="17">
        <v>0</v>
      </c>
      <c r="AC179" s="17">
        <v>0</v>
      </c>
      <c r="AD179" s="15">
        <f t="shared" si="64"/>
        <v>0</v>
      </c>
      <c r="AE179" s="17">
        <v>0</v>
      </c>
      <c r="AF179" s="17">
        <v>0</v>
      </c>
      <c r="AG179" s="15">
        <f t="shared" si="65"/>
        <v>0</v>
      </c>
      <c r="AH179" s="17">
        <v>0</v>
      </c>
      <c r="AI179" s="17">
        <v>0</v>
      </c>
      <c r="AJ179" s="15">
        <f t="shared" si="66"/>
        <v>0</v>
      </c>
      <c r="AK179" s="17">
        <v>0</v>
      </c>
      <c r="AL179" s="17">
        <v>0</v>
      </c>
      <c r="AM179" s="15">
        <f t="shared" si="67"/>
        <v>0</v>
      </c>
      <c r="AN179" s="17"/>
      <c r="AO179" s="53">
        <f t="shared" si="63"/>
        <v>2</v>
      </c>
      <c r="AP179" s="53">
        <f>IF($A179="",0,IF(COUNTIFS([1]Sheet1!$A$2:$A$190,$A179,[1]Sheet1!$B$2:$B$190,$B179,[1]Sheet1!$C$2:$C$190,"&gt;=0")=0,0,SUMIFS([1]Sheet1!$C$2:$C$190,[1]Sheet1!$A$2:$A$190,$A179,[1]Sheet1!$B$2:$B$190,$B179)-$AO179))</f>
        <v>0</v>
      </c>
    </row>
    <row r="180" spans="1:42" x14ac:dyDescent="0.3">
      <c r="A180" s="15" t="s">
        <v>185</v>
      </c>
      <c r="B180" s="15">
        <v>100</v>
      </c>
      <c r="C180" s="15" t="s">
        <v>54</v>
      </c>
      <c r="D180" s="15" t="s">
        <v>68</v>
      </c>
      <c r="E180" s="15" cm="1">
        <f t="array" ref="E180">IFERROR(_xlfn.XLOOKUP($A180&amp;"|"&amp;$B180&amp;"|"&amp;$D180,'21-AUGUST-2026'!$A$3:$A$199&amp;"|"&amp;'21-AUGUST-2026'!$B$3:$B$199&amp;"|"&amp;'21-AUGUST-2026'!$D$3:$D$199,'21-AUGUST-2026'!$T$3:$T$199,_xlfn.XLOOKUP($A180&amp;"|"&amp;$B180,'21-AUGUST-2026'!$A$3:$A$199&amp;"|"&amp;'21-AUGUST-2026'!$B$3:$B$199,'21-AUGUST-2026'!$T$3:$T$199,0)),0)</f>
        <v>6</v>
      </c>
      <c r="F180" s="15" cm="1">
        <f t="array" ref="F180">IFERROR(_xlfn.XLOOKUP($A180&amp;"|"&amp;$B180&amp;"|"&amp;$D180,'21-AUGUST-2026'!$A$3:$A$199&amp;"|"&amp;'21-AUGUST-2026'!$B$3:$B$199&amp;"|"&amp;'21-AUGUST-2026'!$D$3:$D$199,'21-AUGUST-2026'!$U$3:$U$199,_xlfn.XLOOKUP($A180&amp;"|"&amp;$B180,'21-AUGUST-2026'!$A$3:$A$199&amp;"|"&amp;'21-AUGUST-2026'!$B$3:$B$199,'21-AUGUST-2026'!$U$3:$U$199,0)),0)</f>
        <v>0</v>
      </c>
      <c r="G180" s="15">
        <f t="shared" si="59"/>
        <v>6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20">
        <v>0</v>
      </c>
      <c r="S180" s="20">
        <v>0</v>
      </c>
      <c r="T180" s="20">
        <v>0</v>
      </c>
      <c r="U180" s="17"/>
      <c r="V180" s="17"/>
      <c r="W180" s="20">
        <f t="shared" si="60"/>
        <v>0</v>
      </c>
      <c r="X180" s="21">
        <f t="shared" si="68"/>
        <v>6</v>
      </c>
      <c r="Y180" s="15">
        <f t="shared" si="69"/>
        <v>6</v>
      </c>
      <c r="Z180" s="15">
        <f t="shared" si="61"/>
        <v>0</v>
      </c>
      <c r="AA180" s="18" t="str">
        <f t="shared" si="62"/>
        <v/>
      </c>
      <c r="AB180" s="17">
        <v>0</v>
      </c>
      <c r="AC180" s="17">
        <v>0</v>
      </c>
      <c r="AD180" s="15">
        <f t="shared" si="64"/>
        <v>0</v>
      </c>
      <c r="AE180" s="17">
        <v>0</v>
      </c>
      <c r="AF180" s="17">
        <v>0</v>
      </c>
      <c r="AG180" s="15">
        <f t="shared" si="65"/>
        <v>0</v>
      </c>
      <c r="AH180" s="17">
        <v>0</v>
      </c>
      <c r="AI180" s="17">
        <v>0</v>
      </c>
      <c r="AJ180" s="15">
        <f t="shared" si="66"/>
        <v>0</v>
      </c>
      <c r="AK180" s="17">
        <v>0</v>
      </c>
      <c r="AL180" s="17">
        <v>0</v>
      </c>
      <c r="AM180" s="15">
        <f t="shared" si="67"/>
        <v>0</v>
      </c>
      <c r="AN180" s="17"/>
      <c r="AO180" s="53">
        <f t="shared" si="63"/>
        <v>6</v>
      </c>
      <c r="AP180" s="53">
        <f>IF($A180="",0,IF(COUNTIFS([1]Sheet1!$A$2:$A$190,$A180,[1]Sheet1!$B$2:$B$190,$B180,[1]Sheet1!$C$2:$C$190,"&gt;=0")=0,0,SUMIFS([1]Sheet1!$C$2:$C$190,[1]Sheet1!$A$2:$A$190,$A180,[1]Sheet1!$B$2:$B$190,$B180)-$AO180))</f>
        <v>0</v>
      </c>
    </row>
    <row r="181" spans="1:42" x14ac:dyDescent="0.3">
      <c r="A181" s="15" t="s">
        <v>187</v>
      </c>
      <c r="B181" s="15">
        <v>1000</v>
      </c>
      <c r="C181" s="15" t="s">
        <v>54</v>
      </c>
      <c r="D181" s="15" t="s">
        <v>68</v>
      </c>
      <c r="E181" s="15" cm="1">
        <f t="array" ref="E181">IFERROR(_xlfn.XLOOKUP($A181&amp;"|"&amp;$B181&amp;"|"&amp;$D181,'21-AUGUST-2026'!$A$3:$A$199&amp;"|"&amp;'21-AUGUST-2026'!$B$3:$B$199&amp;"|"&amp;'21-AUGUST-2026'!$D$3:$D$199,'21-AUGUST-2026'!$T$3:$T$199,_xlfn.XLOOKUP($A181&amp;"|"&amp;$B181,'21-AUGUST-2026'!$A$3:$A$199&amp;"|"&amp;'21-AUGUST-2026'!$B$3:$B$199,'21-AUGUST-2026'!$T$3:$T$199,0)),0)</f>
        <v>1</v>
      </c>
      <c r="F181" s="15" cm="1">
        <f t="array" ref="F181">IFERROR(_xlfn.XLOOKUP($A181&amp;"|"&amp;$B181&amp;"|"&amp;$D181,'21-AUGUST-2026'!$A$3:$A$199&amp;"|"&amp;'21-AUGUST-2026'!$B$3:$B$199&amp;"|"&amp;'21-AUGUST-2026'!$D$3:$D$199,'21-AUGUST-2026'!$U$3:$U$199,_xlfn.XLOOKUP($A181&amp;"|"&amp;$B181,'21-AUGUST-2026'!$A$3:$A$199&amp;"|"&amp;'21-AUGUST-2026'!$B$3:$B$199,'21-AUGUST-2026'!$U$3:$U$199,0)),0)</f>
        <v>0</v>
      </c>
      <c r="G181" s="15">
        <f t="shared" si="59"/>
        <v>1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20">
        <v>0</v>
      </c>
      <c r="S181" s="20">
        <v>0</v>
      </c>
      <c r="T181" s="20">
        <v>0</v>
      </c>
      <c r="U181" s="17"/>
      <c r="V181" s="17"/>
      <c r="W181" s="20">
        <f t="shared" si="60"/>
        <v>0</v>
      </c>
      <c r="X181" s="21">
        <f t="shared" si="68"/>
        <v>1</v>
      </c>
      <c r="Y181" s="15">
        <f t="shared" si="69"/>
        <v>1</v>
      </c>
      <c r="Z181" s="15">
        <f t="shared" si="61"/>
        <v>0</v>
      </c>
      <c r="AA181" s="18" t="str">
        <f t="shared" si="62"/>
        <v/>
      </c>
      <c r="AB181" s="17">
        <v>0</v>
      </c>
      <c r="AC181" s="17">
        <v>0</v>
      </c>
      <c r="AD181" s="15">
        <f t="shared" si="64"/>
        <v>0</v>
      </c>
      <c r="AE181" s="17">
        <v>0</v>
      </c>
      <c r="AF181" s="17">
        <v>0</v>
      </c>
      <c r="AG181" s="15">
        <f t="shared" si="65"/>
        <v>0</v>
      </c>
      <c r="AH181" s="17">
        <v>0</v>
      </c>
      <c r="AI181" s="17">
        <v>0</v>
      </c>
      <c r="AJ181" s="15">
        <f t="shared" si="66"/>
        <v>0</v>
      </c>
      <c r="AK181" s="17">
        <v>0</v>
      </c>
      <c r="AL181" s="17">
        <v>0</v>
      </c>
      <c r="AM181" s="15">
        <f t="shared" si="67"/>
        <v>0</v>
      </c>
      <c r="AN181" s="17"/>
      <c r="AO181" s="53">
        <f t="shared" si="63"/>
        <v>1</v>
      </c>
      <c r="AP181" s="53">
        <f>IF($A181="",0,IF(COUNTIFS([1]Sheet1!$A$2:$A$190,$A181,[1]Sheet1!$B$2:$B$190,$B181,[1]Sheet1!$C$2:$C$190,"&gt;=0")=0,0,SUMIFS([1]Sheet1!$C$2:$C$190,[1]Sheet1!$A$2:$A$190,$A181,[1]Sheet1!$B$2:$B$190,$B181)-$AO181))</f>
        <v>0</v>
      </c>
    </row>
    <row r="182" spans="1:42" x14ac:dyDescent="0.3">
      <c r="A182" s="15" t="s">
        <v>189</v>
      </c>
      <c r="B182" s="15">
        <v>100</v>
      </c>
      <c r="C182" s="15" t="s">
        <v>54</v>
      </c>
      <c r="D182" s="15" t="s">
        <v>68</v>
      </c>
      <c r="E182" s="15" cm="1">
        <f t="array" ref="E182">IFERROR(_xlfn.XLOOKUP($A182&amp;"|"&amp;$B182&amp;"|"&amp;$D182,'21-AUGUST-2026'!$A$3:$A$199&amp;"|"&amp;'21-AUGUST-2026'!$B$3:$B$199&amp;"|"&amp;'21-AUGUST-2026'!$D$3:$D$199,'21-AUGUST-2026'!$T$3:$T$199,_xlfn.XLOOKUP($A182&amp;"|"&amp;$B182,'21-AUGUST-2026'!$A$3:$A$199&amp;"|"&amp;'21-AUGUST-2026'!$B$3:$B$199,'21-AUGUST-2026'!$T$3:$T$199,0)),0)</f>
        <v>0</v>
      </c>
      <c r="F182" s="15" cm="1">
        <f t="array" ref="F182">IFERROR(_xlfn.XLOOKUP($A182&amp;"|"&amp;$B182&amp;"|"&amp;$D182,'21-AUGUST-2026'!$A$3:$A$199&amp;"|"&amp;'21-AUGUST-2026'!$B$3:$B$199&amp;"|"&amp;'21-AUGUST-2026'!$D$3:$D$199,'21-AUGUST-2026'!$U$3:$U$199,_xlfn.XLOOKUP($A182&amp;"|"&amp;$B182,'21-AUGUST-2026'!$A$3:$A$199&amp;"|"&amp;'21-AUGUST-2026'!$B$3:$B$199,'21-AUGUST-2026'!$U$3:$U$199,0)),0)</f>
        <v>0</v>
      </c>
      <c r="G182" s="15">
        <f t="shared" si="59"/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20">
        <v>0</v>
      </c>
      <c r="S182" s="20">
        <v>0</v>
      </c>
      <c r="T182" s="20">
        <v>0</v>
      </c>
      <c r="U182" s="17"/>
      <c r="V182" s="17"/>
      <c r="W182" s="20">
        <f t="shared" si="60"/>
        <v>0</v>
      </c>
      <c r="X182" s="21">
        <f t="shared" si="68"/>
        <v>0</v>
      </c>
      <c r="Y182" s="15">
        <f t="shared" si="69"/>
        <v>0</v>
      </c>
      <c r="Z182" s="15">
        <f t="shared" si="61"/>
        <v>0</v>
      </c>
      <c r="AA182" s="18" t="str">
        <f t="shared" si="62"/>
        <v/>
      </c>
      <c r="AB182" s="17">
        <v>0</v>
      </c>
      <c r="AC182" s="17">
        <v>0</v>
      </c>
      <c r="AD182" s="15">
        <f t="shared" si="64"/>
        <v>0</v>
      </c>
      <c r="AE182" s="17">
        <v>0</v>
      </c>
      <c r="AF182" s="17">
        <v>0</v>
      </c>
      <c r="AG182" s="15">
        <f t="shared" si="65"/>
        <v>0</v>
      </c>
      <c r="AH182" s="17">
        <v>0</v>
      </c>
      <c r="AI182" s="17">
        <v>0</v>
      </c>
      <c r="AJ182" s="15">
        <f t="shared" si="66"/>
        <v>0</v>
      </c>
      <c r="AK182" s="17">
        <v>0</v>
      </c>
      <c r="AL182" s="17">
        <v>0</v>
      </c>
      <c r="AM182" s="15">
        <f t="shared" si="67"/>
        <v>0</v>
      </c>
      <c r="AN182" s="17"/>
      <c r="AO182" s="53">
        <f t="shared" si="63"/>
        <v>0</v>
      </c>
      <c r="AP182" s="53">
        <f>IF($A182="",0,IF(COUNTIFS([1]Sheet1!$A$2:$A$190,$A182,[1]Sheet1!$B$2:$B$190,$B182,[1]Sheet1!$C$2:$C$190,"&gt;=0")=0,0,SUMIFS([1]Sheet1!$C$2:$C$190,[1]Sheet1!$A$2:$A$190,$A182,[1]Sheet1!$B$2:$B$190,$B182)-$AO182))</f>
        <v>0</v>
      </c>
    </row>
    <row r="183" spans="1:42" x14ac:dyDescent="0.3">
      <c r="A183" s="15" t="s">
        <v>191</v>
      </c>
      <c r="B183" s="15">
        <v>100</v>
      </c>
      <c r="C183" s="15" t="s">
        <v>54</v>
      </c>
      <c r="D183" s="15" t="s">
        <v>68</v>
      </c>
      <c r="E183" s="15" cm="1">
        <f t="array" ref="E183">IFERROR(_xlfn.XLOOKUP($A183&amp;"|"&amp;$B183&amp;"|"&amp;$D183,'21-AUGUST-2026'!$A$3:$A$199&amp;"|"&amp;'21-AUGUST-2026'!$B$3:$B$199&amp;"|"&amp;'21-AUGUST-2026'!$D$3:$D$199,'21-AUGUST-2026'!$T$3:$T$199,_xlfn.XLOOKUP($A183&amp;"|"&amp;$B183,'21-AUGUST-2026'!$A$3:$A$199&amp;"|"&amp;'21-AUGUST-2026'!$B$3:$B$199,'21-AUGUST-2026'!$T$3:$T$199,0)),0)</f>
        <v>2</v>
      </c>
      <c r="F183" s="15" cm="1">
        <f t="array" ref="F183">IFERROR(_xlfn.XLOOKUP($A183&amp;"|"&amp;$B183&amp;"|"&amp;$D183,'21-AUGUST-2026'!$A$3:$A$199&amp;"|"&amp;'21-AUGUST-2026'!$B$3:$B$199&amp;"|"&amp;'21-AUGUST-2026'!$D$3:$D$199,'21-AUGUST-2026'!$U$3:$U$199,_xlfn.XLOOKUP($A183&amp;"|"&amp;$B183,'21-AUGUST-2026'!$A$3:$A$199&amp;"|"&amp;'21-AUGUST-2026'!$B$3:$B$199,'21-AUGUST-2026'!$U$3:$U$199,0)),0)</f>
        <v>0</v>
      </c>
      <c r="G183" s="15">
        <f t="shared" si="59"/>
        <v>2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20">
        <v>0</v>
      </c>
      <c r="S183" s="20">
        <v>0</v>
      </c>
      <c r="T183" s="20">
        <v>0</v>
      </c>
      <c r="U183" s="17"/>
      <c r="V183" s="17"/>
      <c r="W183" s="20">
        <f t="shared" si="60"/>
        <v>0</v>
      </c>
      <c r="X183" s="21">
        <f t="shared" si="68"/>
        <v>2</v>
      </c>
      <c r="Y183" s="15">
        <f t="shared" si="69"/>
        <v>2</v>
      </c>
      <c r="Z183" s="15">
        <f t="shared" si="61"/>
        <v>0</v>
      </c>
      <c r="AA183" s="18" t="str">
        <f t="shared" si="62"/>
        <v/>
      </c>
      <c r="AB183" s="17">
        <v>0</v>
      </c>
      <c r="AC183" s="17">
        <v>0</v>
      </c>
      <c r="AD183" s="15">
        <f t="shared" si="64"/>
        <v>0</v>
      </c>
      <c r="AE183" s="17">
        <v>0</v>
      </c>
      <c r="AF183" s="17">
        <v>0</v>
      </c>
      <c r="AG183" s="15">
        <f t="shared" si="65"/>
        <v>0</v>
      </c>
      <c r="AH183" s="17">
        <v>0</v>
      </c>
      <c r="AI183" s="17">
        <v>0</v>
      </c>
      <c r="AJ183" s="15">
        <f t="shared" si="66"/>
        <v>0</v>
      </c>
      <c r="AK183" s="17">
        <v>0</v>
      </c>
      <c r="AL183" s="17">
        <v>0</v>
      </c>
      <c r="AM183" s="15">
        <f t="shared" si="67"/>
        <v>0</v>
      </c>
      <c r="AN183" s="17"/>
      <c r="AO183" s="53">
        <f t="shared" si="63"/>
        <v>2</v>
      </c>
      <c r="AP183" s="53">
        <f>IF($A183="",0,IF(COUNTIFS([1]Sheet1!$A$2:$A$190,$A183,[1]Sheet1!$B$2:$B$190,$B183,[1]Sheet1!$C$2:$C$190,"&gt;=0")=0,0,SUMIFS([1]Sheet1!$C$2:$C$190,[1]Sheet1!$A$2:$A$190,$A183,[1]Sheet1!$B$2:$B$190,$B183)-$AO183))</f>
        <v>0</v>
      </c>
    </row>
    <row r="184" spans="1:42" x14ac:dyDescent="0.3">
      <c r="A184" s="15" t="s">
        <v>195</v>
      </c>
      <c r="B184" s="15">
        <v>1000</v>
      </c>
      <c r="C184" s="15" t="s">
        <v>54</v>
      </c>
      <c r="D184" s="15" t="s">
        <v>68</v>
      </c>
      <c r="E184" s="15" cm="1">
        <f t="array" ref="E184">IFERROR(_xlfn.XLOOKUP($A184&amp;"|"&amp;$B184&amp;"|"&amp;$D184,'21-AUGUST-2026'!$A$3:$A$199&amp;"|"&amp;'21-AUGUST-2026'!$B$3:$B$199&amp;"|"&amp;'21-AUGUST-2026'!$D$3:$D$199,'21-AUGUST-2026'!$T$3:$T$199,_xlfn.XLOOKUP($A184&amp;"|"&amp;$B184,'21-AUGUST-2026'!$A$3:$A$199&amp;"|"&amp;'21-AUGUST-2026'!$B$3:$B$199,'21-AUGUST-2026'!$T$3:$T$199,0)),0)</f>
        <v>2</v>
      </c>
      <c r="F184" s="15" cm="1">
        <f t="array" ref="F184">IFERROR(_xlfn.XLOOKUP($A184&amp;"|"&amp;$B184&amp;"|"&amp;$D184,'21-AUGUST-2026'!$A$3:$A$199&amp;"|"&amp;'21-AUGUST-2026'!$B$3:$B$199&amp;"|"&amp;'21-AUGUST-2026'!$D$3:$D$199,'21-AUGUST-2026'!$U$3:$U$199,_xlfn.XLOOKUP($A184&amp;"|"&amp;$B184,'21-AUGUST-2026'!$A$3:$A$199&amp;"|"&amp;'21-AUGUST-2026'!$B$3:$B$199,'21-AUGUST-2026'!$U$3:$U$199,0)),0)</f>
        <v>0</v>
      </c>
      <c r="G184" s="15">
        <f t="shared" si="59"/>
        <v>2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20">
        <v>0</v>
      </c>
      <c r="S184" s="20">
        <v>0</v>
      </c>
      <c r="T184" s="20">
        <v>0</v>
      </c>
      <c r="U184" s="17"/>
      <c r="V184" s="17"/>
      <c r="W184" s="20">
        <f t="shared" si="60"/>
        <v>0</v>
      </c>
      <c r="X184" s="21">
        <f t="shared" si="68"/>
        <v>2</v>
      </c>
      <c r="Y184" s="15">
        <f t="shared" si="69"/>
        <v>2</v>
      </c>
      <c r="Z184" s="15">
        <f t="shared" si="61"/>
        <v>0</v>
      </c>
      <c r="AA184" s="18" t="str">
        <f t="shared" si="62"/>
        <v/>
      </c>
      <c r="AB184" s="17">
        <v>0</v>
      </c>
      <c r="AC184" s="17">
        <v>0</v>
      </c>
      <c r="AD184" s="15">
        <f t="shared" si="64"/>
        <v>0</v>
      </c>
      <c r="AE184" s="17">
        <v>0</v>
      </c>
      <c r="AF184" s="17">
        <v>0</v>
      </c>
      <c r="AG184" s="15">
        <f t="shared" si="65"/>
        <v>0</v>
      </c>
      <c r="AH184" s="17">
        <v>0</v>
      </c>
      <c r="AI184" s="17">
        <v>0</v>
      </c>
      <c r="AJ184" s="15">
        <f t="shared" si="66"/>
        <v>0</v>
      </c>
      <c r="AK184" s="17">
        <v>0</v>
      </c>
      <c r="AL184" s="17">
        <v>0</v>
      </c>
      <c r="AM184" s="15">
        <f t="shared" si="67"/>
        <v>0</v>
      </c>
      <c r="AN184" s="17"/>
      <c r="AO184" s="53">
        <f t="shared" si="63"/>
        <v>2</v>
      </c>
      <c r="AP184" s="53">
        <f>IF($A184="",0,IF(COUNTIFS([1]Sheet1!$A$2:$A$190,$A184,[1]Sheet1!$B$2:$B$190,$B184,[1]Sheet1!$C$2:$C$190,"&gt;=0")=0,0,SUMIFS([1]Sheet1!$C$2:$C$190,[1]Sheet1!$A$2:$A$190,$A184,[1]Sheet1!$B$2:$B$190,$B184)-$AO184))</f>
        <v>0</v>
      </c>
    </row>
    <row r="185" spans="1:42" x14ac:dyDescent="0.3">
      <c r="A185" s="15" t="s">
        <v>207</v>
      </c>
      <c r="B185" s="15">
        <v>1000</v>
      </c>
      <c r="C185" s="15" t="s">
        <v>54</v>
      </c>
      <c r="D185" s="15" t="s">
        <v>68</v>
      </c>
      <c r="E185" s="15" cm="1">
        <f t="array" ref="E185">IFERROR(_xlfn.XLOOKUP($A185&amp;"|"&amp;$B185&amp;"|"&amp;$D185,'21-AUGUST-2026'!$A$3:$A$199&amp;"|"&amp;'21-AUGUST-2026'!$B$3:$B$199&amp;"|"&amp;'21-AUGUST-2026'!$D$3:$D$199,'21-AUGUST-2026'!$T$3:$T$199,_xlfn.XLOOKUP($A185&amp;"|"&amp;$B185,'21-AUGUST-2026'!$A$3:$A$199&amp;"|"&amp;'21-AUGUST-2026'!$B$3:$B$199,'21-AUGUST-2026'!$T$3:$T$199,0)),0)</f>
        <v>3</v>
      </c>
      <c r="F185" s="15" cm="1">
        <f t="array" ref="F185">IFERROR(_xlfn.XLOOKUP($A185&amp;"|"&amp;$B185&amp;"|"&amp;$D185,'21-AUGUST-2026'!$A$3:$A$199&amp;"|"&amp;'21-AUGUST-2026'!$B$3:$B$199&amp;"|"&amp;'21-AUGUST-2026'!$D$3:$D$199,'21-AUGUST-2026'!$U$3:$U$199,_xlfn.XLOOKUP($A185&amp;"|"&amp;$B185,'21-AUGUST-2026'!$A$3:$A$199&amp;"|"&amp;'21-AUGUST-2026'!$B$3:$B$199,'21-AUGUST-2026'!$U$3:$U$199,0)),0)</f>
        <v>0</v>
      </c>
      <c r="G185" s="15">
        <f t="shared" si="59"/>
        <v>3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20">
        <v>0</v>
      </c>
      <c r="S185" s="20">
        <v>0</v>
      </c>
      <c r="T185" s="20">
        <v>0</v>
      </c>
      <c r="U185" s="17"/>
      <c r="V185" s="17"/>
      <c r="W185" s="20">
        <f t="shared" si="60"/>
        <v>0</v>
      </c>
      <c r="X185" s="21">
        <f t="shared" si="68"/>
        <v>3</v>
      </c>
      <c r="Y185" s="15">
        <f t="shared" si="69"/>
        <v>3</v>
      </c>
      <c r="Z185" s="15">
        <f t="shared" si="61"/>
        <v>0</v>
      </c>
      <c r="AA185" s="18" t="str">
        <f t="shared" si="62"/>
        <v/>
      </c>
      <c r="AB185" s="17">
        <v>0</v>
      </c>
      <c r="AC185" s="17">
        <v>0</v>
      </c>
      <c r="AD185" s="15">
        <f t="shared" si="64"/>
        <v>0</v>
      </c>
      <c r="AE185" s="17">
        <v>0</v>
      </c>
      <c r="AF185" s="17">
        <v>0</v>
      </c>
      <c r="AG185" s="15">
        <f t="shared" si="65"/>
        <v>0</v>
      </c>
      <c r="AH185" s="17">
        <v>0</v>
      </c>
      <c r="AI185" s="17">
        <v>0</v>
      </c>
      <c r="AJ185" s="15">
        <f t="shared" si="66"/>
        <v>0</v>
      </c>
      <c r="AK185" s="17">
        <v>0</v>
      </c>
      <c r="AL185" s="17">
        <v>0</v>
      </c>
      <c r="AM185" s="15">
        <f t="shared" si="67"/>
        <v>0</v>
      </c>
      <c r="AN185" s="17"/>
      <c r="AO185" s="53">
        <f t="shared" si="63"/>
        <v>3</v>
      </c>
      <c r="AP185" s="53">
        <f>IF($A185="",0,IF(COUNTIFS([1]Sheet1!$A$2:$A$190,$A185,[1]Sheet1!$B$2:$B$190,$B185,[1]Sheet1!$C$2:$C$190,"&gt;=0")=0,0,SUMIFS([1]Sheet1!$C$2:$C$190,[1]Sheet1!$A$2:$A$190,$A185,[1]Sheet1!$B$2:$B$190,$B185)-$AO185))</f>
        <v>0</v>
      </c>
    </row>
    <row r="186" spans="1:42" x14ac:dyDescent="0.3">
      <c r="A186" s="15" t="s">
        <v>208</v>
      </c>
      <c r="B186" s="15">
        <v>1000</v>
      </c>
      <c r="C186" s="15" t="s">
        <v>54</v>
      </c>
      <c r="D186" s="15" t="s">
        <v>68</v>
      </c>
      <c r="E186" s="15" cm="1">
        <f t="array" ref="E186">IFERROR(_xlfn.XLOOKUP($A186&amp;"|"&amp;$B186&amp;"|"&amp;$D186,'21-AUGUST-2026'!$A$3:$A$199&amp;"|"&amp;'21-AUGUST-2026'!$B$3:$B$199&amp;"|"&amp;'21-AUGUST-2026'!$D$3:$D$199,'21-AUGUST-2026'!$T$3:$T$199,_xlfn.XLOOKUP($A186&amp;"|"&amp;$B186,'21-AUGUST-2026'!$A$3:$A$199&amp;"|"&amp;'21-AUGUST-2026'!$B$3:$B$199,'21-AUGUST-2026'!$T$3:$T$199,0)),0)</f>
        <v>9</v>
      </c>
      <c r="F186" s="15" cm="1">
        <f t="array" ref="F186">IFERROR(_xlfn.XLOOKUP($A186&amp;"|"&amp;$B186&amp;"|"&amp;$D186,'21-AUGUST-2026'!$A$3:$A$199&amp;"|"&amp;'21-AUGUST-2026'!$B$3:$B$199&amp;"|"&amp;'21-AUGUST-2026'!$D$3:$D$199,'21-AUGUST-2026'!$U$3:$U$199,_xlfn.XLOOKUP($A186&amp;"|"&amp;$B186,'21-AUGUST-2026'!$A$3:$A$199&amp;"|"&amp;'21-AUGUST-2026'!$B$3:$B$199,'21-AUGUST-2026'!$U$3:$U$199,0)),0)</f>
        <v>0</v>
      </c>
      <c r="G186" s="15">
        <f t="shared" si="59"/>
        <v>9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20">
        <v>0</v>
      </c>
      <c r="S186" s="20">
        <v>0</v>
      </c>
      <c r="T186" s="20">
        <v>0</v>
      </c>
      <c r="U186" s="17"/>
      <c r="V186" s="17"/>
      <c r="W186" s="20">
        <f t="shared" si="60"/>
        <v>0</v>
      </c>
      <c r="X186" s="21">
        <f t="shared" si="68"/>
        <v>9</v>
      </c>
      <c r="Y186" s="15">
        <f t="shared" si="69"/>
        <v>9</v>
      </c>
      <c r="Z186" s="15">
        <f t="shared" si="61"/>
        <v>0</v>
      </c>
      <c r="AA186" s="18" t="str">
        <f t="shared" si="62"/>
        <v/>
      </c>
      <c r="AB186" s="17">
        <v>0</v>
      </c>
      <c r="AC186" s="17">
        <v>0</v>
      </c>
      <c r="AD186" s="15">
        <f t="shared" si="64"/>
        <v>0</v>
      </c>
      <c r="AE186" s="17">
        <v>0</v>
      </c>
      <c r="AF186" s="17">
        <v>0</v>
      </c>
      <c r="AG186" s="15">
        <f t="shared" si="65"/>
        <v>0</v>
      </c>
      <c r="AH186" s="17">
        <v>0</v>
      </c>
      <c r="AI186" s="17">
        <v>0</v>
      </c>
      <c r="AJ186" s="15">
        <f t="shared" si="66"/>
        <v>0</v>
      </c>
      <c r="AK186" s="17">
        <v>0</v>
      </c>
      <c r="AL186" s="17">
        <v>0</v>
      </c>
      <c r="AM186" s="15">
        <f t="shared" si="67"/>
        <v>0</v>
      </c>
      <c r="AN186" s="17"/>
      <c r="AO186" s="53">
        <f t="shared" si="63"/>
        <v>9</v>
      </c>
      <c r="AP186" s="53">
        <f>IF($A186="",0,IF(COUNTIFS([1]Sheet1!$A$2:$A$190,$A186,[1]Sheet1!$B$2:$B$190,$B186,[1]Sheet1!$C$2:$C$190,"&gt;=0")=0,0,SUMIFS([1]Sheet1!$C$2:$C$190,[1]Sheet1!$A$2:$A$190,$A186,[1]Sheet1!$B$2:$B$190,$B186)-$AO186))</f>
        <v>0</v>
      </c>
    </row>
    <row r="187" spans="1:42" x14ac:dyDescent="0.3">
      <c r="A187" s="15" t="s">
        <v>210</v>
      </c>
      <c r="B187" s="15">
        <v>1000</v>
      </c>
      <c r="C187" s="15" t="s">
        <v>54</v>
      </c>
      <c r="D187" s="15" t="s">
        <v>68</v>
      </c>
      <c r="E187" s="15" cm="1">
        <f t="array" ref="E187">IFERROR(_xlfn.XLOOKUP($A187&amp;"|"&amp;$B187&amp;"|"&amp;$D187,'21-AUGUST-2026'!$A$3:$A$199&amp;"|"&amp;'21-AUGUST-2026'!$B$3:$B$199&amp;"|"&amp;'21-AUGUST-2026'!$D$3:$D$199,'21-AUGUST-2026'!$T$3:$T$199,_xlfn.XLOOKUP($A187&amp;"|"&amp;$B187,'21-AUGUST-2026'!$A$3:$A$199&amp;"|"&amp;'21-AUGUST-2026'!$B$3:$B$199,'21-AUGUST-2026'!$T$3:$T$199,0)),0)</f>
        <v>3</v>
      </c>
      <c r="F187" s="15" cm="1">
        <f t="array" ref="F187">IFERROR(_xlfn.XLOOKUP($A187&amp;"|"&amp;$B187&amp;"|"&amp;$D187,'21-AUGUST-2026'!$A$3:$A$199&amp;"|"&amp;'21-AUGUST-2026'!$B$3:$B$199&amp;"|"&amp;'21-AUGUST-2026'!$D$3:$D$199,'21-AUGUST-2026'!$U$3:$U$199,_xlfn.XLOOKUP($A187&amp;"|"&amp;$B187,'21-AUGUST-2026'!$A$3:$A$199&amp;"|"&amp;'21-AUGUST-2026'!$B$3:$B$199,'21-AUGUST-2026'!$U$3:$U$199,0)),0)</f>
        <v>0</v>
      </c>
      <c r="G187" s="15">
        <f t="shared" si="59"/>
        <v>3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20">
        <v>0</v>
      </c>
      <c r="S187" s="20">
        <v>0</v>
      </c>
      <c r="T187" s="20">
        <v>0</v>
      </c>
      <c r="U187" s="17"/>
      <c r="V187" s="17"/>
      <c r="W187" s="20">
        <f t="shared" si="60"/>
        <v>0</v>
      </c>
      <c r="X187" s="21">
        <f t="shared" si="68"/>
        <v>3</v>
      </c>
      <c r="Y187" s="15">
        <f t="shared" si="69"/>
        <v>3</v>
      </c>
      <c r="Z187" s="15">
        <f t="shared" si="61"/>
        <v>0</v>
      </c>
      <c r="AA187" s="18" t="str">
        <f t="shared" si="62"/>
        <v/>
      </c>
      <c r="AB187" s="17">
        <v>0</v>
      </c>
      <c r="AC187" s="17">
        <v>0</v>
      </c>
      <c r="AD187" s="15">
        <f t="shared" si="64"/>
        <v>0</v>
      </c>
      <c r="AE187" s="17">
        <v>0</v>
      </c>
      <c r="AF187" s="17">
        <v>0</v>
      </c>
      <c r="AG187" s="15">
        <f t="shared" si="65"/>
        <v>0</v>
      </c>
      <c r="AH187" s="17">
        <v>0</v>
      </c>
      <c r="AI187" s="17">
        <v>0</v>
      </c>
      <c r="AJ187" s="15">
        <f t="shared" si="66"/>
        <v>0</v>
      </c>
      <c r="AK187" s="17">
        <v>0</v>
      </c>
      <c r="AL187" s="17">
        <v>0</v>
      </c>
      <c r="AM187" s="15">
        <f t="shared" si="67"/>
        <v>0</v>
      </c>
      <c r="AN187" s="17"/>
      <c r="AO187" s="53">
        <f t="shared" si="63"/>
        <v>3</v>
      </c>
      <c r="AP187" s="53">
        <f>IF($A187="",0,IF(COUNTIFS([1]Sheet1!$A$2:$A$190,$A187,[1]Sheet1!$B$2:$B$190,$B187,[1]Sheet1!$C$2:$C$190,"&gt;=0")=0,0,SUMIFS([1]Sheet1!$C$2:$C$190,[1]Sheet1!$A$2:$A$190,$A187,[1]Sheet1!$B$2:$B$190,$B187)-$AO187))</f>
        <v>0</v>
      </c>
    </row>
    <row r="188" spans="1:42" x14ac:dyDescent="0.3">
      <c r="A188" s="15" t="s">
        <v>221</v>
      </c>
      <c r="B188" s="15">
        <v>1000</v>
      </c>
      <c r="C188" s="15" t="s">
        <v>54</v>
      </c>
      <c r="D188" s="15" t="s">
        <v>68</v>
      </c>
      <c r="E188" s="15" cm="1">
        <f t="array" ref="E188">IFERROR(_xlfn.XLOOKUP($A188&amp;"|"&amp;$B188&amp;"|"&amp;$D188,'21-AUGUST-2026'!$A$3:$A$199&amp;"|"&amp;'21-AUGUST-2026'!$B$3:$B$199&amp;"|"&amp;'21-AUGUST-2026'!$D$3:$D$199,'21-AUGUST-2026'!$T$3:$T$199,_xlfn.XLOOKUP($A188&amp;"|"&amp;$B188,'21-AUGUST-2026'!$A$3:$A$199&amp;"|"&amp;'21-AUGUST-2026'!$B$3:$B$199,'21-AUGUST-2026'!$T$3:$T$199,0)),0)</f>
        <v>2</v>
      </c>
      <c r="F188" s="15" cm="1">
        <f t="array" ref="F188">IFERROR(_xlfn.XLOOKUP($A188&amp;"|"&amp;$B188&amp;"|"&amp;$D188,'21-AUGUST-2026'!$A$3:$A$199&amp;"|"&amp;'21-AUGUST-2026'!$B$3:$B$199&amp;"|"&amp;'21-AUGUST-2026'!$D$3:$D$199,'21-AUGUST-2026'!$U$3:$U$199,_xlfn.XLOOKUP($A188&amp;"|"&amp;$B188,'21-AUGUST-2026'!$A$3:$A$199&amp;"|"&amp;'21-AUGUST-2026'!$B$3:$B$199,'21-AUGUST-2026'!$U$3:$U$199,0)),0)</f>
        <v>0</v>
      </c>
      <c r="G188" s="15">
        <f t="shared" si="59"/>
        <v>2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20">
        <v>0</v>
      </c>
      <c r="S188" s="20">
        <v>0</v>
      </c>
      <c r="T188" s="20">
        <v>0</v>
      </c>
      <c r="U188" s="17"/>
      <c r="V188" s="17"/>
      <c r="W188" s="20">
        <f t="shared" si="60"/>
        <v>0</v>
      </c>
      <c r="X188" s="21">
        <f t="shared" si="68"/>
        <v>1</v>
      </c>
      <c r="Y188" s="15">
        <f t="shared" si="69"/>
        <v>1</v>
      </c>
      <c r="Z188" s="15">
        <f t="shared" si="61"/>
        <v>0</v>
      </c>
      <c r="AA188" s="18" t="str">
        <f t="shared" si="62"/>
        <v/>
      </c>
      <c r="AB188" s="17">
        <v>0</v>
      </c>
      <c r="AC188" s="17">
        <v>0</v>
      </c>
      <c r="AD188" s="15">
        <f t="shared" si="64"/>
        <v>0</v>
      </c>
      <c r="AE188" s="17">
        <v>0</v>
      </c>
      <c r="AF188" s="17">
        <v>0</v>
      </c>
      <c r="AG188" s="15">
        <f t="shared" si="65"/>
        <v>0</v>
      </c>
      <c r="AH188" s="17">
        <v>0</v>
      </c>
      <c r="AI188" s="17">
        <v>0</v>
      </c>
      <c r="AJ188" s="15">
        <f t="shared" si="66"/>
        <v>0</v>
      </c>
      <c r="AK188" s="17">
        <v>0</v>
      </c>
      <c r="AL188" s="17">
        <v>0</v>
      </c>
      <c r="AM188" s="15">
        <f t="shared" si="67"/>
        <v>0</v>
      </c>
      <c r="AN188" s="17"/>
      <c r="AO188" s="53">
        <f t="shared" si="63"/>
        <v>2</v>
      </c>
      <c r="AP188" s="53">
        <f>IF($A188="",0,IF(COUNTIFS([1]Sheet1!$A$2:$A$190,$A188,[1]Sheet1!$B$2:$B$190,$B188,[1]Sheet1!$C$2:$C$190,"&gt;=0")=0,0,SUMIFS([1]Sheet1!$C$2:$C$190,[1]Sheet1!$A$2:$A$190,$A188,[1]Sheet1!$B$2:$B$190,$B188)-$AO188))</f>
        <v>-1</v>
      </c>
    </row>
    <row r="189" spans="1:42" x14ac:dyDescent="0.3">
      <c r="A189" s="15" t="s">
        <v>222</v>
      </c>
      <c r="B189" s="15">
        <v>1000</v>
      </c>
      <c r="C189" s="15" t="s">
        <v>54</v>
      </c>
      <c r="D189" s="15" t="s">
        <v>68</v>
      </c>
      <c r="E189" s="15" cm="1">
        <f t="array" ref="E189">IFERROR(_xlfn.XLOOKUP($A189&amp;"|"&amp;$B189&amp;"|"&amp;$D189,'21-AUGUST-2026'!$A$3:$A$199&amp;"|"&amp;'21-AUGUST-2026'!$B$3:$B$199&amp;"|"&amp;'21-AUGUST-2026'!$D$3:$D$199,'21-AUGUST-2026'!$T$3:$T$199,_xlfn.XLOOKUP($A189&amp;"|"&amp;$B189,'21-AUGUST-2026'!$A$3:$A$199&amp;"|"&amp;'21-AUGUST-2026'!$B$3:$B$199,'21-AUGUST-2026'!$T$3:$T$199,0)),0)</f>
        <v>2</v>
      </c>
      <c r="F189" s="15" cm="1">
        <f t="array" ref="F189">IFERROR(_xlfn.XLOOKUP($A189&amp;"|"&amp;$B189&amp;"|"&amp;$D189,'21-AUGUST-2026'!$A$3:$A$199&amp;"|"&amp;'21-AUGUST-2026'!$B$3:$B$199&amp;"|"&amp;'21-AUGUST-2026'!$D$3:$D$199,'21-AUGUST-2026'!$U$3:$U$199,_xlfn.XLOOKUP($A189&amp;"|"&amp;$B189,'21-AUGUST-2026'!$A$3:$A$199&amp;"|"&amp;'21-AUGUST-2026'!$B$3:$B$199,'21-AUGUST-2026'!$U$3:$U$199,0)),0)</f>
        <v>0</v>
      </c>
      <c r="G189" s="15">
        <f t="shared" si="59"/>
        <v>2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20">
        <v>0</v>
      </c>
      <c r="S189" s="20">
        <v>0</v>
      </c>
      <c r="T189" s="20">
        <v>0</v>
      </c>
      <c r="U189" s="17"/>
      <c r="V189" s="17"/>
      <c r="W189" s="20">
        <f t="shared" si="60"/>
        <v>0</v>
      </c>
      <c r="X189" s="21">
        <f t="shared" si="68"/>
        <v>2</v>
      </c>
      <c r="Y189" s="15">
        <f t="shared" si="69"/>
        <v>2</v>
      </c>
      <c r="Z189" s="15">
        <f t="shared" si="61"/>
        <v>0</v>
      </c>
      <c r="AA189" s="18" t="str">
        <f t="shared" si="62"/>
        <v/>
      </c>
      <c r="AB189" s="17">
        <v>0</v>
      </c>
      <c r="AC189" s="17">
        <v>0</v>
      </c>
      <c r="AD189" s="15">
        <f t="shared" si="64"/>
        <v>0</v>
      </c>
      <c r="AE189" s="17">
        <v>0</v>
      </c>
      <c r="AF189" s="17">
        <v>0</v>
      </c>
      <c r="AG189" s="15">
        <f t="shared" si="65"/>
        <v>0</v>
      </c>
      <c r="AH189" s="17">
        <v>0</v>
      </c>
      <c r="AI189" s="17">
        <v>0</v>
      </c>
      <c r="AJ189" s="15">
        <f t="shared" si="66"/>
        <v>0</v>
      </c>
      <c r="AK189" s="17">
        <v>0</v>
      </c>
      <c r="AL189" s="17">
        <v>0</v>
      </c>
      <c r="AM189" s="15">
        <f t="shared" si="67"/>
        <v>0</v>
      </c>
      <c r="AN189" s="17"/>
      <c r="AO189" s="53">
        <f t="shared" si="63"/>
        <v>2</v>
      </c>
      <c r="AP189" s="53">
        <f>IF($A189="",0,IF(COUNTIFS([1]Sheet1!$A$2:$A$190,$A189,[1]Sheet1!$B$2:$B$190,$B189,[1]Sheet1!$C$2:$C$190,"&gt;=0")=0,0,SUMIFS([1]Sheet1!$C$2:$C$190,[1]Sheet1!$A$2:$A$190,$A189,[1]Sheet1!$B$2:$B$190,$B189)-$AO189))</f>
        <v>0</v>
      </c>
    </row>
    <row r="190" spans="1:42" x14ac:dyDescent="0.3">
      <c r="A190" s="15" t="s">
        <v>226</v>
      </c>
      <c r="B190" s="15">
        <v>100</v>
      </c>
      <c r="C190" s="15" t="s">
        <v>54</v>
      </c>
      <c r="D190" s="15" t="s">
        <v>68</v>
      </c>
      <c r="E190" s="15" cm="1">
        <f t="array" ref="E190">IFERROR(_xlfn.XLOOKUP($A190&amp;"|"&amp;$B190&amp;"|"&amp;$D190,'21-AUGUST-2026'!$A$3:$A$199&amp;"|"&amp;'21-AUGUST-2026'!$B$3:$B$199&amp;"|"&amp;'21-AUGUST-2026'!$D$3:$D$199,'21-AUGUST-2026'!$T$3:$T$199,_xlfn.XLOOKUP($A190&amp;"|"&amp;$B190,'21-AUGUST-2026'!$A$3:$A$199&amp;"|"&amp;'21-AUGUST-2026'!$B$3:$B$199,'21-AUGUST-2026'!$T$3:$T$199,0)),0)</f>
        <v>2</v>
      </c>
      <c r="F190" s="15" cm="1">
        <f t="array" ref="F190">IFERROR(_xlfn.XLOOKUP($A190&amp;"|"&amp;$B190&amp;"|"&amp;$D190,'21-AUGUST-2026'!$A$3:$A$199&amp;"|"&amp;'21-AUGUST-2026'!$B$3:$B$199&amp;"|"&amp;'21-AUGUST-2026'!$D$3:$D$199,'21-AUGUST-2026'!$U$3:$U$199,_xlfn.XLOOKUP($A190&amp;"|"&amp;$B190,'21-AUGUST-2026'!$A$3:$A$199&amp;"|"&amp;'21-AUGUST-2026'!$B$3:$B$199,'21-AUGUST-2026'!$U$3:$U$199,0)),0)</f>
        <v>0</v>
      </c>
      <c r="G190" s="15">
        <f t="shared" si="59"/>
        <v>2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20">
        <v>0</v>
      </c>
      <c r="S190" s="20">
        <v>0</v>
      </c>
      <c r="T190" s="20">
        <v>0</v>
      </c>
      <c r="U190" s="17"/>
      <c r="V190" s="17"/>
      <c r="W190" s="20">
        <f t="shared" si="60"/>
        <v>0</v>
      </c>
      <c r="X190" s="21">
        <f t="shared" si="68"/>
        <v>2</v>
      </c>
      <c r="Y190" s="15">
        <f t="shared" si="69"/>
        <v>2</v>
      </c>
      <c r="Z190" s="15">
        <f t="shared" si="61"/>
        <v>0</v>
      </c>
      <c r="AA190" s="18" t="str">
        <f t="shared" si="62"/>
        <v/>
      </c>
      <c r="AB190" s="17">
        <v>0</v>
      </c>
      <c r="AC190" s="17">
        <v>0</v>
      </c>
      <c r="AD190" s="15">
        <f t="shared" si="64"/>
        <v>0</v>
      </c>
      <c r="AE190" s="17">
        <v>0</v>
      </c>
      <c r="AF190" s="17">
        <v>0</v>
      </c>
      <c r="AG190" s="15">
        <f t="shared" si="65"/>
        <v>0</v>
      </c>
      <c r="AH190" s="17">
        <v>0</v>
      </c>
      <c r="AI190" s="17">
        <v>0</v>
      </c>
      <c r="AJ190" s="15">
        <f t="shared" si="66"/>
        <v>0</v>
      </c>
      <c r="AK190" s="17">
        <v>0</v>
      </c>
      <c r="AL190" s="17">
        <v>0</v>
      </c>
      <c r="AM190" s="15">
        <f t="shared" si="67"/>
        <v>0</v>
      </c>
      <c r="AN190" s="17"/>
      <c r="AO190" s="53">
        <f t="shared" si="63"/>
        <v>2</v>
      </c>
      <c r="AP190" s="53">
        <f>IF($A190="",0,IF(COUNTIFS([1]Sheet1!$A$2:$A$190,$A190,[1]Sheet1!$B$2:$B$190,$B190,[1]Sheet1!$C$2:$C$190,"&gt;=0")=0,0,SUMIFS([1]Sheet1!$C$2:$C$190,[1]Sheet1!$A$2:$A$190,$A190,[1]Sheet1!$B$2:$B$190,$B190)-$AO190))</f>
        <v>0</v>
      </c>
    </row>
    <row r="191" spans="1:42" x14ac:dyDescent="0.3">
      <c r="A191" s="15" t="s">
        <v>229</v>
      </c>
      <c r="B191" s="15">
        <v>100</v>
      </c>
      <c r="C191" s="15" t="s">
        <v>54</v>
      </c>
      <c r="D191" s="15" t="s">
        <v>68</v>
      </c>
      <c r="E191" s="15" cm="1">
        <f t="array" ref="E191">IFERROR(_xlfn.XLOOKUP($A191&amp;"|"&amp;$B191&amp;"|"&amp;$D191,'21-AUGUST-2026'!$A$3:$A$199&amp;"|"&amp;'21-AUGUST-2026'!$B$3:$B$199&amp;"|"&amp;'21-AUGUST-2026'!$D$3:$D$199,'21-AUGUST-2026'!$T$3:$T$199,_xlfn.XLOOKUP($A191&amp;"|"&amp;$B191,'21-AUGUST-2026'!$A$3:$A$199&amp;"|"&amp;'21-AUGUST-2026'!$B$3:$B$199,'21-AUGUST-2026'!$T$3:$T$199,0)),0)</f>
        <v>3</v>
      </c>
      <c r="F191" s="15" cm="1">
        <f t="array" ref="F191">IFERROR(_xlfn.XLOOKUP($A191&amp;"|"&amp;$B191&amp;"|"&amp;$D191,'21-AUGUST-2026'!$A$3:$A$199&amp;"|"&amp;'21-AUGUST-2026'!$B$3:$B$199&amp;"|"&amp;'21-AUGUST-2026'!$D$3:$D$199,'21-AUGUST-2026'!$U$3:$U$199,_xlfn.XLOOKUP($A191&amp;"|"&amp;$B191,'21-AUGUST-2026'!$A$3:$A$199&amp;"|"&amp;'21-AUGUST-2026'!$B$3:$B$199,'21-AUGUST-2026'!$U$3:$U$199,0)),0)</f>
        <v>0</v>
      </c>
      <c r="G191" s="15">
        <f t="shared" si="59"/>
        <v>3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20">
        <v>0</v>
      </c>
      <c r="S191" s="20">
        <v>0</v>
      </c>
      <c r="T191" s="20">
        <v>0</v>
      </c>
      <c r="U191" s="17"/>
      <c r="V191" s="17"/>
      <c r="W191" s="20">
        <f t="shared" si="60"/>
        <v>0</v>
      </c>
      <c r="X191" s="21">
        <f t="shared" si="68"/>
        <v>3</v>
      </c>
      <c r="Y191" s="15">
        <f t="shared" si="69"/>
        <v>3</v>
      </c>
      <c r="Z191" s="15">
        <f t="shared" si="61"/>
        <v>0</v>
      </c>
      <c r="AA191" s="18" t="str">
        <f t="shared" si="62"/>
        <v/>
      </c>
      <c r="AB191" s="17">
        <v>0</v>
      </c>
      <c r="AC191" s="17">
        <v>0</v>
      </c>
      <c r="AD191" s="15">
        <f t="shared" si="64"/>
        <v>0</v>
      </c>
      <c r="AE191" s="17">
        <v>0</v>
      </c>
      <c r="AF191" s="17">
        <v>0</v>
      </c>
      <c r="AG191" s="15">
        <f t="shared" si="65"/>
        <v>0</v>
      </c>
      <c r="AH191" s="17">
        <v>0</v>
      </c>
      <c r="AI191" s="17">
        <v>0</v>
      </c>
      <c r="AJ191" s="15">
        <f t="shared" si="66"/>
        <v>0</v>
      </c>
      <c r="AK191" s="17">
        <v>0</v>
      </c>
      <c r="AL191" s="17">
        <v>0</v>
      </c>
      <c r="AM191" s="15">
        <f t="shared" si="67"/>
        <v>0</v>
      </c>
      <c r="AN191" s="17"/>
      <c r="AO191" s="53">
        <f t="shared" si="63"/>
        <v>3</v>
      </c>
      <c r="AP191" s="53">
        <f>IF($A191="",0,IF(COUNTIFS([1]Sheet1!$A$2:$A$190,$A191,[1]Sheet1!$B$2:$B$190,$B191,[1]Sheet1!$C$2:$C$190,"&gt;=0")=0,0,SUMIFS([1]Sheet1!$C$2:$C$190,[1]Sheet1!$A$2:$A$190,$A191,[1]Sheet1!$B$2:$B$190,$B191)-$AO191))</f>
        <v>0</v>
      </c>
    </row>
    <row r="192" spans="1:42" x14ac:dyDescent="0.3">
      <c r="A192" s="15" t="s">
        <v>230</v>
      </c>
      <c r="B192" s="15">
        <v>1000</v>
      </c>
      <c r="C192" s="15" t="s">
        <v>54</v>
      </c>
      <c r="D192" s="15" t="s">
        <v>68</v>
      </c>
      <c r="E192" s="15" cm="1">
        <f t="array" ref="E192">IFERROR(_xlfn.XLOOKUP($A192&amp;"|"&amp;$B192&amp;"|"&amp;$D192,'21-AUGUST-2026'!$A$3:$A$199&amp;"|"&amp;'21-AUGUST-2026'!$B$3:$B$199&amp;"|"&amp;'21-AUGUST-2026'!$D$3:$D$199,'21-AUGUST-2026'!$T$3:$T$199,_xlfn.XLOOKUP($A192&amp;"|"&amp;$B192,'21-AUGUST-2026'!$A$3:$A$199&amp;"|"&amp;'21-AUGUST-2026'!$B$3:$B$199,'21-AUGUST-2026'!$T$3:$T$199,0)),0)</f>
        <v>2</v>
      </c>
      <c r="F192" s="15" cm="1">
        <f t="array" ref="F192">IFERROR(_xlfn.XLOOKUP($A192&amp;"|"&amp;$B192&amp;"|"&amp;$D192,'21-AUGUST-2026'!$A$3:$A$199&amp;"|"&amp;'21-AUGUST-2026'!$B$3:$B$199&amp;"|"&amp;'21-AUGUST-2026'!$D$3:$D$199,'21-AUGUST-2026'!$U$3:$U$199,_xlfn.XLOOKUP($A192&amp;"|"&amp;$B192,'21-AUGUST-2026'!$A$3:$A$199&amp;"|"&amp;'21-AUGUST-2026'!$B$3:$B$199,'21-AUGUST-2026'!$U$3:$U$199,0)),0)</f>
        <v>0</v>
      </c>
      <c r="G192" s="15">
        <f t="shared" si="59"/>
        <v>2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20">
        <v>0</v>
      </c>
      <c r="S192" s="20">
        <v>0</v>
      </c>
      <c r="T192" s="20">
        <v>0</v>
      </c>
      <c r="U192" s="17"/>
      <c r="V192" s="17"/>
      <c r="W192" s="20">
        <f t="shared" si="60"/>
        <v>0</v>
      </c>
      <c r="X192" s="21">
        <f t="shared" si="68"/>
        <v>2</v>
      </c>
      <c r="Y192" s="15">
        <f t="shared" si="69"/>
        <v>2</v>
      </c>
      <c r="Z192" s="15">
        <f t="shared" si="61"/>
        <v>0</v>
      </c>
      <c r="AA192" s="18" t="str">
        <f t="shared" si="62"/>
        <v/>
      </c>
      <c r="AB192" s="17">
        <v>0</v>
      </c>
      <c r="AC192" s="17">
        <v>0</v>
      </c>
      <c r="AD192" s="15">
        <f t="shared" si="64"/>
        <v>0</v>
      </c>
      <c r="AE192" s="17">
        <v>0</v>
      </c>
      <c r="AF192" s="17">
        <v>0</v>
      </c>
      <c r="AG192" s="15">
        <f t="shared" si="65"/>
        <v>0</v>
      </c>
      <c r="AH192" s="17">
        <v>0</v>
      </c>
      <c r="AI192" s="17">
        <v>0</v>
      </c>
      <c r="AJ192" s="15">
        <f t="shared" si="66"/>
        <v>0</v>
      </c>
      <c r="AK192" s="17">
        <v>0</v>
      </c>
      <c r="AL192" s="17">
        <v>0</v>
      </c>
      <c r="AM192" s="15">
        <f t="shared" si="67"/>
        <v>0</v>
      </c>
      <c r="AN192" s="17"/>
      <c r="AO192" s="53">
        <f t="shared" si="63"/>
        <v>2</v>
      </c>
      <c r="AP192" s="53">
        <f>IF($A192="",0,IF(COUNTIFS([1]Sheet1!$A$2:$A$190,$A192,[1]Sheet1!$B$2:$B$190,$B192,[1]Sheet1!$C$2:$C$190,"&gt;=0")=0,0,SUMIFS([1]Sheet1!$C$2:$C$190,[1]Sheet1!$A$2:$A$190,$A192,[1]Sheet1!$B$2:$B$190,$B192)-$AO192))</f>
        <v>0</v>
      </c>
    </row>
    <row r="193" spans="1:42" x14ac:dyDescent="0.3">
      <c r="A193" s="15" t="s">
        <v>232</v>
      </c>
      <c r="B193" s="15">
        <v>100000</v>
      </c>
      <c r="C193" s="15" t="s">
        <v>54</v>
      </c>
      <c r="D193" s="15" t="s">
        <v>68</v>
      </c>
      <c r="E193" s="15" cm="1">
        <f t="array" ref="E193">IFERROR(_xlfn.XLOOKUP($A193&amp;"|"&amp;$B193&amp;"|"&amp;$D193,'21-AUGUST-2026'!$A$3:$A$199&amp;"|"&amp;'21-AUGUST-2026'!$B$3:$B$199&amp;"|"&amp;'21-AUGUST-2026'!$D$3:$D$199,'21-AUGUST-2026'!$T$3:$T$199,_xlfn.XLOOKUP($A193&amp;"|"&amp;$B193,'21-AUGUST-2026'!$A$3:$A$199&amp;"|"&amp;'21-AUGUST-2026'!$B$3:$B$199,'21-AUGUST-2026'!$T$3:$T$199,0)),0)</f>
        <v>2</v>
      </c>
      <c r="F193" s="15" cm="1">
        <f t="array" ref="F193">IFERROR(_xlfn.XLOOKUP($A193&amp;"|"&amp;$B193&amp;"|"&amp;$D193,'21-AUGUST-2026'!$A$3:$A$199&amp;"|"&amp;'21-AUGUST-2026'!$B$3:$B$199&amp;"|"&amp;'21-AUGUST-2026'!$D$3:$D$199,'21-AUGUST-2026'!$U$3:$U$199,_xlfn.XLOOKUP($A193&amp;"|"&amp;$B193,'21-AUGUST-2026'!$A$3:$A$199&amp;"|"&amp;'21-AUGUST-2026'!$B$3:$B$199,'21-AUGUST-2026'!$U$3:$U$199,0)),0)</f>
        <v>0</v>
      </c>
      <c r="G193" s="15">
        <f t="shared" si="59"/>
        <v>2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20">
        <v>0</v>
      </c>
      <c r="S193" s="20">
        <v>0</v>
      </c>
      <c r="T193" s="20">
        <v>0</v>
      </c>
      <c r="U193" s="17"/>
      <c r="V193" s="17"/>
      <c r="W193" s="20">
        <f t="shared" si="60"/>
        <v>0</v>
      </c>
      <c r="X193" s="21">
        <f t="shared" si="68"/>
        <v>2</v>
      </c>
      <c r="Y193" s="15">
        <f t="shared" si="69"/>
        <v>2</v>
      </c>
      <c r="Z193" s="15">
        <f t="shared" si="61"/>
        <v>0</v>
      </c>
      <c r="AA193" s="18" t="str">
        <f t="shared" si="62"/>
        <v/>
      </c>
      <c r="AB193" s="17">
        <v>0</v>
      </c>
      <c r="AC193" s="17">
        <v>0</v>
      </c>
      <c r="AD193" s="15">
        <f t="shared" si="64"/>
        <v>0</v>
      </c>
      <c r="AE193" s="17">
        <v>0</v>
      </c>
      <c r="AF193" s="17">
        <v>0</v>
      </c>
      <c r="AG193" s="15">
        <f t="shared" si="65"/>
        <v>0</v>
      </c>
      <c r="AH193" s="17">
        <v>0</v>
      </c>
      <c r="AI193" s="17">
        <v>0</v>
      </c>
      <c r="AJ193" s="15">
        <f t="shared" si="66"/>
        <v>0</v>
      </c>
      <c r="AK193" s="17">
        <v>0</v>
      </c>
      <c r="AL193" s="17">
        <v>0</v>
      </c>
      <c r="AM193" s="15">
        <f t="shared" si="67"/>
        <v>0</v>
      </c>
      <c r="AN193" s="17"/>
      <c r="AO193" s="53">
        <f t="shared" si="63"/>
        <v>2</v>
      </c>
      <c r="AP193" s="53">
        <f>IF($A193="",0,IF(COUNTIFS([1]Sheet1!$A$2:$A$190,$A193,[1]Sheet1!$B$2:$B$190,$B193,[1]Sheet1!$C$2:$C$190,"&gt;=0")=0,0,SUMIFS([1]Sheet1!$C$2:$C$190,[1]Sheet1!$A$2:$A$190,$A193,[1]Sheet1!$B$2:$B$190,$B193)-$AO193))</f>
        <v>0</v>
      </c>
    </row>
    <row r="194" spans="1:42" x14ac:dyDescent="0.3">
      <c r="A194" s="15" t="s">
        <v>234</v>
      </c>
      <c r="B194" s="15">
        <v>1000</v>
      </c>
      <c r="C194" s="15" t="s">
        <v>54</v>
      </c>
      <c r="D194" s="15" t="s">
        <v>68</v>
      </c>
      <c r="E194" s="15" cm="1">
        <f t="array" ref="E194">IFERROR(_xlfn.XLOOKUP($A194&amp;"|"&amp;$B194&amp;"|"&amp;$D194,'21-AUGUST-2026'!$A$3:$A$199&amp;"|"&amp;'21-AUGUST-2026'!$B$3:$B$199&amp;"|"&amp;'21-AUGUST-2026'!$D$3:$D$199,'21-AUGUST-2026'!$T$3:$T$199,_xlfn.XLOOKUP($A194&amp;"|"&amp;$B194,'21-AUGUST-2026'!$A$3:$A$199&amp;"|"&amp;'21-AUGUST-2026'!$B$3:$B$199,'21-AUGUST-2026'!$T$3:$T$199,0)),0)</f>
        <v>2</v>
      </c>
      <c r="F194" s="15" cm="1">
        <f t="array" ref="F194">IFERROR(_xlfn.XLOOKUP($A194&amp;"|"&amp;$B194&amp;"|"&amp;$D194,'21-AUGUST-2026'!$A$3:$A$199&amp;"|"&amp;'21-AUGUST-2026'!$B$3:$B$199&amp;"|"&amp;'21-AUGUST-2026'!$D$3:$D$199,'21-AUGUST-2026'!$U$3:$U$199,_xlfn.XLOOKUP($A194&amp;"|"&amp;$B194,'21-AUGUST-2026'!$A$3:$A$199&amp;"|"&amp;'21-AUGUST-2026'!$B$3:$B$199,'21-AUGUST-2026'!$U$3:$U$199,0)),0)</f>
        <v>0</v>
      </c>
      <c r="G194" s="15">
        <f t="shared" si="59"/>
        <v>2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20">
        <v>0</v>
      </c>
      <c r="S194" s="20">
        <v>0</v>
      </c>
      <c r="T194" s="20">
        <v>0</v>
      </c>
      <c r="U194" s="17"/>
      <c r="V194" s="17"/>
      <c r="W194" s="20">
        <f t="shared" si="60"/>
        <v>0</v>
      </c>
      <c r="X194" s="21">
        <f t="shared" si="68"/>
        <v>2</v>
      </c>
      <c r="Y194" s="15">
        <f t="shared" si="69"/>
        <v>2</v>
      </c>
      <c r="Z194" s="15">
        <f t="shared" si="61"/>
        <v>0</v>
      </c>
      <c r="AA194" s="18" t="str">
        <f t="shared" si="62"/>
        <v/>
      </c>
      <c r="AB194" s="17">
        <v>0</v>
      </c>
      <c r="AC194" s="17">
        <v>0</v>
      </c>
      <c r="AD194" s="15">
        <f t="shared" si="64"/>
        <v>0</v>
      </c>
      <c r="AE194" s="17">
        <v>0</v>
      </c>
      <c r="AF194" s="17">
        <v>0</v>
      </c>
      <c r="AG194" s="15">
        <f t="shared" si="65"/>
        <v>0</v>
      </c>
      <c r="AH194" s="17">
        <v>0</v>
      </c>
      <c r="AI194" s="17">
        <v>0</v>
      </c>
      <c r="AJ194" s="15">
        <f t="shared" si="66"/>
        <v>0</v>
      </c>
      <c r="AK194" s="17">
        <v>0</v>
      </c>
      <c r="AL194" s="17">
        <v>0</v>
      </c>
      <c r="AM194" s="15">
        <f t="shared" si="67"/>
        <v>0</v>
      </c>
      <c r="AN194" s="17"/>
      <c r="AO194" s="53">
        <f t="shared" si="63"/>
        <v>2</v>
      </c>
      <c r="AP194" s="53">
        <f>IF($A194="",0,IF(COUNTIFS([1]Sheet1!$A$2:$A$190,$A194,[1]Sheet1!$B$2:$B$190,$B194,[1]Sheet1!$C$2:$C$190,"&gt;=0")=0,0,SUMIFS([1]Sheet1!$C$2:$C$190,[1]Sheet1!$A$2:$A$190,$A194,[1]Sheet1!$B$2:$B$190,$B194)-$AO194))</f>
        <v>0</v>
      </c>
    </row>
    <row r="195" spans="1:42" x14ac:dyDescent="0.3">
      <c r="A195" s="15" t="s">
        <v>235</v>
      </c>
      <c r="B195" s="15">
        <v>100000</v>
      </c>
      <c r="C195" s="15" t="s">
        <v>54</v>
      </c>
      <c r="D195" s="15" t="s">
        <v>68</v>
      </c>
      <c r="E195" s="15" cm="1">
        <f t="array" ref="E195">IFERROR(_xlfn.XLOOKUP($A195&amp;"|"&amp;$B195&amp;"|"&amp;$D195,'21-AUGUST-2026'!$A$3:$A$199&amp;"|"&amp;'21-AUGUST-2026'!$B$3:$B$199&amp;"|"&amp;'21-AUGUST-2026'!$D$3:$D$199,'21-AUGUST-2026'!$T$3:$T$199,_xlfn.XLOOKUP($A195&amp;"|"&amp;$B195,'21-AUGUST-2026'!$A$3:$A$199&amp;"|"&amp;'21-AUGUST-2026'!$B$3:$B$199,'21-AUGUST-2026'!$T$3:$T$199,0)),0)</f>
        <v>3</v>
      </c>
      <c r="F195" s="15" cm="1">
        <f t="array" ref="F195">IFERROR(_xlfn.XLOOKUP($A195&amp;"|"&amp;$B195&amp;"|"&amp;$D195,'21-AUGUST-2026'!$A$3:$A$199&amp;"|"&amp;'21-AUGUST-2026'!$B$3:$B$199&amp;"|"&amp;'21-AUGUST-2026'!$D$3:$D$199,'21-AUGUST-2026'!$U$3:$U$199,_xlfn.XLOOKUP($A195&amp;"|"&amp;$B195,'21-AUGUST-2026'!$A$3:$A$199&amp;"|"&amp;'21-AUGUST-2026'!$B$3:$B$199,'21-AUGUST-2026'!$U$3:$U$199,0)),0)</f>
        <v>0</v>
      </c>
      <c r="G195" s="15">
        <f t="shared" ref="G195:G197" si="70">E195+F195</f>
        <v>3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20">
        <v>0</v>
      </c>
      <c r="S195" s="20">
        <v>0</v>
      </c>
      <c r="T195" s="20">
        <v>0</v>
      </c>
      <c r="U195" s="17"/>
      <c r="V195" s="17"/>
      <c r="W195" s="20">
        <f t="shared" si="60"/>
        <v>0</v>
      </c>
      <c r="X195" s="21">
        <f t="shared" si="68"/>
        <v>3</v>
      </c>
      <c r="Y195" s="15">
        <f t="shared" si="69"/>
        <v>3</v>
      </c>
      <c r="Z195" s="15">
        <f t="shared" si="61"/>
        <v>0</v>
      </c>
      <c r="AA195" s="18" t="str">
        <f t="shared" ref="AA195:AA197" si="71">IF(AND(V195&gt;0,U195=""),"IMPORT NEEDS DESTINATION",IF(MIN(Y195,Z195)&lt;0,"NEGATIVE STOCK - CHECK ENTRIES",""))</f>
        <v/>
      </c>
      <c r="AB195" s="17">
        <v>0</v>
      </c>
      <c r="AC195" s="17">
        <v>0</v>
      </c>
      <c r="AD195" s="15">
        <f t="shared" si="64"/>
        <v>0</v>
      </c>
      <c r="AE195" s="17">
        <v>0</v>
      </c>
      <c r="AF195" s="17">
        <v>0</v>
      </c>
      <c r="AG195" s="15">
        <f t="shared" si="65"/>
        <v>0</v>
      </c>
      <c r="AH195" s="17">
        <v>0</v>
      </c>
      <c r="AI195" s="17">
        <v>0</v>
      </c>
      <c r="AJ195" s="15">
        <f t="shared" si="66"/>
        <v>0</v>
      </c>
      <c r="AK195" s="17">
        <v>0</v>
      </c>
      <c r="AL195" s="17">
        <v>0</v>
      </c>
      <c r="AM195" s="15">
        <f t="shared" si="67"/>
        <v>0</v>
      </c>
      <c r="AN195" s="17"/>
      <c r="AO195" s="53">
        <f t="shared" si="63"/>
        <v>3</v>
      </c>
      <c r="AP195" s="53">
        <f>IF($A195="",0,IF(COUNTIFS([1]Sheet1!$A$2:$A$190,$A195,[1]Sheet1!$B$2:$B$190,$B195,[1]Sheet1!$C$2:$C$190,"&gt;=0")=0,0,SUMIFS([1]Sheet1!$C$2:$C$190,[1]Sheet1!$A$2:$A$190,$A195,[1]Sheet1!$B$2:$B$190,$B195)-$AO195))</f>
        <v>0</v>
      </c>
    </row>
    <row r="196" spans="1:42" x14ac:dyDescent="0.3">
      <c r="A196" s="15" t="s">
        <v>241</v>
      </c>
      <c r="B196" s="15">
        <v>25000</v>
      </c>
      <c r="C196" s="15" t="s">
        <v>54</v>
      </c>
      <c r="D196" s="15" t="s">
        <v>68</v>
      </c>
      <c r="E196" s="15" cm="1">
        <f t="array" ref="E196">IFERROR(_xlfn.XLOOKUP($A196&amp;"|"&amp;$B196&amp;"|"&amp;$D196,'21-AUGUST-2026'!$A$3:$A$199&amp;"|"&amp;'21-AUGUST-2026'!$B$3:$B$199&amp;"|"&amp;'21-AUGUST-2026'!$D$3:$D$199,'21-AUGUST-2026'!$T$3:$T$199,_xlfn.XLOOKUP($A196&amp;"|"&amp;$B196,'21-AUGUST-2026'!$A$3:$A$199&amp;"|"&amp;'21-AUGUST-2026'!$B$3:$B$199,'21-AUGUST-2026'!$T$3:$T$199,0)),0)</f>
        <v>-6</v>
      </c>
      <c r="F196" s="15" cm="1">
        <f t="array" ref="F196">IFERROR(_xlfn.XLOOKUP($A196&amp;"|"&amp;$B196&amp;"|"&amp;$D196,'21-AUGUST-2026'!$A$3:$A$199&amp;"|"&amp;'21-AUGUST-2026'!$B$3:$B$199&amp;"|"&amp;'21-AUGUST-2026'!$D$3:$D$199,'21-AUGUST-2026'!$U$3:$U$199,_xlfn.XLOOKUP($A196&amp;"|"&amp;$B196,'21-AUGUST-2026'!$A$3:$A$199&amp;"|"&amp;'21-AUGUST-2026'!$B$3:$B$199,'21-AUGUST-2026'!$U$3:$U$199,0)),0)</f>
        <v>0</v>
      </c>
      <c r="G196" s="15">
        <f t="shared" si="70"/>
        <v>-6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20">
        <v>0</v>
      </c>
      <c r="S196" s="20">
        <v>0</v>
      </c>
      <c r="T196" s="20">
        <v>0</v>
      </c>
      <c r="U196" s="17"/>
      <c r="V196" s="17"/>
      <c r="W196" s="20">
        <f t="shared" si="60"/>
        <v>0</v>
      </c>
      <c r="X196" s="21">
        <f t="shared" si="68"/>
        <v>-6</v>
      </c>
      <c r="Y196" s="15">
        <f t="shared" si="69"/>
        <v>-6</v>
      </c>
      <c r="Z196" s="15">
        <f t="shared" si="61"/>
        <v>0</v>
      </c>
      <c r="AA196" s="18" t="str">
        <f t="shared" si="71"/>
        <v>NEGATIVE STOCK - CHECK ENTRIES</v>
      </c>
      <c r="AB196" s="17">
        <v>0</v>
      </c>
      <c r="AC196" s="17">
        <v>0</v>
      </c>
      <c r="AD196" s="15">
        <f t="shared" ref="AD196:AD197" si="72">AB196-AC196</f>
        <v>0</v>
      </c>
      <c r="AE196" s="17">
        <v>0</v>
      </c>
      <c r="AF196" s="17">
        <v>0</v>
      </c>
      <c r="AG196" s="15">
        <f t="shared" ref="AG196:AG197" si="73">AE196-AF196</f>
        <v>0</v>
      </c>
      <c r="AH196" s="17">
        <v>0</v>
      </c>
      <c r="AI196" s="17">
        <v>0</v>
      </c>
      <c r="AJ196" s="15">
        <f t="shared" ref="AJ196:AJ197" si="74">AH196-AI196</f>
        <v>0</v>
      </c>
      <c r="AK196" s="17">
        <v>0</v>
      </c>
      <c r="AL196" s="17">
        <v>0</v>
      </c>
      <c r="AM196" s="15">
        <f t="shared" ref="AM196:AM197" si="75">AK196-AL196</f>
        <v>0</v>
      </c>
      <c r="AN196" s="17"/>
      <c r="AO196" s="53">
        <f t="shared" si="63"/>
        <v>-6</v>
      </c>
      <c r="AP196" s="53">
        <f>IF($A196="",0,IF(COUNTIFS([1]Sheet1!$A$2:$A$190,$A196,[1]Sheet1!$B$2:$B$190,$B196,[1]Sheet1!$C$2:$C$190,"&gt;=0")=0,0,SUMIFS([1]Sheet1!$C$2:$C$190,[1]Sheet1!$A$2:$A$190,$A196,[1]Sheet1!$B$2:$B$190,$B196)-$AO196))</f>
        <v>0</v>
      </c>
    </row>
    <row r="197" spans="1:42" x14ac:dyDescent="0.3">
      <c r="A197" s="15" t="s">
        <v>242</v>
      </c>
      <c r="B197" s="15">
        <v>100</v>
      </c>
      <c r="C197" s="15" t="s">
        <v>54</v>
      </c>
      <c r="D197" s="15" t="s">
        <v>68</v>
      </c>
      <c r="E197" s="15" cm="1">
        <f t="array" ref="E197">IFERROR(_xlfn.XLOOKUP($A197&amp;"|"&amp;$B197&amp;"|"&amp;$D197,'21-AUGUST-2026'!$A$3:$A$199&amp;"|"&amp;'21-AUGUST-2026'!$B$3:$B$199&amp;"|"&amp;'21-AUGUST-2026'!$D$3:$D$199,'21-AUGUST-2026'!$T$3:$T$199,_xlfn.XLOOKUP($A197&amp;"|"&amp;$B197,'21-AUGUST-2026'!$A$3:$A$199&amp;"|"&amp;'21-AUGUST-2026'!$B$3:$B$199,'21-AUGUST-2026'!$T$3:$T$199,0)),0)</f>
        <v>6</v>
      </c>
      <c r="F197" s="15" cm="1">
        <f t="array" ref="F197">IFERROR(_xlfn.XLOOKUP($A197&amp;"|"&amp;$B197&amp;"|"&amp;$D197,'21-AUGUST-2026'!$A$3:$A$199&amp;"|"&amp;'21-AUGUST-2026'!$B$3:$B$199&amp;"|"&amp;'21-AUGUST-2026'!$D$3:$D$199,'21-AUGUST-2026'!$U$3:$U$199,_xlfn.XLOOKUP($A197&amp;"|"&amp;$B197,'21-AUGUST-2026'!$A$3:$A$199&amp;"|"&amp;'21-AUGUST-2026'!$B$3:$B$199,'21-AUGUST-2026'!$U$3:$U$199,0)),0)</f>
        <v>0</v>
      </c>
      <c r="G197" s="15">
        <f t="shared" si="70"/>
        <v>6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20">
        <v>0</v>
      </c>
      <c r="S197" s="20">
        <v>0</v>
      </c>
      <c r="T197" s="20">
        <v>0</v>
      </c>
      <c r="U197" s="17"/>
      <c r="V197" s="17"/>
      <c r="W197" s="20">
        <f t="shared" si="60"/>
        <v>0</v>
      </c>
      <c r="X197" s="21">
        <f t="shared" si="68"/>
        <v>6</v>
      </c>
      <c r="Y197" s="15">
        <f t="shared" si="69"/>
        <v>6</v>
      </c>
      <c r="Z197" s="15">
        <f t="shared" si="61"/>
        <v>0</v>
      </c>
      <c r="AA197" s="18" t="str">
        <f t="shared" si="71"/>
        <v/>
      </c>
      <c r="AB197" s="17">
        <v>0</v>
      </c>
      <c r="AC197" s="17">
        <v>0</v>
      </c>
      <c r="AD197" s="15">
        <f t="shared" si="72"/>
        <v>0</v>
      </c>
      <c r="AE197" s="17">
        <v>0</v>
      </c>
      <c r="AF197" s="17">
        <v>0</v>
      </c>
      <c r="AG197" s="15">
        <f t="shared" si="73"/>
        <v>0</v>
      </c>
      <c r="AH197" s="17">
        <v>0</v>
      </c>
      <c r="AI197" s="17">
        <v>0</v>
      </c>
      <c r="AJ197" s="15">
        <f t="shared" si="74"/>
        <v>0</v>
      </c>
      <c r="AK197" s="17">
        <v>0</v>
      </c>
      <c r="AL197" s="17">
        <v>0</v>
      </c>
      <c r="AM197" s="15">
        <f t="shared" si="75"/>
        <v>0</v>
      </c>
      <c r="AN197" s="17"/>
      <c r="AO197" s="53">
        <f t="shared" si="63"/>
        <v>6</v>
      </c>
      <c r="AP197" s="53">
        <f>IF($A197="",0,IF(COUNTIFS([1]Sheet1!$A$2:$A$190,$A197,[1]Sheet1!$B$2:$B$190,$B197,[1]Sheet1!$C$2:$C$190,"&gt;=0")=0,0,SUMIFS([1]Sheet1!$C$2:$C$190,[1]Sheet1!$A$2:$A$190,$A197,[1]Sheet1!$B$2:$B$190,$B197)-$AO197))</f>
        <v>0</v>
      </c>
    </row>
    <row r="199" spans="1:42" x14ac:dyDescent="0.3">
      <c r="R199" s="22">
        <f>SUM(R3:R197)</f>
        <v>0</v>
      </c>
      <c r="S199" s="22">
        <f>SUM(S3:S197)</f>
        <v>0</v>
      </c>
      <c r="T199" s="22">
        <f>SUM(T3:T197)</f>
        <v>0</v>
      </c>
      <c r="V199" s="24" t="s">
        <v>296</v>
      </c>
      <c r="W199" s="23">
        <f>SUM(W3:W197)</f>
        <v>0</v>
      </c>
    </row>
    <row r="201" spans="1:42" x14ac:dyDescent="0.3">
      <c r="A201" t="s">
        <v>295</v>
      </c>
    </row>
  </sheetData>
  <mergeCells count="7">
    <mergeCell ref="AO1:AP1"/>
    <mergeCell ref="A1:D1"/>
    <mergeCell ref="E1:G1"/>
    <mergeCell ref="H1:Q1"/>
    <mergeCell ref="R1:W1"/>
    <mergeCell ref="X1:Z1"/>
    <mergeCell ref="AB1:AM1"/>
  </mergeCells>
  <conditionalFormatting sqref="Y3:Z197">
    <cfRule type="expression" dxfId="9" priority="2">
      <formula>Y3&lt;0</formula>
    </cfRule>
  </conditionalFormatting>
  <conditionalFormatting sqref="AA3:AA197">
    <cfRule type="expression" dxfId="8" priority="1">
      <formula>AA3&lt;&gt;""</formula>
    </cfRule>
  </conditionalFormatting>
  <dataValidations count="1">
    <dataValidation type="list" allowBlank="1" showInputMessage="1" showErrorMessage="1" errorTitle="Invalid destination" error="Choose Arusha, Moro, Dar or Dodoma." sqref="V3:V197" xr:uid="{00A5BF94-79E6-4DDE-9EC8-4F2A2E700471}">
      <formula1>"Arusha,Moro,Dar,Dodoma"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N202"/>
  <sheetViews>
    <sheetView showGridLines="0" tabSelected="1" zoomScaleNormal="100" workbookViewId="0">
      <pane xSplit="4" ySplit="2" topLeftCell="AD3" activePane="bottomRight" state="frozen"/>
      <selection pane="topRight" activeCell="E1" sqref="E1"/>
      <selection pane="bottomLeft" activeCell="A3" sqref="A3"/>
      <selection pane="bottomRight" activeCell="AI3" sqref="AI3"/>
    </sheetView>
  </sheetViews>
  <sheetFormatPr defaultColWidth="8.6640625" defaultRowHeight="14.4" x14ac:dyDescent="0.3"/>
  <cols>
    <col min="1" max="1" width="30" customWidth="1"/>
    <col min="2" max="2" width="10" customWidth="1"/>
    <col min="3" max="3" width="12" customWidth="1"/>
    <col min="4" max="4" width="17.21875" customWidth="1"/>
    <col min="5" max="17" width="11" customWidth="1"/>
    <col min="18" max="23" width="14.44140625" customWidth="1"/>
    <col min="24" max="39" width="11" customWidth="1"/>
    <col min="40" max="40" width="30.88671875" customWidth="1"/>
  </cols>
  <sheetData>
    <row r="1" spans="1:40" ht="19.5" customHeight="1" x14ac:dyDescent="0.3">
      <c r="A1" s="40" t="s">
        <v>246</v>
      </c>
      <c r="B1" s="40"/>
      <c r="C1" s="40"/>
      <c r="D1" s="40"/>
      <c r="E1" s="41" t="s">
        <v>247</v>
      </c>
      <c r="F1" s="41"/>
      <c r="G1" s="41"/>
      <c r="H1" s="42" t="s">
        <v>248</v>
      </c>
      <c r="I1" s="42"/>
      <c r="J1" s="42"/>
      <c r="K1" s="42"/>
      <c r="L1" s="42"/>
      <c r="M1" s="42"/>
      <c r="N1" s="42"/>
      <c r="O1" s="42"/>
      <c r="P1" s="42"/>
      <c r="Q1" s="42"/>
      <c r="R1" s="47" t="s">
        <v>288</v>
      </c>
      <c r="S1" s="47"/>
      <c r="T1" s="47"/>
      <c r="U1" s="47"/>
      <c r="V1" s="47"/>
      <c r="W1" s="47"/>
      <c r="X1" s="41" t="s">
        <v>249</v>
      </c>
      <c r="Y1" s="41"/>
      <c r="Z1" s="41"/>
      <c r="AA1" s="3" t="s">
        <v>250</v>
      </c>
      <c r="AB1" s="43" t="s">
        <v>251</v>
      </c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" t="s">
        <v>252</v>
      </c>
    </row>
    <row r="2" spans="1:40" ht="33.75" customHeight="1" x14ac:dyDescent="0.3">
      <c r="A2" s="4" t="s">
        <v>45</v>
      </c>
      <c r="B2" s="4" t="s">
        <v>46</v>
      </c>
      <c r="C2" s="4" t="s">
        <v>47</v>
      </c>
      <c r="D2" s="4" t="s">
        <v>48</v>
      </c>
      <c r="E2" s="3" t="s">
        <v>253</v>
      </c>
      <c r="F2" s="3" t="s">
        <v>254</v>
      </c>
      <c r="G2" s="3" t="s">
        <v>256</v>
      </c>
      <c r="H2" s="2" t="s">
        <v>257</v>
      </c>
      <c r="I2" s="2" t="s">
        <v>258</v>
      </c>
      <c r="J2" s="2" t="s">
        <v>259</v>
      </c>
      <c r="K2" s="2" t="s">
        <v>260</v>
      </c>
      <c r="L2" s="2" t="s">
        <v>261</v>
      </c>
      <c r="M2" s="2" t="s">
        <v>262</v>
      </c>
      <c r="N2" s="2" t="s">
        <v>263</v>
      </c>
      <c r="O2" s="2" t="s">
        <v>264</v>
      </c>
      <c r="P2" s="2" t="s">
        <v>265</v>
      </c>
      <c r="Q2" s="2" t="s">
        <v>266</v>
      </c>
      <c r="R2" s="19" t="s">
        <v>289</v>
      </c>
      <c r="S2" s="19" t="s">
        <v>290</v>
      </c>
      <c r="T2" s="19" t="s">
        <v>291</v>
      </c>
      <c r="U2" s="19" t="s">
        <v>292</v>
      </c>
      <c r="V2" s="19" t="s">
        <v>293</v>
      </c>
      <c r="W2" s="19" t="s">
        <v>294</v>
      </c>
      <c r="X2" s="3" t="s">
        <v>267</v>
      </c>
      <c r="Y2" s="3" t="s">
        <v>268</v>
      </c>
      <c r="Z2" s="3" t="s">
        <v>269</v>
      </c>
      <c r="AA2" s="3" t="s">
        <v>271</v>
      </c>
      <c r="AB2" s="1" t="s">
        <v>272</v>
      </c>
      <c r="AC2" s="1" t="s">
        <v>273</v>
      </c>
      <c r="AD2" s="1" t="s">
        <v>274</v>
      </c>
      <c r="AE2" s="1" t="s">
        <v>275</v>
      </c>
      <c r="AF2" s="1" t="s">
        <v>276</v>
      </c>
      <c r="AG2" s="1" t="s">
        <v>277</v>
      </c>
      <c r="AH2" s="1" t="s">
        <v>278</v>
      </c>
      <c r="AI2" s="1" t="s">
        <v>279</v>
      </c>
      <c r="AJ2" s="1" t="s">
        <v>280</v>
      </c>
      <c r="AK2" s="1" t="s">
        <v>281</v>
      </c>
      <c r="AL2" s="1" t="s">
        <v>282</v>
      </c>
      <c r="AM2" s="1" t="s">
        <v>283</v>
      </c>
      <c r="AN2" s="4" t="s">
        <v>284</v>
      </c>
    </row>
    <row r="3" spans="1:40" x14ac:dyDescent="0.3">
      <c r="A3" s="15" t="s">
        <v>53</v>
      </c>
      <c r="B3" s="15">
        <v>1000</v>
      </c>
      <c r="C3" s="15" t="s">
        <v>54</v>
      </c>
      <c r="D3" s="15" t="s">
        <v>55</v>
      </c>
      <c r="E3" s="69" cm="1">
        <f t="array" ref="E3">MAX(0,IFERROR(_xlfn.XLOOKUP($A3&amp;"|"&amp;$B3&amp;"|"&amp;$D3,'29-AUGUST-2026'!$A$3:$A$197&amp;"|"&amp;'29-AUGUST-2026'!$B$3:$B$197&amp;"|"&amp;'29-AUGUST-2026'!$D$3:$D$197,'29-AUGUST-2026'!$Y$3:$Y$197,_xlfn.XLOOKUP($A3&amp;"|"&amp;$B3,'29-AUGUST-2026'!$A$3:$A$197&amp;"|"&amp;'29-AUGUST-2026'!$B$3:$B$197,'29-AUGUST-2026'!$Y$3:$Y$197,0)),0))</f>
        <v>1</v>
      </c>
      <c r="F3" s="69" cm="1">
        <f t="array" ref="F3">MAX(0,IFERROR(_xlfn.XLOOKUP($A3&amp;"|"&amp;$B3&amp;"|"&amp;$D3,'29-AUGUST-2026'!$A$3:$A$197&amp;"|"&amp;'29-AUGUST-2026'!$B$3:$B$197&amp;"|"&amp;'29-AUGUST-2026'!$D$3:$D$197,'29-AUGUST-2026'!$Z$3:$Z$197,_xlfn.XLOOKUP($A3&amp;"|"&amp;$B3,'29-AUGUST-2026'!$A$3:$A$197&amp;"|"&amp;'29-AUGUST-2026'!$B$3:$B$197,'29-AUGUST-2026'!$Z$3:$Z$197,0)),0))</f>
        <v>0</v>
      </c>
      <c r="G3" s="15">
        <f t="shared" ref="G3:G34" si="0">E3+F3</f>
        <v>1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20">
        <v>0</v>
      </c>
      <c r="S3" s="20">
        <v>0</v>
      </c>
      <c r="T3" s="20">
        <v>0</v>
      </c>
      <c r="U3" s="17"/>
      <c r="V3" s="17"/>
      <c r="W3" s="20">
        <f t="shared" ref="W3:W34" si="1">R3+S3+T3</f>
        <v>0</v>
      </c>
      <c r="X3" s="21">
        <f t="shared" ref="X3:X44" si="2">Y3+Z3</f>
        <v>1</v>
      </c>
      <c r="Y3" s="15">
        <f t="shared" ref="Y3:Y34" si="3">E3+N3+IF($V3="Arusha",$W3,0)-H3-K3</f>
        <v>1</v>
      </c>
      <c r="Z3" s="15">
        <f t="shared" ref="Z3:Z34" si="4">F3+O3+IF($V3="Moro",$W3,0)-I3-L3</f>
        <v>0</v>
      </c>
      <c r="AA3" s="18" t="str">
        <f>IF($A3="","",IF(AND($W3&gt;0,$V3=""),"IMPORT NEEDS DESTINATION",IF(MIN($Y3,$Z3)&lt;0,"NEGATIVE STOCK - CHECK ENTRIES","")))</f>
        <v/>
      </c>
      <c r="AB3" s="17">
        <v>0</v>
      </c>
      <c r="AC3" s="17">
        <v>0</v>
      </c>
      <c r="AD3" s="15">
        <f t="shared" ref="AD3" si="5">AB3-AC3</f>
        <v>0</v>
      </c>
      <c r="AE3" s="17">
        <v>0</v>
      </c>
      <c r="AF3" s="17">
        <v>0</v>
      </c>
      <c r="AG3" s="15">
        <f t="shared" ref="AG3" si="6">AE3-AF3</f>
        <v>0</v>
      </c>
      <c r="AH3" s="17">
        <v>0</v>
      </c>
      <c r="AI3" s="17">
        <v>0</v>
      </c>
      <c r="AJ3" s="15">
        <f t="shared" ref="AJ3" si="7">AH3-AI3</f>
        <v>0</v>
      </c>
      <c r="AK3" s="17">
        <v>0</v>
      </c>
      <c r="AL3" s="17">
        <v>0</v>
      </c>
      <c r="AM3" s="15">
        <f t="shared" ref="AM3" si="8">AK3-AL3</f>
        <v>0</v>
      </c>
      <c r="AN3" s="17"/>
    </row>
    <row r="4" spans="1:40" x14ac:dyDescent="0.3">
      <c r="A4" s="15" t="s">
        <v>58</v>
      </c>
      <c r="B4" s="15">
        <v>100</v>
      </c>
      <c r="C4" s="15" t="s">
        <v>54</v>
      </c>
      <c r="D4" s="15" t="s">
        <v>55</v>
      </c>
      <c r="E4" s="69" cm="1">
        <f t="array" ref="E4">MAX(0,IFERROR(_xlfn.XLOOKUP($A4&amp;"|"&amp;$B4&amp;"|"&amp;$D4,'29-AUGUST-2026'!$A$3:$A$197&amp;"|"&amp;'29-AUGUST-2026'!$B$3:$B$197&amp;"|"&amp;'29-AUGUST-2026'!$D$3:$D$197,'29-AUGUST-2026'!$Y$3:$Y$197,_xlfn.XLOOKUP($A4&amp;"|"&amp;$B4,'29-AUGUST-2026'!$A$3:$A$197&amp;"|"&amp;'29-AUGUST-2026'!$B$3:$B$197,'29-AUGUST-2026'!$Y$3:$Y$197,0)),0))</f>
        <v>0</v>
      </c>
      <c r="F4" s="69" cm="1">
        <f t="array" ref="F4">MAX(0,IFERROR(_xlfn.XLOOKUP($A4&amp;"|"&amp;$B4&amp;"|"&amp;$D4,'29-AUGUST-2026'!$A$3:$A$197&amp;"|"&amp;'29-AUGUST-2026'!$B$3:$B$197&amp;"|"&amp;'29-AUGUST-2026'!$D$3:$D$197,'29-AUGUST-2026'!$Z$3:$Z$197,_xlfn.XLOOKUP($A4&amp;"|"&amp;$B4,'29-AUGUST-2026'!$A$3:$A$197&amp;"|"&amp;'29-AUGUST-2026'!$B$3:$B$197,'29-AUGUST-2026'!$Z$3:$Z$197,0)),0))</f>
        <v>3</v>
      </c>
      <c r="G4" s="15">
        <f t="shared" si="0"/>
        <v>3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20">
        <v>0</v>
      </c>
      <c r="S4" s="20">
        <v>0</v>
      </c>
      <c r="T4" s="20">
        <v>0</v>
      </c>
      <c r="U4" s="17"/>
      <c r="V4" s="17"/>
      <c r="W4" s="20">
        <f t="shared" si="1"/>
        <v>0</v>
      </c>
      <c r="X4" s="21">
        <f t="shared" si="2"/>
        <v>3</v>
      </c>
      <c r="Y4" s="15">
        <f t="shared" si="3"/>
        <v>0</v>
      </c>
      <c r="Z4" s="15">
        <f t="shared" si="4"/>
        <v>3</v>
      </c>
      <c r="AA4" s="18" t="str">
        <f>IF($A4="","",IF(AND($W4&gt;0,$V4=""),"IMPORT NEEDS DESTINATION",IF(MIN($Y4,$Z4)&lt;0,"NEGATIVE STOCK - CHECK ENTRIES","")))</f>
        <v/>
      </c>
      <c r="AB4" s="17">
        <v>0</v>
      </c>
      <c r="AC4" s="17">
        <v>0</v>
      </c>
      <c r="AD4" s="15">
        <f t="shared" ref="AD4:AD35" si="9">AB4-AC4</f>
        <v>0</v>
      </c>
      <c r="AE4" s="17">
        <v>0</v>
      </c>
      <c r="AF4" s="17">
        <v>0</v>
      </c>
      <c r="AG4" s="15">
        <f t="shared" ref="AG4:AG35" si="10">AE4-AF4</f>
        <v>0</v>
      </c>
      <c r="AH4" s="17">
        <v>0</v>
      </c>
      <c r="AI4" s="17">
        <v>0</v>
      </c>
      <c r="AJ4" s="15">
        <f t="shared" ref="AJ4:AJ35" si="11">AH4-AI4</f>
        <v>0</v>
      </c>
      <c r="AK4" s="17">
        <v>0</v>
      </c>
      <c r="AL4" s="17">
        <v>0</v>
      </c>
      <c r="AM4" s="15">
        <f t="shared" ref="AM4:AM35" si="12">AK4-AL4</f>
        <v>0</v>
      </c>
      <c r="AN4" s="17"/>
    </row>
    <row r="5" spans="1:40" x14ac:dyDescent="0.3">
      <c r="A5" s="15" t="s">
        <v>59</v>
      </c>
      <c r="B5" s="15">
        <v>100</v>
      </c>
      <c r="C5" s="15" t="s">
        <v>54</v>
      </c>
      <c r="D5" s="15" t="s">
        <v>55</v>
      </c>
      <c r="E5" s="69" cm="1">
        <f t="array" ref="E5">MAX(0,IFERROR(_xlfn.XLOOKUP($A5&amp;"|"&amp;$B5&amp;"|"&amp;$D5,'29-AUGUST-2026'!$A$3:$A$197&amp;"|"&amp;'29-AUGUST-2026'!$B$3:$B$197&amp;"|"&amp;'29-AUGUST-2026'!$D$3:$D$197,'29-AUGUST-2026'!$Y$3:$Y$197,_xlfn.XLOOKUP($A5&amp;"|"&amp;$B5,'29-AUGUST-2026'!$A$3:$A$197&amp;"|"&amp;'29-AUGUST-2026'!$B$3:$B$197,'29-AUGUST-2026'!$Y$3:$Y$197,0)),0))</f>
        <v>0</v>
      </c>
      <c r="F5" s="69" cm="1">
        <f t="array" ref="F5">MAX(0,IFERROR(_xlfn.XLOOKUP($A5&amp;"|"&amp;$B5&amp;"|"&amp;$D5,'29-AUGUST-2026'!$A$3:$A$197&amp;"|"&amp;'29-AUGUST-2026'!$B$3:$B$197&amp;"|"&amp;'29-AUGUST-2026'!$D$3:$D$197,'29-AUGUST-2026'!$Z$3:$Z$197,_xlfn.XLOOKUP($A5&amp;"|"&amp;$B5,'29-AUGUST-2026'!$A$3:$A$197&amp;"|"&amp;'29-AUGUST-2026'!$B$3:$B$197,'29-AUGUST-2026'!$Z$3:$Z$197,0)),0))</f>
        <v>0</v>
      </c>
      <c r="G5" s="15">
        <f t="shared" si="0"/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20">
        <v>0</v>
      </c>
      <c r="S5" s="20">
        <v>0</v>
      </c>
      <c r="T5" s="20">
        <v>0</v>
      </c>
      <c r="U5" s="17"/>
      <c r="V5" s="17"/>
      <c r="W5" s="20">
        <f t="shared" si="1"/>
        <v>0</v>
      </c>
      <c r="X5" s="21">
        <f t="shared" si="2"/>
        <v>0</v>
      </c>
      <c r="Y5" s="15">
        <f t="shared" si="3"/>
        <v>0</v>
      </c>
      <c r="Z5" s="15">
        <f t="shared" si="4"/>
        <v>0</v>
      </c>
      <c r="AA5" s="18" t="str">
        <f>IF($A5="","",IF(AND($W5&gt;0,$V5=""),"IMPORT NEEDS DESTINATION",IF(MIN($Y5,$Z5)&lt;0,"NEGATIVE STOCK - CHECK ENTRIES","")))</f>
        <v/>
      </c>
      <c r="AB5" s="17">
        <v>0</v>
      </c>
      <c r="AC5" s="17">
        <v>0</v>
      </c>
      <c r="AD5" s="15">
        <f t="shared" si="9"/>
        <v>0</v>
      </c>
      <c r="AE5" s="17">
        <v>0</v>
      </c>
      <c r="AF5" s="17">
        <v>0</v>
      </c>
      <c r="AG5" s="15">
        <f t="shared" si="10"/>
        <v>0</v>
      </c>
      <c r="AH5" s="17">
        <v>0</v>
      </c>
      <c r="AI5" s="17">
        <v>0</v>
      </c>
      <c r="AJ5" s="15">
        <f t="shared" si="11"/>
        <v>0</v>
      </c>
      <c r="AK5" s="17">
        <v>0</v>
      </c>
      <c r="AL5" s="17">
        <v>0</v>
      </c>
      <c r="AM5" s="15">
        <f t="shared" si="12"/>
        <v>0</v>
      </c>
      <c r="AN5" s="17"/>
    </row>
    <row r="6" spans="1:40" x14ac:dyDescent="0.3">
      <c r="A6" s="15" t="s">
        <v>60</v>
      </c>
      <c r="B6" s="15">
        <v>100</v>
      </c>
      <c r="C6" s="15" t="s">
        <v>54</v>
      </c>
      <c r="D6" s="15" t="s">
        <v>55</v>
      </c>
      <c r="E6" s="69" cm="1">
        <f t="array" ref="E6">MAX(0,IFERROR(_xlfn.XLOOKUP($A6&amp;"|"&amp;$B6&amp;"|"&amp;$D6,'29-AUGUST-2026'!$A$3:$A$197&amp;"|"&amp;'29-AUGUST-2026'!$B$3:$B$197&amp;"|"&amp;'29-AUGUST-2026'!$D$3:$D$197,'29-AUGUST-2026'!$Y$3:$Y$197,_xlfn.XLOOKUP($A6&amp;"|"&amp;$B6,'29-AUGUST-2026'!$A$3:$A$197&amp;"|"&amp;'29-AUGUST-2026'!$B$3:$B$197,'29-AUGUST-2026'!$Y$3:$Y$197,0)),0))</f>
        <v>0</v>
      </c>
      <c r="F6" s="69" cm="1">
        <f t="array" ref="F6">MAX(0,IFERROR(_xlfn.XLOOKUP($A6&amp;"|"&amp;$B6&amp;"|"&amp;$D6,'29-AUGUST-2026'!$A$3:$A$197&amp;"|"&amp;'29-AUGUST-2026'!$B$3:$B$197&amp;"|"&amp;'29-AUGUST-2026'!$D$3:$D$197,'29-AUGUST-2026'!$Z$3:$Z$197,_xlfn.XLOOKUP($A6&amp;"|"&amp;$B6,'29-AUGUST-2026'!$A$3:$A$197&amp;"|"&amp;'29-AUGUST-2026'!$B$3:$B$197,'29-AUGUST-2026'!$Z$3:$Z$197,0)),0))</f>
        <v>20</v>
      </c>
      <c r="G6" s="15">
        <f t="shared" si="0"/>
        <v>20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20">
        <v>0</v>
      </c>
      <c r="S6" s="20">
        <v>0</v>
      </c>
      <c r="T6" s="20">
        <v>0</v>
      </c>
      <c r="U6" s="17"/>
      <c r="V6" s="17"/>
      <c r="W6" s="20">
        <f t="shared" si="1"/>
        <v>0</v>
      </c>
      <c r="X6" s="21">
        <f t="shared" si="2"/>
        <v>20</v>
      </c>
      <c r="Y6" s="15">
        <f t="shared" si="3"/>
        <v>0</v>
      </c>
      <c r="Z6" s="15">
        <f t="shared" si="4"/>
        <v>20</v>
      </c>
      <c r="AA6" s="18" t="str">
        <f>IF($A6="","",IF(AND($W6&gt;0,$V6=""),"IMPORT NEEDS DESTINATION",IF(MIN($Y6,$Z6)&lt;0,"NEGATIVE STOCK - CHECK ENTRIES","")))</f>
        <v/>
      </c>
      <c r="AB6" s="17">
        <v>0</v>
      </c>
      <c r="AC6" s="17">
        <v>0</v>
      </c>
      <c r="AD6" s="15">
        <f t="shared" si="9"/>
        <v>0</v>
      </c>
      <c r="AE6" s="17">
        <v>0</v>
      </c>
      <c r="AF6" s="17">
        <v>0</v>
      </c>
      <c r="AG6" s="15">
        <f t="shared" si="10"/>
        <v>0</v>
      </c>
      <c r="AH6" s="17">
        <v>0</v>
      </c>
      <c r="AI6" s="17">
        <v>0</v>
      </c>
      <c r="AJ6" s="15">
        <f t="shared" si="11"/>
        <v>0</v>
      </c>
      <c r="AK6" s="17">
        <v>0</v>
      </c>
      <c r="AL6" s="17">
        <v>0</v>
      </c>
      <c r="AM6" s="15">
        <f t="shared" si="12"/>
        <v>0</v>
      </c>
      <c r="AN6" s="17"/>
    </row>
    <row r="7" spans="1:40" x14ac:dyDescent="0.3">
      <c r="A7" s="15" t="s">
        <v>61</v>
      </c>
      <c r="B7" s="15">
        <v>100</v>
      </c>
      <c r="C7" s="15" t="s">
        <v>54</v>
      </c>
      <c r="D7" s="15" t="s">
        <v>55</v>
      </c>
      <c r="E7" s="69" cm="1">
        <f t="array" ref="E7">MAX(0,IFERROR(_xlfn.XLOOKUP($A7&amp;"|"&amp;$B7&amp;"|"&amp;$D7,'29-AUGUST-2026'!$A$3:$A$197&amp;"|"&amp;'29-AUGUST-2026'!$B$3:$B$197&amp;"|"&amp;'29-AUGUST-2026'!$D$3:$D$197,'29-AUGUST-2026'!$Y$3:$Y$197,_xlfn.XLOOKUP($A7&amp;"|"&amp;$B7,'29-AUGUST-2026'!$A$3:$A$197&amp;"|"&amp;'29-AUGUST-2026'!$B$3:$B$197,'29-AUGUST-2026'!$Y$3:$Y$197,0)),0))</f>
        <v>5</v>
      </c>
      <c r="F7" s="69" cm="1">
        <f t="array" ref="F7">MAX(0,IFERROR(_xlfn.XLOOKUP($A7&amp;"|"&amp;$B7&amp;"|"&amp;$D7,'29-AUGUST-2026'!$A$3:$A$197&amp;"|"&amp;'29-AUGUST-2026'!$B$3:$B$197&amp;"|"&amp;'29-AUGUST-2026'!$D$3:$D$197,'29-AUGUST-2026'!$Z$3:$Z$197,_xlfn.XLOOKUP($A7&amp;"|"&amp;$B7,'29-AUGUST-2026'!$A$3:$A$197&amp;"|"&amp;'29-AUGUST-2026'!$B$3:$B$197,'29-AUGUST-2026'!$Z$3:$Z$197,0)),0))</f>
        <v>17</v>
      </c>
      <c r="G7" s="15">
        <f t="shared" si="0"/>
        <v>22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20">
        <v>0</v>
      </c>
      <c r="S7" s="20">
        <v>0</v>
      </c>
      <c r="T7" s="20">
        <v>0</v>
      </c>
      <c r="U7" s="17"/>
      <c r="V7" s="17"/>
      <c r="W7" s="20">
        <f t="shared" si="1"/>
        <v>0</v>
      </c>
      <c r="X7" s="21">
        <f t="shared" si="2"/>
        <v>22</v>
      </c>
      <c r="Y7" s="15">
        <f t="shared" si="3"/>
        <v>5</v>
      </c>
      <c r="Z7" s="15">
        <f t="shared" si="4"/>
        <v>17</v>
      </c>
      <c r="AA7" s="18" t="str">
        <f>IF($A7="","",IF(AND($W7&gt;0,$V7=""),"IMPORT NEEDS DESTINATION",IF(MIN($Y7,$Z7)&lt;0,"NEGATIVE STOCK - CHECK ENTRIES","")))</f>
        <v/>
      </c>
      <c r="AB7" s="17">
        <v>0</v>
      </c>
      <c r="AC7" s="17">
        <v>0</v>
      </c>
      <c r="AD7" s="15">
        <f t="shared" si="9"/>
        <v>0</v>
      </c>
      <c r="AE7" s="17">
        <v>0</v>
      </c>
      <c r="AF7" s="17">
        <v>0</v>
      </c>
      <c r="AG7" s="15">
        <f t="shared" si="10"/>
        <v>0</v>
      </c>
      <c r="AH7" s="17">
        <v>0</v>
      </c>
      <c r="AI7" s="17">
        <v>0</v>
      </c>
      <c r="AJ7" s="15">
        <f t="shared" si="11"/>
        <v>0</v>
      </c>
      <c r="AK7" s="17">
        <v>0</v>
      </c>
      <c r="AL7" s="17">
        <v>0</v>
      </c>
      <c r="AM7" s="15">
        <f t="shared" si="12"/>
        <v>0</v>
      </c>
      <c r="AN7" s="17"/>
    </row>
    <row r="8" spans="1:40" x14ac:dyDescent="0.3">
      <c r="A8" s="15" t="s">
        <v>62</v>
      </c>
      <c r="B8" s="15">
        <v>100</v>
      </c>
      <c r="C8" s="15" t="s">
        <v>54</v>
      </c>
      <c r="D8" s="15" t="s">
        <v>55</v>
      </c>
      <c r="E8" s="69" cm="1">
        <f t="array" ref="E8">MAX(0,IFERROR(_xlfn.XLOOKUP($A8&amp;"|"&amp;$B8&amp;"|"&amp;$D8,'29-AUGUST-2026'!$A$3:$A$197&amp;"|"&amp;'29-AUGUST-2026'!$B$3:$B$197&amp;"|"&amp;'29-AUGUST-2026'!$D$3:$D$197,'29-AUGUST-2026'!$Y$3:$Y$197,_xlfn.XLOOKUP($A8&amp;"|"&amp;$B8,'29-AUGUST-2026'!$A$3:$A$197&amp;"|"&amp;'29-AUGUST-2026'!$B$3:$B$197,'29-AUGUST-2026'!$Y$3:$Y$197,0)),0))</f>
        <v>150</v>
      </c>
      <c r="F8" s="69" cm="1">
        <f t="array" ref="F8">MAX(0,IFERROR(_xlfn.XLOOKUP($A8&amp;"|"&amp;$B8&amp;"|"&amp;$D8,'29-AUGUST-2026'!$A$3:$A$197&amp;"|"&amp;'29-AUGUST-2026'!$B$3:$B$197&amp;"|"&amp;'29-AUGUST-2026'!$D$3:$D$197,'29-AUGUST-2026'!$Z$3:$Z$197,_xlfn.XLOOKUP($A8&amp;"|"&amp;$B8,'29-AUGUST-2026'!$A$3:$A$197&amp;"|"&amp;'29-AUGUST-2026'!$B$3:$B$197,'29-AUGUST-2026'!$Z$3:$Z$197,0)),0))</f>
        <v>0</v>
      </c>
      <c r="G8" s="15">
        <f t="shared" si="0"/>
        <v>150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20">
        <v>0</v>
      </c>
      <c r="S8" s="20">
        <v>0</v>
      </c>
      <c r="T8" s="20">
        <v>0</v>
      </c>
      <c r="U8" s="17"/>
      <c r="V8" s="17"/>
      <c r="W8" s="20">
        <f t="shared" si="1"/>
        <v>0</v>
      </c>
      <c r="X8" s="21">
        <f t="shared" si="2"/>
        <v>150</v>
      </c>
      <c r="Y8" s="15">
        <f t="shared" si="3"/>
        <v>150</v>
      </c>
      <c r="Z8" s="15">
        <f t="shared" si="4"/>
        <v>0</v>
      </c>
      <c r="AA8" s="18" t="str">
        <f>IF($A8="","",IF(AND($W8&gt;0,$V8=""),"IMPORT NEEDS DESTINATION",IF(MIN($Y8,$Z8)&lt;0,"NEGATIVE STOCK - CHECK ENTRIES","")))</f>
        <v/>
      </c>
      <c r="AB8" s="17">
        <v>0</v>
      </c>
      <c r="AC8" s="17">
        <v>0</v>
      </c>
      <c r="AD8" s="15">
        <f t="shared" si="9"/>
        <v>0</v>
      </c>
      <c r="AE8" s="17">
        <v>0</v>
      </c>
      <c r="AF8" s="17">
        <v>0</v>
      </c>
      <c r="AG8" s="15">
        <f t="shared" si="10"/>
        <v>0</v>
      </c>
      <c r="AH8" s="17">
        <v>0</v>
      </c>
      <c r="AI8" s="17">
        <v>0</v>
      </c>
      <c r="AJ8" s="15">
        <f t="shared" si="11"/>
        <v>0</v>
      </c>
      <c r="AK8" s="17">
        <v>0</v>
      </c>
      <c r="AL8" s="17">
        <v>0</v>
      </c>
      <c r="AM8" s="15">
        <f t="shared" si="12"/>
        <v>0</v>
      </c>
      <c r="AN8" s="17"/>
    </row>
    <row r="9" spans="1:40" x14ac:dyDescent="0.3">
      <c r="A9" s="15" t="s">
        <v>62</v>
      </c>
      <c r="B9" s="15">
        <v>500</v>
      </c>
      <c r="C9" s="15" t="s">
        <v>54</v>
      </c>
      <c r="D9" s="15" t="s">
        <v>55</v>
      </c>
      <c r="E9" s="69" cm="1">
        <f t="array" ref="E9">MAX(0,IFERROR(_xlfn.XLOOKUP($A9&amp;"|"&amp;$B9&amp;"|"&amp;$D9,'29-AUGUST-2026'!$A$3:$A$197&amp;"|"&amp;'29-AUGUST-2026'!$B$3:$B$197&amp;"|"&amp;'29-AUGUST-2026'!$D$3:$D$197,'29-AUGUST-2026'!$Y$3:$Y$197,_xlfn.XLOOKUP($A9&amp;"|"&amp;$B9,'29-AUGUST-2026'!$A$3:$A$197&amp;"|"&amp;'29-AUGUST-2026'!$B$3:$B$197,'29-AUGUST-2026'!$Y$3:$Y$197,0)),0))</f>
        <v>0</v>
      </c>
      <c r="F9" s="69" cm="1">
        <f t="array" ref="F9">MAX(0,IFERROR(_xlfn.XLOOKUP($A9&amp;"|"&amp;$B9&amp;"|"&amp;$D9,'29-AUGUST-2026'!$A$3:$A$197&amp;"|"&amp;'29-AUGUST-2026'!$B$3:$B$197&amp;"|"&amp;'29-AUGUST-2026'!$D$3:$D$197,'29-AUGUST-2026'!$Z$3:$Z$197,_xlfn.XLOOKUP($A9&amp;"|"&amp;$B9,'29-AUGUST-2026'!$A$3:$A$197&amp;"|"&amp;'29-AUGUST-2026'!$B$3:$B$197,'29-AUGUST-2026'!$Z$3:$Z$197,0)),0))</f>
        <v>0</v>
      </c>
      <c r="G9" s="15">
        <f t="shared" si="0"/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20">
        <v>0</v>
      </c>
      <c r="S9" s="20">
        <v>0</v>
      </c>
      <c r="T9" s="20">
        <v>0</v>
      </c>
      <c r="U9" s="17"/>
      <c r="V9" s="17"/>
      <c r="W9" s="20">
        <f t="shared" si="1"/>
        <v>0</v>
      </c>
      <c r="X9" s="21">
        <f t="shared" si="2"/>
        <v>0</v>
      </c>
      <c r="Y9" s="15">
        <f t="shared" si="3"/>
        <v>0</v>
      </c>
      <c r="Z9" s="15">
        <f t="shared" si="4"/>
        <v>0</v>
      </c>
      <c r="AA9" s="18" t="str">
        <f>IF($A9="","",IF(AND($W9&gt;0,$V9=""),"IMPORT NEEDS DESTINATION",IF(MIN($Y9,$Z9)&lt;0,"NEGATIVE STOCK - CHECK ENTRIES","")))</f>
        <v/>
      </c>
      <c r="AB9" s="17">
        <v>0</v>
      </c>
      <c r="AC9" s="17">
        <v>0</v>
      </c>
      <c r="AD9" s="15">
        <f t="shared" si="9"/>
        <v>0</v>
      </c>
      <c r="AE9" s="17">
        <v>0</v>
      </c>
      <c r="AF9" s="17">
        <v>0</v>
      </c>
      <c r="AG9" s="15">
        <f t="shared" si="10"/>
        <v>0</v>
      </c>
      <c r="AH9" s="17">
        <v>0</v>
      </c>
      <c r="AI9" s="17">
        <v>0</v>
      </c>
      <c r="AJ9" s="15">
        <f t="shared" si="11"/>
        <v>0</v>
      </c>
      <c r="AK9" s="17">
        <v>0</v>
      </c>
      <c r="AL9" s="17">
        <v>0</v>
      </c>
      <c r="AM9" s="15">
        <f t="shared" si="12"/>
        <v>0</v>
      </c>
      <c r="AN9" s="17"/>
    </row>
    <row r="10" spans="1:40" x14ac:dyDescent="0.3">
      <c r="A10" s="15" t="s">
        <v>63</v>
      </c>
      <c r="B10" s="15">
        <v>100</v>
      </c>
      <c r="C10" s="15" t="s">
        <v>54</v>
      </c>
      <c r="D10" s="15" t="s">
        <v>55</v>
      </c>
      <c r="E10" s="69">
        <v>330</v>
      </c>
      <c r="F10" s="69" cm="1">
        <f t="array" ref="F10">MAX(0,IFERROR(_xlfn.XLOOKUP($A10&amp;"|"&amp;$B10&amp;"|"&amp;$D10,'29-AUGUST-2026'!$A$3:$A$197&amp;"|"&amp;'29-AUGUST-2026'!$B$3:$B$197&amp;"|"&amp;'29-AUGUST-2026'!$D$3:$D$197,'29-AUGUST-2026'!$Z$3:$Z$197,_xlfn.XLOOKUP($A10&amp;"|"&amp;$B10,'29-AUGUST-2026'!$A$3:$A$197&amp;"|"&amp;'29-AUGUST-2026'!$B$3:$B$197,'29-AUGUST-2026'!$Z$3:$Z$197,0)),0))</f>
        <v>178</v>
      </c>
      <c r="G10" s="15">
        <f t="shared" si="0"/>
        <v>508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1</v>
      </c>
      <c r="O10" s="17">
        <v>0</v>
      </c>
      <c r="P10" s="17">
        <v>0</v>
      </c>
      <c r="Q10" s="17">
        <v>0</v>
      </c>
      <c r="R10" s="20">
        <v>1</v>
      </c>
      <c r="S10" s="20">
        <v>0</v>
      </c>
      <c r="T10" s="20">
        <v>0</v>
      </c>
      <c r="U10" s="17"/>
      <c r="V10" s="17"/>
      <c r="W10" s="20">
        <f t="shared" si="1"/>
        <v>1</v>
      </c>
      <c r="X10" s="21">
        <f t="shared" si="2"/>
        <v>509</v>
      </c>
      <c r="Y10" s="15">
        <f t="shared" si="3"/>
        <v>331</v>
      </c>
      <c r="Z10" s="15">
        <f t="shared" si="4"/>
        <v>178</v>
      </c>
      <c r="AA10" s="18" t="str">
        <f>IF($A10="","",IF(AND($W10&gt;0,$V10=""),"IMPORT NEEDS DESTINATION",IF(MIN($Y10,$Z10)&lt;0,"NEGATIVE STOCK - CHECK ENTRIES","")))</f>
        <v>IMPORT NEEDS DESTINATION</v>
      </c>
      <c r="AB10" s="17">
        <v>0</v>
      </c>
      <c r="AC10" s="17">
        <v>0</v>
      </c>
      <c r="AD10" s="15">
        <f t="shared" si="9"/>
        <v>0</v>
      </c>
      <c r="AE10" s="17">
        <v>0</v>
      </c>
      <c r="AF10" s="17">
        <v>0</v>
      </c>
      <c r="AG10" s="15">
        <f t="shared" si="10"/>
        <v>0</v>
      </c>
      <c r="AH10" s="17">
        <v>0</v>
      </c>
      <c r="AI10" s="17">
        <v>0</v>
      </c>
      <c r="AJ10" s="15">
        <f t="shared" si="11"/>
        <v>0</v>
      </c>
      <c r="AK10" s="17">
        <v>0</v>
      </c>
      <c r="AL10" s="17">
        <v>0</v>
      </c>
      <c r="AM10" s="15">
        <f t="shared" si="12"/>
        <v>0</v>
      </c>
      <c r="AN10" s="17"/>
    </row>
    <row r="11" spans="1:40" x14ac:dyDescent="0.3">
      <c r="A11" s="15" t="s">
        <v>64</v>
      </c>
      <c r="B11" s="15">
        <v>500</v>
      </c>
      <c r="C11" s="15" t="s">
        <v>54</v>
      </c>
      <c r="D11" s="15" t="s">
        <v>55</v>
      </c>
      <c r="E11" s="69" cm="1">
        <f t="array" ref="E11">MAX(0,IFERROR(_xlfn.XLOOKUP($A11&amp;"|"&amp;$B11&amp;"|"&amp;$D11,'29-AUGUST-2026'!$A$3:$A$197&amp;"|"&amp;'29-AUGUST-2026'!$B$3:$B$197&amp;"|"&amp;'29-AUGUST-2026'!$D$3:$D$197,'29-AUGUST-2026'!$Y$3:$Y$197,_xlfn.XLOOKUP($A11&amp;"|"&amp;$B11,'29-AUGUST-2026'!$A$3:$A$197&amp;"|"&amp;'29-AUGUST-2026'!$B$3:$B$197,'29-AUGUST-2026'!$Y$3:$Y$197,0)),0))</f>
        <v>8</v>
      </c>
      <c r="F11" s="69" cm="1">
        <f t="array" ref="F11">MAX(0,IFERROR(_xlfn.XLOOKUP($A11&amp;"|"&amp;$B11&amp;"|"&amp;$D11,'29-AUGUST-2026'!$A$3:$A$197&amp;"|"&amp;'29-AUGUST-2026'!$B$3:$B$197&amp;"|"&amp;'29-AUGUST-2026'!$D$3:$D$197,'29-AUGUST-2026'!$Z$3:$Z$197,_xlfn.XLOOKUP($A11&amp;"|"&amp;$B11,'29-AUGUST-2026'!$A$3:$A$197&amp;"|"&amp;'29-AUGUST-2026'!$B$3:$B$197,'29-AUGUST-2026'!$Z$3:$Z$197,0)),0))</f>
        <v>0</v>
      </c>
      <c r="G11" s="15">
        <f t="shared" si="0"/>
        <v>8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20">
        <v>0</v>
      </c>
      <c r="S11" s="20">
        <v>0</v>
      </c>
      <c r="T11" s="20">
        <v>0</v>
      </c>
      <c r="U11" s="17"/>
      <c r="V11" s="17"/>
      <c r="W11" s="20">
        <f t="shared" si="1"/>
        <v>0</v>
      </c>
      <c r="X11" s="21">
        <f t="shared" si="2"/>
        <v>8</v>
      </c>
      <c r="Y11" s="15">
        <f t="shared" si="3"/>
        <v>8</v>
      </c>
      <c r="Z11" s="15">
        <f t="shared" si="4"/>
        <v>0</v>
      </c>
      <c r="AA11" s="18" t="str">
        <f>IF($A11="","",IF(AND($W11&gt;0,$V11=""),"IMPORT NEEDS DESTINATION",IF(MIN($Y11,$Z11)&lt;0,"NEGATIVE STOCK - CHECK ENTRIES","")))</f>
        <v/>
      </c>
      <c r="AB11" s="17">
        <v>0</v>
      </c>
      <c r="AC11" s="17">
        <v>0</v>
      </c>
      <c r="AD11" s="15">
        <f t="shared" si="9"/>
        <v>0</v>
      </c>
      <c r="AE11" s="17">
        <v>0</v>
      </c>
      <c r="AF11" s="17">
        <v>0</v>
      </c>
      <c r="AG11" s="15">
        <f t="shared" si="10"/>
        <v>0</v>
      </c>
      <c r="AH11" s="17">
        <v>0</v>
      </c>
      <c r="AI11" s="17">
        <v>0</v>
      </c>
      <c r="AJ11" s="15">
        <f t="shared" si="11"/>
        <v>0</v>
      </c>
      <c r="AK11" s="17">
        <v>0</v>
      </c>
      <c r="AL11" s="17">
        <v>0</v>
      </c>
      <c r="AM11" s="15">
        <f t="shared" si="12"/>
        <v>0</v>
      </c>
      <c r="AN11" s="17"/>
    </row>
    <row r="12" spans="1:40" x14ac:dyDescent="0.3">
      <c r="A12" s="15" t="s">
        <v>65</v>
      </c>
      <c r="B12" s="15">
        <v>100</v>
      </c>
      <c r="C12" s="15" t="s">
        <v>54</v>
      </c>
      <c r="D12" s="15" t="s">
        <v>55</v>
      </c>
      <c r="E12" s="69" cm="1">
        <f t="array" ref="E12">MAX(0,IFERROR(_xlfn.XLOOKUP($A12&amp;"|"&amp;$B12&amp;"|"&amp;$D12,'29-AUGUST-2026'!$A$3:$A$197&amp;"|"&amp;'29-AUGUST-2026'!$B$3:$B$197&amp;"|"&amp;'29-AUGUST-2026'!$D$3:$D$197,'29-AUGUST-2026'!$Y$3:$Y$197,_xlfn.XLOOKUP($A12&amp;"|"&amp;$B12,'29-AUGUST-2026'!$A$3:$A$197&amp;"|"&amp;'29-AUGUST-2026'!$B$3:$B$197,'29-AUGUST-2026'!$Y$3:$Y$197,0)),0))</f>
        <v>4325</v>
      </c>
      <c r="F12" s="69" cm="1">
        <f t="array" ref="F12">MAX(0,IFERROR(_xlfn.XLOOKUP($A12&amp;"|"&amp;$B12&amp;"|"&amp;$D12,'29-AUGUST-2026'!$A$3:$A$197&amp;"|"&amp;'29-AUGUST-2026'!$B$3:$B$197&amp;"|"&amp;'29-AUGUST-2026'!$D$3:$D$197,'29-AUGUST-2026'!$Z$3:$Z$197,_xlfn.XLOOKUP($A12&amp;"|"&amp;$B12,'29-AUGUST-2026'!$A$3:$A$197&amp;"|"&amp;'29-AUGUST-2026'!$B$3:$B$197,'29-AUGUST-2026'!$Z$3:$Z$197,0)),0))</f>
        <v>66</v>
      </c>
      <c r="G12" s="15">
        <f t="shared" si="0"/>
        <v>4391</v>
      </c>
      <c r="H12" s="17">
        <v>5</v>
      </c>
      <c r="I12" s="17">
        <v>68</v>
      </c>
      <c r="J12" s="17">
        <v>0</v>
      </c>
      <c r="K12" s="17">
        <v>50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20">
        <v>0</v>
      </c>
      <c r="S12" s="20">
        <v>0</v>
      </c>
      <c r="T12" s="20">
        <v>0</v>
      </c>
      <c r="U12" s="17"/>
      <c r="V12" s="17"/>
      <c r="W12" s="20">
        <f t="shared" si="1"/>
        <v>0</v>
      </c>
      <c r="X12" s="21">
        <f t="shared" si="2"/>
        <v>4268</v>
      </c>
      <c r="Y12" s="15">
        <f t="shared" si="3"/>
        <v>4270</v>
      </c>
      <c r="Z12" s="15">
        <f t="shared" si="4"/>
        <v>-2</v>
      </c>
      <c r="AA12" s="18" t="str">
        <f>IF($A12="","",IF(AND($W12&gt;0,$V12=""),"IMPORT NEEDS DESTINATION",IF(MIN($Y12,$Z12)&lt;0,"NEGATIVE STOCK - CHECK ENTRIES","")))</f>
        <v>NEGATIVE STOCK - CHECK ENTRIES</v>
      </c>
      <c r="AB12" s="17">
        <v>50</v>
      </c>
      <c r="AC12" s="17">
        <v>0</v>
      </c>
      <c r="AD12" s="15">
        <f t="shared" si="9"/>
        <v>50</v>
      </c>
      <c r="AE12" s="17">
        <v>0</v>
      </c>
      <c r="AF12" s="17">
        <v>0</v>
      </c>
      <c r="AG12" s="15">
        <f t="shared" si="10"/>
        <v>0</v>
      </c>
      <c r="AH12" s="17">
        <v>0</v>
      </c>
      <c r="AI12" s="17">
        <v>0</v>
      </c>
      <c r="AJ12" s="15">
        <f t="shared" si="11"/>
        <v>0</v>
      </c>
      <c r="AK12" s="17">
        <v>0</v>
      </c>
      <c r="AL12" s="17">
        <v>0</v>
      </c>
      <c r="AM12" s="15">
        <f t="shared" si="12"/>
        <v>0</v>
      </c>
      <c r="AN12" s="17"/>
    </row>
    <row r="13" spans="1:40" x14ac:dyDescent="0.3">
      <c r="A13" s="15" t="s">
        <v>65</v>
      </c>
      <c r="B13" s="15">
        <v>500</v>
      </c>
      <c r="C13" s="15" t="s">
        <v>54</v>
      </c>
      <c r="D13" s="15" t="s">
        <v>55</v>
      </c>
      <c r="E13" s="69" cm="1">
        <f t="array" ref="E13">MAX(0,IFERROR(_xlfn.XLOOKUP($A13&amp;"|"&amp;$B13&amp;"|"&amp;$D13,'29-AUGUST-2026'!$A$3:$A$197&amp;"|"&amp;'29-AUGUST-2026'!$B$3:$B$197&amp;"|"&amp;'29-AUGUST-2026'!$D$3:$D$197,'29-AUGUST-2026'!$Y$3:$Y$197,_xlfn.XLOOKUP($A13&amp;"|"&amp;$B13,'29-AUGUST-2026'!$A$3:$A$197&amp;"|"&amp;'29-AUGUST-2026'!$B$3:$B$197,'29-AUGUST-2026'!$Y$3:$Y$197,0)),0))</f>
        <v>0</v>
      </c>
      <c r="F13" s="69" cm="1">
        <f t="array" ref="F13">MAX(0,IFERROR(_xlfn.XLOOKUP($A13&amp;"|"&amp;$B13&amp;"|"&amp;$D13,'29-AUGUST-2026'!$A$3:$A$197&amp;"|"&amp;'29-AUGUST-2026'!$B$3:$B$197&amp;"|"&amp;'29-AUGUST-2026'!$D$3:$D$197,'29-AUGUST-2026'!$Z$3:$Z$197,_xlfn.XLOOKUP($A13&amp;"|"&amp;$B13,'29-AUGUST-2026'!$A$3:$A$197&amp;"|"&amp;'29-AUGUST-2026'!$B$3:$B$197,'29-AUGUST-2026'!$Z$3:$Z$197,0)),0))</f>
        <v>0</v>
      </c>
      <c r="G13" s="15">
        <f t="shared" si="0"/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20">
        <v>0</v>
      </c>
      <c r="S13" s="20">
        <v>0</v>
      </c>
      <c r="T13" s="20">
        <v>0</v>
      </c>
      <c r="U13" s="17"/>
      <c r="V13" s="17"/>
      <c r="W13" s="20">
        <f t="shared" si="1"/>
        <v>0</v>
      </c>
      <c r="X13" s="21">
        <f t="shared" si="2"/>
        <v>0</v>
      </c>
      <c r="Y13" s="15">
        <f t="shared" si="3"/>
        <v>0</v>
      </c>
      <c r="Z13" s="15">
        <f t="shared" si="4"/>
        <v>0</v>
      </c>
      <c r="AA13" s="18" t="str">
        <f>IF($A13="","",IF(AND($W13&gt;0,$V13=""),"IMPORT NEEDS DESTINATION",IF(MIN($Y13,$Z13)&lt;0,"NEGATIVE STOCK - CHECK ENTRIES","")))</f>
        <v/>
      </c>
      <c r="AB13" s="17">
        <v>0</v>
      </c>
      <c r="AC13" s="17">
        <v>0</v>
      </c>
      <c r="AD13" s="15">
        <f t="shared" si="9"/>
        <v>0</v>
      </c>
      <c r="AE13" s="17">
        <v>0</v>
      </c>
      <c r="AF13" s="17">
        <v>0</v>
      </c>
      <c r="AG13" s="15">
        <f t="shared" si="10"/>
        <v>0</v>
      </c>
      <c r="AH13" s="17">
        <v>0</v>
      </c>
      <c r="AI13" s="17">
        <v>0</v>
      </c>
      <c r="AJ13" s="15">
        <f t="shared" si="11"/>
        <v>0</v>
      </c>
      <c r="AK13" s="17">
        <v>0</v>
      </c>
      <c r="AL13" s="17">
        <v>0</v>
      </c>
      <c r="AM13" s="15">
        <f t="shared" si="12"/>
        <v>0</v>
      </c>
      <c r="AN13" s="17"/>
    </row>
    <row r="14" spans="1:40" x14ac:dyDescent="0.3">
      <c r="A14" s="15" t="s">
        <v>66</v>
      </c>
      <c r="B14" s="15">
        <v>100</v>
      </c>
      <c r="C14" s="15" t="s">
        <v>54</v>
      </c>
      <c r="D14" s="15" t="s">
        <v>55</v>
      </c>
      <c r="E14" s="69" cm="1">
        <f t="array" ref="E14">MAX(0,IFERROR(_xlfn.XLOOKUP($A14&amp;"|"&amp;$B14&amp;"|"&amp;$D14,'29-AUGUST-2026'!$A$3:$A$197&amp;"|"&amp;'29-AUGUST-2026'!$B$3:$B$197&amp;"|"&amp;'29-AUGUST-2026'!$D$3:$D$197,'29-AUGUST-2026'!$Y$3:$Y$197,_xlfn.XLOOKUP($A14&amp;"|"&amp;$B14,'29-AUGUST-2026'!$A$3:$A$197&amp;"|"&amp;'29-AUGUST-2026'!$B$3:$B$197,'29-AUGUST-2026'!$Y$3:$Y$197,0)),0))</f>
        <v>23</v>
      </c>
      <c r="F14" s="69" cm="1">
        <f t="array" ref="F14">MAX(0,IFERROR(_xlfn.XLOOKUP($A14&amp;"|"&amp;$B14&amp;"|"&amp;$D14,'29-AUGUST-2026'!$A$3:$A$197&amp;"|"&amp;'29-AUGUST-2026'!$B$3:$B$197&amp;"|"&amp;'29-AUGUST-2026'!$D$3:$D$197,'29-AUGUST-2026'!$Z$3:$Z$197,_xlfn.XLOOKUP($A14&amp;"|"&amp;$B14,'29-AUGUST-2026'!$A$3:$A$197&amp;"|"&amp;'29-AUGUST-2026'!$B$3:$B$197,'29-AUGUST-2026'!$Z$3:$Z$197,0)),0))</f>
        <v>40</v>
      </c>
      <c r="G14" s="15">
        <f t="shared" si="0"/>
        <v>63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20">
        <v>0</v>
      </c>
      <c r="S14" s="20">
        <v>0</v>
      </c>
      <c r="T14" s="20">
        <v>0</v>
      </c>
      <c r="U14" s="17"/>
      <c r="V14" s="17"/>
      <c r="W14" s="20">
        <f t="shared" si="1"/>
        <v>0</v>
      </c>
      <c r="X14" s="21">
        <f t="shared" si="2"/>
        <v>63</v>
      </c>
      <c r="Y14" s="15">
        <f t="shared" si="3"/>
        <v>23</v>
      </c>
      <c r="Z14" s="15">
        <f t="shared" si="4"/>
        <v>40</v>
      </c>
      <c r="AA14" s="18" t="str">
        <f>IF($A14="","",IF(AND($W14&gt;0,$V14=""),"IMPORT NEEDS DESTINATION",IF(MIN($Y14,$Z14)&lt;0,"NEGATIVE STOCK - CHECK ENTRIES","")))</f>
        <v/>
      </c>
      <c r="AB14" s="17">
        <v>0</v>
      </c>
      <c r="AC14" s="17">
        <v>0</v>
      </c>
      <c r="AD14" s="15">
        <f t="shared" si="9"/>
        <v>0</v>
      </c>
      <c r="AE14" s="17">
        <v>0</v>
      </c>
      <c r="AF14" s="17">
        <v>0</v>
      </c>
      <c r="AG14" s="15">
        <f t="shared" si="10"/>
        <v>0</v>
      </c>
      <c r="AH14" s="17">
        <v>0</v>
      </c>
      <c r="AI14" s="17">
        <v>0</v>
      </c>
      <c r="AJ14" s="15">
        <f t="shared" si="11"/>
        <v>0</v>
      </c>
      <c r="AK14" s="17">
        <v>0</v>
      </c>
      <c r="AL14" s="17">
        <v>0</v>
      </c>
      <c r="AM14" s="15">
        <f t="shared" si="12"/>
        <v>0</v>
      </c>
      <c r="AN14" s="17"/>
    </row>
    <row r="15" spans="1:40" x14ac:dyDescent="0.3">
      <c r="A15" s="15" t="s">
        <v>66</v>
      </c>
      <c r="B15" s="15">
        <v>1000</v>
      </c>
      <c r="C15" s="15" t="s">
        <v>54</v>
      </c>
      <c r="D15" s="15" t="s">
        <v>55</v>
      </c>
      <c r="E15" s="69" cm="1">
        <f t="array" ref="E15">MAX(0,IFERROR(_xlfn.XLOOKUP($A15&amp;"|"&amp;$B15&amp;"|"&amp;$D15,'29-AUGUST-2026'!$A$3:$A$197&amp;"|"&amp;'29-AUGUST-2026'!$B$3:$B$197&amp;"|"&amp;'29-AUGUST-2026'!$D$3:$D$197,'29-AUGUST-2026'!$Y$3:$Y$197,_xlfn.XLOOKUP($A15&amp;"|"&amp;$B15,'29-AUGUST-2026'!$A$3:$A$197&amp;"|"&amp;'29-AUGUST-2026'!$B$3:$B$197,'29-AUGUST-2026'!$Y$3:$Y$197,0)),0))</f>
        <v>0</v>
      </c>
      <c r="F15" s="69" cm="1">
        <f t="array" ref="F15">MAX(0,IFERROR(_xlfn.XLOOKUP($A15&amp;"|"&amp;$B15&amp;"|"&amp;$D15,'29-AUGUST-2026'!$A$3:$A$197&amp;"|"&amp;'29-AUGUST-2026'!$B$3:$B$197&amp;"|"&amp;'29-AUGUST-2026'!$D$3:$D$197,'29-AUGUST-2026'!$Z$3:$Z$197,_xlfn.XLOOKUP($A15&amp;"|"&amp;$B15,'29-AUGUST-2026'!$A$3:$A$197&amp;"|"&amp;'29-AUGUST-2026'!$B$3:$B$197,'29-AUGUST-2026'!$Z$3:$Z$197,0)),0))</f>
        <v>0</v>
      </c>
      <c r="G15" s="15">
        <f t="shared" si="0"/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20">
        <v>0</v>
      </c>
      <c r="S15" s="20">
        <v>0</v>
      </c>
      <c r="T15" s="20">
        <v>0</v>
      </c>
      <c r="U15" s="17"/>
      <c r="V15" s="17"/>
      <c r="W15" s="20">
        <f t="shared" si="1"/>
        <v>0</v>
      </c>
      <c r="X15" s="21">
        <f t="shared" si="2"/>
        <v>0</v>
      </c>
      <c r="Y15" s="15">
        <f t="shared" si="3"/>
        <v>0</v>
      </c>
      <c r="Z15" s="15">
        <f t="shared" si="4"/>
        <v>0</v>
      </c>
      <c r="AA15" s="18" t="str">
        <f>IF($A15="","",IF(AND($W15&gt;0,$V15=""),"IMPORT NEEDS DESTINATION",IF(MIN($Y15,$Z15)&lt;0,"NEGATIVE STOCK - CHECK ENTRIES","")))</f>
        <v/>
      </c>
      <c r="AB15" s="17">
        <v>0</v>
      </c>
      <c r="AC15" s="17">
        <v>0</v>
      </c>
      <c r="AD15" s="15">
        <f t="shared" si="9"/>
        <v>0</v>
      </c>
      <c r="AE15" s="17">
        <v>0</v>
      </c>
      <c r="AF15" s="17">
        <v>0</v>
      </c>
      <c r="AG15" s="15">
        <f t="shared" si="10"/>
        <v>0</v>
      </c>
      <c r="AH15" s="17">
        <v>0</v>
      </c>
      <c r="AI15" s="17">
        <v>0</v>
      </c>
      <c r="AJ15" s="15">
        <f t="shared" si="11"/>
        <v>0</v>
      </c>
      <c r="AK15" s="17">
        <v>0</v>
      </c>
      <c r="AL15" s="17">
        <v>0</v>
      </c>
      <c r="AM15" s="15">
        <f t="shared" si="12"/>
        <v>0</v>
      </c>
      <c r="AN15" s="17"/>
    </row>
    <row r="16" spans="1:40" x14ac:dyDescent="0.3">
      <c r="A16" s="15" t="s">
        <v>70</v>
      </c>
      <c r="B16" s="15">
        <v>1000</v>
      </c>
      <c r="C16" s="15" t="s">
        <v>54</v>
      </c>
      <c r="D16" s="15" t="s">
        <v>55</v>
      </c>
      <c r="E16" s="69" cm="1">
        <f t="array" ref="E16">MAX(0,IFERROR(_xlfn.XLOOKUP($A16&amp;"|"&amp;$B16&amp;"|"&amp;$D16,'29-AUGUST-2026'!$A$3:$A$197&amp;"|"&amp;'29-AUGUST-2026'!$B$3:$B$197&amp;"|"&amp;'29-AUGUST-2026'!$D$3:$D$197,'29-AUGUST-2026'!$Y$3:$Y$197,_xlfn.XLOOKUP($A16&amp;"|"&amp;$B16,'29-AUGUST-2026'!$A$3:$A$197&amp;"|"&amp;'29-AUGUST-2026'!$B$3:$B$197,'29-AUGUST-2026'!$Y$3:$Y$197,0)),0))</f>
        <v>9</v>
      </c>
      <c r="F16" s="69" cm="1">
        <f t="array" ref="F16">MAX(0,IFERROR(_xlfn.XLOOKUP($A16&amp;"|"&amp;$B16&amp;"|"&amp;$D16,'29-AUGUST-2026'!$A$3:$A$197&amp;"|"&amp;'29-AUGUST-2026'!$B$3:$B$197&amp;"|"&amp;'29-AUGUST-2026'!$D$3:$D$197,'29-AUGUST-2026'!$Z$3:$Z$197,_xlfn.XLOOKUP($A16&amp;"|"&amp;$B16,'29-AUGUST-2026'!$A$3:$A$197&amp;"|"&amp;'29-AUGUST-2026'!$B$3:$B$197,'29-AUGUST-2026'!$Z$3:$Z$197,0)),0))</f>
        <v>0</v>
      </c>
      <c r="G16" s="15">
        <f t="shared" si="0"/>
        <v>9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20">
        <v>0</v>
      </c>
      <c r="S16" s="20">
        <v>0</v>
      </c>
      <c r="T16" s="20">
        <v>0</v>
      </c>
      <c r="U16" s="17"/>
      <c r="V16" s="17"/>
      <c r="W16" s="20">
        <f t="shared" si="1"/>
        <v>0</v>
      </c>
      <c r="X16" s="21">
        <f t="shared" si="2"/>
        <v>9</v>
      </c>
      <c r="Y16" s="15">
        <f t="shared" si="3"/>
        <v>9</v>
      </c>
      <c r="Z16" s="15">
        <f t="shared" si="4"/>
        <v>0</v>
      </c>
      <c r="AA16" s="18" t="str">
        <f>IF($A16="","",IF(AND($W16&gt;0,$V16=""),"IMPORT NEEDS DESTINATION",IF(MIN($Y16,$Z16)&lt;0,"NEGATIVE STOCK - CHECK ENTRIES","")))</f>
        <v/>
      </c>
      <c r="AB16" s="17">
        <v>0</v>
      </c>
      <c r="AC16" s="17">
        <v>0</v>
      </c>
      <c r="AD16" s="15">
        <f t="shared" si="9"/>
        <v>0</v>
      </c>
      <c r="AE16" s="17">
        <v>0</v>
      </c>
      <c r="AF16" s="17">
        <v>0</v>
      </c>
      <c r="AG16" s="15">
        <f t="shared" si="10"/>
        <v>0</v>
      </c>
      <c r="AH16" s="17">
        <v>0</v>
      </c>
      <c r="AI16" s="17">
        <v>0</v>
      </c>
      <c r="AJ16" s="15">
        <f t="shared" si="11"/>
        <v>0</v>
      </c>
      <c r="AK16" s="17">
        <v>0</v>
      </c>
      <c r="AL16" s="17">
        <v>0</v>
      </c>
      <c r="AM16" s="15">
        <f t="shared" si="12"/>
        <v>0</v>
      </c>
      <c r="AN16" s="17"/>
    </row>
    <row r="17" spans="1:40" x14ac:dyDescent="0.3">
      <c r="A17" s="15" t="s">
        <v>71</v>
      </c>
      <c r="B17" s="15">
        <v>100</v>
      </c>
      <c r="C17" s="15" t="s">
        <v>54</v>
      </c>
      <c r="D17" s="15" t="s">
        <v>55</v>
      </c>
      <c r="E17" s="69" cm="1">
        <f t="array" ref="E17">MAX(0,IFERROR(_xlfn.XLOOKUP($A17&amp;"|"&amp;$B17&amp;"|"&amp;$D17,'29-AUGUST-2026'!$A$3:$A$197&amp;"|"&amp;'29-AUGUST-2026'!$B$3:$B$197&amp;"|"&amp;'29-AUGUST-2026'!$D$3:$D$197,'29-AUGUST-2026'!$Y$3:$Y$197,_xlfn.XLOOKUP($A17&amp;"|"&amp;$B17,'29-AUGUST-2026'!$A$3:$A$197&amp;"|"&amp;'29-AUGUST-2026'!$B$3:$B$197,'29-AUGUST-2026'!$Y$3:$Y$197,0)),0))</f>
        <v>4</v>
      </c>
      <c r="F17" s="69" cm="1">
        <f t="array" ref="F17">MAX(0,IFERROR(_xlfn.XLOOKUP($A17&amp;"|"&amp;$B17&amp;"|"&amp;$D17,'29-AUGUST-2026'!$A$3:$A$197&amp;"|"&amp;'29-AUGUST-2026'!$B$3:$B$197&amp;"|"&amp;'29-AUGUST-2026'!$D$3:$D$197,'29-AUGUST-2026'!$Z$3:$Z$197,_xlfn.XLOOKUP($A17&amp;"|"&amp;$B17,'29-AUGUST-2026'!$A$3:$A$197&amp;"|"&amp;'29-AUGUST-2026'!$B$3:$B$197,'29-AUGUST-2026'!$Z$3:$Z$197,0)),0))</f>
        <v>0</v>
      </c>
      <c r="G17" s="15">
        <f t="shared" si="0"/>
        <v>4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20">
        <v>0</v>
      </c>
      <c r="S17" s="20">
        <v>0</v>
      </c>
      <c r="T17" s="20">
        <v>0</v>
      </c>
      <c r="U17" s="17"/>
      <c r="V17" s="17"/>
      <c r="W17" s="20">
        <f t="shared" si="1"/>
        <v>0</v>
      </c>
      <c r="X17" s="21">
        <f t="shared" si="2"/>
        <v>4</v>
      </c>
      <c r="Y17" s="15">
        <f t="shared" si="3"/>
        <v>4</v>
      </c>
      <c r="Z17" s="15">
        <f t="shared" si="4"/>
        <v>0</v>
      </c>
      <c r="AA17" s="18" t="str">
        <f>IF($A17="","",IF(AND($W17&gt;0,$V17=""),"IMPORT NEEDS DESTINATION",IF(MIN($Y17,$Z17)&lt;0,"NEGATIVE STOCK - CHECK ENTRIES","")))</f>
        <v/>
      </c>
      <c r="AB17" s="17">
        <v>0</v>
      </c>
      <c r="AC17" s="17">
        <v>0</v>
      </c>
      <c r="AD17" s="15">
        <f t="shared" si="9"/>
        <v>0</v>
      </c>
      <c r="AE17" s="17">
        <v>0</v>
      </c>
      <c r="AF17" s="17">
        <v>0</v>
      </c>
      <c r="AG17" s="15">
        <f t="shared" si="10"/>
        <v>0</v>
      </c>
      <c r="AH17" s="17">
        <v>0</v>
      </c>
      <c r="AI17" s="17">
        <v>0</v>
      </c>
      <c r="AJ17" s="15">
        <f t="shared" si="11"/>
        <v>0</v>
      </c>
      <c r="AK17" s="17">
        <v>0</v>
      </c>
      <c r="AL17" s="17">
        <v>0</v>
      </c>
      <c r="AM17" s="15">
        <f t="shared" si="12"/>
        <v>0</v>
      </c>
      <c r="AN17" s="17"/>
    </row>
    <row r="18" spans="1:40" x14ac:dyDescent="0.3">
      <c r="A18" s="15" t="s">
        <v>71</v>
      </c>
      <c r="B18" s="15">
        <v>1000</v>
      </c>
      <c r="C18" s="15" t="s">
        <v>54</v>
      </c>
      <c r="D18" s="15" t="s">
        <v>55</v>
      </c>
      <c r="E18" s="69" cm="1">
        <f t="array" ref="E18">MAX(0,IFERROR(_xlfn.XLOOKUP($A18&amp;"|"&amp;$B18&amp;"|"&amp;$D18,'29-AUGUST-2026'!$A$3:$A$197&amp;"|"&amp;'29-AUGUST-2026'!$B$3:$B$197&amp;"|"&amp;'29-AUGUST-2026'!$D$3:$D$197,'29-AUGUST-2026'!$Y$3:$Y$197,_xlfn.XLOOKUP($A18&amp;"|"&amp;$B18,'29-AUGUST-2026'!$A$3:$A$197&amp;"|"&amp;'29-AUGUST-2026'!$B$3:$B$197,'29-AUGUST-2026'!$Y$3:$Y$197,0)),0))</f>
        <v>8</v>
      </c>
      <c r="F18" s="69" cm="1">
        <f t="array" ref="F18">MAX(0,IFERROR(_xlfn.XLOOKUP($A18&amp;"|"&amp;$B18&amp;"|"&amp;$D18,'29-AUGUST-2026'!$A$3:$A$197&amp;"|"&amp;'29-AUGUST-2026'!$B$3:$B$197&amp;"|"&amp;'29-AUGUST-2026'!$D$3:$D$197,'29-AUGUST-2026'!$Z$3:$Z$197,_xlfn.XLOOKUP($A18&amp;"|"&amp;$B18,'29-AUGUST-2026'!$A$3:$A$197&amp;"|"&amp;'29-AUGUST-2026'!$B$3:$B$197,'29-AUGUST-2026'!$Z$3:$Z$197,0)),0))</f>
        <v>0</v>
      </c>
      <c r="G18" s="15">
        <f t="shared" si="0"/>
        <v>8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20">
        <v>0</v>
      </c>
      <c r="S18" s="20">
        <v>0</v>
      </c>
      <c r="T18" s="20">
        <v>0</v>
      </c>
      <c r="U18" s="17"/>
      <c r="V18" s="17"/>
      <c r="W18" s="20">
        <f t="shared" si="1"/>
        <v>0</v>
      </c>
      <c r="X18" s="21">
        <f t="shared" si="2"/>
        <v>8</v>
      </c>
      <c r="Y18" s="15">
        <f t="shared" si="3"/>
        <v>8</v>
      </c>
      <c r="Z18" s="15">
        <f t="shared" si="4"/>
        <v>0</v>
      </c>
      <c r="AA18" s="18" t="str">
        <f>IF($A18="","",IF(AND($W18&gt;0,$V18=""),"IMPORT NEEDS DESTINATION",IF(MIN($Y18,$Z18)&lt;0,"NEGATIVE STOCK - CHECK ENTRIES","")))</f>
        <v/>
      </c>
      <c r="AB18" s="17">
        <v>0</v>
      </c>
      <c r="AC18" s="17">
        <v>0</v>
      </c>
      <c r="AD18" s="15">
        <f t="shared" si="9"/>
        <v>0</v>
      </c>
      <c r="AE18" s="17">
        <v>0</v>
      </c>
      <c r="AF18" s="17">
        <v>0</v>
      </c>
      <c r="AG18" s="15">
        <f t="shared" si="10"/>
        <v>0</v>
      </c>
      <c r="AH18" s="17">
        <v>0</v>
      </c>
      <c r="AI18" s="17">
        <v>0</v>
      </c>
      <c r="AJ18" s="15">
        <f t="shared" si="11"/>
        <v>0</v>
      </c>
      <c r="AK18" s="17">
        <v>0</v>
      </c>
      <c r="AL18" s="17">
        <v>0</v>
      </c>
      <c r="AM18" s="15">
        <f t="shared" si="12"/>
        <v>0</v>
      </c>
      <c r="AN18" s="17"/>
    </row>
    <row r="19" spans="1:40" x14ac:dyDescent="0.3">
      <c r="A19" s="15" t="s">
        <v>73</v>
      </c>
      <c r="B19" s="15">
        <v>100</v>
      </c>
      <c r="C19" s="15" t="s">
        <v>54</v>
      </c>
      <c r="D19" s="15" t="s">
        <v>55</v>
      </c>
      <c r="E19" s="69" cm="1">
        <f t="array" ref="E19">MAX(0,IFERROR(_xlfn.XLOOKUP($A19&amp;"|"&amp;$B19&amp;"|"&amp;$D19,'29-AUGUST-2026'!$A$3:$A$197&amp;"|"&amp;'29-AUGUST-2026'!$B$3:$B$197&amp;"|"&amp;'29-AUGUST-2026'!$D$3:$D$197,'29-AUGUST-2026'!$Y$3:$Y$197,_xlfn.XLOOKUP($A19&amp;"|"&amp;$B19,'29-AUGUST-2026'!$A$3:$A$197&amp;"|"&amp;'29-AUGUST-2026'!$B$3:$B$197,'29-AUGUST-2026'!$Y$3:$Y$197,0)),0))</f>
        <v>1</v>
      </c>
      <c r="F19" s="69" cm="1">
        <f t="array" ref="F19">MAX(0,IFERROR(_xlfn.XLOOKUP($A19&amp;"|"&amp;$B19&amp;"|"&amp;$D19,'29-AUGUST-2026'!$A$3:$A$197&amp;"|"&amp;'29-AUGUST-2026'!$B$3:$B$197&amp;"|"&amp;'29-AUGUST-2026'!$D$3:$D$197,'29-AUGUST-2026'!$Z$3:$Z$197,_xlfn.XLOOKUP($A19&amp;"|"&amp;$B19,'29-AUGUST-2026'!$A$3:$A$197&amp;"|"&amp;'29-AUGUST-2026'!$B$3:$B$197,'29-AUGUST-2026'!$Z$3:$Z$197,0)),0))</f>
        <v>138</v>
      </c>
      <c r="G19" s="15">
        <f t="shared" si="0"/>
        <v>139</v>
      </c>
      <c r="H19" s="17">
        <v>0</v>
      </c>
      <c r="I19" s="17">
        <v>2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20">
        <v>0</v>
      </c>
      <c r="S19" s="20">
        <v>0</v>
      </c>
      <c r="T19" s="20">
        <v>0</v>
      </c>
      <c r="U19" s="17"/>
      <c r="V19" s="17"/>
      <c r="W19" s="20">
        <f t="shared" si="1"/>
        <v>0</v>
      </c>
      <c r="X19" s="21">
        <f t="shared" si="2"/>
        <v>137</v>
      </c>
      <c r="Y19" s="15">
        <f t="shared" si="3"/>
        <v>1</v>
      </c>
      <c r="Z19" s="15">
        <f t="shared" si="4"/>
        <v>136</v>
      </c>
      <c r="AA19" s="18" t="str">
        <f>IF($A19="","",IF(AND($W19&gt;0,$V19=""),"IMPORT NEEDS DESTINATION",IF(MIN($Y19,$Z19)&lt;0,"NEGATIVE STOCK - CHECK ENTRIES","")))</f>
        <v/>
      </c>
      <c r="AB19" s="17">
        <v>0</v>
      </c>
      <c r="AC19" s="17">
        <v>0</v>
      </c>
      <c r="AD19" s="15">
        <f t="shared" si="9"/>
        <v>0</v>
      </c>
      <c r="AE19" s="17">
        <v>0</v>
      </c>
      <c r="AF19" s="17">
        <v>0</v>
      </c>
      <c r="AG19" s="15">
        <f t="shared" si="10"/>
        <v>0</v>
      </c>
      <c r="AH19" s="17">
        <v>0</v>
      </c>
      <c r="AI19" s="17">
        <v>0</v>
      </c>
      <c r="AJ19" s="15">
        <f t="shared" si="11"/>
        <v>0</v>
      </c>
      <c r="AK19" s="17">
        <v>0</v>
      </c>
      <c r="AL19" s="17">
        <v>0</v>
      </c>
      <c r="AM19" s="15">
        <f t="shared" si="12"/>
        <v>0</v>
      </c>
      <c r="AN19" s="17"/>
    </row>
    <row r="20" spans="1:40" x14ac:dyDescent="0.3">
      <c r="A20" s="15" t="s">
        <v>74</v>
      </c>
      <c r="B20" s="15">
        <v>100</v>
      </c>
      <c r="C20" s="15" t="s">
        <v>54</v>
      </c>
      <c r="D20" s="15" t="s">
        <v>55</v>
      </c>
      <c r="E20" s="69" cm="1">
        <f t="array" ref="E20">MAX(0,IFERROR(_xlfn.XLOOKUP($A20&amp;"|"&amp;$B20&amp;"|"&amp;$D20,'29-AUGUST-2026'!$A$3:$A$197&amp;"|"&amp;'29-AUGUST-2026'!$B$3:$B$197&amp;"|"&amp;'29-AUGUST-2026'!$D$3:$D$197,'29-AUGUST-2026'!$Y$3:$Y$197,_xlfn.XLOOKUP($A20&amp;"|"&amp;$B20,'29-AUGUST-2026'!$A$3:$A$197&amp;"|"&amp;'29-AUGUST-2026'!$B$3:$B$197,'29-AUGUST-2026'!$Y$3:$Y$197,0)),0))</f>
        <v>77</v>
      </c>
      <c r="F20" s="69" cm="1">
        <f t="array" ref="F20">MAX(0,IFERROR(_xlfn.XLOOKUP($A20&amp;"|"&amp;$B20&amp;"|"&amp;$D20,'29-AUGUST-2026'!$A$3:$A$197&amp;"|"&amp;'29-AUGUST-2026'!$B$3:$B$197&amp;"|"&amp;'29-AUGUST-2026'!$D$3:$D$197,'29-AUGUST-2026'!$Z$3:$Z$197,_xlfn.XLOOKUP($A20&amp;"|"&amp;$B20,'29-AUGUST-2026'!$A$3:$A$197&amp;"|"&amp;'29-AUGUST-2026'!$B$3:$B$197,'29-AUGUST-2026'!$Z$3:$Z$197,0)),0))</f>
        <v>15</v>
      </c>
      <c r="G20" s="15">
        <f t="shared" si="0"/>
        <v>92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20">
        <v>0</v>
      </c>
      <c r="S20" s="20">
        <v>0</v>
      </c>
      <c r="T20" s="20">
        <v>0</v>
      </c>
      <c r="U20" s="17"/>
      <c r="V20" s="17"/>
      <c r="W20" s="20">
        <f t="shared" si="1"/>
        <v>0</v>
      </c>
      <c r="X20" s="21">
        <f t="shared" si="2"/>
        <v>92</v>
      </c>
      <c r="Y20" s="15">
        <f t="shared" si="3"/>
        <v>77</v>
      </c>
      <c r="Z20" s="15">
        <f t="shared" si="4"/>
        <v>15</v>
      </c>
      <c r="AA20" s="18" t="str">
        <f>IF($A20="","",IF(AND($W20&gt;0,$V20=""),"IMPORT NEEDS DESTINATION",IF(MIN($Y20,$Z20)&lt;0,"NEGATIVE STOCK - CHECK ENTRIES","")))</f>
        <v/>
      </c>
      <c r="AB20" s="17">
        <v>0</v>
      </c>
      <c r="AC20" s="17">
        <v>0</v>
      </c>
      <c r="AD20" s="15">
        <f t="shared" si="9"/>
        <v>0</v>
      </c>
      <c r="AE20" s="17">
        <v>0</v>
      </c>
      <c r="AF20" s="17">
        <v>8</v>
      </c>
      <c r="AG20" s="15">
        <f t="shared" si="10"/>
        <v>-8</v>
      </c>
      <c r="AH20" s="17">
        <v>0</v>
      </c>
      <c r="AI20" s="17">
        <v>0</v>
      </c>
      <c r="AJ20" s="15">
        <f t="shared" si="11"/>
        <v>0</v>
      </c>
      <c r="AK20" s="17">
        <v>0</v>
      </c>
      <c r="AL20" s="17">
        <v>0</v>
      </c>
      <c r="AM20" s="15">
        <f t="shared" si="12"/>
        <v>0</v>
      </c>
      <c r="AN20" s="17"/>
    </row>
    <row r="21" spans="1:40" x14ac:dyDescent="0.3">
      <c r="A21" s="15" t="s">
        <v>77</v>
      </c>
      <c r="B21" s="15">
        <v>100</v>
      </c>
      <c r="C21" s="15" t="s">
        <v>54</v>
      </c>
      <c r="D21" s="15" t="s">
        <v>55</v>
      </c>
      <c r="E21" s="69" cm="1">
        <f t="array" ref="E21">MAX(0,IFERROR(_xlfn.XLOOKUP($A21&amp;"|"&amp;$B21&amp;"|"&amp;$D21,'29-AUGUST-2026'!$A$3:$A$197&amp;"|"&amp;'29-AUGUST-2026'!$B$3:$B$197&amp;"|"&amp;'29-AUGUST-2026'!$D$3:$D$197,'29-AUGUST-2026'!$Y$3:$Y$197,_xlfn.XLOOKUP($A21&amp;"|"&amp;$B21,'29-AUGUST-2026'!$A$3:$A$197&amp;"|"&amp;'29-AUGUST-2026'!$B$3:$B$197,'29-AUGUST-2026'!$Y$3:$Y$197,0)),0))</f>
        <v>0</v>
      </c>
      <c r="F21" s="69" cm="1">
        <f t="array" ref="F21">MAX(0,IFERROR(_xlfn.XLOOKUP($A21&amp;"|"&amp;$B21&amp;"|"&amp;$D21,'29-AUGUST-2026'!$A$3:$A$197&amp;"|"&amp;'29-AUGUST-2026'!$B$3:$B$197&amp;"|"&amp;'29-AUGUST-2026'!$D$3:$D$197,'29-AUGUST-2026'!$Z$3:$Z$197,_xlfn.XLOOKUP($A21&amp;"|"&amp;$B21,'29-AUGUST-2026'!$A$3:$A$197&amp;"|"&amp;'29-AUGUST-2026'!$B$3:$B$197,'29-AUGUST-2026'!$Z$3:$Z$197,0)),0))</f>
        <v>0</v>
      </c>
      <c r="G21" s="15">
        <f t="shared" si="0"/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20">
        <v>0</v>
      </c>
      <c r="S21" s="20">
        <v>0</v>
      </c>
      <c r="T21" s="20">
        <v>0</v>
      </c>
      <c r="U21" s="17"/>
      <c r="V21" s="17"/>
      <c r="W21" s="20">
        <f t="shared" si="1"/>
        <v>0</v>
      </c>
      <c r="X21" s="21">
        <f t="shared" si="2"/>
        <v>0</v>
      </c>
      <c r="Y21" s="15">
        <f t="shared" si="3"/>
        <v>0</v>
      </c>
      <c r="Z21" s="15">
        <f t="shared" si="4"/>
        <v>0</v>
      </c>
      <c r="AA21" s="18" t="str">
        <f>IF($A21="","",IF(AND($W21&gt;0,$V21=""),"IMPORT NEEDS DESTINATION",IF(MIN($Y21,$Z21)&lt;0,"NEGATIVE STOCK - CHECK ENTRIES","")))</f>
        <v/>
      </c>
      <c r="AB21" s="17">
        <v>0</v>
      </c>
      <c r="AC21" s="17">
        <v>0</v>
      </c>
      <c r="AD21" s="15">
        <f t="shared" si="9"/>
        <v>0</v>
      </c>
      <c r="AE21" s="17">
        <v>0</v>
      </c>
      <c r="AF21" s="17">
        <v>0</v>
      </c>
      <c r="AG21" s="15">
        <f t="shared" si="10"/>
        <v>0</v>
      </c>
      <c r="AH21" s="17">
        <v>0</v>
      </c>
      <c r="AI21" s="17">
        <v>0</v>
      </c>
      <c r="AJ21" s="15">
        <f t="shared" si="11"/>
        <v>0</v>
      </c>
      <c r="AK21" s="17">
        <v>0</v>
      </c>
      <c r="AL21" s="17">
        <v>0</v>
      </c>
      <c r="AM21" s="15">
        <f t="shared" si="12"/>
        <v>0</v>
      </c>
      <c r="AN21" s="17"/>
    </row>
    <row r="22" spans="1:40" x14ac:dyDescent="0.3">
      <c r="A22" s="15" t="s">
        <v>78</v>
      </c>
      <c r="B22" s="15">
        <v>1000</v>
      </c>
      <c r="C22" s="15" t="s">
        <v>54</v>
      </c>
      <c r="D22" s="15" t="s">
        <v>55</v>
      </c>
      <c r="E22" s="69" cm="1">
        <f t="array" ref="E22">MAX(0,IFERROR(_xlfn.XLOOKUP($A22&amp;"|"&amp;$B22&amp;"|"&amp;$D22,'29-AUGUST-2026'!$A$3:$A$197&amp;"|"&amp;'29-AUGUST-2026'!$B$3:$B$197&amp;"|"&amp;'29-AUGUST-2026'!$D$3:$D$197,'29-AUGUST-2026'!$Y$3:$Y$197,_xlfn.XLOOKUP($A22&amp;"|"&amp;$B22,'29-AUGUST-2026'!$A$3:$A$197&amp;"|"&amp;'29-AUGUST-2026'!$B$3:$B$197,'29-AUGUST-2026'!$Y$3:$Y$197,0)),0))</f>
        <v>0</v>
      </c>
      <c r="F22" s="69" cm="1">
        <f t="array" ref="F22">MAX(0,IFERROR(_xlfn.XLOOKUP($A22&amp;"|"&amp;$B22&amp;"|"&amp;$D22,'29-AUGUST-2026'!$A$3:$A$197&amp;"|"&amp;'29-AUGUST-2026'!$B$3:$B$197&amp;"|"&amp;'29-AUGUST-2026'!$D$3:$D$197,'29-AUGUST-2026'!$Z$3:$Z$197,_xlfn.XLOOKUP($A22&amp;"|"&amp;$B22,'29-AUGUST-2026'!$A$3:$A$197&amp;"|"&amp;'29-AUGUST-2026'!$B$3:$B$197,'29-AUGUST-2026'!$Z$3:$Z$197,0)),0))</f>
        <v>4</v>
      </c>
      <c r="G22" s="15">
        <f t="shared" si="0"/>
        <v>4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20">
        <v>0</v>
      </c>
      <c r="S22" s="20">
        <v>0</v>
      </c>
      <c r="T22" s="20">
        <v>0</v>
      </c>
      <c r="U22" s="17"/>
      <c r="V22" s="17"/>
      <c r="W22" s="20">
        <f t="shared" si="1"/>
        <v>0</v>
      </c>
      <c r="X22" s="21">
        <f t="shared" si="2"/>
        <v>4</v>
      </c>
      <c r="Y22" s="15">
        <f t="shared" si="3"/>
        <v>0</v>
      </c>
      <c r="Z22" s="15">
        <f t="shared" si="4"/>
        <v>4</v>
      </c>
      <c r="AA22" s="18" t="str">
        <f>IF($A22="","",IF(AND($W22&gt;0,$V22=""),"IMPORT NEEDS DESTINATION",IF(MIN($Y22,$Z22)&lt;0,"NEGATIVE STOCK - CHECK ENTRIES","")))</f>
        <v/>
      </c>
      <c r="AB22" s="17">
        <v>0</v>
      </c>
      <c r="AC22" s="17">
        <v>0</v>
      </c>
      <c r="AD22" s="15">
        <f t="shared" si="9"/>
        <v>0</v>
      </c>
      <c r="AE22" s="17">
        <v>0</v>
      </c>
      <c r="AF22" s="17">
        <v>0</v>
      </c>
      <c r="AG22" s="15">
        <f t="shared" si="10"/>
        <v>0</v>
      </c>
      <c r="AH22" s="17">
        <v>0</v>
      </c>
      <c r="AI22" s="17">
        <v>0</v>
      </c>
      <c r="AJ22" s="15">
        <f t="shared" si="11"/>
        <v>0</v>
      </c>
      <c r="AK22" s="17">
        <v>0</v>
      </c>
      <c r="AL22" s="17">
        <v>0</v>
      </c>
      <c r="AM22" s="15">
        <f t="shared" si="12"/>
        <v>0</v>
      </c>
      <c r="AN22" s="17"/>
    </row>
    <row r="23" spans="1:40" x14ac:dyDescent="0.3">
      <c r="A23" s="15" t="s">
        <v>79</v>
      </c>
      <c r="B23" s="15">
        <v>1000</v>
      </c>
      <c r="C23" s="15" t="s">
        <v>54</v>
      </c>
      <c r="D23" s="15" t="s">
        <v>55</v>
      </c>
      <c r="E23" s="69" cm="1">
        <f t="array" ref="E23">MAX(0,IFERROR(_xlfn.XLOOKUP($A23&amp;"|"&amp;$B23&amp;"|"&amp;$D23,'29-AUGUST-2026'!$A$3:$A$197&amp;"|"&amp;'29-AUGUST-2026'!$B$3:$B$197&amp;"|"&amp;'29-AUGUST-2026'!$D$3:$D$197,'29-AUGUST-2026'!$Y$3:$Y$197,_xlfn.XLOOKUP($A23&amp;"|"&amp;$B23,'29-AUGUST-2026'!$A$3:$A$197&amp;"|"&amp;'29-AUGUST-2026'!$B$3:$B$197,'29-AUGUST-2026'!$Y$3:$Y$197,0)),0))</f>
        <v>23</v>
      </c>
      <c r="F23" s="69" cm="1">
        <f t="array" ref="F23">MAX(0,IFERROR(_xlfn.XLOOKUP($A23&amp;"|"&amp;$B23&amp;"|"&amp;$D23,'29-AUGUST-2026'!$A$3:$A$197&amp;"|"&amp;'29-AUGUST-2026'!$B$3:$B$197&amp;"|"&amp;'29-AUGUST-2026'!$D$3:$D$197,'29-AUGUST-2026'!$Z$3:$Z$197,_xlfn.XLOOKUP($A23&amp;"|"&amp;$B23,'29-AUGUST-2026'!$A$3:$A$197&amp;"|"&amp;'29-AUGUST-2026'!$B$3:$B$197,'29-AUGUST-2026'!$Z$3:$Z$197,0)),0))</f>
        <v>2</v>
      </c>
      <c r="G23" s="15">
        <f t="shared" si="0"/>
        <v>25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20">
        <v>0</v>
      </c>
      <c r="S23" s="20">
        <v>0</v>
      </c>
      <c r="T23" s="20">
        <v>0</v>
      </c>
      <c r="U23" s="17"/>
      <c r="V23" s="17"/>
      <c r="W23" s="20">
        <f t="shared" si="1"/>
        <v>0</v>
      </c>
      <c r="X23" s="21">
        <f t="shared" si="2"/>
        <v>25</v>
      </c>
      <c r="Y23" s="15">
        <f t="shared" si="3"/>
        <v>23</v>
      </c>
      <c r="Z23" s="15">
        <f t="shared" si="4"/>
        <v>2</v>
      </c>
      <c r="AA23" s="18" t="str">
        <f>IF($A23="","",IF(AND($W23&gt;0,$V23=""),"IMPORT NEEDS DESTINATION",IF(MIN($Y23,$Z23)&lt;0,"NEGATIVE STOCK - CHECK ENTRIES","")))</f>
        <v/>
      </c>
      <c r="AB23" s="17">
        <v>0</v>
      </c>
      <c r="AC23" s="17">
        <v>0</v>
      </c>
      <c r="AD23" s="15">
        <f t="shared" si="9"/>
        <v>0</v>
      </c>
      <c r="AE23" s="17">
        <v>0</v>
      </c>
      <c r="AF23" s="17">
        <v>0</v>
      </c>
      <c r="AG23" s="15">
        <f t="shared" si="10"/>
        <v>0</v>
      </c>
      <c r="AH23" s="17">
        <v>0</v>
      </c>
      <c r="AI23" s="17">
        <v>0</v>
      </c>
      <c r="AJ23" s="15">
        <f t="shared" si="11"/>
        <v>0</v>
      </c>
      <c r="AK23" s="17">
        <v>0</v>
      </c>
      <c r="AL23" s="17">
        <v>0</v>
      </c>
      <c r="AM23" s="15">
        <f t="shared" si="12"/>
        <v>0</v>
      </c>
      <c r="AN23" s="17"/>
    </row>
    <row r="24" spans="1:40" x14ac:dyDescent="0.3">
      <c r="A24" s="15" t="s">
        <v>80</v>
      </c>
      <c r="B24" s="15">
        <v>25000</v>
      </c>
      <c r="C24" s="15" t="s">
        <v>54</v>
      </c>
      <c r="D24" s="15" t="s">
        <v>55</v>
      </c>
      <c r="E24" s="69" cm="1">
        <f t="array" ref="E24">MAX(0,IFERROR(_xlfn.XLOOKUP($A24&amp;"|"&amp;$B24&amp;"|"&amp;$D24,'29-AUGUST-2026'!$A$3:$A$197&amp;"|"&amp;'29-AUGUST-2026'!$B$3:$B$197&amp;"|"&amp;'29-AUGUST-2026'!$D$3:$D$197,'29-AUGUST-2026'!$Y$3:$Y$197,_xlfn.XLOOKUP($A24&amp;"|"&amp;$B24,'29-AUGUST-2026'!$A$3:$A$197&amp;"|"&amp;'29-AUGUST-2026'!$B$3:$B$197,'29-AUGUST-2026'!$Y$3:$Y$197,0)),0))</f>
        <v>4</v>
      </c>
      <c r="F24" s="69" cm="1">
        <f t="array" ref="F24">MAX(0,IFERROR(_xlfn.XLOOKUP($A24&amp;"|"&amp;$B24&amp;"|"&amp;$D24,'29-AUGUST-2026'!$A$3:$A$197&amp;"|"&amp;'29-AUGUST-2026'!$B$3:$B$197&amp;"|"&amp;'29-AUGUST-2026'!$D$3:$D$197,'29-AUGUST-2026'!$Z$3:$Z$197,_xlfn.XLOOKUP($A24&amp;"|"&amp;$B24,'29-AUGUST-2026'!$A$3:$A$197&amp;"|"&amp;'29-AUGUST-2026'!$B$3:$B$197,'29-AUGUST-2026'!$Z$3:$Z$197,0)),0))</f>
        <v>0</v>
      </c>
      <c r="G24" s="15">
        <f t="shared" si="0"/>
        <v>4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20">
        <v>0</v>
      </c>
      <c r="S24" s="20">
        <v>0</v>
      </c>
      <c r="T24" s="20">
        <v>0</v>
      </c>
      <c r="U24" s="17"/>
      <c r="V24" s="17"/>
      <c r="W24" s="20">
        <f t="shared" si="1"/>
        <v>0</v>
      </c>
      <c r="X24" s="21">
        <f t="shared" si="2"/>
        <v>4</v>
      </c>
      <c r="Y24" s="15">
        <f t="shared" si="3"/>
        <v>4</v>
      </c>
      <c r="Z24" s="15">
        <f t="shared" si="4"/>
        <v>0</v>
      </c>
      <c r="AA24" s="18" t="str">
        <f>IF($A24="","",IF(AND($W24&gt;0,$V24=""),"IMPORT NEEDS DESTINATION",IF(MIN($Y24,$Z24)&lt;0,"NEGATIVE STOCK - CHECK ENTRIES","")))</f>
        <v/>
      </c>
      <c r="AB24" s="17">
        <v>0</v>
      </c>
      <c r="AC24" s="17">
        <v>0</v>
      </c>
      <c r="AD24" s="15">
        <f t="shared" si="9"/>
        <v>0</v>
      </c>
      <c r="AE24" s="17">
        <v>0</v>
      </c>
      <c r="AF24" s="17">
        <v>0</v>
      </c>
      <c r="AG24" s="15">
        <f t="shared" si="10"/>
        <v>0</v>
      </c>
      <c r="AH24" s="17">
        <v>0</v>
      </c>
      <c r="AI24" s="17">
        <v>0</v>
      </c>
      <c r="AJ24" s="15">
        <f t="shared" si="11"/>
        <v>0</v>
      </c>
      <c r="AK24" s="17">
        <v>0</v>
      </c>
      <c r="AL24" s="17">
        <v>0</v>
      </c>
      <c r="AM24" s="15">
        <f t="shared" si="12"/>
        <v>0</v>
      </c>
      <c r="AN24" s="17"/>
    </row>
    <row r="25" spans="1:40" x14ac:dyDescent="0.3">
      <c r="A25" s="15" t="s">
        <v>81</v>
      </c>
      <c r="B25" s="15">
        <v>25000</v>
      </c>
      <c r="C25" s="15" t="s">
        <v>54</v>
      </c>
      <c r="D25" s="15" t="s">
        <v>55</v>
      </c>
      <c r="E25" s="69" cm="1">
        <f t="array" ref="E25">MAX(0,IFERROR(_xlfn.XLOOKUP($A25&amp;"|"&amp;$B25&amp;"|"&amp;$D25,'29-AUGUST-2026'!$A$3:$A$197&amp;"|"&amp;'29-AUGUST-2026'!$B$3:$B$197&amp;"|"&amp;'29-AUGUST-2026'!$D$3:$D$197,'29-AUGUST-2026'!$Y$3:$Y$197,_xlfn.XLOOKUP($A25&amp;"|"&amp;$B25,'29-AUGUST-2026'!$A$3:$A$197&amp;"|"&amp;'29-AUGUST-2026'!$B$3:$B$197,'29-AUGUST-2026'!$Y$3:$Y$197,0)),0))</f>
        <v>2</v>
      </c>
      <c r="F25" s="69" cm="1">
        <f t="array" ref="F25">MAX(0,IFERROR(_xlfn.XLOOKUP($A25&amp;"|"&amp;$B25&amp;"|"&amp;$D25,'29-AUGUST-2026'!$A$3:$A$197&amp;"|"&amp;'29-AUGUST-2026'!$B$3:$B$197&amp;"|"&amp;'29-AUGUST-2026'!$D$3:$D$197,'29-AUGUST-2026'!$Z$3:$Z$197,_xlfn.XLOOKUP($A25&amp;"|"&amp;$B25,'29-AUGUST-2026'!$A$3:$A$197&amp;"|"&amp;'29-AUGUST-2026'!$B$3:$B$197,'29-AUGUST-2026'!$Z$3:$Z$197,0)),0))</f>
        <v>3</v>
      </c>
      <c r="G25" s="15">
        <f t="shared" si="0"/>
        <v>5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20">
        <v>0</v>
      </c>
      <c r="S25" s="20">
        <v>0</v>
      </c>
      <c r="T25" s="20">
        <v>0</v>
      </c>
      <c r="U25" s="17"/>
      <c r="V25" s="17"/>
      <c r="W25" s="20">
        <f t="shared" si="1"/>
        <v>0</v>
      </c>
      <c r="X25" s="21">
        <f t="shared" si="2"/>
        <v>5</v>
      </c>
      <c r="Y25" s="15">
        <f t="shared" si="3"/>
        <v>2</v>
      </c>
      <c r="Z25" s="15">
        <f t="shared" si="4"/>
        <v>3</v>
      </c>
      <c r="AA25" s="18" t="str">
        <f>IF($A25="","",IF(AND($W25&gt;0,$V25=""),"IMPORT NEEDS DESTINATION",IF(MIN($Y25,$Z25)&lt;0,"NEGATIVE STOCK - CHECK ENTRIES","")))</f>
        <v/>
      </c>
      <c r="AB25" s="17">
        <v>0</v>
      </c>
      <c r="AC25" s="17">
        <v>0</v>
      </c>
      <c r="AD25" s="15">
        <f t="shared" si="9"/>
        <v>0</v>
      </c>
      <c r="AE25" s="17">
        <v>0</v>
      </c>
      <c r="AF25" s="17">
        <v>2</v>
      </c>
      <c r="AG25" s="15">
        <f t="shared" si="10"/>
        <v>-2</v>
      </c>
      <c r="AH25" s="17">
        <v>0</v>
      </c>
      <c r="AI25" s="17">
        <v>0</v>
      </c>
      <c r="AJ25" s="15">
        <f t="shared" si="11"/>
        <v>0</v>
      </c>
      <c r="AK25" s="17">
        <v>0</v>
      </c>
      <c r="AL25" s="17">
        <v>0</v>
      </c>
      <c r="AM25" s="15">
        <f t="shared" si="12"/>
        <v>0</v>
      </c>
      <c r="AN25" s="17"/>
    </row>
    <row r="26" spans="1:40" x14ac:dyDescent="0.3">
      <c r="A26" s="15" t="s">
        <v>84</v>
      </c>
      <c r="B26" s="15">
        <v>1000</v>
      </c>
      <c r="C26" s="15" t="s">
        <v>54</v>
      </c>
      <c r="D26" s="15" t="s">
        <v>55</v>
      </c>
      <c r="E26" s="69" cm="1">
        <f t="array" ref="E26">MAX(0,IFERROR(_xlfn.XLOOKUP($A26&amp;"|"&amp;$B26&amp;"|"&amp;$D26,'29-AUGUST-2026'!$A$3:$A$197&amp;"|"&amp;'29-AUGUST-2026'!$B$3:$B$197&amp;"|"&amp;'29-AUGUST-2026'!$D$3:$D$197,'29-AUGUST-2026'!$Y$3:$Y$197,_xlfn.XLOOKUP($A26&amp;"|"&amp;$B26,'29-AUGUST-2026'!$A$3:$A$197&amp;"|"&amp;'29-AUGUST-2026'!$B$3:$B$197,'29-AUGUST-2026'!$Y$3:$Y$197,0)),0))</f>
        <v>10</v>
      </c>
      <c r="F26" s="69" cm="1">
        <f t="array" ref="F26">MAX(0,IFERROR(_xlfn.XLOOKUP($A26&amp;"|"&amp;$B26&amp;"|"&amp;$D26,'29-AUGUST-2026'!$A$3:$A$197&amp;"|"&amp;'29-AUGUST-2026'!$B$3:$B$197&amp;"|"&amp;'29-AUGUST-2026'!$D$3:$D$197,'29-AUGUST-2026'!$Z$3:$Z$197,_xlfn.XLOOKUP($A26&amp;"|"&amp;$B26,'29-AUGUST-2026'!$A$3:$A$197&amp;"|"&amp;'29-AUGUST-2026'!$B$3:$B$197,'29-AUGUST-2026'!$Z$3:$Z$197,0)),0))</f>
        <v>0</v>
      </c>
      <c r="G26" s="15">
        <f t="shared" si="0"/>
        <v>10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20">
        <v>0</v>
      </c>
      <c r="S26" s="20">
        <v>0</v>
      </c>
      <c r="T26" s="20">
        <v>0</v>
      </c>
      <c r="U26" s="17"/>
      <c r="V26" s="17"/>
      <c r="W26" s="20">
        <f t="shared" si="1"/>
        <v>0</v>
      </c>
      <c r="X26" s="21">
        <f t="shared" si="2"/>
        <v>10</v>
      </c>
      <c r="Y26" s="15">
        <f t="shared" si="3"/>
        <v>10</v>
      </c>
      <c r="Z26" s="15">
        <f t="shared" si="4"/>
        <v>0</v>
      </c>
      <c r="AA26" s="18" t="str">
        <f>IF($A26="","",IF(AND($W26&gt;0,$V26=""),"IMPORT NEEDS DESTINATION",IF(MIN($Y26,$Z26)&lt;0,"NEGATIVE STOCK - CHECK ENTRIES","")))</f>
        <v/>
      </c>
      <c r="AB26" s="17">
        <v>0</v>
      </c>
      <c r="AC26" s="17">
        <v>0</v>
      </c>
      <c r="AD26" s="15">
        <f t="shared" si="9"/>
        <v>0</v>
      </c>
      <c r="AE26" s="17">
        <v>0</v>
      </c>
      <c r="AF26" s="17">
        <v>0</v>
      </c>
      <c r="AG26" s="15">
        <f t="shared" si="10"/>
        <v>0</v>
      </c>
      <c r="AH26" s="17">
        <v>0</v>
      </c>
      <c r="AI26" s="17">
        <v>0</v>
      </c>
      <c r="AJ26" s="15">
        <f t="shared" si="11"/>
        <v>0</v>
      </c>
      <c r="AK26" s="17">
        <v>0</v>
      </c>
      <c r="AL26" s="17">
        <v>0</v>
      </c>
      <c r="AM26" s="15">
        <f t="shared" si="12"/>
        <v>0</v>
      </c>
      <c r="AN26" s="17"/>
    </row>
    <row r="27" spans="1:40" x14ac:dyDescent="0.3">
      <c r="A27" s="15" t="s">
        <v>89</v>
      </c>
      <c r="B27" s="15">
        <v>100</v>
      </c>
      <c r="C27" s="15" t="s">
        <v>54</v>
      </c>
      <c r="D27" s="15" t="s">
        <v>55</v>
      </c>
      <c r="E27" s="69" cm="1">
        <f t="array" ref="E27">MAX(0,IFERROR(_xlfn.XLOOKUP($A27&amp;"|"&amp;$B27&amp;"|"&amp;$D27,'29-AUGUST-2026'!$A$3:$A$197&amp;"|"&amp;'29-AUGUST-2026'!$B$3:$B$197&amp;"|"&amp;'29-AUGUST-2026'!$D$3:$D$197,'29-AUGUST-2026'!$Y$3:$Y$197,_xlfn.XLOOKUP($A27&amp;"|"&amp;$B27,'29-AUGUST-2026'!$A$3:$A$197&amp;"|"&amp;'29-AUGUST-2026'!$B$3:$B$197,'29-AUGUST-2026'!$Y$3:$Y$197,0)),0))</f>
        <v>9</v>
      </c>
      <c r="F27" s="69" cm="1">
        <f t="array" ref="F27">MAX(0,IFERROR(_xlfn.XLOOKUP($A27&amp;"|"&amp;$B27&amp;"|"&amp;$D27,'29-AUGUST-2026'!$A$3:$A$197&amp;"|"&amp;'29-AUGUST-2026'!$B$3:$B$197&amp;"|"&amp;'29-AUGUST-2026'!$D$3:$D$197,'29-AUGUST-2026'!$Z$3:$Z$197,_xlfn.XLOOKUP($A27&amp;"|"&amp;$B27,'29-AUGUST-2026'!$A$3:$A$197&amp;"|"&amp;'29-AUGUST-2026'!$B$3:$B$197,'29-AUGUST-2026'!$Z$3:$Z$197,0)),0))</f>
        <v>0</v>
      </c>
      <c r="G27" s="15">
        <f t="shared" si="0"/>
        <v>9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20">
        <v>0</v>
      </c>
      <c r="S27" s="20">
        <v>0</v>
      </c>
      <c r="T27" s="20">
        <v>0</v>
      </c>
      <c r="U27" s="17"/>
      <c r="V27" s="17"/>
      <c r="W27" s="20">
        <f t="shared" si="1"/>
        <v>0</v>
      </c>
      <c r="X27" s="21">
        <f t="shared" si="2"/>
        <v>9</v>
      </c>
      <c r="Y27" s="15">
        <f t="shared" si="3"/>
        <v>9</v>
      </c>
      <c r="Z27" s="15">
        <f t="shared" si="4"/>
        <v>0</v>
      </c>
      <c r="AA27" s="18" t="str">
        <f>IF($A27="","",IF(AND($W27&gt;0,$V27=""),"IMPORT NEEDS DESTINATION",IF(MIN($Y27,$Z27)&lt;0,"NEGATIVE STOCK - CHECK ENTRIES","")))</f>
        <v/>
      </c>
      <c r="AB27" s="17">
        <v>0</v>
      </c>
      <c r="AC27" s="17">
        <v>0</v>
      </c>
      <c r="AD27" s="15">
        <f t="shared" si="9"/>
        <v>0</v>
      </c>
      <c r="AE27" s="17">
        <v>0</v>
      </c>
      <c r="AF27" s="17">
        <v>0</v>
      </c>
      <c r="AG27" s="15">
        <f t="shared" si="10"/>
        <v>0</v>
      </c>
      <c r="AH27" s="17">
        <v>0</v>
      </c>
      <c r="AI27" s="17">
        <v>0</v>
      </c>
      <c r="AJ27" s="15">
        <f t="shared" si="11"/>
        <v>0</v>
      </c>
      <c r="AK27" s="17">
        <v>0</v>
      </c>
      <c r="AL27" s="17">
        <v>0</v>
      </c>
      <c r="AM27" s="15">
        <f t="shared" si="12"/>
        <v>0</v>
      </c>
      <c r="AN27" s="17"/>
    </row>
    <row r="28" spans="1:40" x14ac:dyDescent="0.3">
      <c r="A28" s="15" t="s">
        <v>91</v>
      </c>
      <c r="B28" s="15">
        <v>1000</v>
      </c>
      <c r="C28" s="15" t="s">
        <v>54</v>
      </c>
      <c r="D28" s="15" t="s">
        <v>55</v>
      </c>
      <c r="E28" s="69" cm="1">
        <f t="array" ref="E28">MAX(0,IFERROR(_xlfn.XLOOKUP($A28&amp;"|"&amp;$B28&amp;"|"&amp;$D28,'29-AUGUST-2026'!$A$3:$A$197&amp;"|"&amp;'29-AUGUST-2026'!$B$3:$B$197&amp;"|"&amp;'29-AUGUST-2026'!$D$3:$D$197,'29-AUGUST-2026'!$Y$3:$Y$197,_xlfn.XLOOKUP($A28&amp;"|"&amp;$B28,'29-AUGUST-2026'!$A$3:$A$197&amp;"|"&amp;'29-AUGUST-2026'!$B$3:$B$197,'29-AUGUST-2026'!$Y$3:$Y$197,0)),0))</f>
        <v>31</v>
      </c>
      <c r="F28" s="69" cm="1">
        <f t="array" ref="F28">MAX(0,IFERROR(_xlfn.XLOOKUP($A28&amp;"|"&amp;$B28&amp;"|"&amp;$D28,'29-AUGUST-2026'!$A$3:$A$197&amp;"|"&amp;'29-AUGUST-2026'!$B$3:$B$197&amp;"|"&amp;'29-AUGUST-2026'!$D$3:$D$197,'29-AUGUST-2026'!$Z$3:$Z$197,_xlfn.XLOOKUP($A28&amp;"|"&amp;$B28,'29-AUGUST-2026'!$A$3:$A$197&amp;"|"&amp;'29-AUGUST-2026'!$B$3:$B$197,'29-AUGUST-2026'!$Z$3:$Z$197,0)),0))</f>
        <v>75</v>
      </c>
      <c r="G28" s="15">
        <f t="shared" si="0"/>
        <v>106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20">
        <v>0</v>
      </c>
      <c r="S28" s="20">
        <v>0</v>
      </c>
      <c r="T28" s="20">
        <v>0</v>
      </c>
      <c r="U28" s="17"/>
      <c r="V28" s="17"/>
      <c r="W28" s="20">
        <f t="shared" si="1"/>
        <v>0</v>
      </c>
      <c r="X28" s="21">
        <f t="shared" si="2"/>
        <v>106</v>
      </c>
      <c r="Y28" s="15">
        <f t="shared" si="3"/>
        <v>31</v>
      </c>
      <c r="Z28" s="15">
        <f t="shared" si="4"/>
        <v>75</v>
      </c>
      <c r="AA28" s="18" t="str">
        <f>IF($A28="","",IF(AND($W28&gt;0,$V28=""),"IMPORT NEEDS DESTINATION",IF(MIN($Y28,$Z28)&lt;0,"NEGATIVE STOCK - CHECK ENTRIES","")))</f>
        <v/>
      </c>
      <c r="AB28" s="17">
        <v>0</v>
      </c>
      <c r="AC28" s="17">
        <v>0</v>
      </c>
      <c r="AD28" s="15">
        <f t="shared" si="9"/>
        <v>0</v>
      </c>
      <c r="AE28" s="17">
        <v>0</v>
      </c>
      <c r="AF28" s="17">
        <v>1</v>
      </c>
      <c r="AG28" s="15">
        <f t="shared" si="10"/>
        <v>-1</v>
      </c>
      <c r="AH28" s="17">
        <v>0</v>
      </c>
      <c r="AI28" s="17">
        <v>3</v>
      </c>
      <c r="AJ28" s="15">
        <f t="shared" si="11"/>
        <v>-3</v>
      </c>
      <c r="AK28" s="17">
        <v>0</v>
      </c>
      <c r="AL28" s="17">
        <v>0</v>
      </c>
      <c r="AM28" s="15">
        <f t="shared" si="12"/>
        <v>0</v>
      </c>
      <c r="AN28" s="17"/>
    </row>
    <row r="29" spans="1:40" x14ac:dyDescent="0.3">
      <c r="A29" s="15" t="s">
        <v>94</v>
      </c>
      <c r="B29" s="15">
        <v>100</v>
      </c>
      <c r="C29" s="15" t="s">
        <v>54</v>
      </c>
      <c r="D29" s="15" t="s">
        <v>55</v>
      </c>
      <c r="E29" s="69" cm="1">
        <f t="array" ref="E29">MAX(0,IFERROR(_xlfn.XLOOKUP($A29&amp;"|"&amp;$B29&amp;"|"&amp;$D29,'29-AUGUST-2026'!$A$3:$A$197&amp;"|"&amp;'29-AUGUST-2026'!$B$3:$B$197&amp;"|"&amp;'29-AUGUST-2026'!$D$3:$D$197,'29-AUGUST-2026'!$Y$3:$Y$197,_xlfn.XLOOKUP($A29&amp;"|"&amp;$B29,'29-AUGUST-2026'!$A$3:$A$197&amp;"|"&amp;'29-AUGUST-2026'!$B$3:$B$197,'29-AUGUST-2026'!$Y$3:$Y$197,0)),0))</f>
        <v>1</v>
      </c>
      <c r="F29" s="69" cm="1">
        <f t="array" ref="F29">MAX(0,IFERROR(_xlfn.XLOOKUP($A29&amp;"|"&amp;$B29&amp;"|"&amp;$D29,'29-AUGUST-2026'!$A$3:$A$197&amp;"|"&amp;'29-AUGUST-2026'!$B$3:$B$197&amp;"|"&amp;'29-AUGUST-2026'!$D$3:$D$197,'29-AUGUST-2026'!$Z$3:$Z$197,_xlfn.XLOOKUP($A29&amp;"|"&amp;$B29,'29-AUGUST-2026'!$A$3:$A$197&amp;"|"&amp;'29-AUGUST-2026'!$B$3:$B$197,'29-AUGUST-2026'!$Z$3:$Z$197,0)),0))</f>
        <v>0</v>
      </c>
      <c r="G29" s="15">
        <f t="shared" si="0"/>
        <v>1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20">
        <v>0</v>
      </c>
      <c r="S29" s="20">
        <v>0</v>
      </c>
      <c r="T29" s="20">
        <v>0</v>
      </c>
      <c r="U29" s="17"/>
      <c r="V29" s="17"/>
      <c r="W29" s="20">
        <f t="shared" si="1"/>
        <v>0</v>
      </c>
      <c r="X29" s="21">
        <f t="shared" si="2"/>
        <v>1</v>
      </c>
      <c r="Y29" s="15">
        <f t="shared" si="3"/>
        <v>1</v>
      </c>
      <c r="Z29" s="15">
        <f t="shared" si="4"/>
        <v>0</v>
      </c>
      <c r="AA29" s="18" t="str">
        <f>IF($A29="","",IF(AND($W29&gt;0,$V29=""),"IMPORT NEEDS DESTINATION",IF(MIN($Y29,$Z29)&lt;0,"NEGATIVE STOCK - CHECK ENTRIES","")))</f>
        <v/>
      </c>
      <c r="AB29" s="17">
        <v>0</v>
      </c>
      <c r="AC29" s="17">
        <v>0</v>
      </c>
      <c r="AD29" s="15">
        <f t="shared" si="9"/>
        <v>0</v>
      </c>
      <c r="AE29" s="17">
        <v>0</v>
      </c>
      <c r="AF29" s="17">
        <v>0</v>
      </c>
      <c r="AG29" s="15">
        <f t="shared" si="10"/>
        <v>0</v>
      </c>
      <c r="AH29" s="17">
        <v>0</v>
      </c>
      <c r="AI29" s="17">
        <v>0</v>
      </c>
      <c r="AJ29" s="15">
        <f t="shared" si="11"/>
        <v>0</v>
      </c>
      <c r="AK29" s="17">
        <v>0</v>
      </c>
      <c r="AL29" s="17">
        <v>0</v>
      </c>
      <c r="AM29" s="15">
        <f t="shared" si="12"/>
        <v>0</v>
      </c>
      <c r="AN29" s="17"/>
    </row>
    <row r="30" spans="1:40" x14ac:dyDescent="0.3">
      <c r="A30" s="15" t="s">
        <v>96</v>
      </c>
      <c r="B30" s="15">
        <v>1000</v>
      </c>
      <c r="C30" s="15"/>
      <c r="D30" s="15" t="s">
        <v>55</v>
      </c>
      <c r="E30" s="69" cm="1">
        <f t="array" ref="E30">MAX(0,IFERROR(_xlfn.XLOOKUP($A30&amp;"|"&amp;$B30&amp;"|"&amp;$D30,'29-AUGUST-2026'!$A$3:$A$197&amp;"|"&amp;'29-AUGUST-2026'!$B$3:$B$197&amp;"|"&amp;'29-AUGUST-2026'!$D$3:$D$197,'29-AUGUST-2026'!$Y$3:$Y$197,_xlfn.XLOOKUP($A30&amp;"|"&amp;$B30,'29-AUGUST-2026'!$A$3:$A$197&amp;"|"&amp;'29-AUGUST-2026'!$B$3:$B$197,'29-AUGUST-2026'!$Y$3:$Y$197,0)),0))</f>
        <v>0</v>
      </c>
      <c r="F30" s="69" cm="1">
        <f t="array" ref="F30">MAX(0,IFERROR(_xlfn.XLOOKUP($A30&amp;"|"&amp;$B30&amp;"|"&amp;$D30,'29-AUGUST-2026'!$A$3:$A$197&amp;"|"&amp;'29-AUGUST-2026'!$B$3:$B$197&amp;"|"&amp;'29-AUGUST-2026'!$D$3:$D$197,'29-AUGUST-2026'!$Z$3:$Z$197,_xlfn.XLOOKUP($A30&amp;"|"&amp;$B30,'29-AUGUST-2026'!$A$3:$A$197&amp;"|"&amp;'29-AUGUST-2026'!$B$3:$B$197,'29-AUGUST-2026'!$Z$3:$Z$197,0)),0))</f>
        <v>0</v>
      </c>
      <c r="G30" s="15">
        <f t="shared" si="0"/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20">
        <v>0</v>
      </c>
      <c r="S30" s="20">
        <v>0</v>
      </c>
      <c r="T30" s="20">
        <v>0</v>
      </c>
      <c r="U30" s="17"/>
      <c r="V30" s="17"/>
      <c r="W30" s="20">
        <f t="shared" si="1"/>
        <v>0</v>
      </c>
      <c r="X30" s="21">
        <f t="shared" si="2"/>
        <v>0</v>
      </c>
      <c r="Y30" s="15">
        <f t="shared" si="3"/>
        <v>0</v>
      </c>
      <c r="Z30" s="15">
        <f t="shared" si="4"/>
        <v>0</v>
      </c>
      <c r="AA30" s="18" t="str">
        <f>IF($A30="","",IF(AND($W30&gt;0,$V30=""),"IMPORT NEEDS DESTINATION",IF(MIN($Y30,$Z30)&lt;0,"NEGATIVE STOCK - CHECK ENTRIES","")))</f>
        <v/>
      </c>
      <c r="AB30" s="17">
        <v>0</v>
      </c>
      <c r="AC30" s="17">
        <v>0</v>
      </c>
      <c r="AD30" s="15">
        <f t="shared" si="9"/>
        <v>0</v>
      </c>
      <c r="AE30" s="17">
        <v>0</v>
      </c>
      <c r="AF30" s="17">
        <v>0</v>
      </c>
      <c r="AG30" s="15">
        <f t="shared" si="10"/>
        <v>0</v>
      </c>
      <c r="AH30" s="17">
        <v>0</v>
      </c>
      <c r="AI30" s="17">
        <v>0</v>
      </c>
      <c r="AJ30" s="15">
        <f t="shared" si="11"/>
        <v>0</v>
      </c>
      <c r="AK30" s="17">
        <v>0</v>
      </c>
      <c r="AL30" s="17">
        <v>0</v>
      </c>
      <c r="AM30" s="15">
        <f t="shared" si="12"/>
        <v>0</v>
      </c>
      <c r="AN30" s="17"/>
    </row>
    <row r="31" spans="1:40" x14ac:dyDescent="0.3">
      <c r="A31" s="15" t="s">
        <v>97</v>
      </c>
      <c r="B31" s="15">
        <v>1000</v>
      </c>
      <c r="C31" s="15" t="s">
        <v>54</v>
      </c>
      <c r="D31" s="15" t="s">
        <v>55</v>
      </c>
      <c r="E31" s="69" cm="1">
        <f t="array" ref="E31">MAX(0,IFERROR(_xlfn.XLOOKUP($A31&amp;"|"&amp;$B31&amp;"|"&amp;$D31,'29-AUGUST-2026'!$A$3:$A$197&amp;"|"&amp;'29-AUGUST-2026'!$B$3:$B$197&amp;"|"&amp;'29-AUGUST-2026'!$D$3:$D$197,'29-AUGUST-2026'!$Y$3:$Y$197,_xlfn.XLOOKUP($A31&amp;"|"&amp;$B31,'29-AUGUST-2026'!$A$3:$A$197&amp;"|"&amp;'29-AUGUST-2026'!$B$3:$B$197,'29-AUGUST-2026'!$Y$3:$Y$197,0)),0))</f>
        <v>17</v>
      </c>
      <c r="F31" s="69" cm="1">
        <f t="array" ref="F31">MAX(0,IFERROR(_xlfn.XLOOKUP($A31&amp;"|"&amp;$B31&amp;"|"&amp;$D31,'29-AUGUST-2026'!$A$3:$A$197&amp;"|"&amp;'29-AUGUST-2026'!$B$3:$B$197&amp;"|"&amp;'29-AUGUST-2026'!$D$3:$D$197,'29-AUGUST-2026'!$Z$3:$Z$197,_xlfn.XLOOKUP($A31&amp;"|"&amp;$B31,'29-AUGUST-2026'!$A$3:$A$197&amp;"|"&amp;'29-AUGUST-2026'!$B$3:$B$197,'29-AUGUST-2026'!$Z$3:$Z$197,0)),0))</f>
        <v>9</v>
      </c>
      <c r="G31" s="15">
        <f t="shared" si="0"/>
        <v>26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20">
        <v>0</v>
      </c>
      <c r="S31" s="20">
        <v>0</v>
      </c>
      <c r="T31" s="20">
        <v>0</v>
      </c>
      <c r="U31" s="17"/>
      <c r="V31" s="17"/>
      <c r="W31" s="20">
        <f t="shared" si="1"/>
        <v>0</v>
      </c>
      <c r="X31" s="21">
        <f t="shared" si="2"/>
        <v>26</v>
      </c>
      <c r="Y31" s="15">
        <f t="shared" si="3"/>
        <v>17</v>
      </c>
      <c r="Z31" s="15">
        <f t="shared" si="4"/>
        <v>9</v>
      </c>
      <c r="AA31" s="18" t="str">
        <f>IF($A31="","",IF(AND($W31&gt;0,$V31=""),"IMPORT NEEDS DESTINATION",IF(MIN($Y31,$Z31)&lt;0,"NEGATIVE STOCK - CHECK ENTRIES","")))</f>
        <v/>
      </c>
      <c r="AB31" s="17">
        <v>0</v>
      </c>
      <c r="AC31" s="17">
        <v>0</v>
      </c>
      <c r="AD31" s="15">
        <f t="shared" si="9"/>
        <v>0</v>
      </c>
      <c r="AE31" s="17">
        <v>0</v>
      </c>
      <c r="AF31" s="17">
        <v>0</v>
      </c>
      <c r="AG31" s="15">
        <f t="shared" si="10"/>
        <v>0</v>
      </c>
      <c r="AH31" s="17">
        <v>0</v>
      </c>
      <c r="AI31" s="17">
        <v>0</v>
      </c>
      <c r="AJ31" s="15">
        <f t="shared" si="11"/>
        <v>0</v>
      </c>
      <c r="AK31" s="17">
        <v>0</v>
      </c>
      <c r="AL31" s="17">
        <v>0</v>
      </c>
      <c r="AM31" s="15">
        <f t="shared" si="12"/>
        <v>0</v>
      </c>
      <c r="AN31" s="17"/>
    </row>
    <row r="32" spans="1:40" x14ac:dyDescent="0.3">
      <c r="A32" s="15" t="s">
        <v>98</v>
      </c>
      <c r="B32" s="15">
        <v>1000</v>
      </c>
      <c r="C32" s="15" t="s">
        <v>54</v>
      </c>
      <c r="D32" s="15" t="s">
        <v>55</v>
      </c>
      <c r="E32" s="69" cm="1">
        <f t="array" ref="E32">MAX(0,IFERROR(_xlfn.XLOOKUP($A32&amp;"|"&amp;$B32&amp;"|"&amp;$D32,'29-AUGUST-2026'!$A$3:$A$197&amp;"|"&amp;'29-AUGUST-2026'!$B$3:$B$197&amp;"|"&amp;'29-AUGUST-2026'!$D$3:$D$197,'29-AUGUST-2026'!$Y$3:$Y$197,_xlfn.XLOOKUP($A32&amp;"|"&amp;$B32,'29-AUGUST-2026'!$A$3:$A$197&amp;"|"&amp;'29-AUGUST-2026'!$B$3:$B$197,'29-AUGUST-2026'!$Y$3:$Y$197,0)),0))</f>
        <v>3</v>
      </c>
      <c r="F32" s="69" cm="1">
        <f t="array" ref="F32">MAX(0,IFERROR(_xlfn.XLOOKUP($A32&amp;"|"&amp;$B32&amp;"|"&amp;$D32,'29-AUGUST-2026'!$A$3:$A$197&amp;"|"&amp;'29-AUGUST-2026'!$B$3:$B$197&amp;"|"&amp;'29-AUGUST-2026'!$D$3:$D$197,'29-AUGUST-2026'!$Z$3:$Z$197,_xlfn.XLOOKUP($A32&amp;"|"&amp;$B32,'29-AUGUST-2026'!$A$3:$A$197&amp;"|"&amp;'29-AUGUST-2026'!$B$3:$B$197,'29-AUGUST-2026'!$Z$3:$Z$197,0)),0))</f>
        <v>17</v>
      </c>
      <c r="G32" s="15">
        <f t="shared" si="0"/>
        <v>20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20">
        <v>0</v>
      </c>
      <c r="S32" s="20">
        <v>0</v>
      </c>
      <c r="T32" s="20">
        <v>0</v>
      </c>
      <c r="U32" s="17"/>
      <c r="V32" s="17"/>
      <c r="W32" s="20">
        <f t="shared" si="1"/>
        <v>0</v>
      </c>
      <c r="X32" s="21">
        <f t="shared" si="2"/>
        <v>20</v>
      </c>
      <c r="Y32" s="15">
        <f t="shared" si="3"/>
        <v>3</v>
      </c>
      <c r="Z32" s="15">
        <f t="shared" si="4"/>
        <v>17</v>
      </c>
      <c r="AA32" s="18" t="str">
        <f>IF($A32="","",IF(AND($W32&gt;0,$V32=""),"IMPORT NEEDS DESTINATION",IF(MIN($Y32,$Z32)&lt;0,"NEGATIVE STOCK - CHECK ENTRIES","")))</f>
        <v/>
      </c>
      <c r="AB32" s="17">
        <v>0</v>
      </c>
      <c r="AC32" s="17">
        <v>0</v>
      </c>
      <c r="AD32" s="15">
        <f t="shared" si="9"/>
        <v>0</v>
      </c>
      <c r="AE32" s="17">
        <v>0</v>
      </c>
      <c r="AF32" s="17">
        <v>0</v>
      </c>
      <c r="AG32" s="15">
        <f t="shared" si="10"/>
        <v>0</v>
      </c>
      <c r="AH32" s="17">
        <v>0</v>
      </c>
      <c r="AI32" s="17">
        <v>0</v>
      </c>
      <c r="AJ32" s="15">
        <f t="shared" si="11"/>
        <v>0</v>
      </c>
      <c r="AK32" s="17">
        <v>0</v>
      </c>
      <c r="AL32" s="17">
        <v>0</v>
      </c>
      <c r="AM32" s="15">
        <f t="shared" si="12"/>
        <v>0</v>
      </c>
      <c r="AN32" s="17"/>
    </row>
    <row r="33" spans="1:40" x14ac:dyDescent="0.3">
      <c r="A33" s="15" t="s">
        <v>99</v>
      </c>
      <c r="B33" s="15">
        <v>1000</v>
      </c>
      <c r="C33" s="15" t="s">
        <v>54</v>
      </c>
      <c r="D33" s="15" t="s">
        <v>55</v>
      </c>
      <c r="E33" s="69" cm="1">
        <f t="array" ref="E33">MAX(0,IFERROR(_xlfn.XLOOKUP($A33&amp;"|"&amp;$B33&amp;"|"&amp;$D33,'29-AUGUST-2026'!$A$3:$A$197&amp;"|"&amp;'29-AUGUST-2026'!$B$3:$B$197&amp;"|"&amp;'29-AUGUST-2026'!$D$3:$D$197,'29-AUGUST-2026'!$Y$3:$Y$197,_xlfn.XLOOKUP($A33&amp;"|"&amp;$B33,'29-AUGUST-2026'!$A$3:$A$197&amp;"|"&amp;'29-AUGUST-2026'!$B$3:$B$197,'29-AUGUST-2026'!$Y$3:$Y$197,0)),0))</f>
        <v>2</v>
      </c>
      <c r="F33" s="69" cm="1">
        <f t="array" ref="F33">MAX(0,IFERROR(_xlfn.XLOOKUP($A33&amp;"|"&amp;$B33&amp;"|"&amp;$D33,'29-AUGUST-2026'!$A$3:$A$197&amp;"|"&amp;'29-AUGUST-2026'!$B$3:$B$197&amp;"|"&amp;'29-AUGUST-2026'!$D$3:$D$197,'29-AUGUST-2026'!$Z$3:$Z$197,_xlfn.XLOOKUP($A33&amp;"|"&amp;$B33,'29-AUGUST-2026'!$A$3:$A$197&amp;"|"&amp;'29-AUGUST-2026'!$B$3:$B$197,'29-AUGUST-2026'!$Z$3:$Z$197,0)),0))</f>
        <v>1</v>
      </c>
      <c r="G33" s="15">
        <f t="shared" si="0"/>
        <v>3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20">
        <v>0</v>
      </c>
      <c r="S33" s="20">
        <v>0</v>
      </c>
      <c r="T33" s="20">
        <v>0</v>
      </c>
      <c r="U33" s="17"/>
      <c r="V33" s="17"/>
      <c r="W33" s="20">
        <f t="shared" si="1"/>
        <v>0</v>
      </c>
      <c r="X33" s="21">
        <f t="shared" si="2"/>
        <v>3</v>
      </c>
      <c r="Y33" s="15">
        <f t="shared" si="3"/>
        <v>2</v>
      </c>
      <c r="Z33" s="15">
        <f t="shared" si="4"/>
        <v>1</v>
      </c>
      <c r="AA33" s="18" t="str">
        <f>IF($A33="","",IF(AND($W33&gt;0,$V33=""),"IMPORT NEEDS DESTINATION",IF(MIN($Y33,$Z33)&lt;0,"NEGATIVE STOCK - CHECK ENTRIES","")))</f>
        <v/>
      </c>
      <c r="AB33" s="17">
        <v>0</v>
      </c>
      <c r="AC33" s="17">
        <v>0</v>
      </c>
      <c r="AD33" s="15">
        <f t="shared" si="9"/>
        <v>0</v>
      </c>
      <c r="AE33" s="17">
        <v>0</v>
      </c>
      <c r="AF33" s="17">
        <v>0</v>
      </c>
      <c r="AG33" s="15">
        <f t="shared" si="10"/>
        <v>0</v>
      </c>
      <c r="AH33" s="17">
        <v>0</v>
      </c>
      <c r="AI33" s="17">
        <v>0</v>
      </c>
      <c r="AJ33" s="15">
        <f t="shared" si="11"/>
        <v>0</v>
      </c>
      <c r="AK33" s="17">
        <v>0</v>
      </c>
      <c r="AL33" s="17">
        <v>0</v>
      </c>
      <c r="AM33" s="15">
        <f t="shared" si="12"/>
        <v>0</v>
      </c>
      <c r="AN33" s="17"/>
    </row>
    <row r="34" spans="1:40" x14ac:dyDescent="0.3">
      <c r="A34" s="15" t="s">
        <v>104</v>
      </c>
      <c r="B34" s="15">
        <v>1000</v>
      </c>
      <c r="C34" s="15" t="s">
        <v>54</v>
      </c>
      <c r="D34" s="15" t="s">
        <v>55</v>
      </c>
      <c r="E34" s="69" cm="1">
        <f t="array" ref="E34">MAX(0,IFERROR(_xlfn.XLOOKUP($A34&amp;"|"&amp;$B34&amp;"|"&amp;$D34,'29-AUGUST-2026'!$A$3:$A$197&amp;"|"&amp;'29-AUGUST-2026'!$B$3:$B$197&amp;"|"&amp;'29-AUGUST-2026'!$D$3:$D$197,'29-AUGUST-2026'!$Y$3:$Y$197,_xlfn.XLOOKUP($A34&amp;"|"&amp;$B34,'29-AUGUST-2026'!$A$3:$A$197&amp;"|"&amp;'29-AUGUST-2026'!$B$3:$B$197,'29-AUGUST-2026'!$Y$3:$Y$197,0)),0))</f>
        <v>0</v>
      </c>
      <c r="F34" s="69" cm="1">
        <f t="array" ref="F34">MAX(0,IFERROR(_xlfn.XLOOKUP($A34&amp;"|"&amp;$B34&amp;"|"&amp;$D34,'29-AUGUST-2026'!$A$3:$A$197&amp;"|"&amp;'29-AUGUST-2026'!$B$3:$B$197&amp;"|"&amp;'29-AUGUST-2026'!$D$3:$D$197,'29-AUGUST-2026'!$Z$3:$Z$197,_xlfn.XLOOKUP($A34&amp;"|"&amp;$B34,'29-AUGUST-2026'!$A$3:$A$197&amp;"|"&amp;'29-AUGUST-2026'!$B$3:$B$197,'29-AUGUST-2026'!$Z$3:$Z$197,0)),0))</f>
        <v>1</v>
      </c>
      <c r="G34" s="15">
        <f t="shared" si="0"/>
        <v>1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20">
        <v>0</v>
      </c>
      <c r="S34" s="20">
        <v>0</v>
      </c>
      <c r="T34" s="20">
        <v>0</v>
      </c>
      <c r="U34" s="17"/>
      <c r="V34" s="17"/>
      <c r="W34" s="20">
        <f t="shared" si="1"/>
        <v>0</v>
      </c>
      <c r="X34" s="21">
        <f t="shared" si="2"/>
        <v>1</v>
      </c>
      <c r="Y34" s="15">
        <f t="shared" si="3"/>
        <v>0</v>
      </c>
      <c r="Z34" s="15">
        <f t="shared" si="4"/>
        <v>1</v>
      </c>
      <c r="AA34" s="18" t="str">
        <f>IF($A34="","",IF(AND($W34&gt;0,$V34=""),"IMPORT NEEDS DESTINATION",IF(MIN($Y34,$Z34)&lt;0,"NEGATIVE STOCK - CHECK ENTRIES","")))</f>
        <v/>
      </c>
      <c r="AB34" s="17">
        <v>0</v>
      </c>
      <c r="AC34" s="17">
        <v>0</v>
      </c>
      <c r="AD34" s="15">
        <f t="shared" si="9"/>
        <v>0</v>
      </c>
      <c r="AE34" s="17">
        <v>0</v>
      </c>
      <c r="AF34" s="17">
        <v>0</v>
      </c>
      <c r="AG34" s="15">
        <f t="shared" si="10"/>
        <v>0</v>
      </c>
      <c r="AH34" s="17">
        <v>0</v>
      </c>
      <c r="AI34" s="17">
        <v>0</v>
      </c>
      <c r="AJ34" s="15">
        <f t="shared" si="11"/>
        <v>0</v>
      </c>
      <c r="AK34" s="17">
        <v>0</v>
      </c>
      <c r="AL34" s="17">
        <v>0</v>
      </c>
      <c r="AM34" s="15">
        <f t="shared" si="12"/>
        <v>0</v>
      </c>
      <c r="AN34" s="17"/>
    </row>
    <row r="35" spans="1:40" x14ac:dyDescent="0.3">
      <c r="A35" s="15" t="s">
        <v>106</v>
      </c>
      <c r="B35" s="15">
        <v>100</v>
      </c>
      <c r="C35" s="15" t="s">
        <v>54</v>
      </c>
      <c r="D35" s="15" t="s">
        <v>55</v>
      </c>
      <c r="E35" s="69" cm="1">
        <f t="array" ref="E35">MAX(0,IFERROR(_xlfn.XLOOKUP($A35&amp;"|"&amp;$B35&amp;"|"&amp;$D35,'29-AUGUST-2026'!$A$3:$A$197&amp;"|"&amp;'29-AUGUST-2026'!$B$3:$B$197&amp;"|"&amp;'29-AUGUST-2026'!$D$3:$D$197,'29-AUGUST-2026'!$Y$3:$Y$197,_xlfn.XLOOKUP($A35&amp;"|"&amp;$B35,'29-AUGUST-2026'!$A$3:$A$197&amp;"|"&amp;'29-AUGUST-2026'!$B$3:$B$197,'29-AUGUST-2026'!$Y$3:$Y$197,0)),0))</f>
        <v>5</v>
      </c>
      <c r="F35" s="69" cm="1">
        <f t="array" ref="F35">MAX(0,IFERROR(_xlfn.XLOOKUP($A35&amp;"|"&amp;$B35&amp;"|"&amp;$D35,'29-AUGUST-2026'!$A$3:$A$197&amp;"|"&amp;'29-AUGUST-2026'!$B$3:$B$197&amp;"|"&amp;'29-AUGUST-2026'!$D$3:$D$197,'29-AUGUST-2026'!$Z$3:$Z$197,_xlfn.XLOOKUP($A35&amp;"|"&amp;$B35,'29-AUGUST-2026'!$A$3:$A$197&amp;"|"&amp;'29-AUGUST-2026'!$B$3:$B$197,'29-AUGUST-2026'!$Z$3:$Z$197,0)),0))</f>
        <v>0</v>
      </c>
      <c r="G35" s="15">
        <f t="shared" ref="G35:G67" si="13">E35+F35</f>
        <v>5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20">
        <v>0</v>
      </c>
      <c r="S35" s="20">
        <v>0</v>
      </c>
      <c r="T35" s="20">
        <v>0</v>
      </c>
      <c r="U35" s="17"/>
      <c r="V35" s="17"/>
      <c r="W35" s="20">
        <f t="shared" ref="W35:W67" si="14">R35+S35+T35</f>
        <v>0</v>
      </c>
      <c r="X35" s="21">
        <f t="shared" si="2"/>
        <v>5</v>
      </c>
      <c r="Y35" s="15">
        <f t="shared" ref="Y35:Y67" si="15">E35+N35+IF($V35="Arusha",$W35,0)-H35-K35</f>
        <v>5</v>
      </c>
      <c r="Z35" s="15">
        <f t="shared" ref="Z35:Z67" si="16">F35+O35+IF($V35="Moro",$W35,0)-I35-L35</f>
        <v>0</v>
      </c>
      <c r="AA35" s="18" t="str">
        <f>IF($A35="","",IF(AND($W35&gt;0,$V35=""),"IMPORT NEEDS DESTINATION",IF(MIN($Y35,$Z35)&lt;0,"NEGATIVE STOCK - CHECK ENTRIES","")))</f>
        <v/>
      </c>
      <c r="AB35" s="17">
        <v>0</v>
      </c>
      <c r="AC35" s="17">
        <v>0</v>
      </c>
      <c r="AD35" s="15">
        <f t="shared" si="9"/>
        <v>0</v>
      </c>
      <c r="AE35" s="17">
        <v>0</v>
      </c>
      <c r="AF35" s="17">
        <v>0</v>
      </c>
      <c r="AG35" s="15">
        <f t="shared" si="10"/>
        <v>0</v>
      </c>
      <c r="AH35" s="17">
        <v>0</v>
      </c>
      <c r="AI35" s="17">
        <v>0</v>
      </c>
      <c r="AJ35" s="15">
        <f t="shared" si="11"/>
        <v>0</v>
      </c>
      <c r="AK35" s="17">
        <v>0</v>
      </c>
      <c r="AL35" s="17">
        <v>0</v>
      </c>
      <c r="AM35" s="15">
        <f t="shared" si="12"/>
        <v>0</v>
      </c>
      <c r="AN35" s="17"/>
    </row>
    <row r="36" spans="1:40" x14ac:dyDescent="0.3">
      <c r="A36" s="15" t="s">
        <v>109</v>
      </c>
      <c r="B36" s="15">
        <v>0</v>
      </c>
      <c r="C36" s="15" t="s">
        <v>110</v>
      </c>
      <c r="D36" s="15" t="s">
        <v>55</v>
      </c>
      <c r="E36" s="69" cm="1">
        <f t="array" ref="E36">MAX(0,IFERROR(_xlfn.XLOOKUP($A36&amp;"|"&amp;$B36&amp;"|"&amp;$D36,'29-AUGUST-2026'!$A$3:$A$197&amp;"|"&amp;'29-AUGUST-2026'!$B$3:$B$197&amp;"|"&amp;'29-AUGUST-2026'!$D$3:$D$197,'29-AUGUST-2026'!$Y$3:$Y$197,_xlfn.XLOOKUP($A36&amp;"|"&amp;$B36,'29-AUGUST-2026'!$A$3:$A$197&amp;"|"&amp;'29-AUGUST-2026'!$B$3:$B$197,'29-AUGUST-2026'!$Y$3:$Y$197,0)),0))</f>
        <v>2</v>
      </c>
      <c r="F36" s="69" cm="1">
        <f t="array" ref="F36">MAX(0,IFERROR(_xlfn.XLOOKUP($A36&amp;"|"&amp;$B36&amp;"|"&amp;$D36,'29-AUGUST-2026'!$A$3:$A$197&amp;"|"&amp;'29-AUGUST-2026'!$B$3:$B$197&amp;"|"&amp;'29-AUGUST-2026'!$D$3:$D$197,'29-AUGUST-2026'!$Z$3:$Z$197,_xlfn.XLOOKUP($A36&amp;"|"&amp;$B36,'29-AUGUST-2026'!$A$3:$A$197&amp;"|"&amp;'29-AUGUST-2026'!$B$3:$B$197,'29-AUGUST-2026'!$Z$3:$Z$197,0)),0))</f>
        <v>0</v>
      </c>
      <c r="G36" s="15">
        <f t="shared" si="13"/>
        <v>2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20">
        <v>0</v>
      </c>
      <c r="S36" s="20">
        <v>0</v>
      </c>
      <c r="T36" s="20">
        <v>0</v>
      </c>
      <c r="U36" s="17"/>
      <c r="V36" s="17"/>
      <c r="W36" s="20">
        <f t="shared" si="14"/>
        <v>0</v>
      </c>
      <c r="X36" s="21">
        <f t="shared" si="2"/>
        <v>2</v>
      </c>
      <c r="Y36" s="15">
        <f t="shared" si="15"/>
        <v>2</v>
      </c>
      <c r="Z36" s="15">
        <f t="shared" si="16"/>
        <v>0</v>
      </c>
      <c r="AA36" s="18" t="str">
        <f>IF($A36="","",IF(AND($W36&gt;0,$V36=""),"IMPORT NEEDS DESTINATION",IF(MIN($Y36,$Z36)&lt;0,"NEGATIVE STOCK - CHECK ENTRIES","")))</f>
        <v/>
      </c>
      <c r="AB36" s="17">
        <v>0</v>
      </c>
      <c r="AC36" s="17">
        <v>0</v>
      </c>
      <c r="AD36" s="15">
        <f t="shared" ref="AD36:AD68" si="17">AB36-AC36</f>
        <v>0</v>
      </c>
      <c r="AE36" s="17">
        <v>0</v>
      </c>
      <c r="AF36" s="17">
        <v>0</v>
      </c>
      <c r="AG36" s="15">
        <f t="shared" ref="AG36:AG68" si="18">AE36-AF36</f>
        <v>0</v>
      </c>
      <c r="AH36" s="17">
        <v>0</v>
      </c>
      <c r="AI36" s="17">
        <v>0</v>
      </c>
      <c r="AJ36" s="15">
        <f t="shared" ref="AJ36:AJ68" si="19">AH36-AI36</f>
        <v>0</v>
      </c>
      <c r="AK36" s="17">
        <v>0</v>
      </c>
      <c r="AL36" s="17">
        <v>0</v>
      </c>
      <c r="AM36" s="15">
        <f t="shared" ref="AM36:AM68" si="20">AK36-AL36</f>
        <v>0</v>
      </c>
      <c r="AN36" s="17"/>
    </row>
    <row r="37" spans="1:40" x14ac:dyDescent="0.3">
      <c r="A37" s="15" t="s">
        <v>331</v>
      </c>
      <c r="B37" s="15">
        <v>100</v>
      </c>
      <c r="C37" s="15" t="s">
        <v>54</v>
      </c>
      <c r="D37" s="15" t="s">
        <v>55</v>
      </c>
      <c r="E37" s="69">
        <v>5</v>
      </c>
      <c r="F37" s="69" cm="1">
        <f t="array" ref="F37">MAX(0,IFERROR(_xlfn.XLOOKUP($A37&amp;"|"&amp;$B37&amp;"|"&amp;$D37,'29-AUGUST-2026'!$A$3:$A$197&amp;"|"&amp;'29-AUGUST-2026'!$B$3:$B$197&amp;"|"&amp;'29-AUGUST-2026'!$D$3:$D$197,'29-AUGUST-2026'!$Z$3:$Z$197,_xlfn.XLOOKUP($A37&amp;"|"&amp;$B37,'29-AUGUST-2026'!$A$3:$A$197&amp;"|"&amp;'29-AUGUST-2026'!$B$3:$B$197,'29-AUGUST-2026'!$Z$3:$Z$197,0)),0))</f>
        <v>0</v>
      </c>
      <c r="G37" s="15">
        <f>E37+F37</f>
        <v>5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20">
        <v>5</v>
      </c>
      <c r="S37" s="20">
        <v>0</v>
      </c>
      <c r="T37" s="20">
        <v>0</v>
      </c>
      <c r="U37" s="17"/>
      <c r="V37" s="17"/>
      <c r="W37" s="20">
        <f>R37+S37+T37</f>
        <v>5</v>
      </c>
      <c r="X37" s="21">
        <f>Y37+Z37</f>
        <v>5</v>
      </c>
      <c r="Y37" s="15">
        <f>E37+N37+IF($V37="Arusha",$W37,0)-H37-K37</f>
        <v>5</v>
      </c>
      <c r="Z37" s="15">
        <f>F37+O37+IF($V37="Moro",$W37,0)-I37-L37</f>
        <v>0</v>
      </c>
      <c r="AA37" s="18" t="str">
        <f>IF($A37="","",IF(AND($W37&gt;0,$V37=""),"IMPORT NEEDS DESTINATION",IF(MIN($Y37,$Z37)&lt;0,"NEGATIVE STOCK - CHECK ENTRIES","")))</f>
        <v>IMPORT NEEDS DESTINATION</v>
      </c>
      <c r="AB37" s="17">
        <v>0</v>
      </c>
      <c r="AC37" s="17">
        <v>0</v>
      </c>
      <c r="AD37" s="15">
        <f>AB37-AC37</f>
        <v>0</v>
      </c>
      <c r="AE37" s="17">
        <v>0</v>
      </c>
      <c r="AF37" s="17">
        <v>0</v>
      </c>
      <c r="AG37" s="15">
        <f>AE37-AF37</f>
        <v>0</v>
      </c>
      <c r="AH37" s="17">
        <v>0</v>
      </c>
      <c r="AI37" s="17">
        <v>0</v>
      </c>
      <c r="AJ37" s="15">
        <f>AH37-AI37</f>
        <v>0</v>
      </c>
      <c r="AK37" s="17">
        <v>0</v>
      </c>
      <c r="AL37" s="17">
        <v>0</v>
      </c>
      <c r="AM37" s="15">
        <f>AK37-AL37</f>
        <v>0</v>
      </c>
      <c r="AN37" s="17"/>
    </row>
    <row r="38" spans="1:40" x14ac:dyDescent="0.3">
      <c r="A38" s="15" t="s">
        <v>115</v>
      </c>
      <c r="B38" s="15">
        <v>1000</v>
      </c>
      <c r="C38" s="15" t="s">
        <v>54</v>
      </c>
      <c r="D38" s="15" t="s">
        <v>55</v>
      </c>
      <c r="E38" s="69" cm="1">
        <f t="array" ref="E38">MAX(0,IFERROR(_xlfn.XLOOKUP($A38&amp;"|"&amp;$B38&amp;"|"&amp;$D38,'29-AUGUST-2026'!$A$3:$A$197&amp;"|"&amp;'29-AUGUST-2026'!$B$3:$B$197&amp;"|"&amp;'29-AUGUST-2026'!$D$3:$D$197,'29-AUGUST-2026'!$Y$3:$Y$197,_xlfn.XLOOKUP($A38&amp;"|"&amp;$B38,'29-AUGUST-2026'!$A$3:$A$197&amp;"|"&amp;'29-AUGUST-2026'!$B$3:$B$197,'29-AUGUST-2026'!$Y$3:$Y$197,0)),0))</f>
        <v>1</v>
      </c>
      <c r="F38" s="69" cm="1">
        <f t="array" ref="F38">MAX(0,IFERROR(_xlfn.XLOOKUP($A38&amp;"|"&amp;$B38&amp;"|"&amp;$D38,'29-AUGUST-2026'!$A$3:$A$197&amp;"|"&amp;'29-AUGUST-2026'!$B$3:$B$197&amp;"|"&amp;'29-AUGUST-2026'!$D$3:$D$197,'29-AUGUST-2026'!$Z$3:$Z$197,_xlfn.XLOOKUP($A38&amp;"|"&amp;$B38,'29-AUGUST-2026'!$A$3:$A$197&amp;"|"&amp;'29-AUGUST-2026'!$B$3:$B$197,'29-AUGUST-2026'!$Z$3:$Z$197,0)),0))</f>
        <v>0</v>
      </c>
      <c r="G38" s="15">
        <f t="shared" si="13"/>
        <v>1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20">
        <v>0</v>
      </c>
      <c r="S38" s="20">
        <v>0</v>
      </c>
      <c r="T38" s="20">
        <v>0</v>
      </c>
      <c r="U38" s="17"/>
      <c r="V38" s="17"/>
      <c r="W38" s="20">
        <f t="shared" si="14"/>
        <v>0</v>
      </c>
      <c r="X38" s="21">
        <f t="shared" si="2"/>
        <v>1</v>
      </c>
      <c r="Y38" s="15">
        <f t="shared" si="15"/>
        <v>1</v>
      </c>
      <c r="Z38" s="15">
        <f t="shared" si="16"/>
        <v>0</v>
      </c>
      <c r="AA38" s="18" t="str">
        <f>IF($A38="","",IF(AND($W38&gt;0,$V38=""),"IMPORT NEEDS DESTINATION",IF(MIN($Y38,$Z38)&lt;0,"NEGATIVE STOCK - CHECK ENTRIES","")))</f>
        <v/>
      </c>
      <c r="AB38" s="17">
        <v>0</v>
      </c>
      <c r="AC38" s="17">
        <v>0</v>
      </c>
      <c r="AD38" s="15">
        <f t="shared" si="17"/>
        <v>0</v>
      </c>
      <c r="AE38" s="17">
        <v>0</v>
      </c>
      <c r="AF38" s="17">
        <v>0</v>
      </c>
      <c r="AG38" s="15">
        <f t="shared" si="18"/>
        <v>0</v>
      </c>
      <c r="AH38" s="17">
        <v>0</v>
      </c>
      <c r="AI38" s="17">
        <v>0</v>
      </c>
      <c r="AJ38" s="15">
        <f t="shared" si="19"/>
        <v>0</v>
      </c>
      <c r="AK38" s="17">
        <v>0</v>
      </c>
      <c r="AL38" s="17">
        <v>0</v>
      </c>
      <c r="AM38" s="15">
        <f t="shared" si="20"/>
        <v>0</v>
      </c>
      <c r="AN38" s="17"/>
    </row>
    <row r="39" spans="1:40" x14ac:dyDescent="0.3">
      <c r="A39" s="15" t="s">
        <v>123</v>
      </c>
      <c r="B39" s="15" t="s">
        <v>124</v>
      </c>
      <c r="C39" s="15" t="s">
        <v>123</v>
      </c>
      <c r="D39" s="15" t="s">
        <v>55</v>
      </c>
      <c r="E39" s="69" cm="1">
        <f t="array" ref="E39">MAX(0,IFERROR(_xlfn.XLOOKUP($A39&amp;"|"&amp;$B39&amp;"|"&amp;$D39,'29-AUGUST-2026'!$A$3:$A$197&amp;"|"&amp;'29-AUGUST-2026'!$B$3:$B$197&amp;"|"&amp;'29-AUGUST-2026'!$D$3:$D$197,'29-AUGUST-2026'!$Y$3:$Y$197,_xlfn.XLOOKUP($A39&amp;"|"&amp;$B39,'29-AUGUST-2026'!$A$3:$A$197&amp;"|"&amp;'29-AUGUST-2026'!$B$3:$B$197,'29-AUGUST-2026'!$Y$3:$Y$197,0)),0))</f>
        <v>1</v>
      </c>
      <c r="F39" s="69" cm="1">
        <f t="array" ref="F39">MAX(0,IFERROR(_xlfn.XLOOKUP($A39&amp;"|"&amp;$B39&amp;"|"&amp;$D39,'29-AUGUST-2026'!$A$3:$A$197&amp;"|"&amp;'29-AUGUST-2026'!$B$3:$B$197&amp;"|"&amp;'29-AUGUST-2026'!$D$3:$D$197,'29-AUGUST-2026'!$Z$3:$Z$197,_xlfn.XLOOKUP($A39&amp;"|"&amp;$B39,'29-AUGUST-2026'!$A$3:$A$197&amp;"|"&amp;'29-AUGUST-2026'!$B$3:$B$197,'29-AUGUST-2026'!$Z$3:$Z$197,0)),0))</f>
        <v>0</v>
      </c>
      <c r="G39" s="15">
        <f t="shared" si="13"/>
        <v>1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20">
        <v>0</v>
      </c>
      <c r="S39" s="20">
        <v>0</v>
      </c>
      <c r="T39" s="20">
        <v>0</v>
      </c>
      <c r="U39" s="17"/>
      <c r="V39" s="17"/>
      <c r="W39" s="20">
        <f t="shared" si="14"/>
        <v>0</v>
      </c>
      <c r="X39" s="21">
        <f t="shared" si="2"/>
        <v>1</v>
      </c>
      <c r="Y39" s="15">
        <f t="shared" si="15"/>
        <v>1</v>
      </c>
      <c r="Z39" s="15">
        <f t="shared" si="16"/>
        <v>0</v>
      </c>
      <c r="AA39" s="18" t="str">
        <f>IF($A39="","",IF(AND($W39&gt;0,$V39=""),"IMPORT NEEDS DESTINATION",IF(MIN($Y39,$Z39)&lt;0,"NEGATIVE STOCK - CHECK ENTRIES","")))</f>
        <v/>
      </c>
      <c r="AB39" s="17">
        <v>0</v>
      </c>
      <c r="AC39" s="17">
        <v>0</v>
      </c>
      <c r="AD39" s="15">
        <f t="shared" si="17"/>
        <v>0</v>
      </c>
      <c r="AE39" s="17">
        <v>0</v>
      </c>
      <c r="AF39" s="17">
        <v>0</v>
      </c>
      <c r="AG39" s="15">
        <f t="shared" si="18"/>
        <v>0</v>
      </c>
      <c r="AH39" s="17">
        <v>0</v>
      </c>
      <c r="AI39" s="17">
        <v>0</v>
      </c>
      <c r="AJ39" s="15">
        <f t="shared" si="19"/>
        <v>0</v>
      </c>
      <c r="AK39" s="17">
        <v>0</v>
      </c>
      <c r="AL39" s="17">
        <v>0</v>
      </c>
      <c r="AM39" s="15">
        <f t="shared" si="20"/>
        <v>0</v>
      </c>
      <c r="AN39" s="17"/>
    </row>
    <row r="40" spans="1:40" x14ac:dyDescent="0.3">
      <c r="A40" s="15" t="s">
        <v>127</v>
      </c>
      <c r="B40" s="15">
        <v>0</v>
      </c>
      <c r="C40" s="15" t="s">
        <v>128</v>
      </c>
      <c r="D40" s="15" t="s">
        <v>55</v>
      </c>
      <c r="E40" s="69" cm="1">
        <f t="array" ref="E40">MAX(0,IFERROR(_xlfn.XLOOKUP($A40&amp;"|"&amp;$B40&amp;"|"&amp;$D40,'29-AUGUST-2026'!$A$3:$A$197&amp;"|"&amp;'29-AUGUST-2026'!$B$3:$B$197&amp;"|"&amp;'29-AUGUST-2026'!$D$3:$D$197,'29-AUGUST-2026'!$Y$3:$Y$197,_xlfn.XLOOKUP($A40&amp;"|"&amp;$B40,'29-AUGUST-2026'!$A$3:$A$197&amp;"|"&amp;'29-AUGUST-2026'!$B$3:$B$197,'29-AUGUST-2026'!$Y$3:$Y$197,0)),0))</f>
        <v>108</v>
      </c>
      <c r="F40" s="69" cm="1">
        <f t="array" ref="F40">MAX(0,IFERROR(_xlfn.XLOOKUP($A40&amp;"|"&amp;$B40&amp;"|"&amp;$D40,'29-AUGUST-2026'!$A$3:$A$197&amp;"|"&amp;'29-AUGUST-2026'!$B$3:$B$197&amp;"|"&amp;'29-AUGUST-2026'!$D$3:$D$197,'29-AUGUST-2026'!$Z$3:$Z$197,_xlfn.XLOOKUP($A40&amp;"|"&amp;$B40,'29-AUGUST-2026'!$A$3:$A$197&amp;"|"&amp;'29-AUGUST-2026'!$B$3:$B$197,'29-AUGUST-2026'!$Z$3:$Z$197,0)),0))</f>
        <v>6</v>
      </c>
      <c r="G40" s="15">
        <f t="shared" si="13"/>
        <v>114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20">
        <v>0</v>
      </c>
      <c r="S40" s="20">
        <v>0</v>
      </c>
      <c r="T40" s="20">
        <v>0</v>
      </c>
      <c r="U40" s="17"/>
      <c r="V40" s="17"/>
      <c r="W40" s="20">
        <f t="shared" si="14"/>
        <v>0</v>
      </c>
      <c r="X40" s="21">
        <f t="shared" si="2"/>
        <v>114</v>
      </c>
      <c r="Y40" s="15">
        <f t="shared" si="15"/>
        <v>108</v>
      </c>
      <c r="Z40" s="15">
        <f t="shared" si="16"/>
        <v>6</v>
      </c>
      <c r="AA40" s="18" t="str">
        <f>IF($A40="","",IF(AND($W40&gt;0,$V40=""),"IMPORT NEEDS DESTINATION",IF(MIN($Y40,$Z40)&lt;0,"NEGATIVE STOCK - CHECK ENTRIES","")))</f>
        <v/>
      </c>
      <c r="AB40" s="17">
        <v>0</v>
      </c>
      <c r="AC40" s="17">
        <v>0</v>
      </c>
      <c r="AD40" s="15">
        <f t="shared" si="17"/>
        <v>0</v>
      </c>
      <c r="AE40" s="17">
        <v>0</v>
      </c>
      <c r="AF40" s="17">
        <v>0</v>
      </c>
      <c r="AG40" s="15">
        <f t="shared" si="18"/>
        <v>0</v>
      </c>
      <c r="AH40" s="17">
        <v>0</v>
      </c>
      <c r="AI40" s="17">
        <v>0</v>
      </c>
      <c r="AJ40" s="15">
        <f t="shared" si="19"/>
        <v>0</v>
      </c>
      <c r="AK40" s="17">
        <v>0</v>
      </c>
      <c r="AL40" s="17">
        <v>0</v>
      </c>
      <c r="AM40" s="15">
        <f t="shared" si="20"/>
        <v>0</v>
      </c>
      <c r="AN40" s="17"/>
    </row>
    <row r="41" spans="1:40" x14ac:dyDescent="0.3">
      <c r="A41" s="15" t="s">
        <v>129</v>
      </c>
      <c r="B41" s="15">
        <v>0</v>
      </c>
      <c r="C41" s="15" t="s">
        <v>128</v>
      </c>
      <c r="D41" s="15" t="s">
        <v>55</v>
      </c>
      <c r="E41" s="69" cm="1">
        <f t="array" ref="E41">MAX(0,IFERROR(_xlfn.XLOOKUP($A41&amp;"|"&amp;$B41&amp;"|"&amp;$D41,'29-AUGUST-2026'!$A$3:$A$197&amp;"|"&amp;'29-AUGUST-2026'!$B$3:$B$197&amp;"|"&amp;'29-AUGUST-2026'!$D$3:$D$197,'29-AUGUST-2026'!$Y$3:$Y$197,_xlfn.XLOOKUP($A41&amp;"|"&amp;$B41,'29-AUGUST-2026'!$A$3:$A$197&amp;"|"&amp;'29-AUGUST-2026'!$B$3:$B$197,'29-AUGUST-2026'!$Y$3:$Y$197,0)),0))</f>
        <v>45</v>
      </c>
      <c r="F41" s="69" cm="1">
        <f t="array" ref="F41">MAX(0,IFERROR(_xlfn.XLOOKUP($A41&amp;"|"&amp;$B41&amp;"|"&amp;$D41,'29-AUGUST-2026'!$A$3:$A$197&amp;"|"&amp;'29-AUGUST-2026'!$B$3:$B$197&amp;"|"&amp;'29-AUGUST-2026'!$D$3:$D$197,'29-AUGUST-2026'!$Z$3:$Z$197,_xlfn.XLOOKUP($A41&amp;"|"&amp;$B41,'29-AUGUST-2026'!$A$3:$A$197&amp;"|"&amp;'29-AUGUST-2026'!$B$3:$B$197,'29-AUGUST-2026'!$Z$3:$Z$197,0)),0))</f>
        <v>4</v>
      </c>
      <c r="G41" s="15">
        <f t="shared" si="13"/>
        <v>49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20">
        <v>0</v>
      </c>
      <c r="S41" s="20">
        <v>0</v>
      </c>
      <c r="T41" s="20">
        <v>0</v>
      </c>
      <c r="U41" s="17"/>
      <c r="V41" s="17"/>
      <c r="W41" s="20">
        <f t="shared" si="14"/>
        <v>0</v>
      </c>
      <c r="X41" s="21">
        <f t="shared" si="2"/>
        <v>49</v>
      </c>
      <c r="Y41" s="15">
        <f t="shared" si="15"/>
        <v>45</v>
      </c>
      <c r="Z41" s="15">
        <f t="shared" si="16"/>
        <v>4</v>
      </c>
      <c r="AA41" s="18" t="str">
        <f>IF($A41="","",IF(AND($W41&gt;0,$V41=""),"IMPORT NEEDS DESTINATION",IF(MIN($Y41,$Z41)&lt;0,"NEGATIVE STOCK - CHECK ENTRIES","")))</f>
        <v/>
      </c>
      <c r="AB41" s="17">
        <v>0</v>
      </c>
      <c r="AC41" s="17">
        <v>0</v>
      </c>
      <c r="AD41" s="15">
        <f t="shared" si="17"/>
        <v>0</v>
      </c>
      <c r="AE41" s="17">
        <v>0</v>
      </c>
      <c r="AF41" s="17">
        <v>0</v>
      </c>
      <c r="AG41" s="15">
        <f t="shared" si="18"/>
        <v>0</v>
      </c>
      <c r="AH41" s="17">
        <v>0</v>
      </c>
      <c r="AI41" s="17">
        <v>0</v>
      </c>
      <c r="AJ41" s="15">
        <f t="shared" si="19"/>
        <v>0</v>
      </c>
      <c r="AK41" s="17">
        <v>0</v>
      </c>
      <c r="AL41" s="17">
        <v>0</v>
      </c>
      <c r="AM41" s="15">
        <f t="shared" si="20"/>
        <v>0</v>
      </c>
      <c r="AN41" s="17"/>
    </row>
    <row r="42" spans="1:40" x14ac:dyDescent="0.3">
      <c r="A42" s="15" t="s">
        <v>130</v>
      </c>
      <c r="B42" s="15">
        <v>100</v>
      </c>
      <c r="C42" s="15" t="s">
        <v>54</v>
      </c>
      <c r="D42" s="15" t="s">
        <v>55</v>
      </c>
      <c r="E42" s="69" cm="1">
        <f t="array" ref="E42">MAX(0,IFERROR(_xlfn.XLOOKUP($A42&amp;"|"&amp;$B42&amp;"|"&amp;$D42,'29-AUGUST-2026'!$A$3:$A$197&amp;"|"&amp;'29-AUGUST-2026'!$B$3:$B$197&amp;"|"&amp;'29-AUGUST-2026'!$D$3:$D$197,'29-AUGUST-2026'!$Y$3:$Y$197,_xlfn.XLOOKUP($A42&amp;"|"&amp;$B42,'29-AUGUST-2026'!$A$3:$A$197&amp;"|"&amp;'29-AUGUST-2026'!$B$3:$B$197,'29-AUGUST-2026'!$Y$3:$Y$197,0)),0))</f>
        <v>113</v>
      </c>
      <c r="F42" s="69" cm="1">
        <f t="array" ref="F42">MAX(0,IFERROR(_xlfn.XLOOKUP($A42&amp;"|"&amp;$B42&amp;"|"&amp;$D42,'29-AUGUST-2026'!$A$3:$A$197&amp;"|"&amp;'29-AUGUST-2026'!$B$3:$B$197&amp;"|"&amp;'29-AUGUST-2026'!$D$3:$D$197,'29-AUGUST-2026'!$Z$3:$Z$197,_xlfn.XLOOKUP($A42&amp;"|"&amp;$B42,'29-AUGUST-2026'!$A$3:$A$197&amp;"|"&amp;'29-AUGUST-2026'!$B$3:$B$197,'29-AUGUST-2026'!$Z$3:$Z$197,0)),0))</f>
        <v>111</v>
      </c>
      <c r="G42" s="15">
        <f t="shared" si="13"/>
        <v>224</v>
      </c>
      <c r="H42" s="17">
        <v>0</v>
      </c>
      <c r="I42" s="17">
        <v>0</v>
      </c>
      <c r="J42" s="17">
        <v>0</v>
      </c>
      <c r="K42" s="17">
        <v>4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20">
        <v>0</v>
      </c>
      <c r="S42" s="20">
        <v>0</v>
      </c>
      <c r="T42" s="20">
        <v>0</v>
      </c>
      <c r="U42" s="17"/>
      <c r="V42" s="17"/>
      <c r="W42" s="20">
        <f t="shared" si="14"/>
        <v>0</v>
      </c>
      <c r="X42" s="21">
        <f t="shared" si="2"/>
        <v>220</v>
      </c>
      <c r="Y42" s="15">
        <f t="shared" si="15"/>
        <v>109</v>
      </c>
      <c r="Z42" s="15">
        <f t="shared" si="16"/>
        <v>111</v>
      </c>
      <c r="AA42" s="18" t="str">
        <f>IF($A42="","",IF(AND($W42&gt;0,$V42=""),"IMPORT NEEDS DESTINATION",IF(MIN($Y42,$Z42)&lt;0,"NEGATIVE STOCK - CHECK ENTRIES","")))</f>
        <v/>
      </c>
      <c r="AB42" s="17">
        <v>0</v>
      </c>
      <c r="AC42" s="17">
        <v>0</v>
      </c>
      <c r="AD42" s="15">
        <f t="shared" si="17"/>
        <v>0</v>
      </c>
      <c r="AE42" s="17">
        <v>4</v>
      </c>
      <c r="AF42" s="17">
        <v>0</v>
      </c>
      <c r="AG42" s="15">
        <f t="shared" si="18"/>
        <v>4</v>
      </c>
      <c r="AH42" s="17">
        <v>0</v>
      </c>
      <c r="AI42" s="17">
        <v>0</v>
      </c>
      <c r="AJ42" s="15">
        <f t="shared" si="19"/>
        <v>0</v>
      </c>
      <c r="AK42" s="17">
        <v>0</v>
      </c>
      <c r="AL42" s="17">
        <v>0</v>
      </c>
      <c r="AM42" s="15">
        <f t="shared" si="20"/>
        <v>0</v>
      </c>
      <c r="AN42" s="17"/>
    </row>
    <row r="43" spans="1:40" x14ac:dyDescent="0.3">
      <c r="A43" s="15" t="s">
        <v>131</v>
      </c>
      <c r="B43" s="15">
        <v>500</v>
      </c>
      <c r="C43" s="15" t="s">
        <v>54</v>
      </c>
      <c r="D43" s="15" t="s">
        <v>55</v>
      </c>
      <c r="E43" s="69" cm="1">
        <f t="array" ref="E43">MAX(0,IFERROR(_xlfn.XLOOKUP($A43&amp;"|"&amp;$B43&amp;"|"&amp;$D43,'29-AUGUST-2026'!$A$3:$A$197&amp;"|"&amp;'29-AUGUST-2026'!$B$3:$B$197&amp;"|"&amp;'29-AUGUST-2026'!$D$3:$D$197,'29-AUGUST-2026'!$Y$3:$Y$197,_xlfn.XLOOKUP($A43&amp;"|"&amp;$B43,'29-AUGUST-2026'!$A$3:$A$197&amp;"|"&amp;'29-AUGUST-2026'!$B$3:$B$197,'29-AUGUST-2026'!$Y$3:$Y$197,0)),0))</f>
        <v>6</v>
      </c>
      <c r="F43" s="69" cm="1">
        <f t="array" ref="F43">MAX(0,IFERROR(_xlfn.XLOOKUP($A43&amp;"|"&amp;$B43&amp;"|"&amp;$D43,'29-AUGUST-2026'!$A$3:$A$197&amp;"|"&amp;'29-AUGUST-2026'!$B$3:$B$197&amp;"|"&amp;'29-AUGUST-2026'!$D$3:$D$197,'29-AUGUST-2026'!$Z$3:$Z$197,_xlfn.XLOOKUP($A43&amp;"|"&amp;$B43,'29-AUGUST-2026'!$A$3:$A$197&amp;"|"&amp;'29-AUGUST-2026'!$B$3:$B$197,'29-AUGUST-2026'!$Z$3:$Z$197,0)),0))</f>
        <v>0</v>
      </c>
      <c r="G43" s="15">
        <f t="shared" si="13"/>
        <v>6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20">
        <v>0</v>
      </c>
      <c r="S43" s="20">
        <v>0</v>
      </c>
      <c r="T43" s="20">
        <v>0</v>
      </c>
      <c r="U43" s="17"/>
      <c r="V43" s="17"/>
      <c r="W43" s="20">
        <f t="shared" si="14"/>
        <v>0</v>
      </c>
      <c r="X43" s="21">
        <f t="shared" si="2"/>
        <v>6</v>
      </c>
      <c r="Y43" s="15">
        <f t="shared" si="15"/>
        <v>6</v>
      </c>
      <c r="Z43" s="15">
        <f t="shared" si="16"/>
        <v>0</v>
      </c>
      <c r="AA43" s="18" t="str">
        <f>IF($A43="","",IF(AND($W43&gt;0,$V43=""),"IMPORT NEEDS DESTINATION",IF(MIN($Y43,$Z43)&lt;0,"NEGATIVE STOCK - CHECK ENTRIES","")))</f>
        <v/>
      </c>
      <c r="AB43" s="17">
        <v>0</v>
      </c>
      <c r="AC43" s="17">
        <v>0</v>
      </c>
      <c r="AD43" s="15">
        <f t="shared" si="17"/>
        <v>0</v>
      </c>
      <c r="AE43" s="17">
        <v>0</v>
      </c>
      <c r="AF43" s="17">
        <v>0</v>
      </c>
      <c r="AG43" s="15">
        <f t="shared" si="18"/>
        <v>0</v>
      </c>
      <c r="AH43" s="17">
        <v>0</v>
      </c>
      <c r="AI43" s="17">
        <v>0</v>
      </c>
      <c r="AJ43" s="15">
        <f t="shared" si="19"/>
        <v>0</v>
      </c>
      <c r="AK43" s="17">
        <v>0</v>
      </c>
      <c r="AL43" s="17">
        <v>0</v>
      </c>
      <c r="AM43" s="15">
        <f t="shared" si="20"/>
        <v>0</v>
      </c>
      <c r="AN43" s="17"/>
    </row>
    <row r="44" spans="1:40" x14ac:dyDescent="0.3">
      <c r="A44" s="15" t="s">
        <v>132</v>
      </c>
      <c r="B44" s="15">
        <v>100</v>
      </c>
      <c r="C44" s="15" t="s">
        <v>54</v>
      </c>
      <c r="D44" s="15" t="s">
        <v>55</v>
      </c>
      <c r="E44" s="69" cm="1">
        <f t="array" ref="E44">MAX(0,IFERROR(_xlfn.XLOOKUP($A44&amp;"|"&amp;$B44&amp;"|"&amp;$D44,'29-AUGUST-2026'!$A$3:$A$197&amp;"|"&amp;'29-AUGUST-2026'!$B$3:$B$197&amp;"|"&amp;'29-AUGUST-2026'!$D$3:$D$197,'29-AUGUST-2026'!$Y$3:$Y$197,_xlfn.XLOOKUP($A44&amp;"|"&amp;$B44,'29-AUGUST-2026'!$A$3:$A$197&amp;"|"&amp;'29-AUGUST-2026'!$B$3:$B$197,'29-AUGUST-2026'!$Y$3:$Y$197,0)),0))</f>
        <v>98</v>
      </c>
      <c r="F44" s="69" cm="1">
        <f t="array" ref="F44">MAX(0,IFERROR(_xlfn.XLOOKUP($A44&amp;"|"&amp;$B44&amp;"|"&amp;$D44,'29-AUGUST-2026'!$A$3:$A$197&amp;"|"&amp;'29-AUGUST-2026'!$B$3:$B$197&amp;"|"&amp;'29-AUGUST-2026'!$D$3:$D$197,'29-AUGUST-2026'!$Z$3:$Z$197,_xlfn.XLOOKUP($A44&amp;"|"&amp;$B44,'29-AUGUST-2026'!$A$3:$A$197&amp;"|"&amp;'29-AUGUST-2026'!$B$3:$B$197,'29-AUGUST-2026'!$Z$3:$Z$197,0)),0))</f>
        <v>279</v>
      </c>
      <c r="G44" s="15">
        <f t="shared" si="13"/>
        <v>377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20">
        <v>0</v>
      </c>
      <c r="S44" s="20">
        <v>0</v>
      </c>
      <c r="T44" s="20">
        <v>0</v>
      </c>
      <c r="U44" s="17"/>
      <c r="V44" s="17"/>
      <c r="W44" s="20">
        <f t="shared" si="14"/>
        <v>0</v>
      </c>
      <c r="X44" s="21">
        <f t="shared" si="2"/>
        <v>377</v>
      </c>
      <c r="Y44" s="15">
        <f t="shared" si="15"/>
        <v>98</v>
      </c>
      <c r="Z44" s="15">
        <f t="shared" si="16"/>
        <v>279</v>
      </c>
      <c r="AA44" s="18" t="str">
        <f>IF($A44="","",IF(AND($W44&gt;0,$V44=""),"IMPORT NEEDS DESTINATION",IF(MIN($Y44,$Z44)&lt;0,"NEGATIVE STOCK - CHECK ENTRIES","")))</f>
        <v/>
      </c>
      <c r="AB44" s="17">
        <v>0</v>
      </c>
      <c r="AC44" s="17">
        <v>0</v>
      </c>
      <c r="AD44" s="15">
        <f t="shared" si="17"/>
        <v>0</v>
      </c>
      <c r="AE44" s="17">
        <v>0</v>
      </c>
      <c r="AF44" s="17">
        <v>0</v>
      </c>
      <c r="AG44" s="15">
        <f t="shared" si="18"/>
        <v>0</v>
      </c>
      <c r="AH44" s="17">
        <v>0</v>
      </c>
      <c r="AI44" s="17">
        <v>0</v>
      </c>
      <c r="AJ44" s="15">
        <f t="shared" si="19"/>
        <v>0</v>
      </c>
      <c r="AK44" s="17">
        <v>0</v>
      </c>
      <c r="AL44" s="17">
        <v>0</v>
      </c>
      <c r="AM44" s="15">
        <f t="shared" si="20"/>
        <v>0</v>
      </c>
      <c r="AN44" s="17"/>
    </row>
    <row r="45" spans="1:40" x14ac:dyDescent="0.3">
      <c r="A45" s="15" t="s">
        <v>133</v>
      </c>
      <c r="B45" s="15">
        <v>1000</v>
      </c>
      <c r="C45" s="15" t="s">
        <v>54</v>
      </c>
      <c r="D45" s="15" t="s">
        <v>55</v>
      </c>
      <c r="E45" s="69" cm="1">
        <f t="array" ref="E45">MAX(0,IFERROR(_xlfn.XLOOKUP($A45&amp;"|"&amp;$B45&amp;"|"&amp;$D45,'29-AUGUST-2026'!$A$3:$A$197&amp;"|"&amp;'29-AUGUST-2026'!$B$3:$B$197&amp;"|"&amp;'29-AUGUST-2026'!$D$3:$D$197,'29-AUGUST-2026'!$Y$3:$Y$197,_xlfn.XLOOKUP($A45&amp;"|"&amp;$B45,'29-AUGUST-2026'!$A$3:$A$197&amp;"|"&amp;'29-AUGUST-2026'!$B$3:$B$197,'29-AUGUST-2026'!$Y$3:$Y$197,0)),0))</f>
        <v>0</v>
      </c>
      <c r="F45" s="69" cm="1">
        <f t="array" ref="F45">MAX(0,IFERROR(_xlfn.XLOOKUP($A45&amp;"|"&amp;$B45&amp;"|"&amp;$D45,'29-AUGUST-2026'!$A$3:$A$197&amp;"|"&amp;'29-AUGUST-2026'!$B$3:$B$197&amp;"|"&amp;'29-AUGUST-2026'!$D$3:$D$197,'29-AUGUST-2026'!$Z$3:$Z$197,_xlfn.XLOOKUP($A45&amp;"|"&amp;$B45,'29-AUGUST-2026'!$A$3:$A$197&amp;"|"&amp;'29-AUGUST-2026'!$B$3:$B$197,'29-AUGUST-2026'!$Z$3:$Z$197,0)),0))</f>
        <v>0</v>
      </c>
      <c r="G45" s="15">
        <f t="shared" si="13"/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20">
        <v>0</v>
      </c>
      <c r="S45" s="20">
        <v>0</v>
      </c>
      <c r="T45" s="20">
        <v>0</v>
      </c>
      <c r="U45" s="17"/>
      <c r="V45" s="17"/>
      <c r="W45" s="20">
        <f t="shared" si="14"/>
        <v>0</v>
      </c>
      <c r="X45" s="21">
        <v>0</v>
      </c>
      <c r="Y45" s="15">
        <f t="shared" si="15"/>
        <v>0</v>
      </c>
      <c r="Z45" s="15">
        <f t="shared" si="16"/>
        <v>0</v>
      </c>
      <c r="AA45" s="18" t="str">
        <f>IF($A45="","",IF(AND($W45&gt;0,$V45=""),"IMPORT NEEDS DESTINATION",IF(MIN($Y45,$Z45)&lt;0,"NEGATIVE STOCK - CHECK ENTRIES","")))</f>
        <v/>
      </c>
      <c r="AB45" s="17">
        <v>0</v>
      </c>
      <c r="AC45" s="17">
        <v>0</v>
      </c>
      <c r="AD45" s="15">
        <f t="shared" si="17"/>
        <v>0</v>
      </c>
      <c r="AE45" s="17">
        <v>0</v>
      </c>
      <c r="AF45" s="17">
        <v>0</v>
      </c>
      <c r="AG45" s="15">
        <f t="shared" si="18"/>
        <v>0</v>
      </c>
      <c r="AH45" s="17">
        <v>0</v>
      </c>
      <c r="AI45" s="17">
        <v>0</v>
      </c>
      <c r="AJ45" s="15">
        <f t="shared" si="19"/>
        <v>0</v>
      </c>
      <c r="AK45" s="17">
        <v>0</v>
      </c>
      <c r="AL45" s="17">
        <v>0</v>
      </c>
      <c r="AM45" s="15">
        <f t="shared" si="20"/>
        <v>0</v>
      </c>
      <c r="AN45" s="17"/>
    </row>
    <row r="46" spans="1:40" x14ac:dyDescent="0.3">
      <c r="A46" s="15" t="s">
        <v>141</v>
      </c>
      <c r="B46" s="15">
        <v>1000</v>
      </c>
      <c r="C46" s="15" t="s">
        <v>54</v>
      </c>
      <c r="D46" s="15" t="s">
        <v>55</v>
      </c>
      <c r="E46" s="69" cm="1">
        <f t="array" ref="E46">MAX(0,IFERROR(_xlfn.XLOOKUP($A46&amp;"|"&amp;$B46&amp;"|"&amp;$D46,'29-AUGUST-2026'!$A$3:$A$197&amp;"|"&amp;'29-AUGUST-2026'!$B$3:$B$197&amp;"|"&amp;'29-AUGUST-2026'!$D$3:$D$197,'29-AUGUST-2026'!$Y$3:$Y$197,_xlfn.XLOOKUP($A46&amp;"|"&amp;$B46,'29-AUGUST-2026'!$A$3:$A$197&amp;"|"&amp;'29-AUGUST-2026'!$B$3:$B$197,'29-AUGUST-2026'!$Y$3:$Y$197,0)),0))</f>
        <v>4</v>
      </c>
      <c r="F46" s="69" cm="1">
        <f t="array" ref="F46">MAX(0,IFERROR(_xlfn.XLOOKUP($A46&amp;"|"&amp;$B46&amp;"|"&amp;$D46,'29-AUGUST-2026'!$A$3:$A$197&amp;"|"&amp;'29-AUGUST-2026'!$B$3:$B$197&amp;"|"&amp;'29-AUGUST-2026'!$D$3:$D$197,'29-AUGUST-2026'!$Z$3:$Z$197,_xlfn.XLOOKUP($A46&amp;"|"&amp;$B46,'29-AUGUST-2026'!$A$3:$A$197&amp;"|"&amp;'29-AUGUST-2026'!$B$3:$B$197,'29-AUGUST-2026'!$Z$3:$Z$197,0)),0))</f>
        <v>0</v>
      </c>
      <c r="G46" s="15">
        <f t="shared" si="13"/>
        <v>4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20">
        <v>0</v>
      </c>
      <c r="S46" s="20">
        <v>0</v>
      </c>
      <c r="T46" s="20">
        <v>0</v>
      </c>
      <c r="U46" s="17"/>
      <c r="V46" s="17"/>
      <c r="W46" s="20">
        <f t="shared" si="14"/>
        <v>0</v>
      </c>
      <c r="X46" s="21">
        <f t="shared" ref="X46:X77" si="21">Y46+Z46</f>
        <v>4</v>
      </c>
      <c r="Y46" s="15">
        <f t="shared" si="15"/>
        <v>4</v>
      </c>
      <c r="Z46" s="15">
        <f t="shared" si="16"/>
        <v>0</v>
      </c>
      <c r="AA46" s="18" t="str">
        <f>IF($A46="","",IF(AND($W46&gt;0,$V46=""),"IMPORT NEEDS DESTINATION",IF(MIN($Y46,$Z46)&lt;0,"NEGATIVE STOCK - CHECK ENTRIES","")))</f>
        <v/>
      </c>
      <c r="AB46" s="17">
        <v>0</v>
      </c>
      <c r="AC46" s="17">
        <v>0</v>
      </c>
      <c r="AD46" s="15">
        <f t="shared" si="17"/>
        <v>0</v>
      </c>
      <c r="AE46" s="17">
        <v>0</v>
      </c>
      <c r="AF46" s="17">
        <v>0</v>
      </c>
      <c r="AG46" s="15">
        <f t="shared" si="18"/>
        <v>0</v>
      </c>
      <c r="AH46" s="17">
        <v>0</v>
      </c>
      <c r="AI46" s="17">
        <v>0</v>
      </c>
      <c r="AJ46" s="15">
        <f t="shared" si="19"/>
        <v>0</v>
      </c>
      <c r="AK46" s="17">
        <v>0</v>
      </c>
      <c r="AL46" s="17">
        <v>0</v>
      </c>
      <c r="AM46" s="15">
        <f t="shared" si="20"/>
        <v>0</v>
      </c>
      <c r="AN46" s="17"/>
    </row>
    <row r="47" spans="1:40" x14ac:dyDescent="0.3">
      <c r="A47" s="15" t="s">
        <v>142</v>
      </c>
      <c r="B47" s="15">
        <v>100</v>
      </c>
      <c r="C47" s="15" t="s">
        <v>54</v>
      </c>
      <c r="D47" s="15" t="s">
        <v>55</v>
      </c>
      <c r="E47" s="69" cm="1">
        <f t="array" ref="E47">MAX(0,IFERROR(_xlfn.XLOOKUP($A47&amp;"|"&amp;$B47&amp;"|"&amp;$D47,'29-AUGUST-2026'!$A$3:$A$197&amp;"|"&amp;'29-AUGUST-2026'!$B$3:$B$197&amp;"|"&amp;'29-AUGUST-2026'!$D$3:$D$197,'29-AUGUST-2026'!$Y$3:$Y$197,_xlfn.XLOOKUP($A47&amp;"|"&amp;$B47,'29-AUGUST-2026'!$A$3:$A$197&amp;"|"&amp;'29-AUGUST-2026'!$B$3:$B$197,'29-AUGUST-2026'!$Y$3:$Y$197,0)),0))</f>
        <v>1</v>
      </c>
      <c r="F47" s="69" cm="1">
        <f t="array" ref="F47">MAX(0,IFERROR(_xlfn.XLOOKUP($A47&amp;"|"&amp;$B47&amp;"|"&amp;$D47,'29-AUGUST-2026'!$A$3:$A$197&amp;"|"&amp;'29-AUGUST-2026'!$B$3:$B$197&amp;"|"&amp;'29-AUGUST-2026'!$D$3:$D$197,'29-AUGUST-2026'!$Z$3:$Z$197,_xlfn.XLOOKUP($A47&amp;"|"&amp;$B47,'29-AUGUST-2026'!$A$3:$A$197&amp;"|"&amp;'29-AUGUST-2026'!$B$3:$B$197,'29-AUGUST-2026'!$Z$3:$Z$197,0)),0))</f>
        <v>0</v>
      </c>
      <c r="G47" s="15">
        <f t="shared" si="13"/>
        <v>1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20">
        <v>0</v>
      </c>
      <c r="S47" s="20">
        <v>0</v>
      </c>
      <c r="T47" s="20">
        <v>0</v>
      </c>
      <c r="U47" s="17"/>
      <c r="V47" s="17"/>
      <c r="W47" s="20">
        <f t="shared" si="14"/>
        <v>0</v>
      </c>
      <c r="X47" s="21">
        <f t="shared" si="21"/>
        <v>1</v>
      </c>
      <c r="Y47" s="15">
        <f t="shared" si="15"/>
        <v>1</v>
      </c>
      <c r="Z47" s="15">
        <f t="shared" si="16"/>
        <v>0</v>
      </c>
      <c r="AA47" s="18" t="str">
        <f>IF($A47="","",IF(AND($W47&gt;0,$V47=""),"IMPORT NEEDS DESTINATION",IF(MIN($Y47,$Z47)&lt;0,"NEGATIVE STOCK - CHECK ENTRIES","")))</f>
        <v/>
      </c>
      <c r="AB47" s="17">
        <v>0</v>
      </c>
      <c r="AC47" s="17">
        <v>0</v>
      </c>
      <c r="AD47" s="15">
        <f t="shared" si="17"/>
        <v>0</v>
      </c>
      <c r="AE47" s="17">
        <v>0</v>
      </c>
      <c r="AF47" s="17">
        <v>0</v>
      </c>
      <c r="AG47" s="15">
        <f t="shared" si="18"/>
        <v>0</v>
      </c>
      <c r="AH47" s="17">
        <v>0</v>
      </c>
      <c r="AI47" s="17">
        <v>0</v>
      </c>
      <c r="AJ47" s="15">
        <f t="shared" si="19"/>
        <v>0</v>
      </c>
      <c r="AK47" s="17">
        <v>0</v>
      </c>
      <c r="AL47" s="17">
        <v>0</v>
      </c>
      <c r="AM47" s="15">
        <f t="shared" si="20"/>
        <v>0</v>
      </c>
      <c r="AN47" s="17"/>
    </row>
    <row r="48" spans="1:40" x14ac:dyDescent="0.3">
      <c r="A48" s="15" t="s">
        <v>147</v>
      </c>
      <c r="B48" s="15">
        <v>1000</v>
      </c>
      <c r="C48" s="15" t="s">
        <v>54</v>
      </c>
      <c r="D48" s="15" t="s">
        <v>55</v>
      </c>
      <c r="E48" s="69" cm="1">
        <f t="array" ref="E48">MAX(0,IFERROR(_xlfn.XLOOKUP($A48&amp;"|"&amp;$B48&amp;"|"&amp;$D48,'29-AUGUST-2026'!$A$3:$A$197&amp;"|"&amp;'29-AUGUST-2026'!$B$3:$B$197&amp;"|"&amp;'29-AUGUST-2026'!$D$3:$D$197,'29-AUGUST-2026'!$Y$3:$Y$197,_xlfn.XLOOKUP($A48&amp;"|"&amp;$B48,'29-AUGUST-2026'!$A$3:$A$197&amp;"|"&amp;'29-AUGUST-2026'!$B$3:$B$197,'29-AUGUST-2026'!$Y$3:$Y$197,0)),0))</f>
        <v>26</v>
      </c>
      <c r="F48" s="69" cm="1">
        <f t="array" ref="F48">MAX(0,IFERROR(_xlfn.XLOOKUP($A48&amp;"|"&amp;$B48&amp;"|"&amp;$D48,'29-AUGUST-2026'!$A$3:$A$197&amp;"|"&amp;'29-AUGUST-2026'!$B$3:$B$197&amp;"|"&amp;'29-AUGUST-2026'!$D$3:$D$197,'29-AUGUST-2026'!$Z$3:$Z$197,_xlfn.XLOOKUP($A48&amp;"|"&amp;$B48,'29-AUGUST-2026'!$A$3:$A$197&amp;"|"&amp;'29-AUGUST-2026'!$B$3:$B$197,'29-AUGUST-2026'!$Z$3:$Z$197,0)),0))</f>
        <v>0</v>
      </c>
      <c r="G48" s="15">
        <f t="shared" si="13"/>
        <v>26</v>
      </c>
      <c r="H48" s="17">
        <v>0</v>
      </c>
      <c r="I48" s="17">
        <v>0</v>
      </c>
      <c r="J48" s="17">
        <v>0</v>
      </c>
      <c r="K48" s="17">
        <v>3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20">
        <v>0</v>
      </c>
      <c r="S48" s="20">
        <v>0</v>
      </c>
      <c r="T48" s="20">
        <v>0</v>
      </c>
      <c r="U48" s="17"/>
      <c r="V48" s="17"/>
      <c r="W48" s="20">
        <f t="shared" si="14"/>
        <v>0</v>
      </c>
      <c r="X48" s="21">
        <f t="shared" si="21"/>
        <v>23</v>
      </c>
      <c r="Y48" s="15">
        <f t="shared" si="15"/>
        <v>23</v>
      </c>
      <c r="Z48" s="15">
        <f t="shared" si="16"/>
        <v>0</v>
      </c>
      <c r="AA48" s="18" t="str">
        <f>IF($A48="","",IF(AND($W48&gt;0,$V48=""),"IMPORT NEEDS DESTINATION",IF(MIN($Y48,$Z48)&lt;0,"NEGATIVE STOCK - CHECK ENTRIES","")))</f>
        <v/>
      </c>
      <c r="AB48" s="17">
        <v>3</v>
      </c>
      <c r="AC48" s="17">
        <v>0</v>
      </c>
      <c r="AD48" s="15">
        <f t="shared" si="17"/>
        <v>3</v>
      </c>
      <c r="AE48" s="17">
        <v>0</v>
      </c>
      <c r="AF48" s="17">
        <v>0</v>
      </c>
      <c r="AG48" s="15">
        <f t="shared" si="18"/>
        <v>0</v>
      </c>
      <c r="AH48" s="17">
        <v>0</v>
      </c>
      <c r="AI48" s="17">
        <v>0</v>
      </c>
      <c r="AJ48" s="15">
        <f t="shared" si="19"/>
        <v>0</v>
      </c>
      <c r="AK48" s="17">
        <v>0</v>
      </c>
      <c r="AL48" s="17">
        <v>0</v>
      </c>
      <c r="AM48" s="15">
        <f t="shared" si="20"/>
        <v>0</v>
      </c>
      <c r="AN48" s="17"/>
    </row>
    <row r="49" spans="1:40" x14ac:dyDescent="0.3">
      <c r="A49" s="15" t="s">
        <v>149</v>
      </c>
      <c r="B49" s="15">
        <v>250</v>
      </c>
      <c r="C49" s="15" t="s">
        <v>54</v>
      </c>
      <c r="D49" s="15" t="s">
        <v>55</v>
      </c>
      <c r="E49" s="69" cm="1">
        <f t="array" ref="E49">MAX(0,IFERROR(_xlfn.XLOOKUP($A49&amp;"|"&amp;$B49&amp;"|"&amp;$D49,'29-AUGUST-2026'!$A$3:$A$197&amp;"|"&amp;'29-AUGUST-2026'!$B$3:$B$197&amp;"|"&amp;'29-AUGUST-2026'!$D$3:$D$197,'29-AUGUST-2026'!$Y$3:$Y$197,_xlfn.XLOOKUP($A49&amp;"|"&amp;$B49,'29-AUGUST-2026'!$A$3:$A$197&amp;"|"&amp;'29-AUGUST-2026'!$B$3:$B$197,'29-AUGUST-2026'!$Y$3:$Y$197,0)),0))</f>
        <v>1</v>
      </c>
      <c r="F49" s="69" cm="1">
        <f t="array" ref="F49">MAX(0,IFERROR(_xlfn.XLOOKUP($A49&amp;"|"&amp;$B49&amp;"|"&amp;$D49,'29-AUGUST-2026'!$A$3:$A$197&amp;"|"&amp;'29-AUGUST-2026'!$B$3:$B$197&amp;"|"&amp;'29-AUGUST-2026'!$D$3:$D$197,'29-AUGUST-2026'!$Z$3:$Z$197,_xlfn.XLOOKUP($A49&amp;"|"&amp;$B49,'29-AUGUST-2026'!$A$3:$A$197&amp;"|"&amp;'29-AUGUST-2026'!$B$3:$B$197,'29-AUGUST-2026'!$Z$3:$Z$197,0)),0))</f>
        <v>0</v>
      </c>
      <c r="G49" s="15">
        <f t="shared" si="13"/>
        <v>1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20">
        <v>0</v>
      </c>
      <c r="S49" s="20">
        <v>0</v>
      </c>
      <c r="T49" s="20">
        <v>0</v>
      </c>
      <c r="U49" s="17"/>
      <c r="V49" s="17"/>
      <c r="W49" s="20">
        <f t="shared" si="14"/>
        <v>0</v>
      </c>
      <c r="X49" s="21">
        <f t="shared" si="21"/>
        <v>1</v>
      </c>
      <c r="Y49" s="15">
        <f t="shared" si="15"/>
        <v>1</v>
      </c>
      <c r="Z49" s="15">
        <f t="shared" si="16"/>
        <v>0</v>
      </c>
      <c r="AA49" s="18" t="str">
        <f>IF($A49="","",IF(AND($W49&gt;0,$V49=""),"IMPORT NEEDS DESTINATION",IF(MIN($Y49,$Z49)&lt;0,"NEGATIVE STOCK - CHECK ENTRIES","")))</f>
        <v/>
      </c>
      <c r="AB49" s="17">
        <v>0</v>
      </c>
      <c r="AC49" s="17">
        <v>0</v>
      </c>
      <c r="AD49" s="15">
        <f t="shared" si="17"/>
        <v>0</v>
      </c>
      <c r="AE49" s="17">
        <v>0</v>
      </c>
      <c r="AF49" s="17">
        <v>0</v>
      </c>
      <c r="AG49" s="15">
        <f t="shared" si="18"/>
        <v>0</v>
      </c>
      <c r="AH49" s="17">
        <v>0</v>
      </c>
      <c r="AI49" s="17">
        <v>0</v>
      </c>
      <c r="AJ49" s="15">
        <f t="shared" si="19"/>
        <v>0</v>
      </c>
      <c r="AK49" s="17">
        <v>0</v>
      </c>
      <c r="AL49" s="17">
        <v>0</v>
      </c>
      <c r="AM49" s="15">
        <f t="shared" si="20"/>
        <v>0</v>
      </c>
      <c r="AN49" s="17"/>
    </row>
    <row r="50" spans="1:40" x14ac:dyDescent="0.3">
      <c r="A50" s="15" t="s">
        <v>154</v>
      </c>
      <c r="B50" s="15">
        <v>100</v>
      </c>
      <c r="C50" s="15" t="s">
        <v>54</v>
      </c>
      <c r="D50" s="15" t="s">
        <v>55</v>
      </c>
      <c r="E50" s="69" cm="1">
        <f t="array" ref="E50">MAX(0,IFERROR(_xlfn.XLOOKUP($A50&amp;"|"&amp;$B50&amp;"|"&amp;$D50,'29-AUGUST-2026'!$A$3:$A$197&amp;"|"&amp;'29-AUGUST-2026'!$B$3:$B$197&amp;"|"&amp;'29-AUGUST-2026'!$D$3:$D$197,'29-AUGUST-2026'!$Y$3:$Y$197,_xlfn.XLOOKUP($A50&amp;"|"&amp;$B50,'29-AUGUST-2026'!$A$3:$A$197&amp;"|"&amp;'29-AUGUST-2026'!$B$3:$B$197,'29-AUGUST-2026'!$Y$3:$Y$197,0)),0))</f>
        <v>57</v>
      </c>
      <c r="F50" s="69" cm="1">
        <f t="array" ref="F50">MAX(0,IFERROR(_xlfn.XLOOKUP($A50&amp;"|"&amp;$B50&amp;"|"&amp;$D50,'29-AUGUST-2026'!$A$3:$A$197&amp;"|"&amp;'29-AUGUST-2026'!$B$3:$B$197&amp;"|"&amp;'29-AUGUST-2026'!$D$3:$D$197,'29-AUGUST-2026'!$Z$3:$Z$197,_xlfn.XLOOKUP($A50&amp;"|"&amp;$B50,'29-AUGUST-2026'!$A$3:$A$197&amp;"|"&amp;'29-AUGUST-2026'!$B$3:$B$197,'29-AUGUST-2026'!$Z$3:$Z$197,0)),0))</f>
        <v>0</v>
      </c>
      <c r="G50" s="15">
        <f t="shared" si="13"/>
        <v>57</v>
      </c>
      <c r="H50" s="17">
        <v>0</v>
      </c>
      <c r="I50" s="17">
        <v>0</v>
      </c>
      <c r="J50" s="17">
        <v>0</v>
      </c>
      <c r="K50" s="17">
        <v>2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20">
        <v>0</v>
      </c>
      <c r="S50" s="20">
        <v>0</v>
      </c>
      <c r="T50" s="20">
        <v>0</v>
      </c>
      <c r="U50" s="17"/>
      <c r="V50" s="17"/>
      <c r="W50" s="20">
        <f t="shared" si="14"/>
        <v>0</v>
      </c>
      <c r="X50" s="21">
        <f t="shared" si="21"/>
        <v>55</v>
      </c>
      <c r="Y50" s="15">
        <f t="shared" si="15"/>
        <v>55</v>
      </c>
      <c r="Z50" s="15">
        <f t="shared" si="16"/>
        <v>0</v>
      </c>
      <c r="AA50" s="18" t="str">
        <f>IF($A50="","",IF(AND($W50&gt;0,$V50=""),"IMPORT NEEDS DESTINATION",IF(MIN($Y50,$Z50)&lt;0,"NEGATIVE STOCK - CHECK ENTRIES","")))</f>
        <v/>
      </c>
      <c r="AB50" s="17">
        <v>0</v>
      </c>
      <c r="AC50" s="17">
        <v>0</v>
      </c>
      <c r="AD50" s="15">
        <f t="shared" si="17"/>
        <v>0</v>
      </c>
      <c r="AE50" s="17">
        <v>2</v>
      </c>
      <c r="AF50" s="17">
        <v>0</v>
      </c>
      <c r="AG50" s="15">
        <f t="shared" si="18"/>
        <v>2</v>
      </c>
      <c r="AH50" s="17">
        <v>0</v>
      </c>
      <c r="AI50" s="17">
        <v>0</v>
      </c>
      <c r="AJ50" s="15">
        <f t="shared" si="19"/>
        <v>0</v>
      </c>
      <c r="AK50" s="17">
        <v>0</v>
      </c>
      <c r="AL50" s="17">
        <v>0</v>
      </c>
      <c r="AM50" s="15">
        <f t="shared" si="20"/>
        <v>0</v>
      </c>
      <c r="AN50" s="17"/>
    </row>
    <row r="51" spans="1:40" x14ac:dyDescent="0.3">
      <c r="A51" s="15" t="s">
        <v>158</v>
      </c>
      <c r="B51" s="15">
        <v>100</v>
      </c>
      <c r="C51" s="15" t="s">
        <v>54</v>
      </c>
      <c r="D51" s="15" t="s">
        <v>55</v>
      </c>
      <c r="E51" s="69" cm="1">
        <f t="array" ref="E51">MAX(0,IFERROR(_xlfn.XLOOKUP($A51&amp;"|"&amp;$B51&amp;"|"&amp;$D51,'29-AUGUST-2026'!$A$3:$A$197&amp;"|"&amp;'29-AUGUST-2026'!$B$3:$B$197&amp;"|"&amp;'29-AUGUST-2026'!$D$3:$D$197,'29-AUGUST-2026'!$Y$3:$Y$197,_xlfn.XLOOKUP($A51&amp;"|"&amp;$B51,'29-AUGUST-2026'!$A$3:$A$197&amp;"|"&amp;'29-AUGUST-2026'!$B$3:$B$197,'29-AUGUST-2026'!$Y$3:$Y$197,0)),0))</f>
        <v>29</v>
      </c>
      <c r="F51" s="69" cm="1">
        <f t="array" ref="F51">MAX(0,IFERROR(_xlfn.XLOOKUP($A51&amp;"|"&amp;$B51&amp;"|"&amp;$D51,'29-AUGUST-2026'!$A$3:$A$197&amp;"|"&amp;'29-AUGUST-2026'!$B$3:$B$197&amp;"|"&amp;'29-AUGUST-2026'!$D$3:$D$197,'29-AUGUST-2026'!$Z$3:$Z$197,_xlfn.XLOOKUP($A51&amp;"|"&amp;$B51,'29-AUGUST-2026'!$A$3:$A$197&amp;"|"&amp;'29-AUGUST-2026'!$B$3:$B$197,'29-AUGUST-2026'!$Z$3:$Z$197,0)),0))</f>
        <v>0</v>
      </c>
      <c r="G51" s="15">
        <f t="shared" si="13"/>
        <v>29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20">
        <v>0</v>
      </c>
      <c r="S51" s="20">
        <v>0</v>
      </c>
      <c r="T51" s="20">
        <v>0</v>
      </c>
      <c r="U51" s="17"/>
      <c r="V51" s="17"/>
      <c r="W51" s="20">
        <f t="shared" si="14"/>
        <v>0</v>
      </c>
      <c r="X51" s="21">
        <f t="shared" si="21"/>
        <v>29</v>
      </c>
      <c r="Y51" s="15">
        <f t="shared" si="15"/>
        <v>29</v>
      </c>
      <c r="Z51" s="15">
        <f t="shared" si="16"/>
        <v>0</v>
      </c>
      <c r="AA51" s="18" t="str">
        <f>IF($A51="","",IF(AND($W51&gt;0,$V51=""),"IMPORT NEEDS DESTINATION",IF(MIN($Y51,$Z51)&lt;0,"NEGATIVE STOCK - CHECK ENTRIES","")))</f>
        <v/>
      </c>
      <c r="AB51" s="17">
        <v>0</v>
      </c>
      <c r="AC51" s="17">
        <v>0</v>
      </c>
      <c r="AD51" s="15">
        <f t="shared" si="17"/>
        <v>0</v>
      </c>
      <c r="AE51" s="17">
        <v>0</v>
      </c>
      <c r="AF51" s="17">
        <v>0</v>
      </c>
      <c r="AG51" s="15">
        <f t="shared" si="18"/>
        <v>0</v>
      </c>
      <c r="AH51" s="17">
        <v>0</v>
      </c>
      <c r="AI51" s="17">
        <v>0</v>
      </c>
      <c r="AJ51" s="15">
        <f t="shared" si="19"/>
        <v>0</v>
      </c>
      <c r="AK51" s="17">
        <v>0</v>
      </c>
      <c r="AL51" s="17">
        <v>0</v>
      </c>
      <c r="AM51" s="15">
        <f t="shared" si="20"/>
        <v>0</v>
      </c>
      <c r="AN51" s="17"/>
    </row>
    <row r="52" spans="1:40" x14ac:dyDescent="0.3">
      <c r="A52" s="15" t="s">
        <v>159</v>
      </c>
      <c r="B52" s="15">
        <v>100</v>
      </c>
      <c r="C52" s="15" t="s">
        <v>54</v>
      </c>
      <c r="D52" s="15" t="s">
        <v>55</v>
      </c>
      <c r="E52" s="69" cm="1">
        <f t="array" ref="E52">MAX(0,IFERROR(_xlfn.XLOOKUP($A52&amp;"|"&amp;$B52&amp;"|"&amp;$D52,'29-AUGUST-2026'!$A$3:$A$197&amp;"|"&amp;'29-AUGUST-2026'!$B$3:$B$197&amp;"|"&amp;'29-AUGUST-2026'!$D$3:$D$197,'29-AUGUST-2026'!$Y$3:$Y$197,_xlfn.XLOOKUP($A52&amp;"|"&amp;$B52,'29-AUGUST-2026'!$A$3:$A$197&amp;"|"&amp;'29-AUGUST-2026'!$B$3:$B$197,'29-AUGUST-2026'!$Y$3:$Y$197,0)),0))</f>
        <v>94</v>
      </c>
      <c r="F52" s="69" cm="1">
        <f t="array" ref="F52">MAX(0,IFERROR(_xlfn.XLOOKUP($A52&amp;"|"&amp;$B52&amp;"|"&amp;$D52,'29-AUGUST-2026'!$A$3:$A$197&amp;"|"&amp;'29-AUGUST-2026'!$B$3:$B$197&amp;"|"&amp;'29-AUGUST-2026'!$D$3:$D$197,'29-AUGUST-2026'!$Z$3:$Z$197,_xlfn.XLOOKUP($A52&amp;"|"&amp;$B52,'29-AUGUST-2026'!$A$3:$A$197&amp;"|"&amp;'29-AUGUST-2026'!$B$3:$B$197,'29-AUGUST-2026'!$Z$3:$Z$197,0)),0))</f>
        <v>0</v>
      </c>
      <c r="G52" s="15">
        <f t="shared" si="13"/>
        <v>94</v>
      </c>
      <c r="H52" s="17">
        <v>0</v>
      </c>
      <c r="I52" s="17">
        <v>0</v>
      </c>
      <c r="J52" s="17">
        <v>0</v>
      </c>
      <c r="K52" s="17">
        <v>20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20">
        <v>0</v>
      </c>
      <c r="S52" s="20">
        <v>0</v>
      </c>
      <c r="T52" s="20">
        <v>0</v>
      </c>
      <c r="U52" s="17"/>
      <c r="V52" s="17"/>
      <c r="W52" s="20">
        <f t="shared" si="14"/>
        <v>0</v>
      </c>
      <c r="X52" s="21">
        <f t="shared" si="21"/>
        <v>74</v>
      </c>
      <c r="Y52" s="15">
        <f t="shared" si="15"/>
        <v>74</v>
      </c>
      <c r="Z52" s="15">
        <f t="shared" si="16"/>
        <v>0</v>
      </c>
      <c r="AA52" s="18" t="str">
        <f>IF($A52="","",IF(AND($W52&gt;0,$V52=""),"IMPORT NEEDS DESTINATION",IF(MIN($Y52,$Z52)&lt;0,"NEGATIVE STOCK - CHECK ENTRIES","")))</f>
        <v/>
      </c>
      <c r="AB52" s="17">
        <v>0</v>
      </c>
      <c r="AC52" s="17">
        <v>0</v>
      </c>
      <c r="AD52" s="15">
        <f t="shared" si="17"/>
        <v>0</v>
      </c>
      <c r="AE52" s="17">
        <v>0</v>
      </c>
      <c r="AF52" s="17">
        <v>0</v>
      </c>
      <c r="AG52" s="15">
        <f t="shared" si="18"/>
        <v>0</v>
      </c>
      <c r="AH52" s="17">
        <v>0</v>
      </c>
      <c r="AI52" s="17">
        <v>0</v>
      </c>
      <c r="AJ52" s="15">
        <f t="shared" si="19"/>
        <v>0</v>
      </c>
      <c r="AK52" s="17">
        <v>0</v>
      </c>
      <c r="AL52" s="17">
        <v>0</v>
      </c>
      <c r="AM52" s="15">
        <f t="shared" si="20"/>
        <v>0</v>
      </c>
      <c r="AN52" s="17" t="s">
        <v>332</v>
      </c>
    </row>
    <row r="53" spans="1:40" x14ac:dyDescent="0.3">
      <c r="A53" s="15" t="s">
        <v>160</v>
      </c>
      <c r="B53" s="15">
        <v>100</v>
      </c>
      <c r="C53" s="15" t="s">
        <v>54</v>
      </c>
      <c r="D53" s="15" t="s">
        <v>55</v>
      </c>
      <c r="E53" s="69" cm="1">
        <f t="array" ref="E53">MAX(0,IFERROR(_xlfn.XLOOKUP($A53&amp;"|"&amp;$B53&amp;"|"&amp;$D53,'29-AUGUST-2026'!$A$3:$A$197&amp;"|"&amp;'29-AUGUST-2026'!$B$3:$B$197&amp;"|"&amp;'29-AUGUST-2026'!$D$3:$D$197,'29-AUGUST-2026'!$Y$3:$Y$197,_xlfn.XLOOKUP($A53&amp;"|"&amp;$B53,'29-AUGUST-2026'!$A$3:$A$197&amp;"|"&amp;'29-AUGUST-2026'!$B$3:$B$197,'29-AUGUST-2026'!$Y$3:$Y$197,0)),0))</f>
        <v>126</v>
      </c>
      <c r="F53" s="69" cm="1">
        <f t="array" ref="F53">MAX(0,IFERROR(_xlfn.XLOOKUP($A53&amp;"|"&amp;$B53&amp;"|"&amp;$D53,'29-AUGUST-2026'!$A$3:$A$197&amp;"|"&amp;'29-AUGUST-2026'!$B$3:$B$197&amp;"|"&amp;'29-AUGUST-2026'!$D$3:$D$197,'29-AUGUST-2026'!$Z$3:$Z$197,_xlfn.XLOOKUP($A53&amp;"|"&amp;$B53,'29-AUGUST-2026'!$A$3:$A$197&amp;"|"&amp;'29-AUGUST-2026'!$B$3:$B$197,'29-AUGUST-2026'!$Z$3:$Z$197,0)),0))</f>
        <v>4</v>
      </c>
      <c r="G53" s="15">
        <f t="shared" si="13"/>
        <v>130</v>
      </c>
      <c r="H53" s="17">
        <v>1</v>
      </c>
      <c r="I53" s="17">
        <v>0</v>
      </c>
      <c r="J53" s="17">
        <v>0</v>
      </c>
      <c r="K53" s="17">
        <v>26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20">
        <v>0</v>
      </c>
      <c r="S53" s="20">
        <v>0</v>
      </c>
      <c r="T53" s="20">
        <v>0</v>
      </c>
      <c r="U53" s="17"/>
      <c r="V53" s="17"/>
      <c r="W53" s="20">
        <f t="shared" si="14"/>
        <v>0</v>
      </c>
      <c r="X53" s="21">
        <f t="shared" si="21"/>
        <v>103</v>
      </c>
      <c r="Y53" s="15">
        <f t="shared" si="15"/>
        <v>99</v>
      </c>
      <c r="Z53" s="15">
        <f t="shared" si="16"/>
        <v>4</v>
      </c>
      <c r="AA53" s="18" t="str">
        <f>IF($A53="","",IF(AND($W53&gt;0,$V53=""),"IMPORT NEEDS DESTINATION",IF(MIN($Y53,$Z53)&lt;0,"NEGATIVE STOCK - CHECK ENTRIES","")))</f>
        <v/>
      </c>
      <c r="AB53" s="17">
        <v>0</v>
      </c>
      <c r="AC53" s="17">
        <v>0</v>
      </c>
      <c r="AD53" s="15">
        <f t="shared" si="17"/>
        <v>0</v>
      </c>
      <c r="AE53" s="17">
        <v>6</v>
      </c>
      <c r="AF53" s="17">
        <v>1</v>
      </c>
      <c r="AG53" s="15">
        <f t="shared" si="18"/>
        <v>5</v>
      </c>
      <c r="AH53" s="17">
        <v>0</v>
      </c>
      <c r="AI53" s="17">
        <v>0</v>
      </c>
      <c r="AJ53" s="15">
        <f t="shared" si="19"/>
        <v>0</v>
      </c>
      <c r="AK53" s="17">
        <v>0</v>
      </c>
      <c r="AL53" s="17">
        <v>0</v>
      </c>
      <c r="AM53" s="15">
        <f t="shared" si="20"/>
        <v>0</v>
      </c>
      <c r="AN53" s="17" t="s">
        <v>333</v>
      </c>
    </row>
    <row r="54" spans="1:40" x14ac:dyDescent="0.3">
      <c r="A54" s="15" t="s">
        <v>161</v>
      </c>
      <c r="B54" s="15">
        <v>100</v>
      </c>
      <c r="C54" s="15" t="s">
        <v>54</v>
      </c>
      <c r="D54" s="15" t="s">
        <v>55</v>
      </c>
      <c r="E54" s="69" cm="1">
        <f t="array" ref="E54">MAX(0,IFERROR(_xlfn.XLOOKUP($A54&amp;"|"&amp;$B54&amp;"|"&amp;$D54,'29-AUGUST-2026'!$A$3:$A$197&amp;"|"&amp;'29-AUGUST-2026'!$B$3:$B$197&amp;"|"&amp;'29-AUGUST-2026'!$D$3:$D$197,'29-AUGUST-2026'!$Y$3:$Y$197,_xlfn.XLOOKUP($A54&amp;"|"&amp;$B54,'29-AUGUST-2026'!$A$3:$A$197&amp;"|"&amp;'29-AUGUST-2026'!$B$3:$B$197,'29-AUGUST-2026'!$Y$3:$Y$197,0)),0))</f>
        <v>8</v>
      </c>
      <c r="F54" s="69" cm="1">
        <f t="array" ref="F54">MAX(0,IFERROR(_xlfn.XLOOKUP($A54&amp;"|"&amp;$B54&amp;"|"&amp;$D54,'29-AUGUST-2026'!$A$3:$A$197&amp;"|"&amp;'29-AUGUST-2026'!$B$3:$B$197&amp;"|"&amp;'29-AUGUST-2026'!$D$3:$D$197,'29-AUGUST-2026'!$Z$3:$Z$197,_xlfn.XLOOKUP($A54&amp;"|"&amp;$B54,'29-AUGUST-2026'!$A$3:$A$197&amp;"|"&amp;'29-AUGUST-2026'!$B$3:$B$197,'29-AUGUST-2026'!$Z$3:$Z$197,0)),0))</f>
        <v>58</v>
      </c>
      <c r="G54" s="15">
        <f t="shared" si="13"/>
        <v>66</v>
      </c>
      <c r="H54" s="17">
        <v>1</v>
      </c>
      <c r="I54" s="17">
        <v>0</v>
      </c>
      <c r="J54" s="17">
        <v>0</v>
      </c>
      <c r="K54" s="17">
        <v>7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20">
        <v>0</v>
      </c>
      <c r="S54" s="20">
        <v>0</v>
      </c>
      <c r="T54" s="20">
        <v>0</v>
      </c>
      <c r="U54" s="17"/>
      <c r="V54" s="17"/>
      <c r="W54" s="20">
        <f t="shared" si="14"/>
        <v>0</v>
      </c>
      <c r="X54" s="21">
        <f t="shared" si="21"/>
        <v>58</v>
      </c>
      <c r="Y54" s="15">
        <f t="shared" si="15"/>
        <v>0</v>
      </c>
      <c r="Z54" s="15">
        <f t="shared" si="16"/>
        <v>58</v>
      </c>
      <c r="AA54" s="18" t="str">
        <f>IF($A54="","",IF(AND($W54&gt;0,$V54=""),"IMPORT NEEDS DESTINATION",IF(MIN($Y54,$Z54)&lt;0,"NEGATIVE STOCK - CHECK ENTRIES","")))</f>
        <v/>
      </c>
      <c r="AB54" s="17">
        <v>7</v>
      </c>
      <c r="AC54" s="17">
        <v>0</v>
      </c>
      <c r="AD54" s="15">
        <f t="shared" si="17"/>
        <v>7</v>
      </c>
      <c r="AE54" s="17">
        <v>0</v>
      </c>
      <c r="AF54" s="17">
        <v>11</v>
      </c>
      <c r="AG54" s="15">
        <f t="shared" si="18"/>
        <v>-11</v>
      </c>
      <c r="AH54" s="17">
        <v>0</v>
      </c>
      <c r="AI54" s="17">
        <v>0</v>
      </c>
      <c r="AJ54" s="15">
        <f t="shared" si="19"/>
        <v>0</v>
      </c>
      <c r="AK54" s="17">
        <v>0</v>
      </c>
      <c r="AL54" s="17">
        <v>0</v>
      </c>
      <c r="AM54" s="15">
        <f t="shared" si="20"/>
        <v>0</v>
      </c>
      <c r="AN54" s="17"/>
    </row>
    <row r="55" spans="1:40" x14ac:dyDescent="0.3">
      <c r="A55" s="15" t="s">
        <v>162</v>
      </c>
      <c r="B55" s="15">
        <v>1000</v>
      </c>
      <c r="C55" s="15" t="s">
        <v>54</v>
      </c>
      <c r="D55" s="15" t="s">
        <v>55</v>
      </c>
      <c r="E55" s="69" cm="1">
        <f t="array" ref="E55">MAX(0,IFERROR(_xlfn.XLOOKUP($A55&amp;"|"&amp;$B55&amp;"|"&amp;$D55,'29-AUGUST-2026'!$A$3:$A$197&amp;"|"&amp;'29-AUGUST-2026'!$B$3:$B$197&amp;"|"&amp;'29-AUGUST-2026'!$D$3:$D$197,'29-AUGUST-2026'!$Y$3:$Y$197,_xlfn.XLOOKUP($A55&amp;"|"&amp;$B55,'29-AUGUST-2026'!$A$3:$A$197&amp;"|"&amp;'29-AUGUST-2026'!$B$3:$B$197,'29-AUGUST-2026'!$Y$3:$Y$197,0)),0))</f>
        <v>0</v>
      </c>
      <c r="F55" s="69" cm="1">
        <f t="array" ref="F55">MAX(0,IFERROR(_xlfn.XLOOKUP($A55&amp;"|"&amp;$B55&amp;"|"&amp;$D55,'29-AUGUST-2026'!$A$3:$A$197&amp;"|"&amp;'29-AUGUST-2026'!$B$3:$B$197&amp;"|"&amp;'29-AUGUST-2026'!$D$3:$D$197,'29-AUGUST-2026'!$Z$3:$Z$197,_xlfn.XLOOKUP($A55&amp;"|"&amp;$B55,'29-AUGUST-2026'!$A$3:$A$197&amp;"|"&amp;'29-AUGUST-2026'!$B$3:$B$197,'29-AUGUST-2026'!$Z$3:$Z$197,0)),0))</f>
        <v>7</v>
      </c>
      <c r="G55" s="15">
        <f t="shared" si="13"/>
        <v>7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20">
        <v>0</v>
      </c>
      <c r="S55" s="20">
        <v>0</v>
      </c>
      <c r="T55" s="20">
        <v>0</v>
      </c>
      <c r="U55" s="17"/>
      <c r="V55" s="17"/>
      <c r="W55" s="20">
        <f t="shared" si="14"/>
        <v>0</v>
      </c>
      <c r="X55" s="21">
        <f t="shared" si="21"/>
        <v>7</v>
      </c>
      <c r="Y55" s="15">
        <f t="shared" si="15"/>
        <v>0</v>
      </c>
      <c r="Z55" s="15">
        <f t="shared" si="16"/>
        <v>7</v>
      </c>
      <c r="AA55" s="18" t="str">
        <f>IF($A55="","",IF(AND($W55&gt;0,$V55=""),"IMPORT NEEDS DESTINATION",IF(MIN($Y55,$Z55)&lt;0,"NEGATIVE STOCK - CHECK ENTRIES","")))</f>
        <v/>
      </c>
      <c r="AB55" s="17">
        <v>0</v>
      </c>
      <c r="AC55" s="17">
        <v>0</v>
      </c>
      <c r="AD55" s="15">
        <f t="shared" si="17"/>
        <v>0</v>
      </c>
      <c r="AE55" s="17">
        <v>0</v>
      </c>
      <c r="AF55" s="17">
        <v>0</v>
      </c>
      <c r="AG55" s="15">
        <f t="shared" si="18"/>
        <v>0</v>
      </c>
      <c r="AH55" s="17">
        <v>0</v>
      </c>
      <c r="AI55" s="17">
        <v>0</v>
      </c>
      <c r="AJ55" s="15">
        <f t="shared" si="19"/>
        <v>0</v>
      </c>
      <c r="AK55" s="17">
        <v>0</v>
      </c>
      <c r="AL55" s="17">
        <v>0</v>
      </c>
      <c r="AM55" s="15">
        <f t="shared" si="20"/>
        <v>0</v>
      </c>
      <c r="AN55" s="17"/>
    </row>
    <row r="56" spans="1:40" x14ac:dyDescent="0.3">
      <c r="A56" s="15" t="s">
        <v>163</v>
      </c>
      <c r="B56" s="15">
        <v>500</v>
      </c>
      <c r="C56" s="15" t="s">
        <v>54</v>
      </c>
      <c r="D56" s="15" t="s">
        <v>55</v>
      </c>
      <c r="E56" s="69" cm="1">
        <f t="array" ref="E56">MAX(0,IFERROR(_xlfn.XLOOKUP($A56&amp;"|"&amp;$B56&amp;"|"&amp;$D56,'29-AUGUST-2026'!$A$3:$A$197&amp;"|"&amp;'29-AUGUST-2026'!$B$3:$B$197&amp;"|"&amp;'29-AUGUST-2026'!$D$3:$D$197,'29-AUGUST-2026'!$Y$3:$Y$197,_xlfn.XLOOKUP($A56&amp;"|"&amp;$B56,'29-AUGUST-2026'!$A$3:$A$197&amp;"|"&amp;'29-AUGUST-2026'!$B$3:$B$197,'29-AUGUST-2026'!$Y$3:$Y$197,0)),0))</f>
        <v>0</v>
      </c>
      <c r="F56" s="69" cm="1">
        <f t="array" ref="F56">MAX(0,IFERROR(_xlfn.XLOOKUP($A56&amp;"|"&amp;$B56&amp;"|"&amp;$D56,'29-AUGUST-2026'!$A$3:$A$197&amp;"|"&amp;'29-AUGUST-2026'!$B$3:$B$197&amp;"|"&amp;'29-AUGUST-2026'!$D$3:$D$197,'29-AUGUST-2026'!$Z$3:$Z$197,_xlfn.XLOOKUP($A56&amp;"|"&amp;$B56,'29-AUGUST-2026'!$A$3:$A$197&amp;"|"&amp;'29-AUGUST-2026'!$B$3:$B$197,'29-AUGUST-2026'!$Z$3:$Z$197,0)),0))</f>
        <v>2</v>
      </c>
      <c r="G56" s="15">
        <f t="shared" si="13"/>
        <v>2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20">
        <v>0</v>
      </c>
      <c r="S56" s="20">
        <v>0</v>
      </c>
      <c r="T56" s="20">
        <v>0</v>
      </c>
      <c r="U56" s="17"/>
      <c r="V56" s="17"/>
      <c r="W56" s="20">
        <f t="shared" si="14"/>
        <v>0</v>
      </c>
      <c r="X56" s="21">
        <f t="shared" si="21"/>
        <v>2</v>
      </c>
      <c r="Y56" s="15">
        <f t="shared" si="15"/>
        <v>0</v>
      </c>
      <c r="Z56" s="15">
        <f t="shared" si="16"/>
        <v>2</v>
      </c>
      <c r="AA56" s="18" t="str">
        <f>IF($A56="","",IF(AND($W56&gt;0,$V56=""),"IMPORT NEEDS DESTINATION",IF(MIN($Y56,$Z56)&lt;0,"NEGATIVE STOCK - CHECK ENTRIES","")))</f>
        <v/>
      </c>
      <c r="AB56" s="17">
        <v>0</v>
      </c>
      <c r="AC56" s="17">
        <v>0</v>
      </c>
      <c r="AD56" s="15">
        <f t="shared" si="17"/>
        <v>0</v>
      </c>
      <c r="AE56" s="17">
        <v>0</v>
      </c>
      <c r="AF56" s="17">
        <v>0</v>
      </c>
      <c r="AG56" s="15">
        <f t="shared" si="18"/>
        <v>0</v>
      </c>
      <c r="AH56" s="17">
        <v>0</v>
      </c>
      <c r="AI56" s="17">
        <v>0</v>
      </c>
      <c r="AJ56" s="15">
        <f t="shared" si="19"/>
        <v>0</v>
      </c>
      <c r="AK56" s="17">
        <v>0</v>
      </c>
      <c r="AL56" s="17">
        <v>0</v>
      </c>
      <c r="AM56" s="15">
        <f t="shared" si="20"/>
        <v>0</v>
      </c>
      <c r="AN56" s="17"/>
    </row>
    <row r="57" spans="1:40" x14ac:dyDescent="0.3">
      <c r="A57" s="15" t="s">
        <v>167</v>
      </c>
      <c r="B57" s="15">
        <v>100</v>
      </c>
      <c r="C57" s="15" t="s">
        <v>54</v>
      </c>
      <c r="D57" s="15" t="s">
        <v>55</v>
      </c>
      <c r="E57" s="69" cm="1">
        <f t="array" ref="E57">MAX(0,IFERROR(_xlfn.XLOOKUP($A57&amp;"|"&amp;$B57&amp;"|"&amp;$D57,'29-AUGUST-2026'!$A$3:$A$197&amp;"|"&amp;'29-AUGUST-2026'!$B$3:$B$197&amp;"|"&amp;'29-AUGUST-2026'!$D$3:$D$197,'29-AUGUST-2026'!$Y$3:$Y$197,_xlfn.XLOOKUP($A57&amp;"|"&amp;$B57,'29-AUGUST-2026'!$A$3:$A$197&amp;"|"&amp;'29-AUGUST-2026'!$B$3:$B$197,'29-AUGUST-2026'!$Y$3:$Y$197,0)),0))</f>
        <v>117</v>
      </c>
      <c r="F57" s="69" cm="1">
        <f t="array" ref="F57">MAX(0,IFERROR(_xlfn.XLOOKUP($A57&amp;"|"&amp;$B57&amp;"|"&amp;$D57,'29-AUGUST-2026'!$A$3:$A$197&amp;"|"&amp;'29-AUGUST-2026'!$B$3:$B$197&amp;"|"&amp;'29-AUGUST-2026'!$D$3:$D$197,'29-AUGUST-2026'!$Z$3:$Z$197,_xlfn.XLOOKUP($A57&amp;"|"&amp;$B57,'29-AUGUST-2026'!$A$3:$A$197&amp;"|"&amp;'29-AUGUST-2026'!$B$3:$B$197,'29-AUGUST-2026'!$Z$3:$Z$197,0)),0))</f>
        <v>0</v>
      </c>
      <c r="G57" s="15">
        <f t="shared" si="13"/>
        <v>117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20">
        <v>0</v>
      </c>
      <c r="S57" s="20">
        <v>0</v>
      </c>
      <c r="T57" s="20">
        <v>0</v>
      </c>
      <c r="U57" s="17"/>
      <c r="V57" s="17"/>
      <c r="W57" s="20">
        <f t="shared" si="14"/>
        <v>0</v>
      </c>
      <c r="X57" s="21">
        <f t="shared" si="21"/>
        <v>117</v>
      </c>
      <c r="Y57" s="15">
        <f t="shared" si="15"/>
        <v>117</v>
      </c>
      <c r="Z57" s="15">
        <f t="shared" si="16"/>
        <v>0</v>
      </c>
      <c r="AA57" s="18" t="str">
        <f>IF($A57="","",IF(AND($W57&gt;0,$V57=""),"IMPORT NEEDS DESTINATION",IF(MIN($Y57,$Z57)&lt;0,"NEGATIVE STOCK - CHECK ENTRIES","")))</f>
        <v/>
      </c>
      <c r="AB57" s="17">
        <v>0</v>
      </c>
      <c r="AC57" s="17">
        <v>0</v>
      </c>
      <c r="AD57" s="15">
        <f t="shared" si="17"/>
        <v>0</v>
      </c>
      <c r="AE57" s="17">
        <v>0</v>
      </c>
      <c r="AF57" s="17">
        <v>0</v>
      </c>
      <c r="AG57" s="15">
        <f t="shared" si="18"/>
        <v>0</v>
      </c>
      <c r="AH57" s="17">
        <v>0</v>
      </c>
      <c r="AI57" s="17">
        <v>0</v>
      </c>
      <c r="AJ57" s="15">
        <f t="shared" si="19"/>
        <v>0</v>
      </c>
      <c r="AK57" s="17">
        <v>0</v>
      </c>
      <c r="AL57" s="17">
        <v>0</v>
      </c>
      <c r="AM57" s="15">
        <f t="shared" si="20"/>
        <v>0</v>
      </c>
      <c r="AN57" s="17"/>
    </row>
    <row r="58" spans="1:40" x14ac:dyDescent="0.3">
      <c r="A58" s="15" t="s">
        <v>170</v>
      </c>
      <c r="B58" s="15">
        <v>1000</v>
      </c>
      <c r="C58" s="15" t="s">
        <v>54</v>
      </c>
      <c r="D58" s="15" t="s">
        <v>55</v>
      </c>
      <c r="E58" s="69" cm="1">
        <f t="array" ref="E58">MAX(0,IFERROR(_xlfn.XLOOKUP($A58&amp;"|"&amp;$B58&amp;"|"&amp;$D58,'29-AUGUST-2026'!$A$3:$A$197&amp;"|"&amp;'29-AUGUST-2026'!$B$3:$B$197&amp;"|"&amp;'29-AUGUST-2026'!$D$3:$D$197,'29-AUGUST-2026'!$Y$3:$Y$197,_xlfn.XLOOKUP($A58&amp;"|"&amp;$B58,'29-AUGUST-2026'!$A$3:$A$197&amp;"|"&amp;'29-AUGUST-2026'!$B$3:$B$197,'29-AUGUST-2026'!$Y$3:$Y$197,0)),0))</f>
        <v>20</v>
      </c>
      <c r="F58" s="69" cm="1">
        <f t="array" ref="F58">MAX(0,IFERROR(_xlfn.XLOOKUP($A58&amp;"|"&amp;$B58&amp;"|"&amp;$D58,'29-AUGUST-2026'!$A$3:$A$197&amp;"|"&amp;'29-AUGUST-2026'!$B$3:$B$197&amp;"|"&amp;'29-AUGUST-2026'!$D$3:$D$197,'29-AUGUST-2026'!$Z$3:$Z$197,_xlfn.XLOOKUP($A58&amp;"|"&amp;$B58,'29-AUGUST-2026'!$A$3:$A$197&amp;"|"&amp;'29-AUGUST-2026'!$B$3:$B$197,'29-AUGUST-2026'!$Z$3:$Z$197,0)),0))</f>
        <v>0</v>
      </c>
      <c r="G58" s="15">
        <f t="shared" si="13"/>
        <v>20</v>
      </c>
      <c r="H58" s="17">
        <v>0</v>
      </c>
      <c r="I58" s="17">
        <v>0</v>
      </c>
      <c r="J58" s="17">
        <v>0</v>
      </c>
      <c r="K58" s="17">
        <v>4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20">
        <v>0</v>
      </c>
      <c r="S58" s="20">
        <v>0</v>
      </c>
      <c r="T58" s="20">
        <v>0</v>
      </c>
      <c r="U58" s="17"/>
      <c r="V58" s="17"/>
      <c r="W58" s="20">
        <f t="shared" si="14"/>
        <v>0</v>
      </c>
      <c r="X58" s="21">
        <f t="shared" si="21"/>
        <v>16</v>
      </c>
      <c r="Y58" s="15">
        <f t="shared" si="15"/>
        <v>16</v>
      </c>
      <c r="Z58" s="15">
        <f t="shared" si="16"/>
        <v>0</v>
      </c>
      <c r="AA58" s="18" t="str">
        <f>IF($A58="","",IF(AND($W58&gt;0,$V58=""),"IMPORT NEEDS DESTINATION",IF(MIN($Y58,$Z58)&lt;0,"NEGATIVE STOCK - CHECK ENTRIES","")))</f>
        <v/>
      </c>
      <c r="AB58" s="17">
        <v>4</v>
      </c>
      <c r="AC58" s="17">
        <v>0</v>
      </c>
      <c r="AD58" s="15">
        <f t="shared" si="17"/>
        <v>4</v>
      </c>
      <c r="AE58" s="17">
        <v>0</v>
      </c>
      <c r="AF58" s="17">
        <v>0</v>
      </c>
      <c r="AG58" s="15">
        <f t="shared" si="18"/>
        <v>0</v>
      </c>
      <c r="AH58" s="17">
        <v>0</v>
      </c>
      <c r="AI58" s="17">
        <v>0</v>
      </c>
      <c r="AJ58" s="15">
        <f t="shared" si="19"/>
        <v>0</v>
      </c>
      <c r="AK58" s="17">
        <v>0</v>
      </c>
      <c r="AL58" s="17">
        <v>0</v>
      </c>
      <c r="AM58" s="15">
        <f t="shared" si="20"/>
        <v>0</v>
      </c>
      <c r="AN58" s="17"/>
    </row>
    <row r="59" spans="1:40" x14ac:dyDescent="0.3">
      <c r="A59" s="15" t="s">
        <v>171</v>
      </c>
      <c r="B59" s="15">
        <v>1000</v>
      </c>
      <c r="C59" s="15" t="s">
        <v>54</v>
      </c>
      <c r="D59" s="15" t="s">
        <v>55</v>
      </c>
      <c r="E59" s="69" cm="1">
        <f t="array" ref="E59">MAX(0,IFERROR(_xlfn.XLOOKUP($A59&amp;"|"&amp;$B59&amp;"|"&amp;$D59,'29-AUGUST-2026'!$A$3:$A$197&amp;"|"&amp;'29-AUGUST-2026'!$B$3:$B$197&amp;"|"&amp;'29-AUGUST-2026'!$D$3:$D$197,'29-AUGUST-2026'!$Y$3:$Y$197,_xlfn.XLOOKUP($A59&amp;"|"&amp;$B59,'29-AUGUST-2026'!$A$3:$A$197&amp;"|"&amp;'29-AUGUST-2026'!$B$3:$B$197,'29-AUGUST-2026'!$Y$3:$Y$197,0)),0))</f>
        <v>0</v>
      </c>
      <c r="F59" s="69" cm="1">
        <f t="array" ref="F59">MAX(0,IFERROR(_xlfn.XLOOKUP($A59&amp;"|"&amp;$B59&amp;"|"&amp;$D59,'29-AUGUST-2026'!$A$3:$A$197&amp;"|"&amp;'29-AUGUST-2026'!$B$3:$B$197&amp;"|"&amp;'29-AUGUST-2026'!$D$3:$D$197,'29-AUGUST-2026'!$Z$3:$Z$197,_xlfn.XLOOKUP($A59&amp;"|"&amp;$B59,'29-AUGUST-2026'!$A$3:$A$197&amp;"|"&amp;'29-AUGUST-2026'!$B$3:$B$197,'29-AUGUST-2026'!$Z$3:$Z$197,0)),0))</f>
        <v>2</v>
      </c>
      <c r="G59" s="15">
        <f t="shared" si="13"/>
        <v>2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20">
        <v>0</v>
      </c>
      <c r="S59" s="20">
        <v>0</v>
      </c>
      <c r="T59" s="20">
        <v>0</v>
      </c>
      <c r="U59" s="17"/>
      <c r="V59" s="17"/>
      <c r="W59" s="20">
        <f t="shared" si="14"/>
        <v>0</v>
      </c>
      <c r="X59" s="21">
        <f t="shared" si="21"/>
        <v>2</v>
      </c>
      <c r="Y59" s="15">
        <f t="shared" si="15"/>
        <v>0</v>
      </c>
      <c r="Z59" s="15">
        <f t="shared" si="16"/>
        <v>2</v>
      </c>
      <c r="AA59" s="18" t="str">
        <f>IF($A59="","",IF(AND($W59&gt;0,$V59=""),"IMPORT NEEDS DESTINATION",IF(MIN($Y59,$Z59)&lt;0,"NEGATIVE STOCK - CHECK ENTRIES","")))</f>
        <v/>
      </c>
      <c r="AB59" s="17">
        <v>0</v>
      </c>
      <c r="AC59" s="17">
        <v>0</v>
      </c>
      <c r="AD59" s="15">
        <f t="shared" si="17"/>
        <v>0</v>
      </c>
      <c r="AE59" s="17">
        <v>0</v>
      </c>
      <c r="AF59" s="17">
        <v>0</v>
      </c>
      <c r="AG59" s="15">
        <f t="shared" si="18"/>
        <v>0</v>
      </c>
      <c r="AH59" s="17">
        <v>0</v>
      </c>
      <c r="AI59" s="17">
        <v>0</v>
      </c>
      <c r="AJ59" s="15">
        <f t="shared" si="19"/>
        <v>0</v>
      </c>
      <c r="AK59" s="17">
        <v>0</v>
      </c>
      <c r="AL59" s="17">
        <v>0</v>
      </c>
      <c r="AM59" s="15">
        <f t="shared" si="20"/>
        <v>0</v>
      </c>
      <c r="AN59" s="17"/>
    </row>
    <row r="60" spans="1:40" x14ac:dyDescent="0.3">
      <c r="A60" s="15" t="s">
        <v>176</v>
      </c>
      <c r="B60" s="15" t="s">
        <v>177</v>
      </c>
      <c r="C60" s="15" t="s">
        <v>178</v>
      </c>
      <c r="D60" s="15" t="s">
        <v>55</v>
      </c>
      <c r="E60" s="69" cm="1">
        <f t="array" ref="E60">MAX(0,IFERROR(_xlfn.XLOOKUP($A60&amp;"|"&amp;$B60&amp;"|"&amp;$D60,'29-AUGUST-2026'!$A$3:$A$197&amp;"|"&amp;'29-AUGUST-2026'!$B$3:$B$197&amp;"|"&amp;'29-AUGUST-2026'!$D$3:$D$197,'29-AUGUST-2026'!$Y$3:$Y$197,_xlfn.XLOOKUP($A60&amp;"|"&amp;$B60,'29-AUGUST-2026'!$A$3:$A$197&amp;"|"&amp;'29-AUGUST-2026'!$B$3:$B$197,'29-AUGUST-2026'!$Y$3:$Y$197,0)),0))</f>
        <v>442</v>
      </c>
      <c r="F60" s="69" cm="1">
        <f t="array" ref="F60">MAX(0,IFERROR(_xlfn.XLOOKUP($A60&amp;"|"&amp;$B60&amp;"|"&amp;$D60,'29-AUGUST-2026'!$A$3:$A$197&amp;"|"&amp;'29-AUGUST-2026'!$B$3:$B$197&amp;"|"&amp;'29-AUGUST-2026'!$D$3:$D$197,'29-AUGUST-2026'!$Z$3:$Z$197,_xlfn.XLOOKUP($A60&amp;"|"&amp;$B60,'29-AUGUST-2026'!$A$3:$A$197&amp;"|"&amp;'29-AUGUST-2026'!$B$3:$B$197,'29-AUGUST-2026'!$Z$3:$Z$197,0)),0))</f>
        <v>100</v>
      </c>
      <c r="G60" s="15">
        <f t="shared" si="13"/>
        <v>542</v>
      </c>
      <c r="H60" s="17">
        <v>0</v>
      </c>
      <c r="I60" s="17">
        <v>0</v>
      </c>
      <c r="J60" s="17">
        <v>0</v>
      </c>
      <c r="K60" s="17">
        <v>23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20">
        <v>0</v>
      </c>
      <c r="S60" s="20">
        <v>0</v>
      </c>
      <c r="T60" s="20">
        <v>0</v>
      </c>
      <c r="U60" s="17"/>
      <c r="V60" s="17"/>
      <c r="W60" s="20">
        <f t="shared" si="14"/>
        <v>0</v>
      </c>
      <c r="X60" s="21">
        <f t="shared" si="21"/>
        <v>519</v>
      </c>
      <c r="Y60" s="15">
        <f t="shared" si="15"/>
        <v>419</v>
      </c>
      <c r="Z60" s="15">
        <f t="shared" si="16"/>
        <v>100</v>
      </c>
      <c r="AA60" s="18" t="str">
        <f>IF($A60="","",IF(AND($W60&gt;0,$V60=""),"IMPORT NEEDS DESTINATION",IF(MIN($Y60,$Z60)&lt;0,"NEGATIVE STOCK - CHECK ENTRIES","")))</f>
        <v/>
      </c>
      <c r="AB60" s="17">
        <v>8</v>
      </c>
      <c r="AC60" s="17">
        <v>0</v>
      </c>
      <c r="AD60" s="15">
        <f t="shared" si="17"/>
        <v>8</v>
      </c>
      <c r="AE60" s="17">
        <v>15</v>
      </c>
      <c r="AF60" s="17">
        <v>0</v>
      </c>
      <c r="AG60" s="15">
        <f t="shared" si="18"/>
        <v>15</v>
      </c>
      <c r="AH60" s="17">
        <v>0</v>
      </c>
      <c r="AI60" s="17">
        <v>0</v>
      </c>
      <c r="AJ60" s="15">
        <f t="shared" si="19"/>
        <v>0</v>
      </c>
      <c r="AK60" s="17">
        <v>0</v>
      </c>
      <c r="AL60" s="17">
        <v>0</v>
      </c>
      <c r="AM60" s="15">
        <f t="shared" si="20"/>
        <v>0</v>
      </c>
      <c r="AN60" s="17"/>
    </row>
    <row r="61" spans="1:40" x14ac:dyDescent="0.3">
      <c r="A61" s="15" t="s">
        <v>184</v>
      </c>
      <c r="B61" s="15">
        <v>1000</v>
      </c>
      <c r="C61" s="15" t="s">
        <v>54</v>
      </c>
      <c r="D61" s="15" t="s">
        <v>55</v>
      </c>
      <c r="E61" s="69" cm="1">
        <f t="array" ref="E61">MAX(0,IFERROR(_xlfn.XLOOKUP($A61&amp;"|"&amp;$B61&amp;"|"&amp;$D61,'29-AUGUST-2026'!$A$3:$A$197&amp;"|"&amp;'29-AUGUST-2026'!$B$3:$B$197&amp;"|"&amp;'29-AUGUST-2026'!$D$3:$D$197,'29-AUGUST-2026'!$Y$3:$Y$197,_xlfn.XLOOKUP($A61&amp;"|"&amp;$B61,'29-AUGUST-2026'!$A$3:$A$197&amp;"|"&amp;'29-AUGUST-2026'!$B$3:$B$197,'29-AUGUST-2026'!$Y$3:$Y$197,0)),0))</f>
        <v>13</v>
      </c>
      <c r="F61" s="69" cm="1">
        <f t="array" ref="F61">MAX(0,IFERROR(_xlfn.XLOOKUP($A61&amp;"|"&amp;$B61&amp;"|"&amp;$D61,'29-AUGUST-2026'!$A$3:$A$197&amp;"|"&amp;'29-AUGUST-2026'!$B$3:$B$197&amp;"|"&amp;'29-AUGUST-2026'!$D$3:$D$197,'29-AUGUST-2026'!$Z$3:$Z$197,_xlfn.XLOOKUP($A61&amp;"|"&amp;$B61,'29-AUGUST-2026'!$A$3:$A$197&amp;"|"&amp;'29-AUGUST-2026'!$B$3:$B$197,'29-AUGUST-2026'!$Z$3:$Z$197,0)),0))</f>
        <v>2</v>
      </c>
      <c r="G61" s="15">
        <f t="shared" si="13"/>
        <v>15</v>
      </c>
      <c r="H61" s="17">
        <v>0</v>
      </c>
      <c r="I61" s="17">
        <v>0</v>
      </c>
      <c r="J61" s="17">
        <v>0</v>
      </c>
      <c r="K61" s="17">
        <v>1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20">
        <v>0</v>
      </c>
      <c r="S61" s="20">
        <v>0</v>
      </c>
      <c r="T61" s="20">
        <v>0</v>
      </c>
      <c r="U61" s="17"/>
      <c r="V61" s="17"/>
      <c r="W61" s="20">
        <f t="shared" si="14"/>
        <v>0</v>
      </c>
      <c r="X61" s="21">
        <f t="shared" si="21"/>
        <v>14</v>
      </c>
      <c r="Y61" s="15">
        <f t="shared" si="15"/>
        <v>12</v>
      </c>
      <c r="Z61" s="15">
        <f t="shared" si="16"/>
        <v>2</v>
      </c>
      <c r="AA61" s="18" t="str">
        <f>IF($A61="","",IF(AND($W61&gt;0,$V61=""),"IMPORT NEEDS DESTINATION",IF(MIN($Y61,$Z61)&lt;0,"NEGATIVE STOCK - CHECK ENTRIES","")))</f>
        <v/>
      </c>
      <c r="AB61" s="17">
        <v>0</v>
      </c>
      <c r="AC61" s="17">
        <v>0</v>
      </c>
      <c r="AD61" s="15">
        <f t="shared" si="17"/>
        <v>0</v>
      </c>
      <c r="AE61" s="17">
        <v>1</v>
      </c>
      <c r="AF61" s="17">
        <v>2</v>
      </c>
      <c r="AG61" s="15">
        <f t="shared" si="18"/>
        <v>-1</v>
      </c>
      <c r="AH61" s="17">
        <v>0</v>
      </c>
      <c r="AI61" s="17">
        <v>0</v>
      </c>
      <c r="AJ61" s="15">
        <f t="shared" si="19"/>
        <v>0</v>
      </c>
      <c r="AK61" s="17">
        <v>0</v>
      </c>
      <c r="AL61" s="17">
        <v>0</v>
      </c>
      <c r="AM61" s="15">
        <f t="shared" si="20"/>
        <v>0</v>
      </c>
      <c r="AN61" s="17"/>
    </row>
    <row r="62" spans="1:40" x14ac:dyDescent="0.3">
      <c r="A62" s="15" t="s">
        <v>192</v>
      </c>
      <c r="B62" s="15">
        <v>100</v>
      </c>
      <c r="C62" s="15" t="s">
        <v>54</v>
      </c>
      <c r="D62" s="15" t="s">
        <v>55</v>
      </c>
      <c r="E62" s="69" cm="1">
        <f t="array" ref="E62">MAX(0,IFERROR(_xlfn.XLOOKUP($A62&amp;"|"&amp;$B62&amp;"|"&amp;$D62,'29-AUGUST-2026'!$A$3:$A$197&amp;"|"&amp;'29-AUGUST-2026'!$B$3:$B$197&amp;"|"&amp;'29-AUGUST-2026'!$D$3:$D$197,'29-AUGUST-2026'!$Y$3:$Y$197,_xlfn.XLOOKUP($A62&amp;"|"&amp;$B62,'29-AUGUST-2026'!$A$3:$A$197&amp;"|"&amp;'29-AUGUST-2026'!$B$3:$B$197,'29-AUGUST-2026'!$Y$3:$Y$197,0)),0))</f>
        <v>3665</v>
      </c>
      <c r="F62" s="69" cm="1">
        <f t="array" ref="F62">MAX(0,IFERROR(_xlfn.XLOOKUP($A62&amp;"|"&amp;$B62&amp;"|"&amp;$D62,'29-AUGUST-2026'!$A$3:$A$197&amp;"|"&amp;'29-AUGUST-2026'!$B$3:$B$197&amp;"|"&amp;'29-AUGUST-2026'!$D$3:$D$197,'29-AUGUST-2026'!$Z$3:$Z$197,_xlfn.XLOOKUP($A62&amp;"|"&amp;$B62,'29-AUGUST-2026'!$A$3:$A$197&amp;"|"&amp;'29-AUGUST-2026'!$B$3:$B$197,'29-AUGUST-2026'!$Z$3:$Z$197,0)),0))</f>
        <v>256</v>
      </c>
      <c r="G62" s="15">
        <f t="shared" si="13"/>
        <v>3921</v>
      </c>
      <c r="H62" s="17">
        <v>129</v>
      </c>
      <c r="I62" s="17">
        <v>20</v>
      </c>
      <c r="J62" s="17">
        <v>0</v>
      </c>
      <c r="K62" s="17">
        <v>61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20">
        <v>0</v>
      </c>
      <c r="S62" s="20">
        <v>0</v>
      </c>
      <c r="T62" s="20">
        <v>0</v>
      </c>
      <c r="U62" s="17"/>
      <c r="V62" s="17"/>
      <c r="W62" s="20">
        <f t="shared" si="14"/>
        <v>0</v>
      </c>
      <c r="X62" s="21">
        <f t="shared" si="21"/>
        <v>3711</v>
      </c>
      <c r="Y62" s="15">
        <f t="shared" si="15"/>
        <v>3475</v>
      </c>
      <c r="Z62" s="15">
        <f t="shared" si="16"/>
        <v>236</v>
      </c>
      <c r="AA62" s="18" t="str">
        <f>IF($A62="","",IF(AND($W62&gt;0,$V62=""),"IMPORT NEEDS DESTINATION",IF(MIN($Y62,$Z62)&lt;0,"NEGATIVE STOCK - CHECK ENTRIES","")))</f>
        <v/>
      </c>
      <c r="AB62" s="17">
        <v>25</v>
      </c>
      <c r="AC62" s="17">
        <v>0</v>
      </c>
      <c r="AD62" s="15">
        <f t="shared" si="17"/>
        <v>25</v>
      </c>
      <c r="AE62" s="17">
        <v>36</v>
      </c>
      <c r="AF62" s="17">
        <v>0</v>
      </c>
      <c r="AG62" s="15">
        <f t="shared" si="18"/>
        <v>36</v>
      </c>
      <c r="AH62" s="17">
        <v>0</v>
      </c>
      <c r="AI62" s="17">
        <v>11</v>
      </c>
      <c r="AJ62" s="15">
        <f t="shared" si="19"/>
        <v>-11</v>
      </c>
      <c r="AK62" s="17">
        <v>0</v>
      </c>
      <c r="AL62" s="17">
        <v>0</v>
      </c>
      <c r="AM62" s="15">
        <f t="shared" si="20"/>
        <v>0</v>
      </c>
      <c r="AN62" s="17"/>
    </row>
    <row r="63" spans="1:40" x14ac:dyDescent="0.3">
      <c r="A63" s="15" t="s">
        <v>192</v>
      </c>
      <c r="B63" s="15">
        <v>500</v>
      </c>
      <c r="C63" s="15" t="s">
        <v>54</v>
      </c>
      <c r="D63" s="15" t="s">
        <v>55</v>
      </c>
      <c r="E63" s="69" cm="1">
        <f t="array" ref="E63">MAX(0,IFERROR(_xlfn.XLOOKUP($A63&amp;"|"&amp;$B63&amp;"|"&amp;$D63,'29-AUGUST-2026'!$A$3:$A$197&amp;"|"&amp;'29-AUGUST-2026'!$B$3:$B$197&amp;"|"&amp;'29-AUGUST-2026'!$D$3:$D$197,'29-AUGUST-2026'!$Y$3:$Y$197,_xlfn.XLOOKUP($A63&amp;"|"&amp;$B63,'29-AUGUST-2026'!$A$3:$A$197&amp;"|"&amp;'29-AUGUST-2026'!$B$3:$B$197,'29-AUGUST-2026'!$Y$3:$Y$197,0)),0))</f>
        <v>0</v>
      </c>
      <c r="F63" s="69" cm="1">
        <f t="array" ref="F63">MAX(0,IFERROR(_xlfn.XLOOKUP($A63&amp;"|"&amp;$B63&amp;"|"&amp;$D63,'29-AUGUST-2026'!$A$3:$A$197&amp;"|"&amp;'29-AUGUST-2026'!$B$3:$B$197&amp;"|"&amp;'29-AUGUST-2026'!$D$3:$D$197,'29-AUGUST-2026'!$Z$3:$Z$197,_xlfn.XLOOKUP($A63&amp;"|"&amp;$B63,'29-AUGUST-2026'!$A$3:$A$197&amp;"|"&amp;'29-AUGUST-2026'!$B$3:$B$197,'29-AUGUST-2026'!$Z$3:$Z$197,0)),0))</f>
        <v>0</v>
      </c>
      <c r="G63" s="15">
        <f t="shared" si="13"/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20">
        <v>0</v>
      </c>
      <c r="S63" s="20">
        <v>0</v>
      </c>
      <c r="T63" s="20">
        <v>0</v>
      </c>
      <c r="U63" s="17"/>
      <c r="V63" s="17"/>
      <c r="W63" s="20">
        <f t="shared" si="14"/>
        <v>0</v>
      </c>
      <c r="X63" s="21">
        <f t="shared" si="21"/>
        <v>0</v>
      </c>
      <c r="Y63" s="15">
        <f t="shared" si="15"/>
        <v>0</v>
      </c>
      <c r="Z63" s="15">
        <f t="shared" si="16"/>
        <v>0</v>
      </c>
      <c r="AA63" s="18" t="str">
        <f>IF($A63="","",IF(AND($W63&gt;0,$V63=""),"IMPORT NEEDS DESTINATION",IF(MIN($Y63,$Z63)&lt;0,"NEGATIVE STOCK - CHECK ENTRIES","")))</f>
        <v/>
      </c>
      <c r="AB63" s="17">
        <v>0</v>
      </c>
      <c r="AC63" s="17">
        <v>0</v>
      </c>
      <c r="AD63" s="15">
        <f t="shared" si="17"/>
        <v>0</v>
      </c>
      <c r="AE63" s="17">
        <v>0</v>
      </c>
      <c r="AF63" s="17">
        <v>0</v>
      </c>
      <c r="AG63" s="15">
        <f t="shared" si="18"/>
        <v>0</v>
      </c>
      <c r="AH63" s="17">
        <v>0</v>
      </c>
      <c r="AI63" s="17">
        <v>0</v>
      </c>
      <c r="AJ63" s="15">
        <f t="shared" si="19"/>
        <v>0</v>
      </c>
      <c r="AK63" s="17">
        <v>0</v>
      </c>
      <c r="AL63" s="17">
        <v>0</v>
      </c>
      <c r="AM63" s="15">
        <f t="shared" si="20"/>
        <v>0</v>
      </c>
      <c r="AN63" s="17"/>
    </row>
    <row r="64" spans="1:40" x14ac:dyDescent="0.3">
      <c r="A64" s="15" t="s">
        <v>194</v>
      </c>
      <c r="B64" s="15">
        <v>1000</v>
      </c>
      <c r="C64" s="15"/>
      <c r="D64" s="15" t="s">
        <v>55</v>
      </c>
      <c r="E64" s="69" cm="1">
        <f t="array" ref="E64">MAX(0,IFERROR(_xlfn.XLOOKUP($A64&amp;"|"&amp;$B64&amp;"|"&amp;$D64,'29-AUGUST-2026'!$A$3:$A$197&amp;"|"&amp;'29-AUGUST-2026'!$B$3:$B$197&amp;"|"&amp;'29-AUGUST-2026'!$D$3:$D$197,'29-AUGUST-2026'!$Y$3:$Y$197,_xlfn.XLOOKUP($A64&amp;"|"&amp;$B64,'29-AUGUST-2026'!$A$3:$A$197&amp;"|"&amp;'29-AUGUST-2026'!$B$3:$B$197,'29-AUGUST-2026'!$Y$3:$Y$197,0)),0))</f>
        <v>0</v>
      </c>
      <c r="F64" s="69" cm="1">
        <f t="array" ref="F64">MAX(0,IFERROR(_xlfn.XLOOKUP($A64&amp;"|"&amp;$B64&amp;"|"&amp;$D64,'29-AUGUST-2026'!$A$3:$A$197&amp;"|"&amp;'29-AUGUST-2026'!$B$3:$B$197&amp;"|"&amp;'29-AUGUST-2026'!$D$3:$D$197,'29-AUGUST-2026'!$Z$3:$Z$197,_xlfn.XLOOKUP($A64&amp;"|"&amp;$B64,'29-AUGUST-2026'!$A$3:$A$197&amp;"|"&amp;'29-AUGUST-2026'!$B$3:$B$197,'29-AUGUST-2026'!$Z$3:$Z$197,0)),0))</f>
        <v>0</v>
      </c>
      <c r="G64" s="15">
        <f t="shared" si="13"/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20">
        <v>0</v>
      </c>
      <c r="S64" s="20">
        <v>0</v>
      </c>
      <c r="T64" s="20">
        <v>0</v>
      </c>
      <c r="U64" s="17"/>
      <c r="V64" s="17"/>
      <c r="W64" s="20">
        <f t="shared" si="14"/>
        <v>0</v>
      </c>
      <c r="X64" s="21">
        <f t="shared" si="21"/>
        <v>0</v>
      </c>
      <c r="Y64" s="15">
        <f t="shared" si="15"/>
        <v>0</v>
      </c>
      <c r="Z64" s="15">
        <f t="shared" si="16"/>
        <v>0</v>
      </c>
      <c r="AA64" s="18" t="str">
        <f>IF($A64="","",IF(AND($W64&gt;0,$V64=""),"IMPORT NEEDS DESTINATION",IF(MIN($Y64,$Z64)&lt;0,"NEGATIVE STOCK - CHECK ENTRIES","")))</f>
        <v/>
      </c>
      <c r="AB64" s="17">
        <v>0</v>
      </c>
      <c r="AC64" s="17">
        <v>0</v>
      </c>
      <c r="AD64" s="15">
        <f t="shared" si="17"/>
        <v>0</v>
      </c>
      <c r="AE64" s="17">
        <v>0</v>
      </c>
      <c r="AF64" s="17">
        <v>0</v>
      </c>
      <c r="AG64" s="15">
        <f t="shared" si="18"/>
        <v>0</v>
      </c>
      <c r="AH64" s="17">
        <v>0</v>
      </c>
      <c r="AI64" s="17">
        <v>0</v>
      </c>
      <c r="AJ64" s="15">
        <f t="shared" si="19"/>
        <v>0</v>
      </c>
      <c r="AK64" s="17">
        <v>0</v>
      </c>
      <c r="AL64" s="17">
        <v>0</v>
      </c>
      <c r="AM64" s="15">
        <f t="shared" si="20"/>
        <v>0</v>
      </c>
      <c r="AN64" s="17"/>
    </row>
    <row r="65" spans="1:40" x14ac:dyDescent="0.3">
      <c r="A65" s="15" t="s">
        <v>196</v>
      </c>
      <c r="B65" s="15">
        <v>100</v>
      </c>
      <c r="C65" s="15" t="s">
        <v>54</v>
      </c>
      <c r="D65" s="15" t="s">
        <v>55</v>
      </c>
      <c r="E65" s="69" cm="1">
        <f t="array" ref="E65">MAX(0,IFERROR(_xlfn.XLOOKUP($A65&amp;"|"&amp;$B65&amp;"|"&amp;$D65,'29-AUGUST-2026'!$A$3:$A$197&amp;"|"&amp;'29-AUGUST-2026'!$B$3:$B$197&amp;"|"&amp;'29-AUGUST-2026'!$D$3:$D$197,'29-AUGUST-2026'!$Y$3:$Y$197,_xlfn.XLOOKUP($A65&amp;"|"&amp;$B65,'29-AUGUST-2026'!$A$3:$A$197&amp;"|"&amp;'29-AUGUST-2026'!$B$3:$B$197,'29-AUGUST-2026'!$Y$3:$Y$197,0)),0))</f>
        <v>165</v>
      </c>
      <c r="F65" s="69" cm="1">
        <f t="array" ref="F65">MAX(0,IFERROR(_xlfn.XLOOKUP($A65&amp;"|"&amp;$B65&amp;"|"&amp;$D65,'29-AUGUST-2026'!$A$3:$A$197&amp;"|"&amp;'29-AUGUST-2026'!$B$3:$B$197&amp;"|"&amp;'29-AUGUST-2026'!$D$3:$D$197,'29-AUGUST-2026'!$Z$3:$Z$197,_xlfn.XLOOKUP($A65&amp;"|"&amp;$B65,'29-AUGUST-2026'!$A$3:$A$197&amp;"|"&amp;'29-AUGUST-2026'!$B$3:$B$197,'29-AUGUST-2026'!$Z$3:$Z$197,0)),0))</f>
        <v>122</v>
      </c>
      <c r="G65" s="15">
        <f t="shared" si="13"/>
        <v>287</v>
      </c>
      <c r="H65" s="17">
        <v>1</v>
      </c>
      <c r="I65" s="17">
        <v>2</v>
      </c>
      <c r="J65" s="17">
        <v>0</v>
      </c>
      <c r="K65" s="17">
        <v>12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20">
        <v>0</v>
      </c>
      <c r="S65" s="20">
        <v>0</v>
      </c>
      <c r="T65" s="20">
        <v>0</v>
      </c>
      <c r="U65" s="17"/>
      <c r="V65" s="17"/>
      <c r="W65" s="20">
        <f t="shared" si="14"/>
        <v>0</v>
      </c>
      <c r="X65" s="21">
        <f t="shared" si="21"/>
        <v>272</v>
      </c>
      <c r="Y65" s="15">
        <f t="shared" si="15"/>
        <v>152</v>
      </c>
      <c r="Z65" s="15">
        <f t="shared" si="16"/>
        <v>120</v>
      </c>
      <c r="AA65" s="18" t="str">
        <f>IF($A65="","",IF(AND($W65&gt;0,$V65=""),"IMPORT NEEDS DESTINATION",IF(MIN($Y65,$Z65)&lt;0,"NEGATIVE STOCK - CHECK ENTRIES","")))</f>
        <v/>
      </c>
      <c r="AB65" s="17">
        <v>0</v>
      </c>
      <c r="AC65" s="17">
        <v>0</v>
      </c>
      <c r="AD65" s="15">
        <f t="shared" si="17"/>
        <v>0</v>
      </c>
      <c r="AE65" s="17">
        <v>12</v>
      </c>
      <c r="AF65" s="17">
        <v>0</v>
      </c>
      <c r="AG65" s="15">
        <f t="shared" si="18"/>
        <v>12</v>
      </c>
      <c r="AH65" s="17">
        <v>0</v>
      </c>
      <c r="AI65" s="17">
        <v>0</v>
      </c>
      <c r="AJ65" s="15">
        <f t="shared" si="19"/>
        <v>0</v>
      </c>
      <c r="AK65" s="17">
        <v>0</v>
      </c>
      <c r="AL65" s="17">
        <v>0</v>
      </c>
      <c r="AM65" s="15">
        <f t="shared" si="20"/>
        <v>0</v>
      </c>
      <c r="AN65" s="17"/>
    </row>
    <row r="66" spans="1:40" x14ac:dyDescent="0.3">
      <c r="A66" s="15" t="s">
        <v>197</v>
      </c>
      <c r="B66" s="15">
        <v>100</v>
      </c>
      <c r="C66" s="15" t="s">
        <v>54</v>
      </c>
      <c r="D66" s="15" t="s">
        <v>55</v>
      </c>
      <c r="E66" s="69" cm="1">
        <f t="array" ref="E66">MAX(0,IFERROR(_xlfn.XLOOKUP($A66&amp;"|"&amp;$B66&amp;"|"&amp;$D66,'29-AUGUST-2026'!$A$3:$A$197&amp;"|"&amp;'29-AUGUST-2026'!$B$3:$B$197&amp;"|"&amp;'29-AUGUST-2026'!$D$3:$D$197,'29-AUGUST-2026'!$Y$3:$Y$197,_xlfn.XLOOKUP($A66&amp;"|"&amp;$B66,'29-AUGUST-2026'!$A$3:$A$197&amp;"|"&amp;'29-AUGUST-2026'!$B$3:$B$197,'29-AUGUST-2026'!$Y$3:$Y$197,0)),0))</f>
        <v>0</v>
      </c>
      <c r="F66" s="69" cm="1">
        <f t="array" ref="F66">MAX(0,IFERROR(_xlfn.XLOOKUP($A66&amp;"|"&amp;$B66&amp;"|"&amp;$D66,'29-AUGUST-2026'!$A$3:$A$197&amp;"|"&amp;'29-AUGUST-2026'!$B$3:$B$197&amp;"|"&amp;'29-AUGUST-2026'!$D$3:$D$197,'29-AUGUST-2026'!$Z$3:$Z$197,_xlfn.XLOOKUP($A66&amp;"|"&amp;$B66,'29-AUGUST-2026'!$A$3:$A$197&amp;"|"&amp;'29-AUGUST-2026'!$B$3:$B$197,'29-AUGUST-2026'!$Z$3:$Z$197,0)),0))</f>
        <v>0</v>
      </c>
      <c r="G66" s="15">
        <f t="shared" si="13"/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20">
        <v>0</v>
      </c>
      <c r="S66" s="20">
        <v>0</v>
      </c>
      <c r="T66" s="20">
        <v>0</v>
      </c>
      <c r="U66" s="17"/>
      <c r="V66" s="17"/>
      <c r="W66" s="20">
        <f t="shared" si="14"/>
        <v>0</v>
      </c>
      <c r="X66" s="21">
        <f t="shared" si="21"/>
        <v>0</v>
      </c>
      <c r="Y66" s="15">
        <f t="shared" si="15"/>
        <v>0</v>
      </c>
      <c r="Z66" s="15">
        <f t="shared" si="16"/>
        <v>0</v>
      </c>
      <c r="AA66" s="18" t="str">
        <f>IF($A66="","",IF(AND($W66&gt;0,$V66=""),"IMPORT NEEDS DESTINATION",IF(MIN($Y66,$Z66)&lt;0,"NEGATIVE STOCK - CHECK ENTRIES","")))</f>
        <v/>
      </c>
      <c r="AB66" s="17">
        <v>0</v>
      </c>
      <c r="AC66" s="17">
        <v>0</v>
      </c>
      <c r="AD66" s="15">
        <f t="shared" si="17"/>
        <v>0</v>
      </c>
      <c r="AE66" s="17">
        <v>0</v>
      </c>
      <c r="AF66" s="17">
        <v>0</v>
      </c>
      <c r="AG66" s="15">
        <f t="shared" si="18"/>
        <v>0</v>
      </c>
      <c r="AH66" s="17">
        <v>0</v>
      </c>
      <c r="AI66" s="17">
        <v>0</v>
      </c>
      <c r="AJ66" s="15">
        <f t="shared" si="19"/>
        <v>0</v>
      </c>
      <c r="AK66" s="17">
        <v>0</v>
      </c>
      <c r="AL66" s="17">
        <v>0</v>
      </c>
      <c r="AM66" s="15">
        <f t="shared" si="20"/>
        <v>0</v>
      </c>
      <c r="AN66" s="17"/>
    </row>
    <row r="67" spans="1:40" x14ac:dyDescent="0.3">
      <c r="A67" s="15" t="s">
        <v>198</v>
      </c>
      <c r="B67" s="15">
        <v>100</v>
      </c>
      <c r="C67" s="15" t="s">
        <v>54</v>
      </c>
      <c r="D67" s="15" t="s">
        <v>55</v>
      </c>
      <c r="E67" s="69" cm="1">
        <f t="array" ref="E67">MAX(0,IFERROR(_xlfn.XLOOKUP($A67&amp;"|"&amp;$B67&amp;"|"&amp;$D67,'29-AUGUST-2026'!$A$3:$A$197&amp;"|"&amp;'29-AUGUST-2026'!$B$3:$B$197&amp;"|"&amp;'29-AUGUST-2026'!$D$3:$D$197,'29-AUGUST-2026'!$Y$3:$Y$197,_xlfn.XLOOKUP($A67&amp;"|"&amp;$B67,'29-AUGUST-2026'!$A$3:$A$197&amp;"|"&amp;'29-AUGUST-2026'!$B$3:$B$197,'29-AUGUST-2026'!$Y$3:$Y$197,0)),0))</f>
        <v>0</v>
      </c>
      <c r="F67" s="69" cm="1">
        <f t="array" ref="F67">MAX(0,IFERROR(_xlfn.XLOOKUP($A67&amp;"|"&amp;$B67&amp;"|"&amp;$D67,'29-AUGUST-2026'!$A$3:$A$197&amp;"|"&amp;'29-AUGUST-2026'!$B$3:$B$197&amp;"|"&amp;'29-AUGUST-2026'!$D$3:$D$197,'29-AUGUST-2026'!$Z$3:$Z$197,_xlfn.XLOOKUP($A67&amp;"|"&amp;$B67,'29-AUGUST-2026'!$A$3:$A$197&amp;"|"&amp;'29-AUGUST-2026'!$B$3:$B$197,'29-AUGUST-2026'!$Z$3:$Z$197,0)),0))</f>
        <v>0</v>
      </c>
      <c r="G67" s="15">
        <f t="shared" si="13"/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20">
        <v>0</v>
      </c>
      <c r="S67" s="20">
        <v>0</v>
      </c>
      <c r="T67" s="20">
        <v>0</v>
      </c>
      <c r="U67" s="17"/>
      <c r="V67" s="17"/>
      <c r="W67" s="20">
        <f t="shared" si="14"/>
        <v>0</v>
      </c>
      <c r="X67" s="21">
        <f t="shared" si="21"/>
        <v>0</v>
      </c>
      <c r="Y67" s="15">
        <f t="shared" si="15"/>
        <v>0</v>
      </c>
      <c r="Z67" s="15">
        <f t="shared" si="16"/>
        <v>0</v>
      </c>
      <c r="AA67" s="18" t="str">
        <f>IF($A67="","",IF(AND($W67&gt;0,$V67=""),"IMPORT NEEDS DESTINATION",IF(MIN($Y67,$Z67)&lt;0,"NEGATIVE STOCK - CHECK ENTRIES","")))</f>
        <v/>
      </c>
      <c r="AB67" s="17">
        <v>0</v>
      </c>
      <c r="AC67" s="17">
        <v>0</v>
      </c>
      <c r="AD67" s="15">
        <f t="shared" si="17"/>
        <v>0</v>
      </c>
      <c r="AE67" s="17">
        <v>0</v>
      </c>
      <c r="AF67" s="17">
        <v>0</v>
      </c>
      <c r="AG67" s="15">
        <f t="shared" si="18"/>
        <v>0</v>
      </c>
      <c r="AH67" s="17">
        <v>0</v>
      </c>
      <c r="AI67" s="17">
        <v>0</v>
      </c>
      <c r="AJ67" s="15">
        <f t="shared" si="19"/>
        <v>0</v>
      </c>
      <c r="AK67" s="17">
        <v>0</v>
      </c>
      <c r="AL67" s="17">
        <v>0</v>
      </c>
      <c r="AM67" s="15">
        <f t="shared" si="20"/>
        <v>0</v>
      </c>
      <c r="AN67" s="17" t="s">
        <v>334</v>
      </c>
    </row>
    <row r="68" spans="1:40" x14ac:dyDescent="0.3">
      <c r="A68" s="15" t="s">
        <v>199</v>
      </c>
      <c r="B68" s="15">
        <v>500</v>
      </c>
      <c r="C68" s="15" t="s">
        <v>54</v>
      </c>
      <c r="D68" s="15" t="s">
        <v>55</v>
      </c>
      <c r="E68" s="69" cm="1">
        <f t="array" ref="E68">MAX(0,IFERROR(_xlfn.XLOOKUP($A68&amp;"|"&amp;$B68&amp;"|"&amp;$D68,'29-AUGUST-2026'!$A$3:$A$197&amp;"|"&amp;'29-AUGUST-2026'!$B$3:$B$197&amp;"|"&amp;'29-AUGUST-2026'!$D$3:$D$197,'29-AUGUST-2026'!$Y$3:$Y$197,_xlfn.XLOOKUP($A68&amp;"|"&amp;$B68,'29-AUGUST-2026'!$A$3:$A$197&amp;"|"&amp;'29-AUGUST-2026'!$B$3:$B$197,'29-AUGUST-2026'!$Y$3:$Y$197,0)),0))</f>
        <v>0</v>
      </c>
      <c r="F68" s="69" cm="1">
        <f t="array" ref="F68">MAX(0,IFERROR(_xlfn.XLOOKUP($A68&amp;"|"&amp;$B68&amp;"|"&amp;$D68,'29-AUGUST-2026'!$A$3:$A$197&amp;"|"&amp;'29-AUGUST-2026'!$B$3:$B$197&amp;"|"&amp;'29-AUGUST-2026'!$D$3:$D$197,'29-AUGUST-2026'!$Z$3:$Z$197,_xlfn.XLOOKUP($A68&amp;"|"&amp;$B68,'29-AUGUST-2026'!$A$3:$A$197&amp;"|"&amp;'29-AUGUST-2026'!$B$3:$B$197,'29-AUGUST-2026'!$Z$3:$Z$197,0)),0))</f>
        <v>1</v>
      </c>
      <c r="G68" s="15">
        <f t="shared" ref="G68:G99" si="22">E68+F68</f>
        <v>1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20">
        <v>0</v>
      </c>
      <c r="S68" s="20">
        <v>0</v>
      </c>
      <c r="T68" s="20">
        <v>0</v>
      </c>
      <c r="U68" s="17"/>
      <c r="V68" s="17"/>
      <c r="W68" s="20">
        <f t="shared" ref="W68:W99" si="23">R68+S68+T68</f>
        <v>0</v>
      </c>
      <c r="X68" s="21">
        <f t="shared" si="21"/>
        <v>1</v>
      </c>
      <c r="Y68" s="15">
        <f t="shared" ref="Y68:Y99" si="24">E68+N68+IF($V68="Arusha",$W68,0)-H68-K68</f>
        <v>0</v>
      </c>
      <c r="Z68" s="15">
        <f t="shared" ref="Z68:Z99" si="25">F68+O68+IF($V68="Moro",$W68,0)-I68-L68</f>
        <v>1</v>
      </c>
      <c r="AA68" s="18" t="str">
        <f>IF($A68="","",IF(AND($W68&gt;0,$V68=""),"IMPORT NEEDS DESTINATION",IF(MIN($Y68,$Z68)&lt;0,"NEGATIVE STOCK - CHECK ENTRIES","")))</f>
        <v/>
      </c>
      <c r="AB68" s="17">
        <v>0</v>
      </c>
      <c r="AC68" s="17">
        <v>0</v>
      </c>
      <c r="AD68" s="15">
        <f t="shared" si="17"/>
        <v>0</v>
      </c>
      <c r="AE68" s="17">
        <v>0</v>
      </c>
      <c r="AF68" s="17">
        <v>0</v>
      </c>
      <c r="AG68" s="15">
        <f t="shared" si="18"/>
        <v>0</v>
      </c>
      <c r="AH68" s="17">
        <v>0</v>
      </c>
      <c r="AI68" s="17">
        <v>0</v>
      </c>
      <c r="AJ68" s="15">
        <f t="shared" si="19"/>
        <v>0</v>
      </c>
      <c r="AK68" s="17">
        <v>0</v>
      </c>
      <c r="AL68" s="17">
        <v>0</v>
      </c>
      <c r="AM68" s="15">
        <f t="shared" si="20"/>
        <v>0</v>
      </c>
      <c r="AN68" s="17"/>
    </row>
    <row r="69" spans="1:40" x14ac:dyDescent="0.3">
      <c r="A69" s="15" t="s">
        <v>200</v>
      </c>
      <c r="B69" s="15">
        <v>100</v>
      </c>
      <c r="C69" s="15" t="s">
        <v>54</v>
      </c>
      <c r="D69" s="15" t="s">
        <v>55</v>
      </c>
      <c r="E69" s="69" cm="1">
        <f t="array" ref="E69">MAX(0,IFERROR(_xlfn.XLOOKUP($A69&amp;"|"&amp;$B69&amp;"|"&amp;$D69,'29-AUGUST-2026'!$A$3:$A$197&amp;"|"&amp;'29-AUGUST-2026'!$B$3:$B$197&amp;"|"&amp;'29-AUGUST-2026'!$D$3:$D$197,'29-AUGUST-2026'!$Y$3:$Y$197,_xlfn.XLOOKUP($A69&amp;"|"&amp;$B69,'29-AUGUST-2026'!$A$3:$A$197&amp;"|"&amp;'29-AUGUST-2026'!$B$3:$B$197,'29-AUGUST-2026'!$Y$3:$Y$197,0)),0))</f>
        <v>149</v>
      </c>
      <c r="F69" s="69" cm="1">
        <f t="array" ref="F69">MAX(0,IFERROR(_xlfn.XLOOKUP($A69&amp;"|"&amp;$B69&amp;"|"&amp;$D69,'29-AUGUST-2026'!$A$3:$A$197&amp;"|"&amp;'29-AUGUST-2026'!$B$3:$B$197&amp;"|"&amp;'29-AUGUST-2026'!$D$3:$D$197,'29-AUGUST-2026'!$Z$3:$Z$197,_xlfn.XLOOKUP($A69&amp;"|"&amp;$B69,'29-AUGUST-2026'!$A$3:$A$197&amp;"|"&amp;'29-AUGUST-2026'!$B$3:$B$197,'29-AUGUST-2026'!$Z$3:$Z$197,0)),0))</f>
        <v>52</v>
      </c>
      <c r="G69" s="15">
        <f t="shared" si="22"/>
        <v>201</v>
      </c>
      <c r="H69" s="17">
        <v>1</v>
      </c>
      <c r="I69" s="17">
        <v>2</v>
      </c>
      <c r="J69" s="17">
        <v>0</v>
      </c>
      <c r="K69" s="17">
        <v>12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20">
        <v>0</v>
      </c>
      <c r="S69" s="20">
        <v>0</v>
      </c>
      <c r="T69" s="20">
        <v>0</v>
      </c>
      <c r="U69" s="17"/>
      <c r="V69" s="17"/>
      <c r="W69" s="20">
        <f t="shared" si="23"/>
        <v>0</v>
      </c>
      <c r="X69" s="21">
        <f t="shared" si="21"/>
        <v>186</v>
      </c>
      <c r="Y69" s="15">
        <f t="shared" si="24"/>
        <v>136</v>
      </c>
      <c r="Z69" s="15">
        <f t="shared" si="25"/>
        <v>50</v>
      </c>
      <c r="AA69" s="18" t="str">
        <f>IF($A69="","",IF(AND($W69&gt;0,$V69=""),"IMPORT NEEDS DESTINATION",IF(MIN($Y69,$Z69)&lt;0,"NEGATIVE STOCK - CHECK ENTRIES","")))</f>
        <v/>
      </c>
      <c r="AB69" s="17">
        <v>0</v>
      </c>
      <c r="AC69" s="17">
        <v>0</v>
      </c>
      <c r="AD69" s="15">
        <f t="shared" ref="AD69:AD100" si="26">AB69-AC69</f>
        <v>0</v>
      </c>
      <c r="AE69" s="17">
        <v>12</v>
      </c>
      <c r="AF69" s="17">
        <v>0</v>
      </c>
      <c r="AG69" s="15">
        <f t="shared" ref="AG69:AG100" si="27">AE69-AF69</f>
        <v>12</v>
      </c>
      <c r="AH69" s="17">
        <v>0</v>
      </c>
      <c r="AI69" s="17">
        <v>0</v>
      </c>
      <c r="AJ69" s="15">
        <f t="shared" ref="AJ69:AJ100" si="28">AH69-AI69</f>
        <v>0</v>
      </c>
      <c r="AK69" s="17">
        <v>0</v>
      </c>
      <c r="AL69" s="17">
        <v>0</v>
      </c>
      <c r="AM69" s="15">
        <f t="shared" ref="AM69:AM100" si="29">AK69-AL69</f>
        <v>0</v>
      </c>
      <c r="AN69" s="17"/>
    </row>
    <row r="70" spans="1:40" x14ac:dyDescent="0.3">
      <c r="A70" s="15" t="s">
        <v>201</v>
      </c>
      <c r="B70" s="15">
        <v>100</v>
      </c>
      <c r="C70" s="15" t="s">
        <v>54</v>
      </c>
      <c r="D70" s="15" t="s">
        <v>55</v>
      </c>
      <c r="E70" s="69" cm="1">
        <f t="array" ref="E70">MAX(0,IFERROR(_xlfn.XLOOKUP($A70&amp;"|"&amp;$B70&amp;"|"&amp;$D70,'29-AUGUST-2026'!$A$3:$A$197&amp;"|"&amp;'29-AUGUST-2026'!$B$3:$B$197&amp;"|"&amp;'29-AUGUST-2026'!$D$3:$D$197,'29-AUGUST-2026'!$Y$3:$Y$197,_xlfn.XLOOKUP($A70&amp;"|"&amp;$B70,'29-AUGUST-2026'!$A$3:$A$197&amp;"|"&amp;'29-AUGUST-2026'!$B$3:$B$197,'29-AUGUST-2026'!$Y$3:$Y$197,0)),0))</f>
        <v>8</v>
      </c>
      <c r="F70" s="69" cm="1">
        <f t="array" ref="F70">MAX(0,IFERROR(_xlfn.XLOOKUP($A70&amp;"|"&amp;$B70&amp;"|"&amp;$D70,'29-AUGUST-2026'!$A$3:$A$197&amp;"|"&amp;'29-AUGUST-2026'!$B$3:$B$197&amp;"|"&amp;'29-AUGUST-2026'!$D$3:$D$197,'29-AUGUST-2026'!$Z$3:$Z$197,_xlfn.XLOOKUP($A70&amp;"|"&amp;$B70,'29-AUGUST-2026'!$A$3:$A$197&amp;"|"&amp;'29-AUGUST-2026'!$B$3:$B$197,'29-AUGUST-2026'!$Z$3:$Z$197,0)),0))</f>
        <v>31</v>
      </c>
      <c r="G70" s="15">
        <f t="shared" si="22"/>
        <v>39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20">
        <v>0</v>
      </c>
      <c r="S70" s="20">
        <v>0</v>
      </c>
      <c r="T70" s="20">
        <v>0</v>
      </c>
      <c r="U70" s="17"/>
      <c r="V70" s="17"/>
      <c r="W70" s="20">
        <f t="shared" si="23"/>
        <v>0</v>
      </c>
      <c r="X70" s="21">
        <f t="shared" si="21"/>
        <v>39</v>
      </c>
      <c r="Y70" s="15">
        <f t="shared" si="24"/>
        <v>8</v>
      </c>
      <c r="Z70" s="15">
        <f t="shared" si="25"/>
        <v>31</v>
      </c>
      <c r="AA70" s="18" t="str">
        <f>IF($A70="","",IF(AND($W70&gt;0,$V70=""),"IMPORT NEEDS DESTINATION",IF(MIN($Y70,$Z70)&lt;0,"NEGATIVE STOCK - CHECK ENTRIES","")))</f>
        <v/>
      </c>
      <c r="AB70" s="17">
        <v>0</v>
      </c>
      <c r="AC70" s="17">
        <v>0</v>
      </c>
      <c r="AD70" s="15">
        <f t="shared" si="26"/>
        <v>0</v>
      </c>
      <c r="AE70" s="17">
        <v>0</v>
      </c>
      <c r="AF70" s="17">
        <v>0</v>
      </c>
      <c r="AG70" s="15">
        <f t="shared" si="27"/>
        <v>0</v>
      </c>
      <c r="AH70" s="17">
        <v>0</v>
      </c>
      <c r="AI70" s="17">
        <v>0</v>
      </c>
      <c r="AJ70" s="15">
        <f t="shared" si="28"/>
        <v>0</v>
      </c>
      <c r="AK70" s="17">
        <v>0</v>
      </c>
      <c r="AL70" s="17">
        <v>0</v>
      </c>
      <c r="AM70" s="15">
        <f t="shared" si="29"/>
        <v>0</v>
      </c>
      <c r="AN70" s="17"/>
    </row>
    <row r="71" spans="1:40" x14ac:dyDescent="0.3">
      <c r="A71" s="15" t="s">
        <v>202</v>
      </c>
      <c r="B71" s="15">
        <v>100</v>
      </c>
      <c r="C71" s="15" t="s">
        <v>54</v>
      </c>
      <c r="D71" s="15" t="s">
        <v>55</v>
      </c>
      <c r="E71" s="69" cm="1">
        <f t="array" ref="E71">MAX(0,IFERROR(_xlfn.XLOOKUP($A71&amp;"|"&amp;$B71&amp;"|"&amp;$D71,'29-AUGUST-2026'!$A$3:$A$197&amp;"|"&amp;'29-AUGUST-2026'!$B$3:$B$197&amp;"|"&amp;'29-AUGUST-2026'!$D$3:$D$197,'29-AUGUST-2026'!$Y$3:$Y$197,_xlfn.XLOOKUP($A71&amp;"|"&amp;$B71,'29-AUGUST-2026'!$A$3:$A$197&amp;"|"&amp;'29-AUGUST-2026'!$B$3:$B$197,'29-AUGUST-2026'!$Y$3:$Y$197,0)),0))</f>
        <v>13</v>
      </c>
      <c r="F71" s="69" cm="1">
        <f t="array" ref="F71">MAX(0,IFERROR(_xlfn.XLOOKUP($A71&amp;"|"&amp;$B71&amp;"|"&amp;$D71,'29-AUGUST-2026'!$A$3:$A$197&amp;"|"&amp;'29-AUGUST-2026'!$B$3:$B$197&amp;"|"&amp;'29-AUGUST-2026'!$D$3:$D$197,'29-AUGUST-2026'!$Z$3:$Z$197,_xlfn.XLOOKUP($A71&amp;"|"&amp;$B71,'29-AUGUST-2026'!$A$3:$A$197&amp;"|"&amp;'29-AUGUST-2026'!$B$3:$B$197,'29-AUGUST-2026'!$Z$3:$Z$197,0)),0))</f>
        <v>0</v>
      </c>
      <c r="G71" s="15">
        <f t="shared" si="22"/>
        <v>13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20">
        <v>0</v>
      </c>
      <c r="S71" s="20">
        <v>0</v>
      </c>
      <c r="T71" s="20">
        <v>0</v>
      </c>
      <c r="U71" s="17"/>
      <c r="V71" s="17"/>
      <c r="W71" s="20">
        <f t="shared" si="23"/>
        <v>0</v>
      </c>
      <c r="X71" s="21">
        <f t="shared" si="21"/>
        <v>13</v>
      </c>
      <c r="Y71" s="15">
        <f t="shared" si="24"/>
        <v>13</v>
      </c>
      <c r="Z71" s="15">
        <f t="shared" si="25"/>
        <v>0</v>
      </c>
      <c r="AA71" s="18" t="str">
        <f>IF($A71="","",IF(AND($W71&gt;0,$V71=""),"IMPORT NEEDS DESTINATION",IF(MIN($Y71,$Z71)&lt;0,"NEGATIVE STOCK - CHECK ENTRIES","")))</f>
        <v/>
      </c>
      <c r="AB71" s="17">
        <v>0</v>
      </c>
      <c r="AC71" s="17">
        <v>0</v>
      </c>
      <c r="AD71" s="15">
        <f t="shared" si="26"/>
        <v>0</v>
      </c>
      <c r="AE71" s="17">
        <v>0</v>
      </c>
      <c r="AF71" s="17">
        <v>0</v>
      </c>
      <c r="AG71" s="15">
        <f t="shared" si="27"/>
        <v>0</v>
      </c>
      <c r="AH71" s="17">
        <v>0</v>
      </c>
      <c r="AI71" s="17">
        <v>0</v>
      </c>
      <c r="AJ71" s="15">
        <f t="shared" si="28"/>
        <v>0</v>
      </c>
      <c r="AK71" s="17">
        <v>0</v>
      </c>
      <c r="AL71" s="17">
        <v>0</v>
      </c>
      <c r="AM71" s="15">
        <f t="shared" si="29"/>
        <v>0</v>
      </c>
      <c r="AN71" s="17"/>
    </row>
    <row r="72" spans="1:40" x14ac:dyDescent="0.3">
      <c r="A72" s="15" t="s">
        <v>203</v>
      </c>
      <c r="B72" s="15">
        <v>100</v>
      </c>
      <c r="C72" s="15" t="s">
        <v>54</v>
      </c>
      <c r="D72" s="15" t="s">
        <v>55</v>
      </c>
      <c r="E72" s="69" cm="1">
        <f t="array" ref="E72">MAX(0,IFERROR(_xlfn.XLOOKUP($A72&amp;"|"&amp;$B72&amp;"|"&amp;$D72,'29-AUGUST-2026'!$A$3:$A$197&amp;"|"&amp;'29-AUGUST-2026'!$B$3:$B$197&amp;"|"&amp;'29-AUGUST-2026'!$D$3:$D$197,'29-AUGUST-2026'!$Y$3:$Y$197,_xlfn.XLOOKUP($A72&amp;"|"&amp;$B72,'29-AUGUST-2026'!$A$3:$A$197&amp;"|"&amp;'29-AUGUST-2026'!$B$3:$B$197,'29-AUGUST-2026'!$Y$3:$Y$197,0)),0))</f>
        <v>13</v>
      </c>
      <c r="F72" s="69" cm="1">
        <f t="array" ref="F72">MAX(0,IFERROR(_xlfn.XLOOKUP($A72&amp;"|"&amp;$B72&amp;"|"&amp;$D72,'29-AUGUST-2026'!$A$3:$A$197&amp;"|"&amp;'29-AUGUST-2026'!$B$3:$B$197&amp;"|"&amp;'29-AUGUST-2026'!$D$3:$D$197,'29-AUGUST-2026'!$Z$3:$Z$197,_xlfn.XLOOKUP($A72&amp;"|"&amp;$B72,'29-AUGUST-2026'!$A$3:$A$197&amp;"|"&amp;'29-AUGUST-2026'!$B$3:$B$197,'29-AUGUST-2026'!$Z$3:$Z$197,0)),0))</f>
        <v>0</v>
      </c>
      <c r="G72" s="15">
        <f t="shared" si="22"/>
        <v>13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20">
        <v>0</v>
      </c>
      <c r="S72" s="20">
        <v>0</v>
      </c>
      <c r="T72" s="20">
        <v>0</v>
      </c>
      <c r="U72" s="17"/>
      <c r="V72" s="17"/>
      <c r="W72" s="20">
        <f t="shared" si="23"/>
        <v>0</v>
      </c>
      <c r="X72" s="21">
        <f t="shared" si="21"/>
        <v>13</v>
      </c>
      <c r="Y72" s="15">
        <f t="shared" si="24"/>
        <v>13</v>
      </c>
      <c r="Z72" s="15">
        <f t="shared" si="25"/>
        <v>0</v>
      </c>
      <c r="AA72" s="18" t="str">
        <f>IF($A72="","",IF(AND($W72&gt;0,$V72=""),"IMPORT NEEDS DESTINATION",IF(MIN($Y72,$Z72)&lt;0,"NEGATIVE STOCK - CHECK ENTRIES","")))</f>
        <v/>
      </c>
      <c r="AB72" s="17">
        <v>0</v>
      </c>
      <c r="AC72" s="17">
        <v>0</v>
      </c>
      <c r="AD72" s="15">
        <f t="shared" si="26"/>
        <v>0</v>
      </c>
      <c r="AE72" s="17">
        <v>0</v>
      </c>
      <c r="AF72" s="17">
        <v>0</v>
      </c>
      <c r="AG72" s="15">
        <f t="shared" si="27"/>
        <v>0</v>
      </c>
      <c r="AH72" s="17">
        <v>0</v>
      </c>
      <c r="AI72" s="17">
        <v>0</v>
      </c>
      <c r="AJ72" s="15">
        <f t="shared" si="28"/>
        <v>0</v>
      </c>
      <c r="AK72" s="17">
        <v>0</v>
      </c>
      <c r="AL72" s="17">
        <v>0</v>
      </c>
      <c r="AM72" s="15">
        <f t="shared" si="29"/>
        <v>0</v>
      </c>
      <c r="AN72" s="17"/>
    </row>
    <row r="73" spans="1:40" x14ac:dyDescent="0.3">
      <c r="A73" s="15" t="s">
        <v>204</v>
      </c>
      <c r="B73" s="15">
        <v>10000</v>
      </c>
      <c r="C73" s="15" t="s">
        <v>54</v>
      </c>
      <c r="D73" s="15" t="s">
        <v>55</v>
      </c>
      <c r="E73" s="69" cm="1">
        <f t="array" ref="E73">MAX(0,IFERROR(_xlfn.XLOOKUP($A73&amp;"|"&amp;$B73&amp;"|"&amp;$D73,'29-AUGUST-2026'!$A$3:$A$197&amp;"|"&amp;'29-AUGUST-2026'!$B$3:$B$197&amp;"|"&amp;'29-AUGUST-2026'!$D$3:$D$197,'29-AUGUST-2026'!$Y$3:$Y$197,_xlfn.XLOOKUP($A73&amp;"|"&amp;$B73,'29-AUGUST-2026'!$A$3:$A$197&amp;"|"&amp;'29-AUGUST-2026'!$B$3:$B$197,'29-AUGUST-2026'!$Y$3:$Y$197,0)),0))</f>
        <v>1</v>
      </c>
      <c r="F73" s="69" cm="1">
        <f t="array" ref="F73">MAX(0,IFERROR(_xlfn.XLOOKUP($A73&amp;"|"&amp;$B73&amp;"|"&amp;$D73,'29-AUGUST-2026'!$A$3:$A$197&amp;"|"&amp;'29-AUGUST-2026'!$B$3:$B$197&amp;"|"&amp;'29-AUGUST-2026'!$D$3:$D$197,'29-AUGUST-2026'!$Z$3:$Z$197,_xlfn.XLOOKUP($A73&amp;"|"&amp;$B73,'29-AUGUST-2026'!$A$3:$A$197&amp;"|"&amp;'29-AUGUST-2026'!$B$3:$B$197,'29-AUGUST-2026'!$Z$3:$Z$197,0)),0))</f>
        <v>0</v>
      </c>
      <c r="G73" s="15">
        <f t="shared" si="22"/>
        <v>1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20">
        <v>0</v>
      </c>
      <c r="S73" s="20">
        <v>0</v>
      </c>
      <c r="T73" s="20">
        <v>0</v>
      </c>
      <c r="U73" s="17"/>
      <c r="V73" s="17"/>
      <c r="W73" s="20">
        <f t="shared" si="23"/>
        <v>0</v>
      </c>
      <c r="X73" s="21">
        <f t="shared" si="21"/>
        <v>1</v>
      </c>
      <c r="Y73" s="15">
        <f t="shared" si="24"/>
        <v>1</v>
      </c>
      <c r="Z73" s="15">
        <f t="shared" si="25"/>
        <v>0</v>
      </c>
      <c r="AA73" s="18" t="str">
        <f>IF($A73="","",IF(AND($W73&gt;0,$V73=""),"IMPORT NEEDS DESTINATION",IF(MIN($Y73,$Z73)&lt;0,"NEGATIVE STOCK - CHECK ENTRIES","")))</f>
        <v/>
      </c>
      <c r="AB73" s="17">
        <v>0</v>
      </c>
      <c r="AC73" s="17">
        <v>0</v>
      </c>
      <c r="AD73" s="15">
        <f t="shared" si="26"/>
        <v>0</v>
      </c>
      <c r="AE73" s="17">
        <v>0</v>
      </c>
      <c r="AF73" s="17">
        <v>0</v>
      </c>
      <c r="AG73" s="15">
        <f t="shared" si="27"/>
        <v>0</v>
      </c>
      <c r="AH73" s="17">
        <v>0</v>
      </c>
      <c r="AI73" s="17">
        <v>0</v>
      </c>
      <c r="AJ73" s="15">
        <f t="shared" si="28"/>
        <v>0</v>
      </c>
      <c r="AK73" s="17">
        <v>0</v>
      </c>
      <c r="AL73" s="17">
        <v>0</v>
      </c>
      <c r="AM73" s="15">
        <f t="shared" si="29"/>
        <v>0</v>
      </c>
      <c r="AN73" s="17"/>
    </row>
    <row r="74" spans="1:40" x14ac:dyDescent="0.3">
      <c r="A74" s="15" t="s">
        <v>211</v>
      </c>
      <c r="B74" s="15">
        <v>100</v>
      </c>
      <c r="C74" s="15" t="s">
        <v>54</v>
      </c>
      <c r="D74" s="15" t="s">
        <v>55</v>
      </c>
      <c r="E74" s="69" cm="1">
        <f t="array" ref="E74">MAX(0,IFERROR(_xlfn.XLOOKUP($A74&amp;"|"&amp;$B74&amp;"|"&amp;$D74,'29-AUGUST-2026'!$A$3:$A$197&amp;"|"&amp;'29-AUGUST-2026'!$B$3:$B$197&amp;"|"&amp;'29-AUGUST-2026'!$D$3:$D$197,'29-AUGUST-2026'!$Y$3:$Y$197,_xlfn.XLOOKUP($A74&amp;"|"&amp;$B74,'29-AUGUST-2026'!$A$3:$A$197&amp;"|"&amp;'29-AUGUST-2026'!$B$3:$B$197,'29-AUGUST-2026'!$Y$3:$Y$197,0)),0))</f>
        <v>127</v>
      </c>
      <c r="F74" s="69" cm="1">
        <f t="array" ref="F74">MAX(0,IFERROR(_xlfn.XLOOKUP($A74&amp;"|"&amp;$B74&amp;"|"&amp;$D74,'29-AUGUST-2026'!$A$3:$A$197&amp;"|"&amp;'29-AUGUST-2026'!$B$3:$B$197&amp;"|"&amp;'29-AUGUST-2026'!$D$3:$D$197,'29-AUGUST-2026'!$Z$3:$Z$197,_xlfn.XLOOKUP($A74&amp;"|"&amp;$B74,'29-AUGUST-2026'!$A$3:$A$197&amp;"|"&amp;'29-AUGUST-2026'!$B$3:$B$197,'29-AUGUST-2026'!$Z$3:$Z$197,0)),0))</f>
        <v>49</v>
      </c>
      <c r="G74" s="15">
        <f t="shared" si="22"/>
        <v>176</v>
      </c>
      <c r="H74" s="17">
        <v>20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20">
        <v>0</v>
      </c>
      <c r="S74" s="20">
        <v>0</v>
      </c>
      <c r="T74" s="20">
        <v>0</v>
      </c>
      <c r="U74" s="17"/>
      <c r="V74" s="17"/>
      <c r="W74" s="20">
        <f t="shared" si="23"/>
        <v>0</v>
      </c>
      <c r="X74" s="21">
        <f t="shared" si="21"/>
        <v>156</v>
      </c>
      <c r="Y74" s="15">
        <f t="shared" si="24"/>
        <v>107</v>
      </c>
      <c r="Z74" s="15">
        <f t="shared" si="25"/>
        <v>49</v>
      </c>
      <c r="AA74" s="18" t="str">
        <f>IF($A74="","",IF(AND($W74&gt;0,$V74=""),"IMPORT NEEDS DESTINATION",IF(MIN($Y74,$Z74)&lt;0,"NEGATIVE STOCK - CHECK ENTRIES","")))</f>
        <v/>
      </c>
      <c r="AB74" s="17">
        <v>0</v>
      </c>
      <c r="AC74" s="17">
        <v>0</v>
      </c>
      <c r="AD74" s="15">
        <f t="shared" si="26"/>
        <v>0</v>
      </c>
      <c r="AE74" s="17">
        <v>0</v>
      </c>
      <c r="AF74" s="17">
        <v>0</v>
      </c>
      <c r="AG74" s="15">
        <f t="shared" si="27"/>
        <v>0</v>
      </c>
      <c r="AH74" s="17">
        <v>0</v>
      </c>
      <c r="AI74" s="17">
        <v>0</v>
      </c>
      <c r="AJ74" s="15">
        <f t="shared" si="28"/>
        <v>0</v>
      </c>
      <c r="AK74" s="17">
        <v>0</v>
      </c>
      <c r="AL74" s="17">
        <v>0</v>
      </c>
      <c r="AM74" s="15">
        <f t="shared" si="29"/>
        <v>0</v>
      </c>
      <c r="AN74" s="17"/>
    </row>
    <row r="75" spans="1:40" x14ac:dyDescent="0.3">
      <c r="A75" s="15" t="s">
        <v>212</v>
      </c>
      <c r="B75" s="15">
        <v>100</v>
      </c>
      <c r="C75" s="15" t="s">
        <v>54</v>
      </c>
      <c r="D75" s="15" t="s">
        <v>55</v>
      </c>
      <c r="E75" s="69" cm="1">
        <f t="array" ref="E75">MAX(0,IFERROR(_xlfn.XLOOKUP($A75&amp;"|"&amp;$B75&amp;"|"&amp;$D75,'29-AUGUST-2026'!$A$3:$A$197&amp;"|"&amp;'29-AUGUST-2026'!$B$3:$B$197&amp;"|"&amp;'29-AUGUST-2026'!$D$3:$D$197,'29-AUGUST-2026'!$Y$3:$Y$197,_xlfn.XLOOKUP($A75&amp;"|"&amp;$B75,'29-AUGUST-2026'!$A$3:$A$197&amp;"|"&amp;'29-AUGUST-2026'!$B$3:$B$197,'29-AUGUST-2026'!$Y$3:$Y$197,0)),0))</f>
        <v>5</v>
      </c>
      <c r="F75" s="69" cm="1">
        <f t="array" ref="F75">MAX(0,IFERROR(_xlfn.XLOOKUP($A75&amp;"|"&amp;$B75&amp;"|"&amp;$D75,'29-AUGUST-2026'!$A$3:$A$197&amp;"|"&amp;'29-AUGUST-2026'!$B$3:$B$197&amp;"|"&amp;'29-AUGUST-2026'!$D$3:$D$197,'29-AUGUST-2026'!$Z$3:$Z$197,_xlfn.XLOOKUP($A75&amp;"|"&amp;$B75,'29-AUGUST-2026'!$A$3:$A$197&amp;"|"&amp;'29-AUGUST-2026'!$B$3:$B$197,'29-AUGUST-2026'!$Z$3:$Z$197,0)),0))</f>
        <v>0</v>
      </c>
      <c r="G75" s="15">
        <f t="shared" si="22"/>
        <v>5</v>
      </c>
      <c r="H75" s="17">
        <v>0</v>
      </c>
      <c r="I75" s="17">
        <v>0</v>
      </c>
      <c r="J75" s="17">
        <v>0</v>
      </c>
      <c r="K75" s="17">
        <v>2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20">
        <v>0</v>
      </c>
      <c r="S75" s="20">
        <v>0</v>
      </c>
      <c r="T75" s="20">
        <v>0</v>
      </c>
      <c r="U75" s="17"/>
      <c r="V75" s="17"/>
      <c r="W75" s="20">
        <f t="shared" si="23"/>
        <v>0</v>
      </c>
      <c r="X75" s="21">
        <f t="shared" si="21"/>
        <v>3</v>
      </c>
      <c r="Y75" s="15">
        <f t="shared" si="24"/>
        <v>3</v>
      </c>
      <c r="Z75" s="15">
        <f t="shared" si="25"/>
        <v>0</v>
      </c>
      <c r="AA75" s="18" t="str">
        <f>IF($A75="","",IF(AND($W75&gt;0,$V75=""),"IMPORT NEEDS DESTINATION",IF(MIN($Y75,$Z75)&lt;0,"NEGATIVE STOCK - CHECK ENTRIES","")))</f>
        <v/>
      </c>
      <c r="AB75" s="17">
        <v>0</v>
      </c>
      <c r="AC75" s="17">
        <v>0</v>
      </c>
      <c r="AD75" s="15">
        <f t="shared" si="26"/>
        <v>0</v>
      </c>
      <c r="AE75" s="17">
        <v>2</v>
      </c>
      <c r="AF75" s="17">
        <v>0</v>
      </c>
      <c r="AG75" s="15">
        <f t="shared" si="27"/>
        <v>2</v>
      </c>
      <c r="AH75" s="17">
        <v>0</v>
      </c>
      <c r="AI75" s="17">
        <v>0</v>
      </c>
      <c r="AJ75" s="15">
        <f t="shared" si="28"/>
        <v>0</v>
      </c>
      <c r="AK75" s="17">
        <v>0</v>
      </c>
      <c r="AL75" s="17">
        <v>0</v>
      </c>
      <c r="AM75" s="15">
        <f t="shared" si="29"/>
        <v>0</v>
      </c>
      <c r="AN75" s="17"/>
    </row>
    <row r="76" spans="1:40" x14ac:dyDescent="0.3">
      <c r="A76" s="15" t="s">
        <v>213</v>
      </c>
      <c r="B76" s="15">
        <v>100</v>
      </c>
      <c r="C76" s="15" t="s">
        <v>54</v>
      </c>
      <c r="D76" s="15" t="s">
        <v>55</v>
      </c>
      <c r="E76" s="69" cm="1">
        <f t="array" ref="E76">MAX(0,IFERROR(_xlfn.XLOOKUP($A76&amp;"|"&amp;$B76&amp;"|"&amp;$D76,'29-AUGUST-2026'!$A$3:$A$197&amp;"|"&amp;'29-AUGUST-2026'!$B$3:$B$197&amp;"|"&amp;'29-AUGUST-2026'!$D$3:$D$197,'29-AUGUST-2026'!$Y$3:$Y$197,_xlfn.XLOOKUP($A76&amp;"|"&amp;$B76,'29-AUGUST-2026'!$A$3:$A$197&amp;"|"&amp;'29-AUGUST-2026'!$B$3:$B$197,'29-AUGUST-2026'!$Y$3:$Y$197,0)),0))</f>
        <v>513</v>
      </c>
      <c r="F76" s="69" cm="1">
        <f t="array" ref="F76">MAX(0,IFERROR(_xlfn.XLOOKUP($A76&amp;"|"&amp;$B76&amp;"|"&amp;$D76,'29-AUGUST-2026'!$A$3:$A$197&amp;"|"&amp;'29-AUGUST-2026'!$B$3:$B$197&amp;"|"&amp;'29-AUGUST-2026'!$D$3:$D$197,'29-AUGUST-2026'!$Z$3:$Z$197,_xlfn.XLOOKUP($A76&amp;"|"&amp;$B76,'29-AUGUST-2026'!$A$3:$A$197&amp;"|"&amp;'29-AUGUST-2026'!$B$3:$B$197,'29-AUGUST-2026'!$Z$3:$Z$197,0)),0))</f>
        <v>85</v>
      </c>
      <c r="G76" s="15">
        <f t="shared" si="22"/>
        <v>598</v>
      </c>
      <c r="H76" s="17">
        <v>1</v>
      </c>
      <c r="I76" s="17">
        <v>0</v>
      </c>
      <c r="J76" s="17">
        <v>0</v>
      </c>
      <c r="K76" s="17">
        <v>1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20">
        <v>0</v>
      </c>
      <c r="S76" s="20">
        <v>0</v>
      </c>
      <c r="T76" s="20">
        <v>0</v>
      </c>
      <c r="U76" s="17"/>
      <c r="V76" s="17"/>
      <c r="W76" s="20">
        <f t="shared" si="23"/>
        <v>0</v>
      </c>
      <c r="X76" s="21">
        <f t="shared" si="21"/>
        <v>596</v>
      </c>
      <c r="Y76" s="15">
        <f t="shared" si="24"/>
        <v>511</v>
      </c>
      <c r="Z76" s="15">
        <f t="shared" si="25"/>
        <v>85</v>
      </c>
      <c r="AA76" s="18" t="str">
        <f>IF($A76="","",IF(AND($W76&gt;0,$V76=""),"IMPORT NEEDS DESTINATION",IF(MIN($Y76,$Z76)&lt;0,"NEGATIVE STOCK - CHECK ENTRIES","")))</f>
        <v/>
      </c>
      <c r="AB76" s="17">
        <v>0</v>
      </c>
      <c r="AC76" s="17">
        <v>0</v>
      </c>
      <c r="AD76" s="15">
        <f t="shared" si="26"/>
        <v>0</v>
      </c>
      <c r="AE76" s="17">
        <v>1</v>
      </c>
      <c r="AF76" s="17">
        <v>1</v>
      </c>
      <c r="AG76" s="15">
        <f t="shared" si="27"/>
        <v>0</v>
      </c>
      <c r="AH76" s="17">
        <v>0</v>
      </c>
      <c r="AI76" s="17">
        <v>0</v>
      </c>
      <c r="AJ76" s="15">
        <f t="shared" si="28"/>
        <v>0</v>
      </c>
      <c r="AK76" s="17">
        <v>0</v>
      </c>
      <c r="AL76" s="17">
        <v>0</v>
      </c>
      <c r="AM76" s="15">
        <f t="shared" si="29"/>
        <v>0</v>
      </c>
      <c r="AN76" s="17"/>
    </row>
    <row r="77" spans="1:40" x14ac:dyDescent="0.3">
      <c r="A77" s="15" t="s">
        <v>213</v>
      </c>
      <c r="B77" s="15">
        <v>1000</v>
      </c>
      <c r="C77" s="15" t="s">
        <v>54</v>
      </c>
      <c r="D77" s="15" t="s">
        <v>55</v>
      </c>
      <c r="E77" s="69" cm="1">
        <f t="array" ref="E77">MAX(0,IFERROR(_xlfn.XLOOKUP($A77&amp;"|"&amp;$B77&amp;"|"&amp;$D77,'29-AUGUST-2026'!$A$3:$A$197&amp;"|"&amp;'29-AUGUST-2026'!$B$3:$B$197&amp;"|"&amp;'29-AUGUST-2026'!$D$3:$D$197,'29-AUGUST-2026'!$Y$3:$Y$197,_xlfn.XLOOKUP($A77&amp;"|"&amp;$B77,'29-AUGUST-2026'!$A$3:$A$197&amp;"|"&amp;'29-AUGUST-2026'!$B$3:$B$197,'29-AUGUST-2026'!$Y$3:$Y$197,0)),0))</f>
        <v>460</v>
      </c>
      <c r="F77" s="69" cm="1">
        <f t="array" ref="F77">MAX(0,IFERROR(_xlfn.XLOOKUP($A77&amp;"|"&amp;$B77&amp;"|"&amp;$D77,'29-AUGUST-2026'!$A$3:$A$197&amp;"|"&amp;'29-AUGUST-2026'!$B$3:$B$197&amp;"|"&amp;'29-AUGUST-2026'!$D$3:$D$197,'29-AUGUST-2026'!$Z$3:$Z$197,_xlfn.XLOOKUP($A77&amp;"|"&amp;$B77,'29-AUGUST-2026'!$A$3:$A$197&amp;"|"&amp;'29-AUGUST-2026'!$B$3:$B$197,'29-AUGUST-2026'!$Z$3:$Z$197,0)),0))</f>
        <v>131</v>
      </c>
      <c r="G77" s="15">
        <f t="shared" si="22"/>
        <v>591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20">
        <v>0</v>
      </c>
      <c r="S77" s="20">
        <v>0</v>
      </c>
      <c r="T77" s="20">
        <v>0</v>
      </c>
      <c r="U77" s="17"/>
      <c r="V77" s="17"/>
      <c r="W77" s="20">
        <f t="shared" si="23"/>
        <v>0</v>
      </c>
      <c r="X77" s="21">
        <f t="shared" si="21"/>
        <v>591</v>
      </c>
      <c r="Y77" s="15">
        <f t="shared" si="24"/>
        <v>460</v>
      </c>
      <c r="Z77" s="15">
        <f t="shared" si="25"/>
        <v>131</v>
      </c>
      <c r="AA77" s="18" t="str">
        <f>IF($A77="","",IF(AND($W77&gt;0,$V77=""),"IMPORT NEEDS DESTINATION",IF(MIN($Y77,$Z77)&lt;0,"NEGATIVE STOCK - CHECK ENTRIES","")))</f>
        <v/>
      </c>
      <c r="AB77" s="17">
        <v>0</v>
      </c>
      <c r="AC77" s="17">
        <v>0</v>
      </c>
      <c r="AD77" s="15">
        <f t="shared" si="26"/>
        <v>0</v>
      </c>
      <c r="AE77" s="17">
        <v>0</v>
      </c>
      <c r="AF77" s="17">
        <v>0</v>
      </c>
      <c r="AG77" s="15">
        <f t="shared" si="27"/>
        <v>0</v>
      </c>
      <c r="AH77" s="17">
        <v>0</v>
      </c>
      <c r="AI77" s="17">
        <v>0</v>
      </c>
      <c r="AJ77" s="15">
        <f t="shared" si="28"/>
        <v>0</v>
      </c>
      <c r="AK77" s="17">
        <v>0</v>
      </c>
      <c r="AL77" s="17">
        <v>0</v>
      </c>
      <c r="AM77" s="15">
        <f t="shared" si="29"/>
        <v>0</v>
      </c>
      <c r="AN77" s="17"/>
    </row>
    <row r="78" spans="1:40" x14ac:dyDescent="0.3">
      <c r="A78" s="15" t="s">
        <v>213</v>
      </c>
      <c r="B78" s="15">
        <v>500</v>
      </c>
      <c r="C78" s="15" t="s">
        <v>54</v>
      </c>
      <c r="D78" s="15" t="s">
        <v>55</v>
      </c>
      <c r="E78" s="69" cm="1">
        <f t="array" ref="E78">MAX(0,IFERROR(_xlfn.XLOOKUP($A78&amp;"|"&amp;$B78&amp;"|"&amp;$D78,'29-AUGUST-2026'!$A$3:$A$197&amp;"|"&amp;'29-AUGUST-2026'!$B$3:$B$197&amp;"|"&amp;'29-AUGUST-2026'!$D$3:$D$197,'29-AUGUST-2026'!$Y$3:$Y$197,_xlfn.XLOOKUP($A78&amp;"|"&amp;$B78,'29-AUGUST-2026'!$A$3:$A$197&amp;"|"&amp;'29-AUGUST-2026'!$B$3:$B$197,'29-AUGUST-2026'!$Y$3:$Y$197,0)),0))</f>
        <v>110</v>
      </c>
      <c r="F78" s="69" cm="1">
        <f t="array" ref="F78">MAX(0,IFERROR(_xlfn.XLOOKUP($A78&amp;"|"&amp;$B78&amp;"|"&amp;$D78,'29-AUGUST-2026'!$A$3:$A$197&amp;"|"&amp;'29-AUGUST-2026'!$B$3:$B$197&amp;"|"&amp;'29-AUGUST-2026'!$D$3:$D$197,'29-AUGUST-2026'!$Z$3:$Z$197,_xlfn.XLOOKUP($A78&amp;"|"&amp;$B78,'29-AUGUST-2026'!$A$3:$A$197&amp;"|"&amp;'29-AUGUST-2026'!$B$3:$B$197,'29-AUGUST-2026'!$Z$3:$Z$197,0)),0))</f>
        <v>0</v>
      </c>
      <c r="G78" s="15">
        <f t="shared" si="22"/>
        <v>110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20">
        <v>0</v>
      </c>
      <c r="S78" s="20">
        <v>0</v>
      </c>
      <c r="T78" s="20">
        <v>0</v>
      </c>
      <c r="U78" s="17"/>
      <c r="V78" s="17"/>
      <c r="W78" s="20">
        <f t="shared" si="23"/>
        <v>0</v>
      </c>
      <c r="X78" s="21">
        <f t="shared" ref="X78:X109" si="30">Y78+Z78</f>
        <v>110</v>
      </c>
      <c r="Y78" s="15">
        <f t="shared" si="24"/>
        <v>110</v>
      </c>
      <c r="Z78" s="15">
        <f t="shared" si="25"/>
        <v>0</v>
      </c>
      <c r="AA78" s="18" t="str">
        <f>IF($A78="","",IF(AND($W78&gt;0,$V78=""),"IMPORT NEEDS DESTINATION",IF(MIN($Y78,$Z78)&lt;0,"NEGATIVE STOCK - CHECK ENTRIES","")))</f>
        <v/>
      </c>
      <c r="AB78" s="17">
        <v>0</v>
      </c>
      <c r="AC78" s="17">
        <v>0</v>
      </c>
      <c r="AD78" s="15">
        <f t="shared" si="26"/>
        <v>0</v>
      </c>
      <c r="AE78" s="17">
        <v>0</v>
      </c>
      <c r="AF78" s="17">
        <v>0</v>
      </c>
      <c r="AG78" s="15">
        <f t="shared" si="27"/>
        <v>0</v>
      </c>
      <c r="AH78" s="17">
        <v>0</v>
      </c>
      <c r="AI78" s="17">
        <v>0</v>
      </c>
      <c r="AJ78" s="15">
        <f t="shared" si="28"/>
        <v>0</v>
      </c>
      <c r="AK78" s="17">
        <v>0</v>
      </c>
      <c r="AL78" s="17">
        <v>0</v>
      </c>
      <c r="AM78" s="15">
        <f t="shared" si="29"/>
        <v>0</v>
      </c>
      <c r="AN78" s="17"/>
    </row>
    <row r="79" spans="1:40" x14ac:dyDescent="0.3">
      <c r="A79" s="15" t="s">
        <v>214</v>
      </c>
      <c r="B79" s="15">
        <v>1000</v>
      </c>
      <c r="C79" s="15" t="s">
        <v>54</v>
      </c>
      <c r="D79" s="15" t="s">
        <v>55</v>
      </c>
      <c r="E79" s="69" cm="1">
        <f t="array" ref="E79">MAX(0,IFERROR(_xlfn.XLOOKUP($A79&amp;"|"&amp;$B79&amp;"|"&amp;$D79,'29-AUGUST-2026'!$A$3:$A$197&amp;"|"&amp;'29-AUGUST-2026'!$B$3:$B$197&amp;"|"&amp;'29-AUGUST-2026'!$D$3:$D$197,'29-AUGUST-2026'!$Y$3:$Y$197,_xlfn.XLOOKUP($A79&amp;"|"&amp;$B79,'29-AUGUST-2026'!$A$3:$A$197&amp;"|"&amp;'29-AUGUST-2026'!$B$3:$B$197,'29-AUGUST-2026'!$Y$3:$Y$197,0)),0))</f>
        <v>1360</v>
      </c>
      <c r="F79" s="69" cm="1">
        <f t="array" ref="F79">MAX(0,IFERROR(_xlfn.XLOOKUP($A79&amp;"|"&amp;$B79&amp;"|"&amp;$D79,'29-AUGUST-2026'!$A$3:$A$197&amp;"|"&amp;'29-AUGUST-2026'!$B$3:$B$197&amp;"|"&amp;'29-AUGUST-2026'!$D$3:$D$197,'29-AUGUST-2026'!$Z$3:$Z$197,_xlfn.XLOOKUP($A79&amp;"|"&amp;$B79,'29-AUGUST-2026'!$A$3:$A$197&amp;"|"&amp;'29-AUGUST-2026'!$B$3:$B$197,'29-AUGUST-2026'!$Z$3:$Z$197,0)),0))</f>
        <v>0</v>
      </c>
      <c r="G79" s="15">
        <f t="shared" si="22"/>
        <v>1360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20">
        <v>0</v>
      </c>
      <c r="S79" s="20">
        <v>0</v>
      </c>
      <c r="T79" s="20">
        <v>0</v>
      </c>
      <c r="U79" s="17"/>
      <c r="V79" s="17"/>
      <c r="W79" s="20">
        <f t="shared" si="23"/>
        <v>0</v>
      </c>
      <c r="X79" s="21">
        <f t="shared" si="30"/>
        <v>1360</v>
      </c>
      <c r="Y79" s="15">
        <f t="shared" si="24"/>
        <v>1360</v>
      </c>
      <c r="Z79" s="15">
        <f t="shared" si="25"/>
        <v>0</v>
      </c>
      <c r="AA79" s="18" t="str">
        <f>IF($A79="","",IF(AND($W79&gt;0,$V79=""),"IMPORT NEEDS DESTINATION",IF(MIN($Y79,$Z79)&lt;0,"NEGATIVE STOCK - CHECK ENTRIES","")))</f>
        <v/>
      </c>
      <c r="AB79" s="17">
        <v>0</v>
      </c>
      <c r="AC79" s="17">
        <v>0</v>
      </c>
      <c r="AD79" s="15">
        <f t="shared" si="26"/>
        <v>0</v>
      </c>
      <c r="AE79" s="17">
        <v>0</v>
      </c>
      <c r="AF79" s="17">
        <v>0</v>
      </c>
      <c r="AG79" s="15">
        <f t="shared" si="27"/>
        <v>0</v>
      </c>
      <c r="AH79" s="17">
        <v>0</v>
      </c>
      <c r="AI79" s="17">
        <v>0</v>
      </c>
      <c r="AJ79" s="15">
        <f t="shared" si="28"/>
        <v>0</v>
      </c>
      <c r="AK79" s="17">
        <v>0</v>
      </c>
      <c r="AL79" s="17">
        <v>0</v>
      </c>
      <c r="AM79" s="15">
        <f t="shared" si="29"/>
        <v>0</v>
      </c>
      <c r="AN79" s="17"/>
    </row>
    <row r="80" spans="1:40" x14ac:dyDescent="0.3">
      <c r="A80" s="15" t="s">
        <v>215</v>
      </c>
      <c r="B80" s="15">
        <v>100</v>
      </c>
      <c r="C80" s="15" t="s">
        <v>54</v>
      </c>
      <c r="D80" s="15" t="s">
        <v>55</v>
      </c>
      <c r="E80" s="69" cm="1">
        <f t="array" ref="E80">MAX(0,IFERROR(_xlfn.XLOOKUP($A80&amp;"|"&amp;$B80&amp;"|"&amp;$D80,'29-AUGUST-2026'!$A$3:$A$197&amp;"|"&amp;'29-AUGUST-2026'!$B$3:$B$197&amp;"|"&amp;'29-AUGUST-2026'!$D$3:$D$197,'29-AUGUST-2026'!$Y$3:$Y$197,_xlfn.XLOOKUP($A80&amp;"|"&amp;$B80,'29-AUGUST-2026'!$A$3:$A$197&amp;"|"&amp;'29-AUGUST-2026'!$B$3:$B$197,'29-AUGUST-2026'!$Y$3:$Y$197,0)),0))</f>
        <v>5604</v>
      </c>
      <c r="F80" s="69" cm="1">
        <f t="array" ref="F80">MAX(0,IFERROR(_xlfn.XLOOKUP($A80&amp;"|"&amp;$B80&amp;"|"&amp;$D80,'29-AUGUST-2026'!$A$3:$A$197&amp;"|"&amp;'29-AUGUST-2026'!$B$3:$B$197&amp;"|"&amp;'29-AUGUST-2026'!$D$3:$D$197,'29-AUGUST-2026'!$Z$3:$Z$197,_xlfn.XLOOKUP($A80&amp;"|"&amp;$B80,'29-AUGUST-2026'!$A$3:$A$197&amp;"|"&amp;'29-AUGUST-2026'!$B$3:$B$197,'29-AUGUST-2026'!$Z$3:$Z$197,0)),0))</f>
        <v>642</v>
      </c>
      <c r="G80" s="15">
        <f t="shared" si="22"/>
        <v>6246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20">
        <v>0</v>
      </c>
      <c r="S80" s="20">
        <v>0</v>
      </c>
      <c r="T80" s="20">
        <v>0</v>
      </c>
      <c r="U80" s="17"/>
      <c r="V80" s="17"/>
      <c r="W80" s="20">
        <f t="shared" si="23"/>
        <v>0</v>
      </c>
      <c r="X80" s="21">
        <f t="shared" si="30"/>
        <v>6246</v>
      </c>
      <c r="Y80" s="15">
        <f t="shared" si="24"/>
        <v>5604</v>
      </c>
      <c r="Z80" s="15">
        <f t="shared" si="25"/>
        <v>642</v>
      </c>
      <c r="AA80" s="18" t="str">
        <f>IF($A80="","",IF(AND($W80&gt;0,$V80=""),"IMPORT NEEDS DESTINATION",IF(MIN($Y80,$Z80)&lt;0,"NEGATIVE STOCK - CHECK ENTRIES","")))</f>
        <v/>
      </c>
      <c r="AB80" s="17">
        <v>0</v>
      </c>
      <c r="AC80" s="17">
        <v>0</v>
      </c>
      <c r="AD80" s="15">
        <f t="shared" si="26"/>
        <v>0</v>
      </c>
      <c r="AE80" s="17">
        <v>0</v>
      </c>
      <c r="AF80" s="17">
        <v>0</v>
      </c>
      <c r="AG80" s="15">
        <f t="shared" si="27"/>
        <v>0</v>
      </c>
      <c r="AH80" s="17">
        <v>0</v>
      </c>
      <c r="AI80" s="17">
        <v>0</v>
      </c>
      <c r="AJ80" s="15">
        <f t="shared" si="28"/>
        <v>0</v>
      </c>
      <c r="AK80" s="17">
        <v>0</v>
      </c>
      <c r="AL80" s="17">
        <v>0</v>
      </c>
      <c r="AM80" s="15">
        <f t="shared" si="29"/>
        <v>0</v>
      </c>
      <c r="AN80" s="17"/>
    </row>
    <row r="81" spans="1:40" x14ac:dyDescent="0.3">
      <c r="A81" s="15" t="s">
        <v>216</v>
      </c>
      <c r="B81" s="15">
        <v>100</v>
      </c>
      <c r="C81" s="15" t="s">
        <v>54</v>
      </c>
      <c r="D81" s="15" t="s">
        <v>55</v>
      </c>
      <c r="E81" s="69" cm="1">
        <f t="array" ref="E81">MAX(0,IFERROR(_xlfn.XLOOKUP($A81&amp;"|"&amp;$B81&amp;"|"&amp;$D81,'29-AUGUST-2026'!$A$3:$A$197&amp;"|"&amp;'29-AUGUST-2026'!$B$3:$B$197&amp;"|"&amp;'29-AUGUST-2026'!$D$3:$D$197,'29-AUGUST-2026'!$Y$3:$Y$197,_xlfn.XLOOKUP($A81&amp;"|"&amp;$B81,'29-AUGUST-2026'!$A$3:$A$197&amp;"|"&amp;'29-AUGUST-2026'!$B$3:$B$197,'29-AUGUST-2026'!$Y$3:$Y$197,0)),0))</f>
        <v>0</v>
      </c>
      <c r="F81" s="69" cm="1">
        <f t="array" ref="F81">MAX(0,IFERROR(_xlfn.XLOOKUP($A81&amp;"|"&amp;$B81&amp;"|"&amp;$D81,'29-AUGUST-2026'!$A$3:$A$197&amp;"|"&amp;'29-AUGUST-2026'!$B$3:$B$197&amp;"|"&amp;'29-AUGUST-2026'!$D$3:$D$197,'29-AUGUST-2026'!$Z$3:$Z$197,_xlfn.XLOOKUP($A81&amp;"|"&amp;$B81,'29-AUGUST-2026'!$A$3:$A$197&amp;"|"&amp;'29-AUGUST-2026'!$B$3:$B$197,'29-AUGUST-2026'!$Z$3:$Z$197,0)),0))</f>
        <v>9</v>
      </c>
      <c r="G81" s="15">
        <f t="shared" si="22"/>
        <v>9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20">
        <v>0</v>
      </c>
      <c r="S81" s="20">
        <v>0</v>
      </c>
      <c r="T81" s="20">
        <v>0</v>
      </c>
      <c r="U81" s="17"/>
      <c r="V81" s="17"/>
      <c r="W81" s="20">
        <f t="shared" si="23"/>
        <v>0</v>
      </c>
      <c r="X81" s="21">
        <f t="shared" si="30"/>
        <v>9</v>
      </c>
      <c r="Y81" s="15">
        <f t="shared" si="24"/>
        <v>0</v>
      </c>
      <c r="Z81" s="15">
        <f t="shared" si="25"/>
        <v>9</v>
      </c>
      <c r="AA81" s="18" t="str">
        <f>IF($A81="","",IF(AND($W81&gt;0,$V81=""),"IMPORT NEEDS DESTINATION",IF(MIN($Y81,$Z81)&lt;0,"NEGATIVE STOCK - CHECK ENTRIES","")))</f>
        <v/>
      </c>
      <c r="AB81" s="17">
        <v>0</v>
      </c>
      <c r="AC81" s="17">
        <v>0</v>
      </c>
      <c r="AD81" s="15">
        <f t="shared" si="26"/>
        <v>0</v>
      </c>
      <c r="AE81" s="17">
        <v>0</v>
      </c>
      <c r="AF81" s="17">
        <v>0</v>
      </c>
      <c r="AG81" s="15">
        <f t="shared" si="27"/>
        <v>0</v>
      </c>
      <c r="AH81" s="17">
        <v>0</v>
      </c>
      <c r="AI81" s="17">
        <v>0</v>
      </c>
      <c r="AJ81" s="15">
        <f t="shared" si="28"/>
        <v>0</v>
      </c>
      <c r="AK81" s="17">
        <v>0</v>
      </c>
      <c r="AL81" s="17">
        <v>0</v>
      </c>
      <c r="AM81" s="15">
        <f t="shared" si="29"/>
        <v>0</v>
      </c>
      <c r="AN81" s="17"/>
    </row>
    <row r="82" spans="1:40" x14ac:dyDescent="0.3">
      <c r="A82" s="15" t="s">
        <v>217</v>
      </c>
      <c r="B82" s="15">
        <v>100</v>
      </c>
      <c r="C82" s="15" t="s">
        <v>54</v>
      </c>
      <c r="D82" s="15" t="s">
        <v>55</v>
      </c>
      <c r="E82" s="69" cm="1">
        <f t="array" ref="E82">MAX(0,IFERROR(_xlfn.XLOOKUP($A82&amp;"|"&amp;$B82&amp;"|"&amp;$D82,'29-AUGUST-2026'!$A$3:$A$197&amp;"|"&amp;'29-AUGUST-2026'!$B$3:$B$197&amp;"|"&amp;'29-AUGUST-2026'!$D$3:$D$197,'29-AUGUST-2026'!$Y$3:$Y$197,_xlfn.XLOOKUP($A82&amp;"|"&amp;$B82,'29-AUGUST-2026'!$A$3:$A$197&amp;"|"&amp;'29-AUGUST-2026'!$B$3:$B$197,'29-AUGUST-2026'!$Y$3:$Y$197,0)),0))</f>
        <v>22</v>
      </c>
      <c r="F82" s="69" cm="1">
        <f t="array" ref="F82">MAX(0,IFERROR(_xlfn.XLOOKUP($A82&amp;"|"&amp;$B82&amp;"|"&amp;$D82,'29-AUGUST-2026'!$A$3:$A$197&amp;"|"&amp;'29-AUGUST-2026'!$B$3:$B$197&amp;"|"&amp;'29-AUGUST-2026'!$D$3:$D$197,'29-AUGUST-2026'!$Z$3:$Z$197,_xlfn.XLOOKUP($A82&amp;"|"&amp;$B82,'29-AUGUST-2026'!$A$3:$A$197&amp;"|"&amp;'29-AUGUST-2026'!$B$3:$B$197,'29-AUGUST-2026'!$Z$3:$Z$197,0)),0))</f>
        <v>5</v>
      </c>
      <c r="G82" s="15">
        <f t="shared" si="22"/>
        <v>27</v>
      </c>
      <c r="H82" s="17">
        <v>0</v>
      </c>
      <c r="I82" s="17">
        <v>0</v>
      </c>
      <c r="J82" s="17">
        <v>0</v>
      </c>
      <c r="K82" s="17">
        <v>2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20">
        <v>0</v>
      </c>
      <c r="S82" s="20">
        <v>0</v>
      </c>
      <c r="T82" s="20">
        <v>0</v>
      </c>
      <c r="U82" s="17"/>
      <c r="V82" s="17"/>
      <c r="W82" s="20">
        <f t="shared" si="23"/>
        <v>0</v>
      </c>
      <c r="X82" s="21">
        <f t="shared" si="30"/>
        <v>25</v>
      </c>
      <c r="Y82" s="15">
        <f t="shared" si="24"/>
        <v>20</v>
      </c>
      <c r="Z82" s="15">
        <f t="shared" si="25"/>
        <v>5</v>
      </c>
      <c r="AA82" s="18" t="str">
        <f>IF($A82="","",IF(AND($W82&gt;0,$V82=""),"IMPORT NEEDS DESTINATION",IF(MIN($Y82,$Z82)&lt;0,"NEGATIVE STOCK - CHECK ENTRIES","")))</f>
        <v/>
      </c>
      <c r="AB82" s="17">
        <v>0</v>
      </c>
      <c r="AC82" s="17">
        <v>0</v>
      </c>
      <c r="AD82" s="15">
        <f t="shared" si="26"/>
        <v>0</v>
      </c>
      <c r="AE82" s="17">
        <v>2</v>
      </c>
      <c r="AF82" s="17">
        <v>0</v>
      </c>
      <c r="AG82" s="15">
        <f t="shared" si="27"/>
        <v>2</v>
      </c>
      <c r="AH82" s="17">
        <v>0</v>
      </c>
      <c r="AI82" s="17">
        <v>0</v>
      </c>
      <c r="AJ82" s="15">
        <f t="shared" si="28"/>
        <v>0</v>
      </c>
      <c r="AK82" s="17">
        <v>0</v>
      </c>
      <c r="AL82" s="17">
        <v>0</v>
      </c>
      <c r="AM82" s="15">
        <f t="shared" si="29"/>
        <v>0</v>
      </c>
      <c r="AN82" s="17"/>
    </row>
    <row r="83" spans="1:40" x14ac:dyDescent="0.3">
      <c r="A83" s="15" t="s">
        <v>218</v>
      </c>
      <c r="B83" s="15">
        <v>100</v>
      </c>
      <c r="C83" s="15" t="s">
        <v>54</v>
      </c>
      <c r="D83" s="15" t="s">
        <v>55</v>
      </c>
      <c r="E83" s="69" cm="1">
        <f t="array" ref="E83">MAX(0,IFERROR(_xlfn.XLOOKUP($A83&amp;"|"&amp;$B83&amp;"|"&amp;$D83,'29-AUGUST-2026'!$A$3:$A$197&amp;"|"&amp;'29-AUGUST-2026'!$B$3:$B$197&amp;"|"&amp;'29-AUGUST-2026'!$D$3:$D$197,'29-AUGUST-2026'!$Y$3:$Y$197,_xlfn.XLOOKUP($A83&amp;"|"&amp;$B83,'29-AUGUST-2026'!$A$3:$A$197&amp;"|"&amp;'29-AUGUST-2026'!$B$3:$B$197,'29-AUGUST-2026'!$Y$3:$Y$197,0)),0))</f>
        <v>244</v>
      </c>
      <c r="F83" s="69" cm="1">
        <f t="array" ref="F83">MAX(0,IFERROR(_xlfn.XLOOKUP($A83&amp;"|"&amp;$B83&amp;"|"&amp;$D83,'29-AUGUST-2026'!$A$3:$A$197&amp;"|"&amp;'29-AUGUST-2026'!$B$3:$B$197&amp;"|"&amp;'29-AUGUST-2026'!$D$3:$D$197,'29-AUGUST-2026'!$Z$3:$Z$197,_xlfn.XLOOKUP($A83&amp;"|"&amp;$B83,'29-AUGUST-2026'!$A$3:$A$197&amp;"|"&amp;'29-AUGUST-2026'!$B$3:$B$197,'29-AUGUST-2026'!$Z$3:$Z$197,0)),0))</f>
        <v>36</v>
      </c>
      <c r="G83" s="15">
        <f t="shared" si="22"/>
        <v>280</v>
      </c>
      <c r="H83" s="17">
        <v>0</v>
      </c>
      <c r="I83" s="17">
        <v>0</v>
      </c>
      <c r="J83" s="17">
        <v>0</v>
      </c>
      <c r="K83" s="17">
        <v>12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20">
        <v>0</v>
      </c>
      <c r="S83" s="20">
        <v>0</v>
      </c>
      <c r="T83" s="20">
        <v>0</v>
      </c>
      <c r="U83" s="17"/>
      <c r="V83" s="17"/>
      <c r="W83" s="20">
        <f t="shared" si="23"/>
        <v>0</v>
      </c>
      <c r="X83" s="21">
        <f t="shared" si="30"/>
        <v>268</v>
      </c>
      <c r="Y83" s="15">
        <f t="shared" si="24"/>
        <v>232</v>
      </c>
      <c r="Z83" s="15">
        <f t="shared" si="25"/>
        <v>36</v>
      </c>
      <c r="AA83" s="18" t="str">
        <f>IF($A83="","",IF(AND($W83&gt;0,$V83=""),"IMPORT NEEDS DESTINATION",IF(MIN($Y83,$Z83)&lt;0,"NEGATIVE STOCK - CHECK ENTRIES","")))</f>
        <v/>
      </c>
      <c r="AB83" s="17">
        <v>0</v>
      </c>
      <c r="AC83" s="17">
        <v>0</v>
      </c>
      <c r="AD83" s="15">
        <f t="shared" si="26"/>
        <v>0</v>
      </c>
      <c r="AE83" s="17">
        <v>12</v>
      </c>
      <c r="AF83" s="17">
        <v>0</v>
      </c>
      <c r="AG83" s="15">
        <f t="shared" si="27"/>
        <v>12</v>
      </c>
      <c r="AH83" s="17">
        <v>0</v>
      </c>
      <c r="AI83" s="17">
        <v>0</v>
      </c>
      <c r="AJ83" s="15">
        <f t="shared" si="28"/>
        <v>0</v>
      </c>
      <c r="AK83" s="17">
        <v>0</v>
      </c>
      <c r="AL83" s="17">
        <v>0</v>
      </c>
      <c r="AM83" s="15">
        <f t="shared" si="29"/>
        <v>0</v>
      </c>
      <c r="AN83" s="17"/>
    </row>
    <row r="84" spans="1:40" x14ac:dyDescent="0.3">
      <c r="A84" s="15" t="s">
        <v>219</v>
      </c>
      <c r="B84" s="15">
        <v>100</v>
      </c>
      <c r="C84" s="15" t="s">
        <v>54</v>
      </c>
      <c r="D84" s="15" t="s">
        <v>55</v>
      </c>
      <c r="E84" s="69" cm="1">
        <f t="array" ref="E84">MAX(0,IFERROR(_xlfn.XLOOKUP($A84&amp;"|"&amp;$B84&amp;"|"&amp;$D84,'29-AUGUST-2026'!$A$3:$A$197&amp;"|"&amp;'29-AUGUST-2026'!$B$3:$B$197&amp;"|"&amp;'29-AUGUST-2026'!$D$3:$D$197,'29-AUGUST-2026'!$Y$3:$Y$197,_xlfn.XLOOKUP($A84&amp;"|"&amp;$B84,'29-AUGUST-2026'!$A$3:$A$197&amp;"|"&amp;'29-AUGUST-2026'!$B$3:$B$197,'29-AUGUST-2026'!$Y$3:$Y$197,0)),0))</f>
        <v>28</v>
      </c>
      <c r="F84" s="69" cm="1">
        <f t="array" ref="F84">MAX(0,IFERROR(_xlfn.XLOOKUP($A84&amp;"|"&amp;$B84&amp;"|"&amp;$D84,'29-AUGUST-2026'!$A$3:$A$197&amp;"|"&amp;'29-AUGUST-2026'!$B$3:$B$197&amp;"|"&amp;'29-AUGUST-2026'!$D$3:$D$197,'29-AUGUST-2026'!$Z$3:$Z$197,_xlfn.XLOOKUP($A84&amp;"|"&amp;$B84,'29-AUGUST-2026'!$A$3:$A$197&amp;"|"&amp;'29-AUGUST-2026'!$B$3:$B$197,'29-AUGUST-2026'!$Z$3:$Z$197,0)),0))</f>
        <v>1</v>
      </c>
      <c r="G84" s="15">
        <f t="shared" si="22"/>
        <v>29</v>
      </c>
      <c r="H84" s="17">
        <v>0</v>
      </c>
      <c r="I84" s="17">
        <v>0</v>
      </c>
      <c r="J84" s="17">
        <v>0</v>
      </c>
      <c r="K84" s="17">
        <v>2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20">
        <v>0</v>
      </c>
      <c r="S84" s="20">
        <v>0</v>
      </c>
      <c r="T84" s="20">
        <v>0</v>
      </c>
      <c r="U84" s="17"/>
      <c r="V84" s="17"/>
      <c r="W84" s="20">
        <f t="shared" si="23"/>
        <v>0</v>
      </c>
      <c r="X84" s="21">
        <f t="shared" si="30"/>
        <v>27</v>
      </c>
      <c r="Y84" s="15">
        <f t="shared" si="24"/>
        <v>26</v>
      </c>
      <c r="Z84" s="15">
        <f t="shared" si="25"/>
        <v>1</v>
      </c>
      <c r="AA84" s="18" t="str">
        <f>IF($A84="","",IF(AND($W84&gt;0,$V84=""),"IMPORT NEEDS DESTINATION",IF(MIN($Y84,$Z84)&lt;0,"NEGATIVE STOCK - CHECK ENTRIES","")))</f>
        <v/>
      </c>
      <c r="AB84" s="17">
        <v>0</v>
      </c>
      <c r="AC84" s="17">
        <v>0</v>
      </c>
      <c r="AD84" s="15">
        <f t="shared" si="26"/>
        <v>0</v>
      </c>
      <c r="AE84" s="17">
        <v>2</v>
      </c>
      <c r="AF84" s="17">
        <v>0</v>
      </c>
      <c r="AG84" s="15">
        <f t="shared" si="27"/>
        <v>2</v>
      </c>
      <c r="AH84" s="17">
        <v>0</v>
      </c>
      <c r="AI84" s="17">
        <v>0</v>
      </c>
      <c r="AJ84" s="15">
        <f t="shared" si="28"/>
        <v>0</v>
      </c>
      <c r="AK84" s="17">
        <v>0</v>
      </c>
      <c r="AL84" s="17">
        <v>0</v>
      </c>
      <c r="AM84" s="15">
        <f t="shared" si="29"/>
        <v>0</v>
      </c>
      <c r="AN84" s="17"/>
    </row>
    <row r="85" spans="1:40" x14ac:dyDescent="0.3">
      <c r="A85" s="15" t="s">
        <v>224</v>
      </c>
      <c r="B85" s="15" t="s">
        <v>225</v>
      </c>
      <c r="C85" s="15" t="s">
        <v>54</v>
      </c>
      <c r="D85" s="15" t="s">
        <v>55</v>
      </c>
      <c r="E85" s="69" cm="1">
        <f t="array" ref="E85">MAX(0,IFERROR(_xlfn.XLOOKUP($A85&amp;"|"&amp;$B85&amp;"|"&amp;$D85,'29-AUGUST-2026'!$A$3:$A$197&amp;"|"&amp;'29-AUGUST-2026'!$B$3:$B$197&amp;"|"&amp;'29-AUGUST-2026'!$D$3:$D$197,'29-AUGUST-2026'!$Y$3:$Y$197,_xlfn.XLOOKUP($A85&amp;"|"&amp;$B85,'29-AUGUST-2026'!$A$3:$A$197&amp;"|"&amp;'29-AUGUST-2026'!$B$3:$B$197,'29-AUGUST-2026'!$Y$3:$Y$197,0)),0))</f>
        <v>0</v>
      </c>
      <c r="F85" s="69" cm="1">
        <f t="array" ref="F85">MAX(0,IFERROR(_xlfn.XLOOKUP($A85&amp;"|"&amp;$B85&amp;"|"&amp;$D85,'29-AUGUST-2026'!$A$3:$A$197&amp;"|"&amp;'29-AUGUST-2026'!$B$3:$B$197&amp;"|"&amp;'29-AUGUST-2026'!$D$3:$D$197,'29-AUGUST-2026'!$Z$3:$Z$197,_xlfn.XLOOKUP($A85&amp;"|"&amp;$B85,'29-AUGUST-2026'!$A$3:$A$197&amp;"|"&amp;'29-AUGUST-2026'!$B$3:$B$197,'29-AUGUST-2026'!$Z$3:$Z$197,0)),0))</f>
        <v>4</v>
      </c>
      <c r="G85" s="15">
        <f t="shared" si="22"/>
        <v>4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20">
        <v>0</v>
      </c>
      <c r="S85" s="20">
        <v>0</v>
      </c>
      <c r="T85" s="20">
        <v>0</v>
      </c>
      <c r="U85" s="17"/>
      <c r="V85" s="17"/>
      <c r="W85" s="20">
        <f t="shared" si="23"/>
        <v>0</v>
      </c>
      <c r="X85" s="21">
        <f t="shared" si="30"/>
        <v>4</v>
      </c>
      <c r="Y85" s="15">
        <f t="shared" si="24"/>
        <v>0</v>
      </c>
      <c r="Z85" s="15">
        <f t="shared" si="25"/>
        <v>4</v>
      </c>
      <c r="AA85" s="18" t="str">
        <f>IF($A85="","",IF(AND($W85&gt;0,$V85=""),"IMPORT NEEDS DESTINATION",IF(MIN($Y85,$Z85)&lt;0,"NEGATIVE STOCK - CHECK ENTRIES","")))</f>
        <v/>
      </c>
      <c r="AB85" s="17">
        <v>0</v>
      </c>
      <c r="AC85" s="17">
        <v>0</v>
      </c>
      <c r="AD85" s="15">
        <f t="shared" si="26"/>
        <v>0</v>
      </c>
      <c r="AE85" s="17">
        <v>0</v>
      </c>
      <c r="AF85" s="17">
        <v>0</v>
      </c>
      <c r="AG85" s="15">
        <f t="shared" si="27"/>
        <v>0</v>
      </c>
      <c r="AH85" s="17">
        <v>0</v>
      </c>
      <c r="AI85" s="17">
        <v>0</v>
      </c>
      <c r="AJ85" s="15">
        <f t="shared" si="28"/>
        <v>0</v>
      </c>
      <c r="AK85" s="17">
        <v>0</v>
      </c>
      <c r="AL85" s="17">
        <v>0</v>
      </c>
      <c r="AM85" s="15">
        <f t="shared" si="29"/>
        <v>0</v>
      </c>
      <c r="AN85" s="17"/>
    </row>
    <row r="86" spans="1:40" x14ac:dyDescent="0.3">
      <c r="A86" s="15" t="s">
        <v>227</v>
      </c>
      <c r="B86" s="15">
        <v>100</v>
      </c>
      <c r="C86" s="15" t="s">
        <v>54</v>
      </c>
      <c r="D86" s="15" t="s">
        <v>55</v>
      </c>
      <c r="E86" s="69" cm="1">
        <f t="array" ref="E86">MAX(0,IFERROR(_xlfn.XLOOKUP($A86&amp;"|"&amp;$B86&amp;"|"&amp;$D86,'29-AUGUST-2026'!$A$3:$A$197&amp;"|"&amp;'29-AUGUST-2026'!$B$3:$B$197&amp;"|"&amp;'29-AUGUST-2026'!$D$3:$D$197,'29-AUGUST-2026'!$Y$3:$Y$197,_xlfn.XLOOKUP($A86&amp;"|"&amp;$B86,'29-AUGUST-2026'!$A$3:$A$197&amp;"|"&amp;'29-AUGUST-2026'!$B$3:$B$197,'29-AUGUST-2026'!$Y$3:$Y$197,0)),0))</f>
        <v>70</v>
      </c>
      <c r="F86" s="69" cm="1">
        <f t="array" ref="F86">MAX(0,IFERROR(_xlfn.XLOOKUP($A86&amp;"|"&amp;$B86&amp;"|"&amp;$D86,'29-AUGUST-2026'!$A$3:$A$197&amp;"|"&amp;'29-AUGUST-2026'!$B$3:$B$197&amp;"|"&amp;'29-AUGUST-2026'!$D$3:$D$197,'29-AUGUST-2026'!$Z$3:$Z$197,_xlfn.XLOOKUP($A86&amp;"|"&amp;$B86,'29-AUGUST-2026'!$A$3:$A$197&amp;"|"&amp;'29-AUGUST-2026'!$B$3:$B$197,'29-AUGUST-2026'!$Z$3:$Z$197,0)),0))</f>
        <v>0</v>
      </c>
      <c r="G86" s="15">
        <f t="shared" si="22"/>
        <v>70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20">
        <v>0</v>
      </c>
      <c r="S86" s="20">
        <v>0</v>
      </c>
      <c r="T86" s="20">
        <v>0</v>
      </c>
      <c r="U86" s="17"/>
      <c r="V86" s="17"/>
      <c r="W86" s="20">
        <f t="shared" si="23"/>
        <v>0</v>
      </c>
      <c r="X86" s="21">
        <f t="shared" si="30"/>
        <v>70</v>
      </c>
      <c r="Y86" s="15">
        <f t="shared" si="24"/>
        <v>70</v>
      </c>
      <c r="Z86" s="15">
        <f t="shared" si="25"/>
        <v>0</v>
      </c>
      <c r="AA86" s="18" t="str">
        <f>IF($A86="","",IF(AND($W86&gt;0,$V86=""),"IMPORT NEEDS DESTINATION",IF(MIN($Y86,$Z86)&lt;0,"NEGATIVE STOCK - CHECK ENTRIES","")))</f>
        <v/>
      </c>
      <c r="AB86" s="17">
        <v>0</v>
      </c>
      <c r="AC86" s="17">
        <v>0</v>
      </c>
      <c r="AD86" s="15">
        <f t="shared" si="26"/>
        <v>0</v>
      </c>
      <c r="AE86" s="17">
        <v>0</v>
      </c>
      <c r="AF86" s="17">
        <v>0</v>
      </c>
      <c r="AG86" s="15">
        <f t="shared" si="27"/>
        <v>0</v>
      </c>
      <c r="AH86" s="17">
        <v>0</v>
      </c>
      <c r="AI86" s="17">
        <v>0</v>
      </c>
      <c r="AJ86" s="15">
        <f t="shared" si="28"/>
        <v>0</v>
      </c>
      <c r="AK86" s="17">
        <v>0</v>
      </c>
      <c r="AL86" s="17">
        <v>0</v>
      </c>
      <c r="AM86" s="15">
        <f t="shared" si="29"/>
        <v>0</v>
      </c>
      <c r="AN86" s="17"/>
    </row>
    <row r="87" spans="1:40" x14ac:dyDescent="0.3">
      <c r="A87" s="15" t="s">
        <v>236</v>
      </c>
      <c r="B87" s="15">
        <v>1000</v>
      </c>
      <c r="C87" s="15" t="s">
        <v>54</v>
      </c>
      <c r="D87" s="15" t="s">
        <v>55</v>
      </c>
      <c r="E87" s="69" cm="1">
        <f t="array" ref="E87">MAX(0,IFERROR(_xlfn.XLOOKUP($A87&amp;"|"&amp;$B87&amp;"|"&amp;$D87,'29-AUGUST-2026'!$A$3:$A$197&amp;"|"&amp;'29-AUGUST-2026'!$B$3:$B$197&amp;"|"&amp;'29-AUGUST-2026'!$D$3:$D$197,'29-AUGUST-2026'!$Y$3:$Y$197,_xlfn.XLOOKUP($A87&amp;"|"&amp;$B87,'29-AUGUST-2026'!$A$3:$A$197&amp;"|"&amp;'29-AUGUST-2026'!$B$3:$B$197,'29-AUGUST-2026'!$Y$3:$Y$197,0)),0))</f>
        <v>13</v>
      </c>
      <c r="F87" s="69" cm="1">
        <f t="array" ref="F87">MAX(0,IFERROR(_xlfn.XLOOKUP($A87&amp;"|"&amp;$B87&amp;"|"&amp;$D87,'29-AUGUST-2026'!$A$3:$A$197&amp;"|"&amp;'29-AUGUST-2026'!$B$3:$B$197&amp;"|"&amp;'29-AUGUST-2026'!$D$3:$D$197,'29-AUGUST-2026'!$Z$3:$Z$197,_xlfn.XLOOKUP($A87&amp;"|"&amp;$B87,'29-AUGUST-2026'!$A$3:$A$197&amp;"|"&amp;'29-AUGUST-2026'!$B$3:$B$197,'29-AUGUST-2026'!$Z$3:$Z$197,0)),0))</f>
        <v>0</v>
      </c>
      <c r="G87" s="15">
        <f t="shared" si="22"/>
        <v>13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20">
        <v>0</v>
      </c>
      <c r="S87" s="20">
        <v>0</v>
      </c>
      <c r="T87" s="20">
        <v>0</v>
      </c>
      <c r="U87" s="17"/>
      <c r="V87" s="17"/>
      <c r="W87" s="20">
        <f t="shared" si="23"/>
        <v>0</v>
      </c>
      <c r="X87" s="21">
        <f t="shared" si="30"/>
        <v>13</v>
      </c>
      <c r="Y87" s="15">
        <f t="shared" si="24"/>
        <v>13</v>
      </c>
      <c r="Z87" s="15">
        <f t="shared" si="25"/>
        <v>0</v>
      </c>
      <c r="AA87" s="18" t="str">
        <f>IF($A87="","",IF(AND($W87&gt;0,$V87=""),"IMPORT NEEDS DESTINATION",IF(MIN($Y87,$Z87)&lt;0,"NEGATIVE STOCK - CHECK ENTRIES","")))</f>
        <v/>
      </c>
      <c r="AB87" s="17">
        <v>0</v>
      </c>
      <c r="AC87" s="17">
        <v>0</v>
      </c>
      <c r="AD87" s="15">
        <f t="shared" si="26"/>
        <v>0</v>
      </c>
      <c r="AE87" s="17">
        <v>0</v>
      </c>
      <c r="AF87" s="17">
        <v>0</v>
      </c>
      <c r="AG87" s="15">
        <f t="shared" si="27"/>
        <v>0</v>
      </c>
      <c r="AH87" s="17">
        <v>0</v>
      </c>
      <c r="AI87" s="17">
        <v>0</v>
      </c>
      <c r="AJ87" s="15">
        <f t="shared" si="28"/>
        <v>0</v>
      </c>
      <c r="AK87" s="17">
        <v>0</v>
      </c>
      <c r="AL87" s="17">
        <v>0</v>
      </c>
      <c r="AM87" s="15">
        <f t="shared" si="29"/>
        <v>0</v>
      </c>
      <c r="AN87" s="17"/>
    </row>
    <row r="88" spans="1:40" x14ac:dyDescent="0.3">
      <c r="A88" s="15" t="s">
        <v>237</v>
      </c>
      <c r="B88" s="15">
        <v>1000</v>
      </c>
      <c r="C88" s="15" t="s">
        <v>54</v>
      </c>
      <c r="D88" s="15" t="s">
        <v>55</v>
      </c>
      <c r="E88" s="69" cm="1">
        <f t="array" ref="E88">MAX(0,IFERROR(_xlfn.XLOOKUP($A88&amp;"|"&amp;$B88&amp;"|"&amp;$D88,'29-AUGUST-2026'!$A$3:$A$197&amp;"|"&amp;'29-AUGUST-2026'!$B$3:$B$197&amp;"|"&amp;'29-AUGUST-2026'!$D$3:$D$197,'29-AUGUST-2026'!$Y$3:$Y$197,_xlfn.XLOOKUP($A88&amp;"|"&amp;$B88,'29-AUGUST-2026'!$A$3:$A$197&amp;"|"&amp;'29-AUGUST-2026'!$B$3:$B$197,'29-AUGUST-2026'!$Y$3:$Y$197,0)),0))</f>
        <v>1</v>
      </c>
      <c r="F88" s="69" cm="1">
        <f t="array" ref="F88">MAX(0,IFERROR(_xlfn.XLOOKUP($A88&amp;"|"&amp;$B88&amp;"|"&amp;$D88,'29-AUGUST-2026'!$A$3:$A$197&amp;"|"&amp;'29-AUGUST-2026'!$B$3:$B$197&amp;"|"&amp;'29-AUGUST-2026'!$D$3:$D$197,'29-AUGUST-2026'!$Z$3:$Z$197,_xlfn.XLOOKUP($A88&amp;"|"&amp;$B88,'29-AUGUST-2026'!$A$3:$A$197&amp;"|"&amp;'29-AUGUST-2026'!$B$3:$B$197,'29-AUGUST-2026'!$Z$3:$Z$197,0)),0))</f>
        <v>27</v>
      </c>
      <c r="G88" s="15">
        <f t="shared" si="22"/>
        <v>28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20">
        <v>0</v>
      </c>
      <c r="S88" s="20">
        <v>0</v>
      </c>
      <c r="T88" s="20">
        <v>0</v>
      </c>
      <c r="U88" s="17"/>
      <c r="V88" s="17"/>
      <c r="W88" s="20">
        <f t="shared" si="23"/>
        <v>0</v>
      </c>
      <c r="X88" s="21">
        <f t="shared" si="30"/>
        <v>28</v>
      </c>
      <c r="Y88" s="15">
        <f t="shared" si="24"/>
        <v>1</v>
      </c>
      <c r="Z88" s="15">
        <f t="shared" si="25"/>
        <v>27</v>
      </c>
      <c r="AA88" s="18" t="str">
        <f>IF($A88="","",IF(AND($W88&gt;0,$V88=""),"IMPORT NEEDS DESTINATION",IF(MIN($Y88,$Z88)&lt;0,"NEGATIVE STOCK - CHECK ENTRIES","")))</f>
        <v/>
      </c>
      <c r="AB88" s="17">
        <v>0</v>
      </c>
      <c r="AC88" s="17">
        <v>0</v>
      </c>
      <c r="AD88" s="15">
        <f t="shared" si="26"/>
        <v>0</v>
      </c>
      <c r="AE88" s="17">
        <v>0</v>
      </c>
      <c r="AF88" s="17">
        <v>0</v>
      </c>
      <c r="AG88" s="15">
        <f t="shared" si="27"/>
        <v>0</v>
      </c>
      <c r="AH88" s="17">
        <v>0</v>
      </c>
      <c r="AI88" s="17">
        <v>0</v>
      </c>
      <c r="AJ88" s="15">
        <f t="shared" si="28"/>
        <v>0</v>
      </c>
      <c r="AK88" s="17">
        <v>0</v>
      </c>
      <c r="AL88" s="17">
        <v>0</v>
      </c>
      <c r="AM88" s="15">
        <f t="shared" si="29"/>
        <v>0</v>
      </c>
      <c r="AN88" s="17"/>
    </row>
    <row r="89" spans="1:40" x14ac:dyDescent="0.3">
      <c r="A89" s="15" t="s">
        <v>238</v>
      </c>
      <c r="B89" s="15">
        <v>1000</v>
      </c>
      <c r="C89" s="15" t="s">
        <v>54</v>
      </c>
      <c r="D89" s="15" t="s">
        <v>55</v>
      </c>
      <c r="E89" s="69" cm="1">
        <f t="array" ref="E89">MAX(0,IFERROR(_xlfn.XLOOKUP($A89&amp;"|"&amp;$B89&amp;"|"&amp;$D89,'29-AUGUST-2026'!$A$3:$A$197&amp;"|"&amp;'29-AUGUST-2026'!$B$3:$B$197&amp;"|"&amp;'29-AUGUST-2026'!$D$3:$D$197,'29-AUGUST-2026'!$Y$3:$Y$197,_xlfn.XLOOKUP($A89&amp;"|"&amp;$B89,'29-AUGUST-2026'!$A$3:$A$197&amp;"|"&amp;'29-AUGUST-2026'!$B$3:$B$197,'29-AUGUST-2026'!$Y$3:$Y$197,0)),0))</f>
        <v>3</v>
      </c>
      <c r="F89" s="69" cm="1">
        <f t="array" ref="F89">MAX(0,IFERROR(_xlfn.XLOOKUP($A89&amp;"|"&amp;$B89&amp;"|"&amp;$D89,'29-AUGUST-2026'!$A$3:$A$197&amp;"|"&amp;'29-AUGUST-2026'!$B$3:$B$197&amp;"|"&amp;'29-AUGUST-2026'!$D$3:$D$197,'29-AUGUST-2026'!$Z$3:$Z$197,_xlfn.XLOOKUP($A89&amp;"|"&amp;$B89,'29-AUGUST-2026'!$A$3:$A$197&amp;"|"&amp;'29-AUGUST-2026'!$B$3:$B$197,'29-AUGUST-2026'!$Z$3:$Z$197,0)),0))</f>
        <v>0</v>
      </c>
      <c r="G89" s="15">
        <f t="shared" si="22"/>
        <v>3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20">
        <v>0</v>
      </c>
      <c r="S89" s="20">
        <v>0</v>
      </c>
      <c r="T89" s="20">
        <v>0</v>
      </c>
      <c r="U89" s="17"/>
      <c r="V89" s="17"/>
      <c r="W89" s="20">
        <f t="shared" si="23"/>
        <v>0</v>
      </c>
      <c r="X89" s="21">
        <f t="shared" si="30"/>
        <v>3</v>
      </c>
      <c r="Y89" s="15">
        <f t="shared" si="24"/>
        <v>3</v>
      </c>
      <c r="Z89" s="15">
        <f t="shared" si="25"/>
        <v>0</v>
      </c>
      <c r="AA89" s="18" t="str">
        <f>IF($A89="","",IF(AND($W89&gt;0,$V89=""),"IMPORT NEEDS DESTINATION",IF(MIN($Y89,$Z89)&lt;0,"NEGATIVE STOCK - CHECK ENTRIES","")))</f>
        <v/>
      </c>
      <c r="AB89" s="17">
        <v>0</v>
      </c>
      <c r="AC89" s="17">
        <v>0</v>
      </c>
      <c r="AD89" s="15">
        <f t="shared" si="26"/>
        <v>0</v>
      </c>
      <c r="AE89" s="17">
        <v>0</v>
      </c>
      <c r="AF89" s="17">
        <v>0</v>
      </c>
      <c r="AG89" s="15">
        <f t="shared" si="27"/>
        <v>0</v>
      </c>
      <c r="AH89" s="17">
        <v>0</v>
      </c>
      <c r="AI89" s="17">
        <v>0</v>
      </c>
      <c r="AJ89" s="15">
        <f t="shared" si="28"/>
        <v>0</v>
      </c>
      <c r="AK89" s="17">
        <v>0</v>
      </c>
      <c r="AL89" s="17">
        <v>0</v>
      </c>
      <c r="AM89" s="15">
        <f t="shared" si="29"/>
        <v>0</v>
      </c>
      <c r="AN89" s="17"/>
    </row>
    <row r="90" spans="1:40" x14ac:dyDescent="0.3">
      <c r="A90" s="15" t="s">
        <v>239</v>
      </c>
      <c r="B90" s="15">
        <v>1000</v>
      </c>
      <c r="C90" s="15" t="s">
        <v>54</v>
      </c>
      <c r="D90" s="15" t="s">
        <v>55</v>
      </c>
      <c r="E90" s="69" cm="1">
        <f t="array" ref="E90">MAX(0,IFERROR(_xlfn.XLOOKUP($A90&amp;"|"&amp;$B90&amp;"|"&amp;$D90,'29-AUGUST-2026'!$A$3:$A$197&amp;"|"&amp;'29-AUGUST-2026'!$B$3:$B$197&amp;"|"&amp;'29-AUGUST-2026'!$D$3:$D$197,'29-AUGUST-2026'!$Y$3:$Y$197,_xlfn.XLOOKUP($A90&amp;"|"&amp;$B90,'29-AUGUST-2026'!$A$3:$A$197&amp;"|"&amp;'29-AUGUST-2026'!$B$3:$B$197,'29-AUGUST-2026'!$Y$3:$Y$197,0)),0))</f>
        <v>2</v>
      </c>
      <c r="F90" s="69" cm="1">
        <f t="array" ref="F90">MAX(0,IFERROR(_xlfn.XLOOKUP($A90&amp;"|"&amp;$B90&amp;"|"&amp;$D90,'29-AUGUST-2026'!$A$3:$A$197&amp;"|"&amp;'29-AUGUST-2026'!$B$3:$B$197&amp;"|"&amp;'29-AUGUST-2026'!$D$3:$D$197,'29-AUGUST-2026'!$Z$3:$Z$197,_xlfn.XLOOKUP($A90&amp;"|"&amp;$B90,'29-AUGUST-2026'!$A$3:$A$197&amp;"|"&amp;'29-AUGUST-2026'!$B$3:$B$197,'29-AUGUST-2026'!$Z$3:$Z$197,0)),0))</f>
        <v>0</v>
      </c>
      <c r="G90" s="15">
        <f t="shared" si="22"/>
        <v>2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20">
        <v>0</v>
      </c>
      <c r="S90" s="20">
        <v>0</v>
      </c>
      <c r="T90" s="20">
        <v>0</v>
      </c>
      <c r="U90" s="17"/>
      <c r="V90" s="17"/>
      <c r="W90" s="20">
        <f t="shared" si="23"/>
        <v>0</v>
      </c>
      <c r="X90" s="21">
        <f t="shared" si="30"/>
        <v>2</v>
      </c>
      <c r="Y90" s="15">
        <f t="shared" si="24"/>
        <v>2</v>
      </c>
      <c r="Z90" s="15">
        <f t="shared" si="25"/>
        <v>0</v>
      </c>
      <c r="AA90" s="18" t="str">
        <f>IF($A90="","",IF(AND($W90&gt;0,$V90=""),"IMPORT NEEDS DESTINATION",IF(MIN($Y90,$Z90)&lt;0,"NEGATIVE STOCK - CHECK ENTRIES","")))</f>
        <v/>
      </c>
      <c r="AB90" s="17">
        <v>0</v>
      </c>
      <c r="AC90" s="17">
        <v>0</v>
      </c>
      <c r="AD90" s="15">
        <f t="shared" si="26"/>
        <v>0</v>
      </c>
      <c r="AE90" s="17">
        <v>0</v>
      </c>
      <c r="AF90" s="17">
        <v>0</v>
      </c>
      <c r="AG90" s="15">
        <f t="shared" si="27"/>
        <v>0</v>
      </c>
      <c r="AH90" s="17">
        <v>0</v>
      </c>
      <c r="AI90" s="17">
        <v>0</v>
      </c>
      <c r="AJ90" s="15">
        <f t="shared" si="28"/>
        <v>0</v>
      </c>
      <c r="AK90" s="17">
        <v>0</v>
      </c>
      <c r="AL90" s="17">
        <v>0</v>
      </c>
      <c r="AM90" s="15">
        <f t="shared" si="29"/>
        <v>0</v>
      </c>
      <c r="AN90" s="17"/>
    </row>
    <row r="91" spans="1:40" x14ac:dyDescent="0.3">
      <c r="A91" s="15" t="s">
        <v>239</v>
      </c>
      <c r="B91" s="15">
        <v>2500</v>
      </c>
      <c r="C91" s="15" t="s">
        <v>54</v>
      </c>
      <c r="D91" s="15" t="s">
        <v>55</v>
      </c>
      <c r="E91" s="69" cm="1">
        <f t="array" ref="E91">MAX(0,IFERROR(_xlfn.XLOOKUP($A91&amp;"|"&amp;$B91&amp;"|"&amp;$D91,'29-AUGUST-2026'!$A$3:$A$197&amp;"|"&amp;'29-AUGUST-2026'!$B$3:$B$197&amp;"|"&amp;'29-AUGUST-2026'!$D$3:$D$197,'29-AUGUST-2026'!$Y$3:$Y$197,_xlfn.XLOOKUP($A91&amp;"|"&amp;$B91,'29-AUGUST-2026'!$A$3:$A$197&amp;"|"&amp;'29-AUGUST-2026'!$B$3:$B$197,'29-AUGUST-2026'!$Y$3:$Y$197,0)),0))</f>
        <v>0</v>
      </c>
      <c r="F91" s="69" cm="1">
        <f t="array" ref="F91">MAX(0,IFERROR(_xlfn.XLOOKUP($A91&amp;"|"&amp;$B91&amp;"|"&amp;$D91,'29-AUGUST-2026'!$A$3:$A$197&amp;"|"&amp;'29-AUGUST-2026'!$B$3:$B$197&amp;"|"&amp;'29-AUGUST-2026'!$D$3:$D$197,'29-AUGUST-2026'!$Z$3:$Z$197,_xlfn.XLOOKUP($A91&amp;"|"&amp;$B91,'29-AUGUST-2026'!$A$3:$A$197&amp;"|"&amp;'29-AUGUST-2026'!$B$3:$B$197,'29-AUGUST-2026'!$Z$3:$Z$197,0)),0))</f>
        <v>0</v>
      </c>
      <c r="G91" s="15">
        <f t="shared" si="22"/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20">
        <v>0</v>
      </c>
      <c r="S91" s="20">
        <v>0</v>
      </c>
      <c r="T91" s="20">
        <v>0</v>
      </c>
      <c r="U91" s="17"/>
      <c r="V91" s="17"/>
      <c r="W91" s="20">
        <f t="shared" si="23"/>
        <v>0</v>
      </c>
      <c r="X91" s="21">
        <f t="shared" si="30"/>
        <v>0</v>
      </c>
      <c r="Y91" s="15">
        <f t="shared" si="24"/>
        <v>0</v>
      </c>
      <c r="Z91" s="15">
        <f t="shared" si="25"/>
        <v>0</v>
      </c>
      <c r="AA91" s="18" t="str">
        <f>IF($A91="","",IF(AND($W91&gt;0,$V91=""),"IMPORT NEEDS DESTINATION",IF(MIN($Y91,$Z91)&lt;0,"NEGATIVE STOCK - CHECK ENTRIES","")))</f>
        <v/>
      </c>
      <c r="AB91" s="17">
        <v>0</v>
      </c>
      <c r="AC91" s="17">
        <v>0</v>
      </c>
      <c r="AD91" s="15">
        <f t="shared" si="26"/>
        <v>0</v>
      </c>
      <c r="AE91" s="17">
        <v>0</v>
      </c>
      <c r="AF91" s="17">
        <v>0</v>
      </c>
      <c r="AG91" s="15">
        <f t="shared" si="27"/>
        <v>0</v>
      </c>
      <c r="AH91" s="17">
        <v>0</v>
      </c>
      <c r="AI91" s="17">
        <v>0</v>
      </c>
      <c r="AJ91" s="15">
        <f t="shared" si="28"/>
        <v>0</v>
      </c>
      <c r="AK91" s="17">
        <v>0</v>
      </c>
      <c r="AL91" s="17">
        <v>0</v>
      </c>
      <c r="AM91" s="15">
        <f t="shared" si="29"/>
        <v>0</v>
      </c>
      <c r="AN91" s="17"/>
    </row>
    <row r="92" spans="1:40" x14ac:dyDescent="0.3">
      <c r="A92" s="15" t="s">
        <v>240</v>
      </c>
      <c r="B92" s="15">
        <v>100</v>
      </c>
      <c r="C92" s="15" t="s">
        <v>54</v>
      </c>
      <c r="D92" s="15" t="s">
        <v>55</v>
      </c>
      <c r="E92" s="69" cm="1">
        <f t="array" ref="E92">MAX(0,IFERROR(_xlfn.XLOOKUP($A92&amp;"|"&amp;$B92&amp;"|"&amp;$D92,'29-AUGUST-2026'!$A$3:$A$197&amp;"|"&amp;'29-AUGUST-2026'!$B$3:$B$197&amp;"|"&amp;'29-AUGUST-2026'!$D$3:$D$197,'29-AUGUST-2026'!$Y$3:$Y$197,_xlfn.XLOOKUP($A92&amp;"|"&amp;$B92,'29-AUGUST-2026'!$A$3:$A$197&amp;"|"&amp;'29-AUGUST-2026'!$B$3:$B$197,'29-AUGUST-2026'!$Y$3:$Y$197,0)),0))</f>
        <v>38</v>
      </c>
      <c r="F92" s="69" cm="1">
        <f t="array" ref="F92">MAX(0,IFERROR(_xlfn.XLOOKUP($A92&amp;"|"&amp;$B92&amp;"|"&amp;$D92,'29-AUGUST-2026'!$A$3:$A$197&amp;"|"&amp;'29-AUGUST-2026'!$B$3:$B$197&amp;"|"&amp;'29-AUGUST-2026'!$D$3:$D$197,'29-AUGUST-2026'!$Z$3:$Z$197,_xlfn.XLOOKUP($A92&amp;"|"&amp;$B92,'29-AUGUST-2026'!$A$3:$A$197&amp;"|"&amp;'29-AUGUST-2026'!$B$3:$B$197,'29-AUGUST-2026'!$Z$3:$Z$197,0)),0))</f>
        <v>0</v>
      </c>
      <c r="G92" s="15">
        <f t="shared" si="22"/>
        <v>38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20">
        <v>0</v>
      </c>
      <c r="S92" s="20">
        <v>0</v>
      </c>
      <c r="T92" s="20">
        <v>0</v>
      </c>
      <c r="U92" s="17"/>
      <c r="V92" s="17"/>
      <c r="W92" s="20">
        <f t="shared" si="23"/>
        <v>0</v>
      </c>
      <c r="X92" s="21">
        <f t="shared" si="30"/>
        <v>38</v>
      </c>
      <c r="Y92" s="15">
        <f t="shared" si="24"/>
        <v>38</v>
      </c>
      <c r="Z92" s="15">
        <f t="shared" si="25"/>
        <v>0</v>
      </c>
      <c r="AA92" s="18" t="str">
        <f>IF($A92="","",IF(AND($W92&gt;0,$V92=""),"IMPORT NEEDS DESTINATION",IF(MIN($Y92,$Z92)&lt;0,"NEGATIVE STOCK - CHECK ENTRIES","")))</f>
        <v/>
      </c>
      <c r="AB92" s="17">
        <v>0</v>
      </c>
      <c r="AC92" s="17">
        <v>0</v>
      </c>
      <c r="AD92" s="15">
        <f t="shared" si="26"/>
        <v>0</v>
      </c>
      <c r="AE92" s="17">
        <v>0</v>
      </c>
      <c r="AF92" s="17">
        <v>0</v>
      </c>
      <c r="AG92" s="15">
        <f t="shared" si="27"/>
        <v>0</v>
      </c>
      <c r="AH92" s="17">
        <v>0</v>
      </c>
      <c r="AI92" s="17">
        <v>0</v>
      </c>
      <c r="AJ92" s="15">
        <f t="shared" si="28"/>
        <v>0</v>
      </c>
      <c r="AK92" s="17">
        <v>0</v>
      </c>
      <c r="AL92" s="17">
        <v>0</v>
      </c>
      <c r="AM92" s="15">
        <f t="shared" si="29"/>
        <v>0</v>
      </c>
      <c r="AN92" s="17"/>
    </row>
    <row r="93" spans="1:40" x14ac:dyDescent="0.3">
      <c r="A93" s="15" t="s">
        <v>240</v>
      </c>
      <c r="B93" s="15">
        <v>1000</v>
      </c>
      <c r="C93" s="15" t="s">
        <v>54</v>
      </c>
      <c r="D93" s="15" t="s">
        <v>55</v>
      </c>
      <c r="E93" s="69" cm="1">
        <f t="array" ref="E93">MAX(0,IFERROR(_xlfn.XLOOKUP($A93&amp;"|"&amp;$B93&amp;"|"&amp;$D93,'29-AUGUST-2026'!$A$3:$A$197&amp;"|"&amp;'29-AUGUST-2026'!$B$3:$B$197&amp;"|"&amp;'29-AUGUST-2026'!$D$3:$D$197,'29-AUGUST-2026'!$Y$3:$Y$197,_xlfn.XLOOKUP($A93&amp;"|"&amp;$B93,'29-AUGUST-2026'!$A$3:$A$197&amp;"|"&amp;'29-AUGUST-2026'!$B$3:$B$197,'29-AUGUST-2026'!$Y$3:$Y$197,0)),0))</f>
        <v>18</v>
      </c>
      <c r="F93" s="69" cm="1">
        <f t="array" ref="F93">MAX(0,IFERROR(_xlfn.XLOOKUP($A93&amp;"|"&amp;$B93&amp;"|"&amp;$D93,'29-AUGUST-2026'!$A$3:$A$197&amp;"|"&amp;'29-AUGUST-2026'!$B$3:$B$197&amp;"|"&amp;'29-AUGUST-2026'!$D$3:$D$197,'29-AUGUST-2026'!$Z$3:$Z$197,_xlfn.XLOOKUP($A93&amp;"|"&amp;$B93,'29-AUGUST-2026'!$A$3:$A$197&amp;"|"&amp;'29-AUGUST-2026'!$B$3:$B$197,'29-AUGUST-2026'!$Z$3:$Z$197,0)),0))</f>
        <v>0</v>
      </c>
      <c r="G93" s="15">
        <f t="shared" si="22"/>
        <v>18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20">
        <v>0</v>
      </c>
      <c r="S93" s="20">
        <v>0</v>
      </c>
      <c r="T93" s="20">
        <v>0</v>
      </c>
      <c r="U93" s="17"/>
      <c r="V93" s="17"/>
      <c r="W93" s="20">
        <f t="shared" si="23"/>
        <v>0</v>
      </c>
      <c r="X93" s="21">
        <f t="shared" si="30"/>
        <v>18</v>
      </c>
      <c r="Y93" s="15">
        <f t="shared" si="24"/>
        <v>18</v>
      </c>
      <c r="Z93" s="15">
        <f t="shared" si="25"/>
        <v>0</v>
      </c>
      <c r="AA93" s="18" t="str">
        <f>IF($A93="","",IF(AND($W93&gt;0,$V93=""),"IMPORT NEEDS DESTINATION",IF(MIN($Y93,$Z93)&lt;0,"NEGATIVE STOCK - CHECK ENTRIES","")))</f>
        <v/>
      </c>
      <c r="AB93" s="17">
        <v>0</v>
      </c>
      <c r="AC93" s="17">
        <v>0</v>
      </c>
      <c r="AD93" s="15">
        <f t="shared" si="26"/>
        <v>0</v>
      </c>
      <c r="AE93" s="17">
        <v>0</v>
      </c>
      <c r="AF93" s="17">
        <v>0</v>
      </c>
      <c r="AG93" s="15">
        <f t="shared" si="27"/>
        <v>0</v>
      </c>
      <c r="AH93" s="17">
        <v>0</v>
      </c>
      <c r="AI93" s="17">
        <v>0</v>
      </c>
      <c r="AJ93" s="15">
        <f t="shared" si="28"/>
        <v>0</v>
      </c>
      <c r="AK93" s="17">
        <v>0</v>
      </c>
      <c r="AL93" s="17">
        <v>0</v>
      </c>
      <c r="AM93" s="15">
        <f t="shared" si="29"/>
        <v>0</v>
      </c>
      <c r="AN93" s="17"/>
    </row>
    <row r="94" spans="1:40" x14ac:dyDescent="0.3">
      <c r="A94" s="15" t="s">
        <v>244</v>
      </c>
      <c r="B94" s="15">
        <v>100000</v>
      </c>
      <c r="C94" s="15"/>
      <c r="D94" s="15" t="s">
        <v>55</v>
      </c>
      <c r="E94" s="69" cm="1">
        <f t="array" ref="E94">MAX(0,IFERROR(_xlfn.XLOOKUP($A94&amp;"|"&amp;$B94&amp;"|"&amp;$D94,'29-AUGUST-2026'!$A$3:$A$197&amp;"|"&amp;'29-AUGUST-2026'!$B$3:$B$197&amp;"|"&amp;'29-AUGUST-2026'!$D$3:$D$197,'29-AUGUST-2026'!$Y$3:$Y$197,_xlfn.XLOOKUP($A94&amp;"|"&amp;$B94,'29-AUGUST-2026'!$A$3:$A$197&amp;"|"&amp;'29-AUGUST-2026'!$B$3:$B$197,'29-AUGUST-2026'!$Y$3:$Y$197,0)),0))</f>
        <v>0</v>
      </c>
      <c r="F94" s="69" cm="1">
        <f t="array" ref="F94">MAX(0,IFERROR(_xlfn.XLOOKUP($A94&amp;"|"&amp;$B94&amp;"|"&amp;$D94,'29-AUGUST-2026'!$A$3:$A$197&amp;"|"&amp;'29-AUGUST-2026'!$B$3:$B$197&amp;"|"&amp;'29-AUGUST-2026'!$D$3:$D$197,'29-AUGUST-2026'!$Z$3:$Z$197,_xlfn.XLOOKUP($A94&amp;"|"&amp;$B94,'29-AUGUST-2026'!$A$3:$A$197&amp;"|"&amp;'29-AUGUST-2026'!$B$3:$B$197,'29-AUGUST-2026'!$Z$3:$Z$197,0)),0))</f>
        <v>0</v>
      </c>
      <c r="G94" s="15">
        <f t="shared" si="22"/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20">
        <v>0</v>
      </c>
      <c r="S94" s="20">
        <v>0</v>
      </c>
      <c r="T94" s="20">
        <v>0</v>
      </c>
      <c r="U94" s="17"/>
      <c r="V94" s="17"/>
      <c r="W94" s="20">
        <f t="shared" si="23"/>
        <v>0</v>
      </c>
      <c r="X94" s="21">
        <f t="shared" si="30"/>
        <v>0</v>
      </c>
      <c r="Y94" s="15">
        <f t="shared" si="24"/>
        <v>0</v>
      </c>
      <c r="Z94" s="15">
        <f t="shared" si="25"/>
        <v>0</v>
      </c>
      <c r="AA94" s="18" t="str">
        <f>IF($A94="","",IF(AND($W94&gt;0,$V94=""),"IMPORT NEEDS DESTINATION",IF(MIN($Y94,$Z94)&lt;0,"NEGATIVE STOCK - CHECK ENTRIES","")))</f>
        <v/>
      </c>
      <c r="AB94" s="17">
        <v>0</v>
      </c>
      <c r="AC94" s="17">
        <v>0</v>
      </c>
      <c r="AD94" s="15">
        <f t="shared" si="26"/>
        <v>0</v>
      </c>
      <c r="AE94" s="17">
        <v>0</v>
      </c>
      <c r="AF94" s="17">
        <v>0</v>
      </c>
      <c r="AG94" s="15">
        <f t="shared" si="27"/>
        <v>0</v>
      </c>
      <c r="AH94" s="17">
        <v>0</v>
      </c>
      <c r="AI94" s="17">
        <v>0</v>
      </c>
      <c r="AJ94" s="15">
        <f t="shared" si="28"/>
        <v>0</v>
      </c>
      <c r="AK94" s="17">
        <v>0</v>
      </c>
      <c r="AL94" s="17">
        <v>0</v>
      </c>
      <c r="AM94" s="15">
        <f t="shared" si="29"/>
        <v>0</v>
      </c>
      <c r="AN94" s="17"/>
    </row>
    <row r="95" spans="1:40" x14ac:dyDescent="0.3">
      <c r="A95" s="15" t="s">
        <v>56</v>
      </c>
      <c r="B95" s="15">
        <v>500</v>
      </c>
      <c r="C95" s="15" t="s">
        <v>54</v>
      </c>
      <c r="D95" s="15" t="s">
        <v>57</v>
      </c>
      <c r="E95" s="69" cm="1">
        <f t="array" ref="E95">MAX(0,IFERROR(_xlfn.XLOOKUP($A95&amp;"|"&amp;$B95&amp;"|"&amp;$D95,'29-AUGUST-2026'!$A$3:$A$197&amp;"|"&amp;'29-AUGUST-2026'!$B$3:$B$197&amp;"|"&amp;'29-AUGUST-2026'!$D$3:$D$197,'29-AUGUST-2026'!$Y$3:$Y$197,_xlfn.XLOOKUP($A95&amp;"|"&amp;$B95,'29-AUGUST-2026'!$A$3:$A$197&amp;"|"&amp;'29-AUGUST-2026'!$B$3:$B$197,'29-AUGUST-2026'!$Y$3:$Y$197,0)),0))</f>
        <v>0</v>
      </c>
      <c r="F95" s="69" cm="1">
        <f t="array" ref="F95">MAX(0,IFERROR(_xlfn.XLOOKUP($A95&amp;"|"&amp;$B95&amp;"|"&amp;$D95,'29-AUGUST-2026'!$A$3:$A$197&amp;"|"&amp;'29-AUGUST-2026'!$B$3:$B$197&amp;"|"&amp;'29-AUGUST-2026'!$D$3:$D$197,'29-AUGUST-2026'!$Z$3:$Z$197,_xlfn.XLOOKUP($A95&amp;"|"&amp;$B95,'29-AUGUST-2026'!$A$3:$A$197&amp;"|"&amp;'29-AUGUST-2026'!$B$3:$B$197,'29-AUGUST-2026'!$Z$3:$Z$197,0)),0))</f>
        <v>0</v>
      </c>
      <c r="G95" s="15">
        <f t="shared" si="22"/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20">
        <v>0</v>
      </c>
      <c r="S95" s="20">
        <v>0</v>
      </c>
      <c r="T95" s="20">
        <v>0</v>
      </c>
      <c r="U95" s="17"/>
      <c r="V95" s="17"/>
      <c r="W95" s="20">
        <f t="shared" si="23"/>
        <v>0</v>
      </c>
      <c r="X95" s="21">
        <f t="shared" si="30"/>
        <v>0</v>
      </c>
      <c r="Y95" s="15">
        <f t="shared" si="24"/>
        <v>0</v>
      </c>
      <c r="Z95" s="15">
        <f t="shared" si="25"/>
        <v>0</v>
      </c>
      <c r="AA95" s="18" t="str">
        <f>IF($A95="","",IF(AND($W95&gt;0,$V95=""),"IMPORT NEEDS DESTINATION",IF(MIN($Y95,$Z95)&lt;0,"NEGATIVE STOCK - CHECK ENTRIES","")))</f>
        <v/>
      </c>
      <c r="AB95" s="17">
        <v>0</v>
      </c>
      <c r="AC95" s="17">
        <v>0</v>
      </c>
      <c r="AD95" s="15">
        <f t="shared" si="26"/>
        <v>0</v>
      </c>
      <c r="AE95" s="17">
        <v>0</v>
      </c>
      <c r="AF95" s="17">
        <v>0</v>
      </c>
      <c r="AG95" s="15">
        <f t="shared" si="27"/>
        <v>0</v>
      </c>
      <c r="AH95" s="17">
        <v>0</v>
      </c>
      <c r="AI95" s="17">
        <v>0</v>
      </c>
      <c r="AJ95" s="15">
        <f t="shared" si="28"/>
        <v>0</v>
      </c>
      <c r="AK95" s="17">
        <v>0</v>
      </c>
      <c r="AL95" s="17">
        <v>0</v>
      </c>
      <c r="AM95" s="15">
        <f t="shared" si="29"/>
        <v>0</v>
      </c>
      <c r="AN95" s="17"/>
    </row>
    <row r="96" spans="1:40" x14ac:dyDescent="0.3">
      <c r="A96" s="15" t="s">
        <v>72</v>
      </c>
      <c r="B96" s="15">
        <v>100</v>
      </c>
      <c r="C96" s="15" t="s">
        <v>54</v>
      </c>
      <c r="D96" s="15" t="s">
        <v>57</v>
      </c>
      <c r="E96" s="69" cm="1">
        <f t="array" ref="E96">MAX(0,IFERROR(_xlfn.XLOOKUP($A96&amp;"|"&amp;$B96&amp;"|"&amp;$D96,'29-AUGUST-2026'!$A$3:$A$197&amp;"|"&amp;'29-AUGUST-2026'!$B$3:$B$197&amp;"|"&amp;'29-AUGUST-2026'!$D$3:$D$197,'29-AUGUST-2026'!$Y$3:$Y$197,_xlfn.XLOOKUP($A96&amp;"|"&amp;$B96,'29-AUGUST-2026'!$A$3:$A$197&amp;"|"&amp;'29-AUGUST-2026'!$B$3:$B$197,'29-AUGUST-2026'!$Y$3:$Y$197,0)),0))</f>
        <v>18</v>
      </c>
      <c r="F96" s="69" cm="1">
        <f t="array" ref="F96">MAX(0,IFERROR(_xlfn.XLOOKUP($A96&amp;"|"&amp;$B96&amp;"|"&amp;$D96,'29-AUGUST-2026'!$A$3:$A$197&amp;"|"&amp;'29-AUGUST-2026'!$B$3:$B$197&amp;"|"&amp;'29-AUGUST-2026'!$D$3:$D$197,'29-AUGUST-2026'!$Z$3:$Z$197,_xlfn.XLOOKUP($A96&amp;"|"&amp;$B96,'29-AUGUST-2026'!$A$3:$A$197&amp;"|"&amp;'29-AUGUST-2026'!$B$3:$B$197,'29-AUGUST-2026'!$Z$3:$Z$197,0)),0))</f>
        <v>0</v>
      </c>
      <c r="G96" s="15">
        <f t="shared" si="22"/>
        <v>18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20">
        <v>0</v>
      </c>
      <c r="S96" s="20">
        <v>0</v>
      </c>
      <c r="T96" s="20">
        <v>0</v>
      </c>
      <c r="U96" s="17"/>
      <c r="V96" s="17"/>
      <c r="W96" s="20">
        <f t="shared" si="23"/>
        <v>0</v>
      </c>
      <c r="X96" s="21">
        <f t="shared" si="30"/>
        <v>18</v>
      </c>
      <c r="Y96" s="15">
        <f t="shared" si="24"/>
        <v>18</v>
      </c>
      <c r="Z96" s="15">
        <f t="shared" si="25"/>
        <v>0</v>
      </c>
      <c r="AA96" s="18" t="str">
        <f>IF($A96="","",IF(AND($W96&gt;0,$V96=""),"IMPORT NEEDS DESTINATION",IF(MIN($Y96,$Z96)&lt;0,"NEGATIVE STOCK - CHECK ENTRIES","")))</f>
        <v/>
      </c>
      <c r="AB96" s="17">
        <v>0</v>
      </c>
      <c r="AC96" s="17">
        <v>0</v>
      </c>
      <c r="AD96" s="15">
        <f t="shared" si="26"/>
        <v>0</v>
      </c>
      <c r="AE96" s="17">
        <v>0</v>
      </c>
      <c r="AF96" s="17">
        <v>0</v>
      </c>
      <c r="AG96" s="15">
        <f t="shared" si="27"/>
        <v>0</v>
      </c>
      <c r="AH96" s="17">
        <v>0</v>
      </c>
      <c r="AI96" s="17">
        <v>0</v>
      </c>
      <c r="AJ96" s="15">
        <f t="shared" si="28"/>
        <v>0</v>
      </c>
      <c r="AK96" s="17">
        <v>0</v>
      </c>
      <c r="AL96" s="17">
        <v>0</v>
      </c>
      <c r="AM96" s="15">
        <f t="shared" si="29"/>
        <v>0</v>
      </c>
      <c r="AN96" s="17"/>
    </row>
    <row r="97" spans="1:40" x14ac:dyDescent="0.3">
      <c r="A97" s="15" t="s">
        <v>72</v>
      </c>
      <c r="B97" s="15">
        <v>500</v>
      </c>
      <c r="C97" s="15" t="s">
        <v>54</v>
      </c>
      <c r="D97" s="15" t="s">
        <v>57</v>
      </c>
      <c r="E97" s="69" cm="1">
        <f t="array" ref="E97">MAX(0,IFERROR(_xlfn.XLOOKUP($A97&amp;"|"&amp;$B97&amp;"|"&amp;$D97,'29-AUGUST-2026'!$A$3:$A$197&amp;"|"&amp;'29-AUGUST-2026'!$B$3:$B$197&amp;"|"&amp;'29-AUGUST-2026'!$D$3:$D$197,'29-AUGUST-2026'!$Y$3:$Y$197,_xlfn.XLOOKUP($A97&amp;"|"&amp;$B97,'29-AUGUST-2026'!$A$3:$A$197&amp;"|"&amp;'29-AUGUST-2026'!$B$3:$B$197,'29-AUGUST-2026'!$Y$3:$Y$197,0)),0))</f>
        <v>1</v>
      </c>
      <c r="F97" s="69" cm="1">
        <f t="array" ref="F97">MAX(0,IFERROR(_xlfn.XLOOKUP($A97&amp;"|"&amp;$B97&amp;"|"&amp;$D97,'29-AUGUST-2026'!$A$3:$A$197&amp;"|"&amp;'29-AUGUST-2026'!$B$3:$B$197&amp;"|"&amp;'29-AUGUST-2026'!$D$3:$D$197,'29-AUGUST-2026'!$Z$3:$Z$197,_xlfn.XLOOKUP($A97&amp;"|"&amp;$B97,'29-AUGUST-2026'!$A$3:$A$197&amp;"|"&amp;'29-AUGUST-2026'!$B$3:$B$197,'29-AUGUST-2026'!$Z$3:$Z$197,0)),0))</f>
        <v>0</v>
      </c>
      <c r="G97" s="15">
        <f t="shared" si="22"/>
        <v>1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20">
        <v>0</v>
      </c>
      <c r="S97" s="20">
        <v>0</v>
      </c>
      <c r="T97" s="20">
        <v>0</v>
      </c>
      <c r="U97" s="17"/>
      <c r="V97" s="17"/>
      <c r="W97" s="20">
        <f t="shared" si="23"/>
        <v>0</v>
      </c>
      <c r="X97" s="21">
        <f t="shared" si="30"/>
        <v>1</v>
      </c>
      <c r="Y97" s="15">
        <f t="shared" si="24"/>
        <v>1</v>
      </c>
      <c r="Z97" s="15">
        <f t="shared" si="25"/>
        <v>0</v>
      </c>
      <c r="AA97" s="18" t="str">
        <f>IF($A97="","",IF(AND($W97&gt;0,$V97=""),"IMPORT NEEDS DESTINATION",IF(MIN($Y97,$Z97)&lt;0,"NEGATIVE STOCK - CHECK ENTRIES","")))</f>
        <v/>
      </c>
      <c r="AB97" s="17">
        <v>0</v>
      </c>
      <c r="AC97" s="17">
        <v>0</v>
      </c>
      <c r="AD97" s="15">
        <f t="shared" si="26"/>
        <v>0</v>
      </c>
      <c r="AE97" s="17">
        <v>0</v>
      </c>
      <c r="AF97" s="17">
        <v>0</v>
      </c>
      <c r="AG97" s="15">
        <f t="shared" si="27"/>
        <v>0</v>
      </c>
      <c r="AH97" s="17">
        <v>0</v>
      </c>
      <c r="AI97" s="17">
        <v>0</v>
      </c>
      <c r="AJ97" s="15">
        <f t="shared" si="28"/>
        <v>0</v>
      </c>
      <c r="AK97" s="17">
        <v>0</v>
      </c>
      <c r="AL97" s="17">
        <v>0</v>
      </c>
      <c r="AM97" s="15">
        <f t="shared" si="29"/>
        <v>0</v>
      </c>
      <c r="AN97" s="17"/>
    </row>
    <row r="98" spans="1:40" x14ac:dyDescent="0.3">
      <c r="A98" s="15" t="s">
        <v>83</v>
      </c>
      <c r="B98" s="15">
        <v>100</v>
      </c>
      <c r="C98" s="15" t="s">
        <v>54</v>
      </c>
      <c r="D98" s="15" t="s">
        <v>57</v>
      </c>
      <c r="E98" s="69" cm="1">
        <f t="array" ref="E98">MAX(0,IFERROR(_xlfn.XLOOKUP($A98&amp;"|"&amp;$B98&amp;"|"&amp;$D98,'29-AUGUST-2026'!$A$3:$A$197&amp;"|"&amp;'29-AUGUST-2026'!$B$3:$B$197&amp;"|"&amp;'29-AUGUST-2026'!$D$3:$D$197,'29-AUGUST-2026'!$Y$3:$Y$197,_xlfn.XLOOKUP($A98&amp;"|"&amp;$B98,'29-AUGUST-2026'!$A$3:$A$197&amp;"|"&amp;'29-AUGUST-2026'!$B$3:$B$197,'29-AUGUST-2026'!$Y$3:$Y$197,0)),0))</f>
        <v>1</v>
      </c>
      <c r="F98" s="69" cm="1">
        <f t="array" ref="F98">MAX(0,IFERROR(_xlfn.XLOOKUP($A98&amp;"|"&amp;$B98&amp;"|"&amp;$D98,'29-AUGUST-2026'!$A$3:$A$197&amp;"|"&amp;'29-AUGUST-2026'!$B$3:$B$197&amp;"|"&amp;'29-AUGUST-2026'!$D$3:$D$197,'29-AUGUST-2026'!$Z$3:$Z$197,_xlfn.XLOOKUP($A98&amp;"|"&amp;$B98,'29-AUGUST-2026'!$A$3:$A$197&amp;"|"&amp;'29-AUGUST-2026'!$B$3:$B$197,'29-AUGUST-2026'!$Z$3:$Z$197,0)),0))</f>
        <v>0</v>
      </c>
      <c r="G98" s="15">
        <f t="shared" si="22"/>
        <v>1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20">
        <v>0</v>
      </c>
      <c r="S98" s="20">
        <v>0</v>
      </c>
      <c r="T98" s="20">
        <v>0</v>
      </c>
      <c r="U98" s="17"/>
      <c r="V98" s="17"/>
      <c r="W98" s="20">
        <f t="shared" si="23"/>
        <v>0</v>
      </c>
      <c r="X98" s="21">
        <f t="shared" si="30"/>
        <v>1</v>
      </c>
      <c r="Y98" s="15">
        <f t="shared" si="24"/>
        <v>1</v>
      </c>
      <c r="Z98" s="15">
        <f t="shared" si="25"/>
        <v>0</v>
      </c>
      <c r="AA98" s="18" t="str">
        <f>IF($A98="","",IF(AND($W98&gt;0,$V98=""),"IMPORT NEEDS DESTINATION",IF(MIN($Y98,$Z98)&lt;0,"NEGATIVE STOCK - CHECK ENTRIES","")))</f>
        <v/>
      </c>
      <c r="AB98" s="17">
        <v>0</v>
      </c>
      <c r="AC98" s="17">
        <v>0</v>
      </c>
      <c r="AD98" s="15">
        <f t="shared" si="26"/>
        <v>0</v>
      </c>
      <c r="AE98" s="17">
        <v>0</v>
      </c>
      <c r="AF98" s="17">
        <v>0</v>
      </c>
      <c r="AG98" s="15">
        <f t="shared" si="27"/>
        <v>0</v>
      </c>
      <c r="AH98" s="17">
        <v>0</v>
      </c>
      <c r="AI98" s="17">
        <v>0</v>
      </c>
      <c r="AJ98" s="15">
        <f t="shared" si="28"/>
        <v>0</v>
      </c>
      <c r="AK98" s="17">
        <v>0</v>
      </c>
      <c r="AL98" s="17">
        <v>0</v>
      </c>
      <c r="AM98" s="15">
        <f t="shared" si="29"/>
        <v>0</v>
      </c>
      <c r="AN98" s="17" t="s">
        <v>335</v>
      </c>
    </row>
    <row r="99" spans="1:40" x14ac:dyDescent="0.3">
      <c r="A99" s="15" t="s">
        <v>86</v>
      </c>
      <c r="B99" s="15">
        <v>100</v>
      </c>
      <c r="C99" s="15" t="s">
        <v>54</v>
      </c>
      <c r="D99" s="15" t="s">
        <v>57</v>
      </c>
      <c r="E99" s="69" cm="1">
        <f t="array" ref="E99">MAX(0,IFERROR(_xlfn.XLOOKUP($A99&amp;"|"&amp;$B99&amp;"|"&amp;$D99,'29-AUGUST-2026'!$A$3:$A$197&amp;"|"&amp;'29-AUGUST-2026'!$B$3:$B$197&amp;"|"&amp;'29-AUGUST-2026'!$D$3:$D$197,'29-AUGUST-2026'!$Y$3:$Y$197,_xlfn.XLOOKUP($A99&amp;"|"&amp;$B99,'29-AUGUST-2026'!$A$3:$A$197&amp;"|"&amp;'29-AUGUST-2026'!$B$3:$B$197,'29-AUGUST-2026'!$Y$3:$Y$197,0)),0))</f>
        <v>0</v>
      </c>
      <c r="F99" s="69" cm="1">
        <f t="array" ref="F99">MAX(0,IFERROR(_xlfn.XLOOKUP($A99&amp;"|"&amp;$B99&amp;"|"&amp;$D99,'29-AUGUST-2026'!$A$3:$A$197&amp;"|"&amp;'29-AUGUST-2026'!$B$3:$B$197&amp;"|"&amp;'29-AUGUST-2026'!$D$3:$D$197,'29-AUGUST-2026'!$Z$3:$Z$197,_xlfn.XLOOKUP($A99&amp;"|"&amp;$B99,'29-AUGUST-2026'!$A$3:$A$197&amp;"|"&amp;'29-AUGUST-2026'!$B$3:$B$197,'29-AUGUST-2026'!$Z$3:$Z$197,0)),0))</f>
        <v>0</v>
      </c>
      <c r="G99" s="15">
        <f t="shared" si="22"/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20">
        <v>0</v>
      </c>
      <c r="S99" s="20">
        <v>0</v>
      </c>
      <c r="T99" s="20">
        <v>0</v>
      </c>
      <c r="U99" s="17"/>
      <c r="V99" s="17"/>
      <c r="W99" s="20">
        <f t="shared" si="23"/>
        <v>0</v>
      </c>
      <c r="X99" s="21">
        <f t="shared" si="30"/>
        <v>0</v>
      </c>
      <c r="Y99" s="15">
        <f t="shared" si="24"/>
        <v>0</v>
      </c>
      <c r="Z99" s="15">
        <f t="shared" si="25"/>
        <v>0</v>
      </c>
      <c r="AA99" s="18" t="str">
        <f>IF($A99="","",IF(AND($W99&gt;0,$V99=""),"IMPORT NEEDS DESTINATION",IF(MIN($Y99,$Z99)&lt;0,"NEGATIVE STOCK - CHECK ENTRIES","")))</f>
        <v/>
      </c>
      <c r="AB99" s="17">
        <v>0</v>
      </c>
      <c r="AC99" s="17">
        <v>0</v>
      </c>
      <c r="AD99" s="15">
        <f t="shared" si="26"/>
        <v>0</v>
      </c>
      <c r="AE99" s="17">
        <v>0</v>
      </c>
      <c r="AF99" s="17">
        <v>0</v>
      </c>
      <c r="AG99" s="15">
        <f t="shared" si="27"/>
        <v>0</v>
      </c>
      <c r="AH99" s="17">
        <v>0</v>
      </c>
      <c r="AI99" s="17">
        <v>0</v>
      </c>
      <c r="AJ99" s="15">
        <f t="shared" si="28"/>
        <v>0</v>
      </c>
      <c r="AK99" s="17">
        <v>0</v>
      </c>
      <c r="AL99" s="17">
        <v>0</v>
      </c>
      <c r="AM99" s="15">
        <f t="shared" si="29"/>
        <v>0</v>
      </c>
      <c r="AN99" s="17"/>
    </row>
    <row r="100" spans="1:40" x14ac:dyDescent="0.3">
      <c r="A100" s="15" t="s">
        <v>90</v>
      </c>
      <c r="B100" s="15">
        <v>100</v>
      </c>
      <c r="C100" s="15" t="s">
        <v>54</v>
      </c>
      <c r="D100" s="15" t="s">
        <v>57</v>
      </c>
      <c r="E100" s="69" cm="1">
        <f t="array" ref="E100">MAX(0,IFERROR(_xlfn.XLOOKUP($A100&amp;"|"&amp;$B100&amp;"|"&amp;$D100,'29-AUGUST-2026'!$A$3:$A$197&amp;"|"&amp;'29-AUGUST-2026'!$B$3:$B$197&amp;"|"&amp;'29-AUGUST-2026'!$D$3:$D$197,'29-AUGUST-2026'!$Y$3:$Y$197,_xlfn.XLOOKUP($A100&amp;"|"&amp;$B100,'29-AUGUST-2026'!$A$3:$A$197&amp;"|"&amp;'29-AUGUST-2026'!$B$3:$B$197,'29-AUGUST-2026'!$Y$3:$Y$197,0)),0))</f>
        <v>9</v>
      </c>
      <c r="F100" s="69" cm="1">
        <f t="array" ref="F100">MAX(0,IFERROR(_xlfn.XLOOKUP($A100&amp;"|"&amp;$B100&amp;"|"&amp;$D100,'29-AUGUST-2026'!$A$3:$A$197&amp;"|"&amp;'29-AUGUST-2026'!$B$3:$B$197&amp;"|"&amp;'29-AUGUST-2026'!$D$3:$D$197,'29-AUGUST-2026'!$Z$3:$Z$197,_xlfn.XLOOKUP($A100&amp;"|"&amp;$B100,'29-AUGUST-2026'!$A$3:$A$197&amp;"|"&amp;'29-AUGUST-2026'!$B$3:$B$197,'29-AUGUST-2026'!$Z$3:$Z$197,0)),0))</f>
        <v>0</v>
      </c>
      <c r="G100" s="15">
        <f t="shared" ref="G100:G131" si="31">E100+F100</f>
        <v>9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20">
        <v>0</v>
      </c>
      <c r="S100" s="20">
        <v>0</v>
      </c>
      <c r="T100" s="20">
        <v>0</v>
      </c>
      <c r="U100" s="17"/>
      <c r="V100" s="17"/>
      <c r="W100" s="20">
        <f t="shared" ref="W100:W131" si="32">R100+S100+T100</f>
        <v>0</v>
      </c>
      <c r="X100" s="21">
        <f t="shared" si="30"/>
        <v>9</v>
      </c>
      <c r="Y100" s="15">
        <f t="shared" ref="Y100:Y131" si="33">E100+N100+IF($V100="Arusha",$W100,0)-H100-K100</f>
        <v>9</v>
      </c>
      <c r="Z100" s="15">
        <f t="shared" ref="Z100:Z131" si="34">F100+O100+IF($V100="Moro",$W100,0)-I100-L100</f>
        <v>0</v>
      </c>
      <c r="AA100" s="18" t="str">
        <f>IF($A100="","",IF(AND($W100&gt;0,$V100=""),"IMPORT NEEDS DESTINATION",IF(MIN($Y100,$Z100)&lt;0,"NEGATIVE STOCK - CHECK ENTRIES","")))</f>
        <v/>
      </c>
      <c r="AB100" s="17">
        <v>0</v>
      </c>
      <c r="AC100" s="17">
        <v>0</v>
      </c>
      <c r="AD100" s="15">
        <f t="shared" si="26"/>
        <v>0</v>
      </c>
      <c r="AE100" s="17">
        <v>0</v>
      </c>
      <c r="AF100" s="17">
        <v>0</v>
      </c>
      <c r="AG100" s="15">
        <f t="shared" si="27"/>
        <v>0</v>
      </c>
      <c r="AH100" s="17">
        <v>0</v>
      </c>
      <c r="AI100" s="17">
        <v>0</v>
      </c>
      <c r="AJ100" s="15">
        <f t="shared" si="28"/>
        <v>0</v>
      </c>
      <c r="AK100" s="17">
        <v>0</v>
      </c>
      <c r="AL100" s="17">
        <v>0</v>
      </c>
      <c r="AM100" s="15">
        <f t="shared" si="29"/>
        <v>0</v>
      </c>
      <c r="AN100" s="17"/>
    </row>
    <row r="101" spans="1:40" x14ac:dyDescent="0.3">
      <c r="A101" s="15" t="s">
        <v>95</v>
      </c>
      <c r="B101" s="15">
        <v>100</v>
      </c>
      <c r="C101" s="15" t="s">
        <v>54</v>
      </c>
      <c r="D101" s="15" t="s">
        <v>57</v>
      </c>
      <c r="E101" s="69" cm="1">
        <f t="array" ref="E101">MAX(0,IFERROR(_xlfn.XLOOKUP($A101&amp;"|"&amp;$B101&amp;"|"&amp;$D101,'29-AUGUST-2026'!$A$3:$A$197&amp;"|"&amp;'29-AUGUST-2026'!$B$3:$B$197&amp;"|"&amp;'29-AUGUST-2026'!$D$3:$D$197,'29-AUGUST-2026'!$Y$3:$Y$197,_xlfn.XLOOKUP($A101&amp;"|"&amp;$B101,'29-AUGUST-2026'!$A$3:$A$197&amp;"|"&amp;'29-AUGUST-2026'!$B$3:$B$197,'29-AUGUST-2026'!$Y$3:$Y$197,0)),0))</f>
        <v>1</v>
      </c>
      <c r="F101" s="69" cm="1">
        <f t="array" ref="F101">MAX(0,IFERROR(_xlfn.XLOOKUP($A101&amp;"|"&amp;$B101&amp;"|"&amp;$D101,'29-AUGUST-2026'!$A$3:$A$197&amp;"|"&amp;'29-AUGUST-2026'!$B$3:$B$197&amp;"|"&amp;'29-AUGUST-2026'!$D$3:$D$197,'29-AUGUST-2026'!$Z$3:$Z$197,_xlfn.XLOOKUP($A101&amp;"|"&amp;$B101,'29-AUGUST-2026'!$A$3:$A$197&amp;"|"&amp;'29-AUGUST-2026'!$B$3:$B$197,'29-AUGUST-2026'!$Z$3:$Z$197,0)),0))</f>
        <v>0</v>
      </c>
      <c r="G101" s="15">
        <f t="shared" si="31"/>
        <v>1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20">
        <v>0</v>
      </c>
      <c r="S101" s="20">
        <v>0</v>
      </c>
      <c r="T101" s="20">
        <v>0</v>
      </c>
      <c r="U101" s="17"/>
      <c r="V101" s="17"/>
      <c r="W101" s="20">
        <f t="shared" si="32"/>
        <v>0</v>
      </c>
      <c r="X101" s="21">
        <f t="shared" si="30"/>
        <v>1</v>
      </c>
      <c r="Y101" s="15">
        <f t="shared" si="33"/>
        <v>1</v>
      </c>
      <c r="Z101" s="15">
        <f t="shared" si="34"/>
        <v>0</v>
      </c>
      <c r="AA101" s="18" t="str">
        <f>IF($A101="","",IF(AND($W101&gt;0,$V101=""),"IMPORT NEEDS DESTINATION",IF(MIN($Y101,$Z101)&lt;0,"NEGATIVE STOCK - CHECK ENTRIES","")))</f>
        <v/>
      </c>
      <c r="AB101" s="17">
        <v>0</v>
      </c>
      <c r="AC101" s="17">
        <v>0</v>
      </c>
      <c r="AD101" s="15">
        <f t="shared" ref="AD101:AD132" si="35">AB101-AC101</f>
        <v>0</v>
      </c>
      <c r="AE101" s="17">
        <v>0</v>
      </c>
      <c r="AF101" s="17">
        <v>0</v>
      </c>
      <c r="AG101" s="15">
        <f t="shared" ref="AG101:AG132" si="36">AE101-AF101</f>
        <v>0</v>
      </c>
      <c r="AH101" s="17">
        <v>0</v>
      </c>
      <c r="AI101" s="17">
        <v>0</v>
      </c>
      <c r="AJ101" s="15">
        <f t="shared" ref="AJ101:AJ132" si="37">AH101-AI101</f>
        <v>0</v>
      </c>
      <c r="AK101" s="17">
        <v>0</v>
      </c>
      <c r="AL101" s="17">
        <v>0</v>
      </c>
      <c r="AM101" s="15">
        <f t="shared" ref="AM101:AM132" si="38">AK101-AL101</f>
        <v>0</v>
      </c>
      <c r="AN101" s="17"/>
    </row>
    <row r="102" spans="1:40" x14ac:dyDescent="0.3">
      <c r="A102" s="15" t="s">
        <v>102</v>
      </c>
      <c r="B102" s="15">
        <v>5000</v>
      </c>
      <c r="C102" s="15" t="s">
        <v>54</v>
      </c>
      <c r="D102" s="15" t="s">
        <v>57</v>
      </c>
      <c r="E102" s="69" cm="1">
        <f t="array" ref="E102">MAX(0,IFERROR(_xlfn.XLOOKUP($A102&amp;"|"&amp;$B102&amp;"|"&amp;$D102,'29-AUGUST-2026'!$A$3:$A$197&amp;"|"&amp;'29-AUGUST-2026'!$B$3:$B$197&amp;"|"&amp;'29-AUGUST-2026'!$D$3:$D$197,'29-AUGUST-2026'!$Y$3:$Y$197,_xlfn.XLOOKUP($A102&amp;"|"&amp;$B102,'29-AUGUST-2026'!$A$3:$A$197&amp;"|"&amp;'29-AUGUST-2026'!$B$3:$B$197,'29-AUGUST-2026'!$Y$3:$Y$197,0)),0))</f>
        <v>1</v>
      </c>
      <c r="F102" s="69" cm="1">
        <f t="array" ref="F102">MAX(0,IFERROR(_xlfn.XLOOKUP($A102&amp;"|"&amp;$B102&amp;"|"&amp;$D102,'29-AUGUST-2026'!$A$3:$A$197&amp;"|"&amp;'29-AUGUST-2026'!$B$3:$B$197&amp;"|"&amp;'29-AUGUST-2026'!$D$3:$D$197,'29-AUGUST-2026'!$Z$3:$Z$197,_xlfn.XLOOKUP($A102&amp;"|"&amp;$B102,'29-AUGUST-2026'!$A$3:$A$197&amp;"|"&amp;'29-AUGUST-2026'!$B$3:$B$197,'29-AUGUST-2026'!$Z$3:$Z$197,0)),0))</f>
        <v>0</v>
      </c>
      <c r="G102" s="15">
        <f t="shared" si="31"/>
        <v>1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20">
        <v>0</v>
      </c>
      <c r="S102" s="20">
        <v>0</v>
      </c>
      <c r="T102" s="20">
        <v>0</v>
      </c>
      <c r="U102" s="17"/>
      <c r="V102" s="17"/>
      <c r="W102" s="20">
        <f t="shared" si="32"/>
        <v>0</v>
      </c>
      <c r="X102" s="21">
        <f t="shared" si="30"/>
        <v>1</v>
      </c>
      <c r="Y102" s="15">
        <f t="shared" si="33"/>
        <v>1</v>
      </c>
      <c r="Z102" s="15">
        <f t="shared" si="34"/>
        <v>0</v>
      </c>
      <c r="AA102" s="18" t="str">
        <f>IF($A102="","",IF(AND($W102&gt;0,$V102=""),"IMPORT NEEDS DESTINATION",IF(MIN($Y102,$Z102)&lt;0,"NEGATIVE STOCK - CHECK ENTRIES","")))</f>
        <v/>
      </c>
      <c r="AB102" s="17">
        <v>0</v>
      </c>
      <c r="AC102" s="17">
        <v>0</v>
      </c>
      <c r="AD102" s="15">
        <f t="shared" si="35"/>
        <v>0</v>
      </c>
      <c r="AE102" s="17">
        <v>0</v>
      </c>
      <c r="AF102" s="17">
        <v>0</v>
      </c>
      <c r="AG102" s="15">
        <f t="shared" si="36"/>
        <v>0</v>
      </c>
      <c r="AH102" s="17">
        <v>0</v>
      </c>
      <c r="AI102" s="17">
        <v>0</v>
      </c>
      <c r="AJ102" s="15">
        <f t="shared" si="37"/>
        <v>0</v>
      </c>
      <c r="AK102" s="17">
        <v>0</v>
      </c>
      <c r="AL102" s="17">
        <v>0</v>
      </c>
      <c r="AM102" s="15">
        <f t="shared" si="38"/>
        <v>0</v>
      </c>
      <c r="AN102" s="17"/>
    </row>
    <row r="103" spans="1:40" x14ac:dyDescent="0.3">
      <c r="A103" s="15" t="s">
        <v>114</v>
      </c>
      <c r="B103" s="15">
        <v>100</v>
      </c>
      <c r="C103" s="15" t="s">
        <v>54</v>
      </c>
      <c r="D103" s="15" t="s">
        <v>57</v>
      </c>
      <c r="E103" s="69" cm="1">
        <f t="array" ref="E103">MAX(0,IFERROR(_xlfn.XLOOKUP($A103&amp;"|"&amp;$B103&amp;"|"&amp;$D103,'29-AUGUST-2026'!$A$3:$A$197&amp;"|"&amp;'29-AUGUST-2026'!$B$3:$B$197&amp;"|"&amp;'29-AUGUST-2026'!$D$3:$D$197,'29-AUGUST-2026'!$Y$3:$Y$197,_xlfn.XLOOKUP($A103&amp;"|"&amp;$B103,'29-AUGUST-2026'!$A$3:$A$197&amp;"|"&amp;'29-AUGUST-2026'!$B$3:$B$197,'29-AUGUST-2026'!$Y$3:$Y$197,0)),0))</f>
        <v>2</v>
      </c>
      <c r="F103" s="69" cm="1">
        <f t="array" ref="F103">MAX(0,IFERROR(_xlfn.XLOOKUP($A103&amp;"|"&amp;$B103&amp;"|"&amp;$D103,'29-AUGUST-2026'!$A$3:$A$197&amp;"|"&amp;'29-AUGUST-2026'!$B$3:$B$197&amp;"|"&amp;'29-AUGUST-2026'!$D$3:$D$197,'29-AUGUST-2026'!$Z$3:$Z$197,_xlfn.XLOOKUP($A103&amp;"|"&amp;$B103,'29-AUGUST-2026'!$A$3:$A$197&amp;"|"&amp;'29-AUGUST-2026'!$B$3:$B$197,'29-AUGUST-2026'!$Z$3:$Z$197,0)),0))</f>
        <v>0</v>
      </c>
      <c r="G103" s="15">
        <f t="shared" si="31"/>
        <v>2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20">
        <v>0</v>
      </c>
      <c r="S103" s="20">
        <v>0</v>
      </c>
      <c r="T103" s="20">
        <v>0</v>
      </c>
      <c r="U103" s="17"/>
      <c r="V103" s="17"/>
      <c r="W103" s="20">
        <f t="shared" si="32"/>
        <v>0</v>
      </c>
      <c r="X103" s="21">
        <f t="shared" si="30"/>
        <v>2</v>
      </c>
      <c r="Y103" s="15">
        <f t="shared" si="33"/>
        <v>2</v>
      </c>
      <c r="Z103" s="15">
        <f t="shared" si="34"/>
        <v>0</v>
      </c>
      <c r="AA103" s="18" t="str">
        <f>IF($A103="","",IF(AND($W103&gt;0,$V103=""),"IMPORT NEEDS DESTINATION",IF(MIN($Y103,$Z103)&lt;0,"NEGATIVE STOCK - CHECK ENTRIES","")))</f>
        <v/>
      </c>
      <c r="AB103" s="17">
        <v>0</v>
      </c>
      <c r="AC103" s="17">
        <v>0</v>
      </c>
      <c r="AD103" s="15">
        <f t="shared" si="35"/>
        <v>0</v>
      </c>
      <c r="AE103" s="17">
        <v>0</v>
      </c>
      <c r="AF103" s="17">
        <v>0</v>
      </c>
      <c r="AG103" s="15">
        <f t="shared" si="36"/>
        <v>0</v>
      </c>
      <c r="AH103" s="17">
        <v>0</v>
      </c>
      <c r="AI103" s="17">
        <v>0</v>
      </c>
      <c r="AJ103" s="15">
        <f t="shared" si="37"/>
        <v>0</v>
      </c>
      <c r="AK103" s="17">
        <v>0</v>
      </c>
      <c r="AL103" s="17">
        <v>0</v>
      </c>
      <c r="AM103" s="15">
        <f t="shared" si="38"/>
        <v>0</v>
      </c>
      <c r="AN103" s="17"/>
    </row>
    <row r="104" spans="1:40" x14ac:dyDescent="0.3">
      <c r="A104" s="15" t="s">
        <v>117</v>
      </c>
      <c r="B104" s="15">
        <v>100</v>
      </c>
      <c r="C104" s="15" t="s">
        <v>54</v>
      </c>
      <c r="D104" s="15" t="s">
        <v>57</v>
      </c>
      <c r="E104" s="69" cm="1">
        <f t="array" ref="E104">MAX(0,IFERROR(_xlfn.XLOOKUP($A104&amp;"|"&amp;$B104&amp;"|"&amp;$D104,'29-AUGUST-2026'!$A$3:$A$197&amp;"|"&amp;'29-AUGUST-2026'!$B$3:$B$197&amp;"|"&amp;'29-AUGUST-2026'!$D$3:$D$197,'29-AUGUST-2026'!$Y$3:$Y$197,_xlfn.XLOOKUP($A104&amp;"|"&amp;$B104,'29-AUGUST-2026'!$A$3:$A$197&amp;"|"&amp;'29-AUGUST-2026'!$B$3:$B$197,'29-AUGUST-2026'!$Y$3:$Y$197,0)),0))</f>
        <v>7</v>
      </c>
      <c r="F104" s="69" cm="1">
        <f t="array" ref="F104">MAX(0,IFERROR(_xlfn.XLOOKUP($A104&amp;"|"&amp;$B104&amp;"|"&amp;$D104,'29-AUGUST-2026'!$A$3:$A$197&amp;"|"&amp;'29-AUGUST-2026'!$B$3:$B$197&amp;"|"&amp;'29-AUGUST-2026'!$D$3:$D$197,'29-AUGUST-2026'!$Z$3:$Z$197,_xlfn.XLOOKUP($A104&amp;"|"&amp;$B104,'29-AUGUST-2026'!$A$3:$A$197&amp;"|"&amp;'29-AUGUST-2026'!$B$3:$B$197,'29-AUGUST-2026'!$Z$3:$Z$197,0)),0))</f>
        <v>0</v>
      </c>
      <c r="G104" s="15">
        <f t="shared" si="31"/>
        <v>7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20">
        <v>0</v>
      </c>
      <c r="S104" s="20">
        <v>0</v>
      </c>
      <c r="T104" s="20">
        <v>0</v>
      </c>
      <c r="U104" s="17"/>
      <c r="V104" s="17"/>
      <c r="W104" s="20">
        <f t="shared" si="32"/>
        <v>0</v>
      </c>
      <c r="X104" s="21">
        <f t="shared" si="30"/>
        <v>7</v>
      </c>
      <c r="Y104" s="15">
        <f t="shared" si="33"/>
        <v>7</v>
      </c>
      <c r="Z104" s="15">
        <f t="shared" si="34"/>
        <v>0</v>
      </c>
      <c r="AA104" s="18" t="str">
        <f>IF($A104="","",IF(AND($W104&gt;0,$V104=""),"IMPORT NEEDS DESTINATION",IF(MIN($Y104,$Z104)&lt;0,"NEGATIVE STOCK - CHECK ENTRIES","")))</f>
        <v/>
      </c>
      <c r="AB104" s="17">
        <v>0</v>
      </c>
      <c r="AC104" s="17">
        <v>0</v>
      </c>
      <c r="AD104" s="15">
        <f t="shared" si="35"/>
        <v>0</v>
      </c>
      <c r="AE104" s="17">
        <v>0</v>
      </c>
      <c r="AF104" s="17">
        <v>0</v>
      </c>
      <c r="AG104" s="15">
        <f t="shared" si="36"/>
        <v>0</v>
      </c>
      <c r="AH104" s="17">
        <v>0</v>
      </c>
      <c r="AI104" s="17">
        <v>0</v>
      </c>
      <c r="AJ104" s="15">
        <f t="shared" si="37"/>
        <v>0</v>
      </c>
      <c r="AK104" s="17">
        <v>0</v>
      </c>
      <c r="AL104" s="17">
        <v>0</v>
      </c>
      <c r="AM104" s="15">
        <f t="shared" si="38"/>
        <v>0</v>
      </c>
      <c r="AN104" s="17"/>
    </row>
    <row r="105" spans="1:40" x14ac:dyDescent="0.3">
      <c r="A105" s="15" t="s">
        <v>120</v>
      </c>
      <c r="B105" s="15">
        <v>100</v>
      </c>
      <c r="C105" s="15" t="s">
        <v>54</v>
      </c>
      <c r="D105" s="15" t="s">
        <v>57</v>
      </c>
      <c r="E105" s="69" cm="1">
        <f t="array" ref="E105">MAX(0,IFERROR(_xlfn.XLOOKUP($A105&amp;"|"&amp;$B105&amp;"|"&amp;$D105,'29-AUGUST-2026'!$A$3:$A$197&amp;"|"&amp;'29-AUGUST-2026'!$B$3:$B$197&amp;"|"&amp;'29-AUGUST-2026'!$D$3:$D$197,'29-AUGUST-2026'!$Y$3:$Y$197,_xlfn.XLOOKUP($A105&amp;"|"&amp;$B105,'29-AUGUST-2026'!$A$3:$A$197&amp;"|"&amp;'29-AUGUST-2026'!$B$3:$B$197,'29-AUGUST-2026'!$Y$3:$Y$197,0)),0))</f>
        <v>2</v>
      </c>
      <c r="F105" s="69" cm="1">
        <f t="array" ref="F105">MAX(0,IFERROR(_xlfn.XLOOKUP($A105&amp;"|"&amp;$B105&amp;"|"&amp;$D105,'29-AUGUST-2026'!$A$3:$A$197&amp;"|"&amp;'29-AUGUST-2026'!$B$3:$B$197&amp;"|"&amp;'29-AUGUST-2026'!$D$3:$D$197,'29-AUGUST-2026'!$Z$3:$Z$197,_xlfn.XLOOKUP($A105&amp;"|"&amp;$B105,'29-AUGUST-2026'!$A$3:$A$197&amp;"|"&amp;'29-AUGUST-2026'!$B$3:$B$197,'29-AUGUST-2026'!$Z$3:$Z$197,0)),0))</f>
        <v>0</v>
      </c>
      <c r="G105" s="15">
        <f t="shared" si="31"/>
        <v>2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20">
        <v>0</v>
      </c>
      <c r="S105" s="20">
        <v>0</v>
      </c>
      <c r="T105" s="20">
        <v>0</v>
      </c>
      <c r="U105" s="17"/>
      <c r="V105" s="17"/>
      <c r="W105" s="20">
        <f t="shared" si="32"/>
        <v>0</v>
      </c>
      <c r="X105" s="21">
        <f t="shared" si="30"/>
        <v>2</v>
      </c>
      <c r="Y105" s="15">
        <f t="shared" si="33"/>
        <v>2</v>
      </c>
      <c r="Z105" s="15">
        <f t="shared" si="34"/>
        <v>0</v>
      </c>
      <c r="AA105" s="18" t="str">
        <f>IF($A105="","",IF(AND($W105&gt;0,$V105=""),"IMPORT NEEDS DESTINATION",IF(MIN($Y105,$Z105)&lt;0,"NEGATIVE STOCK - CHECK ENTRIES","")))</f>
        <v/>
      </c>
      <c r="AB105" s="17">
        <v>0</v>
      </c>
      <c r="AC105" s="17">
        <v>0</v>
      </c>
      <c r="AD105" s="15">
        <f t="shared" si="35"/>
        <v>0</v>
      </c>
      <c r="AE105" s="17">
        <v>0</v>
      </c>
      <c r="AF105" s="17">
        <v>0</v>
      </c>
      <c r="AG105" s="15">
        <f t="shared" si="36"/>
        <v>0</v>
      </c>
      <c r="AH105" s="17">
        <v>0</v>
      </c>
      <c r="AI105" s="17">
        <v>0</v>
      </c>
      <c r="AJ105" s="15">
        <f t="shared" si="37"/>
        <v>0</v>
      </c>
      <c r="AK105" s="17">
        <v>0</v>
      </c>
      <c r="AL105" s="17">
        <v>0</v>
      </c>
      <c r="AM105" s="15">
        <f t="shared" si="38"/>
        <v>0</v>
      </c>
      <c r="AN105" s="17"/>
    </row>
    <row r="106" spans="1:40" x14ac:dyDescent="0.3">
      <c r="A106" s="15" t="s">
        <v>134</v>
      </c>
      <c r="B106" s="15">
        <v>100</v>
      </c>
      <c r="C106" s="15" t="s">
        <v>54</v>
      </c>
      <c r="D106" s="15" t="s">
        <v>57</v>
      </c>
      <c r="E106" s="69" cm="1">
        <f t="array" ref="E106">MAX(0,IFERROR(_xlfn.XLOOKUP($A106&amp;"|"&amp;$B106&amp;"|"&amp;$D106,'29-AUGUST-2026'!$A$3:$A$197&amp;"|"&amp;'29-AUGUST-2026'!$B$3:$B$197&amp;"|"&amp;'29-AUGUST-2026'!$D$3:$D$197,'29-AUGUST-2026'!$Y$3:$Y$197,_xlfn.XLOOKUP($A106&amp;"|"&amp;$B106,'29-AUGUST-2026'!$A$3:$A$197&amp;"|"&amp;'29-AUGUST-2026'!$B$3:$B$197,'29-AUGUST-2026'!$Y$3:$Y$197,0)),0))</f>
        <v>3</v>
      </c>
      <c r="F106" s="69" cm="1">
        <f t="array" ref="F106">MAX(0,IFERROR(_xlfn.XLOOKUP($A106&amp;"|"&amp;$B106&amp;"|"&amp;$D106,'29-AUGUST-2026'!$A$3:$A$197&amp;"|"&amp;'29-AUGUST-2026'!$B$3:$B$197&amp;"|"&amp;'29-AUGUST-2026'!$D$3:$D$197,'29-AUGUST-2026'!$Z$3:$Z$197,_xlfn.XLOOKUP($A106&amp;"|"&amp;$B106,'29-AUGUST-2026'!$A$3:$A$197&amp;"|"&amp;'29-AUGUST-2026'!$B$3:$B$197,'29-AUGUST-2026'!$Z$3:$Z$197,0)),0))</f>
        <v>0</v>
      </c>
      <c r="G106" s="15">
        <f t="shared" si="31"/>
        <v>3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20">
        <v>0</v>
      </c>
      <c r="S106" s="20">
        <v>0</v>
      </c>
      <c r="T106" s="20">
        <v>0</v>
      </c>
      <c r="U106" s="17"/>
      <c r="V106" s="17"/>
      <c r="W106" s="20">
        <f t="shared" si="32"/>
        <v>0</v>
      </c>
      <c r="X106" s="21">
        <f t="shared" si="30"/>
        <v>3</v>
      </c>
      <c r="Y106" s="15">
        <f t="shared" si="33"/>
        <v>3</v>
      </c>
      <c r="Z106" s="15">
        <f t="shared" si="34"/>
        <v>0</v>
      </c>
      <c r="AA106" s="18" t="str">
        <f>IF($A106="","",IF(AND($W106&gt;0,$V106=""),"IMPORT NEEDS DESTINATION",IF(MIN($Y106,$Z106)&lt;0,"NEGATIVE STOCK - CHECK ENTRIES","")))</f>
        <v/>
      </c>
      <c r="AB106" s="17">
        <v>0</v>
      </c>
      <c r="AC106" s="17">
        <v>0</v>
      </c>
      <c r="AD106" s="15">
        <f t="shared" si="35"/>
        <v>0</v>
      </c>
      <c r="AE106" s="17">
        <v>0</v>
      </c>
      <c r="AF106" s="17">
        <v>0</v>
      </c>
      <c r="AG106" s="15">
        <f t="shared" si="36"/>
        <v>0</v>
      </c>
      <c r="AH106" s="17">
        <v>0</v>
      </c>
      <c r="AI106" s="17">
        <v>0</v>
      </c>
      <c r="AJ106" s="15">
        <f t="shared" si="37"/>
        <v>0</v>
      </c>
      <c r="AK106" s="17">
        <v>0</v>
      </c>
      <c r="AL106" s="17">
        <v>0</v>
      </c>
      <c r="AM106" s="15">
        <f t="shared" si="38"/>
        <v>0</v>
      </c>
      <c r="AN106" s="17"/>
    </row>
    <row r="107" spans="1:40" x14ac:dyDescent="0.3">
      <c r="A107" s="15" t="s">
        <v>135</v>
      </c>
      <c r="B107" s="15">
        <v>100</v>
      </c>
      <c r="C107" s="15" t="s">
        <v>54</v>
      </c>
      <c r="D107" s="15" t="s">
        <v>57</v>
      </c>
      <c r="E107" s="69" cm="1">
        <f t="array" ref="E107">MAX(0,IFERROR(_xlfn.XLOOKUP($A107&amp;"|"&amp;$B107&amp;"|"&amp;$D107,'29-AUGUST-2026'!$A$3:$A$197&amp;"|"&amp;'29-AUGUST-2026'!$B$3:$B$197&amp;"|"&amp;'29-AUGUST-2026'!$D$3:$D$197,'29-AUGUST-2026'!$Y$3:$Y$197,_xlfn.XLOOKUP($A107&amp;"|"&amp;$B107,'29-AUGUST-2026'!$A$3:$A$197&amp;"|"&amp;'29-AUGUST-2026'!$B$3:$B$197,'29-AUGUST-2026'!$Y$3:$Y$197,0)),0))</f>
        <v>4</v>
      </c>
      <c r="F107" s="69" cm="1">
        <f t="array" ref="F107">MAX(0,IFERROR(_xlfn.XLOOKUP($A107&amp;"|"&amp;$B107&amp;"|"&amp;$D107,'29-AUGUST-2026'!$A$3:$A$197&amp;"|"&amp;'29-AUGUST-2026'!$B$3:$B$197&amp;"|"&amp;'29-AUGUST-2026'!$D$3:$D$197,'29-AUGUST-2026'!$Z$3:$Z$197,_xlfn.XLOOKUP($A107&amp;"|"&amp;$B107,'29-AUGUST-2026'!$A$3:$A$197&amp;"|"&amp;'29-AUGUST-2026'!$B$3:$B$197,'29-AUGUST-2026'!$Z$3:$Z$197,0)),0))</f>
        <v>0</v>
      </c>
      <c r="G107" s="15">
        <f t="shared" si="31"/>
        <v>4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20">
        <v>0</v>
      </c>
      <c r="S107" s="20">
        <v>0</v>
      </c>
      <c r="T107" s="20">
        <v>0</v>
      </c>
      <c r="U107" s="17"/>
      <c r="V107" s="17"/>
      <c r="W107" s="20">
        <f t="shared" si="32"/>
        <v>0</v>
      </c>
      <c r="X107" s="21">
        <f t="shared" si="30"/>
        <v>4</v>
      </c>
      <c r="Y107" s="15">
        <f t="shared" si="33"/>
        <v>4</v>
      </c>
      <c r="Z107" s="15">
        <f t="shared" si="34"/>
        <v>0</v>
      </c>
      <c r="AA107" s="18" t="str">
        <f>IF($A107="","",IF(AND($W107&gt;0,$V107=""),"IMPORT NEEDS DESTINATION",IF(MIN($Y107,$Z107)&lt;0,"NEGATIVE STOCK - CHECK ENTRIES","")))</f>
        <v/>
      </c>
      <c r="AB107" s="17">
        <v>0</v>
      </c>
      <c r="AC107" s="17">
        <v>0</v>
      </c>
      <c r="AD107" s="15">
        <f t="shared" si="35"/>
        <v>0</v>
      </c>
      <c r="AE107" s="17">
        <v>0</v>
      </c>
      <c r="AF107" s="17">
        <v>0</v>
      </c>
      <c r="AG107" s="15">
        <f t="shared" si="36"/>
        <v>0</v>
      </c>
      <c r="AH107" s="17">
        <v>0</v>
      </c>
      <c r="AI107" s="17">
        <v>0</v>
      </c>
      <c r="AJ107" s="15">
        <f t="shared" si="37"/>
        <v>0</v>
      </c>
      <c r="AK107" s="17">
        <v>0</v>
      </c>
      <c r="AL107" s="17">
        <v>0</v>
      </c>
      <c r="AM107" s="15">
        <f t="shared" si="38"/>
        <v>0</v>
      </c>
      <c r="AN107" s="17"/>
    </row>
    <row r="108" spans="1:40" x14ac:dyDescent="0.3">
      <c r="A108" s="15" t="s">
        <v>135</v>
      </c>
      <c r="B108" s="15">
        <v>1000</v>
      </c>
      <c r="C108" s="15" t="s">
        <v>54</v>
      </c>
      <c r="D108" s="15" t="s">
        <v>57</v>
      </c>
      <c r="E108" s="69" cm="1">
        <f t="array" ref="E108">MAX(0,IFERROR(_xlfn.XLOOKUP($A108&amp;"|"&amp;$B108&amp;"|"&amp;$D108,'29-AUGUST-2026'!$A$3:$A$197&amp;"|"&amp;'29-AUGUST-2026'!$B$3:$B$197&amp;"|"&amp;'29-AUGUST-2026'!$D$3:$D$197,'29-AUGUST-2026'!$Y$3:$Y$197,_xlfn.XLOOKUP($A108&amp;"|"&amp;$B108,'29-AUGUST-2026'!$A$3:$A$197&amp;"|"&amp;'29-AUGUST-2026'!$B$3:$B$197,'29-AUGUST-2026'!$Y$3:$Y$197,0)),0))</f>
        <v>1</v>
      </c>
      <c r="F108" s="69" cm="1">
        <f t="array" ref="F108">MAX(0,IFERROR(_xlfn.XLOOKUP($A108&amp;"|"&amp;$B108&amp;"|"&amp;$D108,'29-AUGUST-2026'!$A$3:$A$197&amp;"|"&amp;'29-AUGUST-2026'!$B$3:$B$197&amp;"|"&amp;'29-AUGUST-2026'!$D$3:$D$197,'29-AUGUST-2026'!$Z$3:$Z$197,_xlfn.XLOOKUP($A108&amp;"|"&amp;$B108,'29-AUGUST-2026'!$A$3:$A$197&amp;"|"&amp;'29-AUGUST-2026'!$B$3:$B$197,'29-AUGUST-2026'!$Z$3:$Z$197,0)),0))</f>
        <v>0</v>
      </c>
      <c r="G108" s="15">
        <f t="shared" si="31"/>
        <v>1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20">
        <v>0</v>
      </c>
      <c r="S108" s="20">
        <v>0</v>
      </c>
      <c r="T108" s="20">
        <v>0</v>
      </c>
      <c r="U108" s="17"/>
      <c r="V108" s="17"/>
      <c r="W108" s="20">
        <f t="shared" si="32"/>
        <v>0</v>
      </c>
      <c r="X108" s="21">
        <f t="shared" si="30"/>
        <v>1</v>
      </c>
      <c r="Y108" s="15">
        <f t="shared" si="33"/>
        <v>1</v>
      </c>
      <c r="Z108" s="15">
        <f t="shared" si="34"/>
        <v>0</v>
      </c>
      <c r="AA108" s="18" t="str">
        <f>IF($A108="","",IF(AND($W108&gt;0,$V108=""),"IMPORT NEEDS DESTINATION",IF(MIN($Y108,$Z108)&lt;0,"NEGATIVE STOCK - CHECK ENTRIES","")))</f>
        <v/>
      </c>
      <c r="AB108" s="17">
        <v>0</v>
      </c>
      <c r="AC108" s="17">
        <v>0</v>
      </c>
      <c r="AD108" s="15">
        <f t="shared" si="35"/>
        <v>0</v>
      </c>
      <c r="AE108" s="17">
        <v>0</v>
      </c>
      <c r="AF108" s="17">
        <v>0</v>
      </c>
      <c r="AG108" s="15">
        <f t="shared" si="36"/>
        <v>0</v>
      </c>
      <c r="AH108" s="17">
        <v>0</v>
      </c>
      <c r="AI108" s="17">
        <v>0</v>
      </c>
      <c r="AJ108" s="15">
        <f t="shared" si="37"/>
        <v>0</v>
      </c>
      <c r="AK108" s="17">
        <v>0</v>
      </c>
      <c r="AL108" s="17">
        <v>0</v>
      </c>
      <c r="AM108" s="15">
        <f t="shared" si="38"/>
        <v>0</v>
      </c>
      <c r="AN108" s="17"/>
    </row>
    <row r="109" spans="1:40" x14ac:dyDescent="0.3">
      <c r="A109" s="15" t="s">
        <v>138</v>
      </c>
      <c r="B109" s="15">
        <v>100</v>
      </c>
      <c r="C109" s="15" t="s">
        <v>54</v>
      </c>
      <c r="D109" s="15" t="s">
        <v>57</v>
      </c>
      <c r="E109" s="69" cm="1">
        <f t="array" ref="E109">MAX(0,IFERROR(_xlfn.XLOOKUP($A109&amp;"|"&amp;$B109&amp;"|"&amp;$D109,'29-AUGUST-2026'!$A$3:$A$197&amp;"|"&amp;'29-AUGUST-2026'!$B$3:$B$197&amp;"|"&amp;'29-AUGUST-2026'!$D$3:$D$197,'29-AUGUST-2026'!$Y$3:$Y$197,_xlfn.XLOOKUP($A109&amp;"|"&amp;$B109,'29-AUGUST-2026'!$A$3:$A$197&amp;"|"&amp;'29-AUGUST-2026'!$B$3:$B$197,'29-AUGUST-2026'!$Y$3:$Y$197,0)),0))</f>
        <v>1</v>
      </c>
      <c r="F109" s="69" cm="1">
        <f t="array" ref="F109">MAX(0,IFERROR(_xlfn.XLOOKUP($A109&amp;"|"&amp;$B109&amp;"|"&amp;$D109,'29-AUGUST-2026'!$A$3:$A$197&amp;"|"&amp;'29-AUGUST-2026'!$B$3:$B$197&amp;"|"&amp;'29-AUGUST-2026'!$D$3:$D$197,'29-AUGUST-2026'!$Z$3:$Z$197,_xlfn.XLOOKUP($A109&amp;"|"&amp;$B109,'29-AUGUST-2026'!$A$3:$A$197&amp;"|"&amp;'29-AUGUST-2026'!$B$3:$B$197,'29-AUGUST-2026'!$Z$3:$Z$197,0)),0))</f>
        <v>0</v>
      </c>
      <c r="G109" s="15">
        <f t="shared" si="31"/>
        <v>1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20">
        <v>0</v>
      </c>
      <c r="S109" s="20">
        <v>0</v>
      </c>
      <c r="T109" s="20">
        <v>0</v>
      </c>
      <c r="U109" s="17"/>
      <c r="V109" s="17"/>
      <c r="W109" s="20">
        <f t="shared" si="32"/>
        <v>0</v>
      </c>
      <c r="X109" s="21">
        <f t="shared" si="30"/>
        <v>1</v>
      </c>
      <c r="Y109" s="15">
        <f t="shared" si="33"/>
        <v>1</v>
      </c>
      <c r="Z109" s="15">
        <f t="shared" si="34"/>
        <v>0</v>
      </c>
      <c r="AA109" s="18" t="str">
        <f>IF($A109="","",IF(AND($W109&gt;0,$V109=""),"IMPORT NEEDS DESTINATION",IF(MIN($Y109,$Z109)&lt;0,"NEGATIVE STOCK - CHECK ENTRIES","")))</f>
        <v/>
      </c>
      <c r="AB109" s="17">
        <v>0</v>
      </c>
      <c r="AC109" s="17">
        <v>0</v>
      </c>
      <c r="AD109" s="15">
        <f t="shared" si="35"/>
        <v>0</v>
      </c>
      <c r="AE109" s="17">
        <v>0</v>
      </c>
      <c r="AF109" s="17">
        <v>0</v>
      </c>
      <c r="AG109" s="15">
        <f t="shared" si="36"/>
        <v>0</v>
      </c>
      <c r="AH109" s="17">
        <v>0</v>
      </c>
      <c r="AI109" s="17">
        <v>0</v>
      </c>
      <c r="AJ109" s="15">
        <f t="shared" si="37"/>
        <v>0</v>
      </c>
      <c r="AK109" s="17">
        <v>0</v>
      </c>
      <c r="AL109" s="17">
        <v>0</v>
      </c>
      <c r="AM109" s="15">
        <f t="shared" si="38"/>
        <v>0</v>
      </c>
      <c r="AN109" s="17"/>
    </row>
    <row r="110" spans="1:40" x14ac:dyDescent="0.3">
      <c r="A110" s="15" t="s">
        <v>143</v>
      </c>
      <c r="B110" s="15">
        <v>1000</v>
      </c>
      <c r="C110" s="15" t="s">
        <v>54</v>
      </c>
      <c r="D110" s="15" t="s">
        <v>57</v>
      </c>
      <c r="E110" s="69" cm="1">
        <f t="array" ref="E110">MAX(0,IFERROR(_xlfn.XLOOKUP($A110&amp;"|"&amp;$B110&amp;"|"&amp;$D110,'29-AUGUST-2026'!$A$3:$A$197&amp;"|"&amp;'29-AUGUST-2026'!$B$3:$B$197&amp;"|"&amp;'29-AUGUST-2026'!$D$3:$D$197,'29-AUGUST-2026'!$Y$3:$Y$197,_xlfn.XLOOKUP($A110&amp;"|"&amp;$B110,'29-AUGUST-2026'!$A$3:$A$197&amp;"|"&amp;'29-AUGUST-2026'!$B$3:$B$197,'29-AUGUST-2026'!$Y$3:$Y$197,0)),0))</f>
        <v>1</v>
      </c>
      <c r="F110" s="69" cm="1">
        <f t="array" ref="F110">MAX(0,IFERROR(_xlfn.XLOOKUP($A110&amp;"|"&amp;$B110&amp;"|"&amp;$D110,'29-AUGUST-2026'!$A$3:$A$197&amp;"|"&amp;'29-AUGUST-2026'!$B$3:$B$197&amp;"|"&amp;'29-AUGUST-2026'!$D$3:$D$197,'29-AUGUST-2026'!$Z$3:$Z$197,_xlfn.XLOOKUP($A110&amp;"|"&amp;$B110,'29-AUGUST-2026'!$A$3:$A$197&amp;"|"&amp;'29-AUGUST-2026'!$B$3:$B$197,'29-AUGUST-2026'!$Z$3:$Z$197,0)),0))</f>
        <v>0</v>
      </c>
      <c r="G110" s="15">
        <f t="shared" si="31"/>
        <v>1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20">
        <v>0</v>
      </c>
      <c r="S110" s="20">
        <v>0</v>
      </c>
      <c r="T110" s="20">
        <v>0</v>
      </c>
      <c r="U110" s="17"/>
      <c r="V110" s="17"/>
      <c r="W110" s="20">
        <f t="shared" si="32"/>
        <v>0</v>
      </c>
      <c r="X110" s="21">
        <f t="shared" ref="X110:X141" si="39">Y110+Z110</f>
        <v>1</v>
      </c>
      <c r="Y110" s="15">
        <f t="shared" si="33"/>
        <v>1</v>
      </c>
      <c r="Z110" s="15">
        <f t="shared" si="34"/>
        <v>0</v>
      </c>
      <c r="AA110" s="18" t="str">
        <f>IF($A110="","",IF(AND($W110&gt;0,$V110=""),"IMPORT NEEDS DESTINATION",IF(MIN($Y110,$Z110)&lt;0,"NEGATIVE STOCK - CHECK ENTRIES","")))</f>
        <v/>
      </c>
      <c r="AB110" s="17">
        <v>0</v>
      </c>
      <c r="AC110" s="17">
        <v>0</v>
      </c>
      <c r="AD110" s="15">
        <f t="shared" si="35"/>
        <v>0</v>
      </c>
      <c r="AE110" s="17">
        <v>0</v>
      </c>
      <c r="AF110" s="17">
        <v>0</v>
      </c>
      <c r="AG110" s="15">
        <f t="shared" si="36"/>
        <v>0</v>
      </c>
      <c r="AH110" s="17">
        <v>0</v>
      </c>
      <c r="AI110" s="17">
        <v>0</v>
      </c>
      <c r="AJ110" s="15">
        <f t="shared" si="37"/>
        <v>0</v>
      </c>
      <c r="AK110" s="17">
        <v>0</v>
      </c>
      <c r="AL110" s="17">
        <v>0</v>
      </c>
      <c r="AM110" s="15">
        <f t="shared" si="38"/>
        <v>0</v>
      </c>
      <c r="AN110" s="17"/>
    </row>
    <row r="111" spans="1:40" x14ac:dyDescent="0.3">
      <c r="A111" s="15" t="s">
        <v>148</v>
      </c>
      <c r="B111" s="15">
        <v>100</v>
      </c>
      <c r="C111" s="15" t="s">
        <v>54</v>
      </c>
      <c r="D111" s="15" t="s">
        <v>57</v>
      </c>
      <c r="E111" s="69" cm="1">
        <f t="array" ref="E111">MAX(0,IFERROR(_xlfn.XLOOKUP($A111&amp;"|"&amp;$B111&amp;"|"&amp;$D111,'29-AUGUST-2026'!$A$3:$A$197&amp;"|"&amp;'29-AUGUST-2026'!$B$3:$B$197&amp;"|"&amp;'29-AUGUST-2026'!$D$3:$D$197,'29-AUGUST-2026'!$Y$3:$Y$197,_xlfn.XLOOKUP($A111&amp;"|"&amp;$B111,'29-AUGUST-2026'!$A$3:$A$197&amp;"|"&amp;'29-AUGUST-2026'!$B$3:$B$197,'29-AUGUST-2026'!$Y$3:$Y$197,0)),0))</f>
        <v>2</v>
      </c>
      <c r="F111" s="69" cm="1">
        <f t="array" ref="F111">MAX(0,IFERROR(_xlfn.XLOOKUP($A111&amp;"|"&amp;$B111&amp;"|"&amp;$D111,'29-AUGUST-2026'!$A$3:$A$197&amp;"|"&amp;'29-AUGUST-2026'!$B$3:$B$197&amp;"|"&amp;'29-AUGUST-2026'!$D$3:$D$197,'29-AUGUST-2026'!$Z$3:$Z$197,_xlfn.XLOOKUP($A111&amp;"|"&amp;$B111,'29-AUGUST-2026'!$A$3:$A$197&amp;"|"&amp;'29-AUGUST-2026'!$B$3:$B$197,'29-AUGUST-2026'!$Z$3:$Z$197,0)),0))</f>
        <v>0</v>
      </c>
      <c r="G111" s="15">
        <f t="shared" si="31"/>
        <v>2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20">
        <v>0</v>
      </c>
      <c r="S111" s="20">
        <v>0</v>
      </c>
      <c r="T111" s="20">
        <v>0</v>
      </c>
      <c r="U111" s="17"/>
      <c r="V111" s="17"/>
      <c r="W111" s="20">
        <f t="shared" si="32"/>
        <v>0</v>
      </c>
      <c r="X111" s="21">
        <f t="shared" si="39"/>
        <v>2</v>
      </c>
      <c r="Y111" s="15">
        <f t="shared" si="33"/>
        <v>2</v>
      </c>
      <c r="Z111" s="15">
        <f t="shared" si="34"/>
        <v>0</v>
      </c>
      <c r="AA111" s="18" t="str">
        <f>IF($A111="","",IF(AND($W111&gt;0,$V111=""),"IMPORT NEEDS DESTINATION",IF(MIN($Y111,$Z111)&lt;0,"NEGATIVE STOCK - CHECK ENTRIES","")))</f>
        <v/>
      </c>
      <c r="AB111" s="17">
        <v>0</v>
      </c>
      <c r="AC111" s="17">
        <v>0</v>
      </c>
      <c r="AD111" s="15">
        <f t="shared" si="35"/>
        <v>0</v>
      </c>
      <c r="AE111" s="17">
        <v>0</v>
      </c>
      <c r="AF111" s="17">
        <v>0</v>
      </c>
      <c r="AG111" s="15">
        <f t="shared" si="36"/>
        <v>0</v>
      </c>
      <c r="AH111" s="17">
        <v>0</v>
      </c>
      <c r="AI111" s="17">
        <v>0</v>
      </c>
      <c r="AJ111" s="15">
        <f t="shared" si="37"/>
        <v>0</v>
      </c>
      <c r="AK111" s="17">
        <v>0</v>
      </c>
      <c r="AL111" s="17">
        <v>0</v>
      </c>
      <c r="AM111" s="15">
        <f t="shared" si="38"/>
        <v>0</v>
      </c>
      <c r="AN111" s="17"/>
    </row>
    <row r="112" spans="1:40" x14ac:dyDescent="0.3">
      <c r="A112" s="15" t="s">
        <v>152</v>
      </c>
      <c r="B112" s="15">
        <v>500</v>
      </c>
      <c r="C112" s="15" t="s">
        <v>54</v>
      </c>
      <c r="D112" s="15" t="s">
        <v>57</v>
      </c>
      <c r="E112" s="69" cm="1">
        <f t="array" ref="E112">MAX(0,IFERROR(_xlfn.XLOOKUP($A112&amp;"|"&amp;$B112&amp;"|"&amp;$D112,'29-AUGUST-2026'!$A$3:$A$197&amp;"|"&amp;'29-AUGUST-2026'!$B$3:$B$197&amp;"|"&amp;'29-AUGUST-2026'!$D$3:$D$197,'29-AUGUST-2026'!$Y$3:$Y$197,_xlfn.XLOOKUP($A112&amp;"|"&amp;$B112,'29-AUGUST-2026'!$A$3:$A$197&amp;"|"&amp;'29-AUGUST-2026'!$B$3:$B$197,'29-AUGUST-2026'!$Y$3:$Y$197,0)),0))</f>
        <v>1</v>
      </c>
      <c r="F112" s="69" cm="1">
        <f t="array" ref="F112">MAX(0,IFERROR(_xlfn.XLOOKUP($A112&amp;"|"&amp;$B112&amp;"|"&amp;$D112,'29-AUGUST-2026'!$A$3:$A$197&amp;"|"&amp;'29-AUGUST-2026'!$B$3:$B$197&amp;"|"&amp;'29-AUGUST-2026'!$D$3:$D$197,'29-AUGUST-2026'!$Z$3:$Z$197,_xlfn.XLOOKUP($A112&amp;"|"&amp;$B112,'29-AUGUST-2026'!$A$3:$A$197&amp;"|"&amp;'29-AUGUST-2026'!$B$3:$B$197,'29-AUGUST-2026'!$Z$3:$Z$197,0)),0))</f>
        <v>0</v>
      </c>
      <c r="G112" s="15">
        <f t="shared" si="31"/>
        <v>1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20">
        <v>0</v>
      </c>
      <c r="S112" s="20">
        <v>0</v>
      </c>
      <c r="T112" s="20">
        <v>0</v>
      </c>
      <c r="U112" s="17"/>
      <c r="V112" s="17"/>
      <c r="W112" s="20">
        <f t="shared" si="32"/>
        <v>0</v>
      </c>
      <c r="X112" s="21">
        <f t="shared" si="39"/>
        <v>1</v>
      </c>
      <c r="Y112" s="15">
        <f t="shared" si="33"/>
        <v>1</v>
      </c>
      <c r="Z112" s="15">
        <f t="shared" si="34"/>
        <v>0</v>
      </c>
      <c r="AA112" s="18" t="str">
        <f>IF($A112="","",IF(AND($W112&gt;0,$V112=""),"IMPORT NEEDS DESTINATION",IF(MIN($Y112,$Z112)&lt;0,"NEGATIVE STOCK - CHECK ENTRIES","")))</f>
        <v/>
      </c>
      <c r="AB112" s="17">
        <v>0</v>
      </c>
      <c r="AC112" s="17">
        <v>0</v>
      </c>
      <c r="AD112" s="15">
        <f t="shared" si="35"/>
        <v>0</v>
      </c>
      <c r="AE112" s="17">
        <v>0</v>
      </c>
      <c r="AF112" s="17">
        <v>0</v>
      </c>
      <c r="AG112" s="15">
        <f t="shared" si="36"/>
        <v>0</v>
      </c>
      <c r="AH112" s="17">
        <v>0</v>
      </c>
      <c r="AI112" s="17">
        <v>0</v>
      </c>
      <c r="AJ112" s="15">
        <f t="shared" si="37"/>
        <v>0</v>
      </c>
      <c r="AK112" s="17">
        <v>0</v>
      </c>
      <c r="AL112" s="17">
        <v>0</v>
      </c>
      <c r="AM112" s="15">
        <f t="shared" si="38"/>
        <v>0</v>
      </c>
      <c r="AN112" s="17"/>
    </row>
    <row r="113" spans="1:40" x14ac:dyDescent="0.3">
      <c r="A113" s="15" t="s">
        <v>157</v>
      </c>
      <c r="B113" s="15">
        <v>100</v>
      </c>
      <c r="C113" s="15" t="s">
        <v>54</v>
      </c>
      <c r="D113" s="15" t="s">
        <v>57</v>
      </c>
      <c r="E113" s="69" cm="1">
        <f t="array" ref="E113">MAX(0,IFERROR(_xlfn.XLOOKUP($A113&amp;"|"&amp;$B113&amp;"|"&amp;$D113,'29-AUGUST-2026'!$A$3:$A$197&amp;"|"&amp;'29-AUGUST-2026'!$B$3:$B$197&amp;"|"&amp;'29-AUGUST-2026'!$D$3:$D$197,'29-AUGUST-2026'!$Y$3:$Y$197,_xlfn.XLOOKUP($A113&amp;"|"&amp;$B113,'29-AUGUST-2026'!$A$3:$A$197&amp;"|"&amp;'29-AUGUST-2026'!$B$3:$B$197,'29-AUGUST-2026'!$Y$3:$Y$197,0)),0))</f>
        <v>0</v>
      </c>
      <c r="F113" s="69" cm="1">
        <f t="array" ref="F113">MAX(0,IFERROR(_xlfn.XLOOKUP($A113&amp;"|"&amp;$B113&amp;"|"&amp;$D113,'29-AUGUST-2026'!$A$3:$A$197&amp;"|"&amp;'29-AUGUST-2026'!$B$3:$B$197&amp;"|"&amp;'29-AUGUST-2026'!$D$3:$D$197,'29-AUGUST-2026'!$Z$3:$Z$197,_xlfn.XLOOKUP($A113&amp;"|"&amp;$B113,'29-AUGUST-2026'!$A$3:$A$197&amp;"|"&amp;'29-AUGUST-2026'!$B$3:$B$197,'29-AUGUST-2026'!$Z$3:$Z$197,0)),0))</f>
        <v>0</v>
      </c>
      <c r="G113" s="15">
        <f t="shared" si="31"/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20">
        <v>0</v>
      </c>
      <c r="S113" s="20">
        <v>0</v>
      </c>
      <c r="T113" s="20">
        <v>0</v>
      </c>
      <c r="U113" s="17"/>
      <c r="V113" s="17"/>
      <c r="W113" s="20">
        <f t="shared" si="32"/>
        <v>0</v>
      </c>
      <c r="X113" s="21">
        <f t="shared" si="39"/>
        <v>0</v>
      </c>
      <c r="Y113" s="15">
        <f t="shared" si="33"/>
        <v>0</v>
      </c>
      <c r="Z113" s="15">
        <f t="shared" si="34"/>
        <v>0</v>
      </c>
      <c r="AA113" s="18" t="str">
        <f>IF($A113="","",IF(AND($W113&gt;0,$V113=""),"IMPORT NEEDS DESTINATION",IF(MIN($Y113,$Z113)&lt;0,"NEGATIVE STOCK - CHECK ENTRIES","")))</f>
        <v/>
      </c>
      <c r="AB113" s="17">
        <v>0</v>
      </c>
      <c r="AC113" s="17">
        <v>0</v>
      </c>
      <c r="AD113" s="15">
        <f t="shared" si="35"/>
        <v>0</v>
      </c>
      <c r="AE113" s="17">
        <v>0</v>
      </c>
      <c r="AF113" s="17">
        <v>0</v>
      </c>
      <c r="AG113" s="15">
        <f t="shared" si="36"/>
        <v>0</v>
      </c>
      <c r="AH113" s="17">
        <v>0</v>
      </c>
      <c r="AI113" s="17">
        <v>0</v>
      </c>
      <c r="AJ113" s="15">
        <f t="shared" si="37"/>
        <v>0</v>
      </c>
      <c r="AK113" s="17">
        <v>0</v>
      </c>
      <c r="AL113" s="17">
        <v>0</v>
      </c>
      <c r="AM113" s="15">
        <f t="shared" si="38"/>
        <v>0</v>
      </c>
      <c r="AN113" s="17"/>
    </row>
    <row r="114" spans="1:40" x14ac:dyDescent="0.3">
      <c r="A114" s="15" t="s">
        <v>175</v>
      </c>
      <c r="B114" s="15">
        <v>100</v>
      </c>
      <c r="C114" s="15" t="s">
        <v>54</v>
      </c>
      <c r="D114" s="15" t="s">
        <v>57</v>
      </c>
      <c r="E114" s="69" cm="1">
        <f t="array" ref="E114">MAX(0,IFERROR(_xlfn.XLOOKUP($A114&amp;"|"&amp;$B114&amp;"|"&amp;$D114,'29-AUGUST-2026'!$A$3:$A$197&amp;"|"&amp;'29-AUGUST-2026'!$B$3:$B$197&amp;"|"&amp;'29-AUGUST-2026'!$D$3:$D$197,'29-AUGUST-2026'!$Y$3:$Y$197,_xlfn.XLOOKUP($A114&amp;"|"&amp;$B114,'29-AUGUST-2026'!$A$3:$A$197&amp;"|"&amp;'29-AUGUST-2026'!$B$3:$B$197,'29-AUGUST-2026'!$Y$3:$Y$197,0)),0))</f>
        <v>1</v>
      </c>
      <c r="F114" s="69" cm="1">
        <f t="array" ref="F114">MAX(0,IFERROR(_xlfn.XLOOKUP($A114&amp;"|"&amp;$B114&amp;"|"&amp;$D114,'29-AUGUST-2026'!$A$3:$A$197&amp;"|"&amp;'29-AUGUST-2026'!$B$3:$B$197&amp;"|"&amp;'29-AUGUST-2026'!$D$3:$D$197,'29-AUGUST-2026'!$Z$3:$Z$197,_xlfn.XLOOKUP($A114&amp;"|"&amp;$B114,'29-AUGUST-2026'!$A$3:$A$197&amp;"|"&amp;'29-AUGUST-2026'!$B$3:$B$197,'29-AUGUST-2026'!$Z$3:$Z$197,0)),0))</f>
        <v>0</v>
      </c>
      <c r="G114" s="15">
        <f t="shared" si="31"/>
        <v>1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20">
        <v>0</v>
      </c>
      <c r="S114" s="20">
        <v>0</v>
      </c>
      <c r="T114" s="20">
        <v>0</v>
      </c>
      <c r="U114" s="17"/>
      <c r="V114" s="17"/>
      <c r="W114" s="20">
        <f t="shared" si="32"/>
        <v>0</v>
      </c>
      <c r="X114" s="21">
        <f t="shared" si="39"/>
        <v>1</v>
      </c>
      <c r="Y114" s="15">
        <f t="shared" si="33"/>
        <v>1</v>
      </c>
      <c r="Z114" s="15">
        <f t="shared" si="34"/>
        <v>0</v>
      </c>
      <c r="AA114" s="18" t="str">
        <f>IF($A114="","",IF(AND($W114&gt;0,$V114=""),"IMPORT NEEDS DESTINATION",IF(MIN($Y114,$Z114)&lt;0,"NEGATIVE STOCK - CHECK ENTRIES","")))</f>
        <v/>
      </c>
      <c r="AB114" s="17">
        <v>0</v>
      </c>
      <c r="AC114" s="17">
        <v>0</v>
      </c>
      <c r="AD114" s="15">
        <f t="shared" si="35"/>
        <v>0</v>
      </c>
      <c r="AE114" s="17">
        <v>0</v>
      </c>
      <c r="AF114" s="17">
        <v>0</v>
      </c>
      <c r="AG114" s="15">
        <f t="shared" si="36"/>
        <v>0</v>
      </c>
      <c r="AH114" s="17">
        <v>0</v>
      </c>
      <c r="AI114" s="17">
        <v>0</v>
      </c>
      <c r="AJ114" s="15">
        <f t="shared" si="37"/>
        <v>0</v>
      </c>
      <c r="AK114" s="17">
        <v>0</v>
      </c>
      <c r="AL114" s="17">
        <v>0</v>
      </c>
      <c r="AM114" s="15">
        <f t="shared" si="38"/>
        <v>0</v>
      </c>
      <c r="AN114" s="17"/>
    </row>
    <row r="115" spans="1:40" x14ac:dyDescent="0.3">
      <c r="A115" s="15" t="s">
        <v>181</v>
      </c>
      <c r="B115" s="15">
        <v>100</v>
      </c>
      <c r="C115" s="15" t="s">
        <v>54</v>
      </c>
      <c r="D115" s="15" t="s">
        <v>57</v>
      </c>
      <c r="E115" s="69" cm="1">
        <f t="array" ref="E115">MAX(0,IFERROR(_xlfn.XLOOKUP($A115&amp;"|"&amp;$B115&amp;"|"&amp;$D115,'29-AUGUST-2026'!$A$3:$A$197&amp;"|"&amp;'29-AUGUST-2026'!$B$3:$B$197&amp;"|"&amp;'29-AUGUST-2026'!$D$3:$D$197,'29-AUGUST-2026'!$Y$3:$Y$197,_xlfn.XLOOKUP($A115&amp;"|"&amp;$B115,'29-AUGUST-2026'!$A$3:$A$197&amp;"|"&amp;'29-AUGUST-2026'!$B$3:$B$197,'29-AUGUST-2026'!$Y$3:$Y$197,0)),0))</f>
        <v>4</v>
      </c>
      <c r="F115" s="69" cm="1">
        <f t="array" ref="F115">MAX(0,IFERROR(_xlfn.XLOOKUP($A115&amp;"|"&amp;$B115&amp;"|"&amp;$D115,'29-AUGUST-2026'!$A$3:$A$197&amp;"|"&amp;'29-AUGUST-2026'!$B$3:$B$197&amp;"|"&amp;'29-AUGUST-2026'!$D$3:$D$197,'29-AUGUST-2026'!$Z$3:$Z$197,_xlfn.XLOOKUP($A115&amp;"|"&amp;$B115,'29-AUGUST-2026'!$A$3:$A$197&amp;"|"&amp;'29-AUGUST-2026'!$B$3:$B$197,'29-AUGUST-2026'!$Z$3:$Z$197,0)),0))</f>
        <v>0</v>
      </c>
      <c r="G115" s="15">
        <f t="shared" si="31"/>
        <v>4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20">
        <v>0</v>
      </c>
      <c r="S115" s="20">
        <v>0</v>
      </c>
      <c r="T115" s="20">
        <v>0</v>
      </c>
      <c r="U115" s="17"/>
      <c r="V115" s="17"/>
      <c r="W115" s="20">
        <f t="shared" si="32"/>
        <v>0</v>
      </c>
      <c r="X115" s="21">
        <f t="shared" si="39"/>
        <v>4</v>
      </c>
      <c r="Y115" s="15">
        <f t="shared" si="33"/>
        <v>4</v>
      </c>
      <c r="Z115" s="15">
        <f t="shared" si="34"/>
        <v>0</v>
      </c>
      <c r="AA115" s="18" t="str">
        <f>IF($A115="","",IF(AND($W115&gt;0,$V115=""),"IMPORT NEEDS DESTINATION",IF(MIN($Y115,$Z115)&lt;0,"NEGATIVE STOCK - CHECK ENTRIES","")))</f>
        <v/>
      </c>
      <c r="AB115" s="17">
        <v>0</v>
      </c>
      <c r="AC115" s="17">
        <v>0</v>
      </c>
      <c r="AD115" s="15">
        <f t="shared" si="35"/>
        <v>0</v>
      </c>
      <c r="AE115" s="17">
        <v>0</v>
      </c>
      <c r="AF115" s="17">
        <v>0</v>
      </c>
      <c r="AG115" s="15">
        <f t="shared" si="36"/>
        <v>0</v>
      </c>
      <c r="AH115" s="17">
        <v>0</v>
      </c>
      <c r="AI115" s="17">
        <v>0</v>
      </c>
      <c r="AJ115" s="15">
        <f t="shared" si="37"/>
        <v>0</v>
      </c>
      <c r="AK115" s="17">
        <v>0</v>
      </c>
      <c r="AL115" s="17">
        <v>0</v>
      </c>
      <c r="AM115" s="15">
        <f t="shared" si="38"/>
        <v>0</v>
      </c>
      <c r="AN115" s="17"/>
    </row>
    <row r="116" spans="1:40" x14ac:dyDescent="0.3">
      <c r="A116" s="15" t="s">
        <v>186</v>
      </c>
      <c r="B116" s="15">
        <v>100</v>
      </c>
      <c r="C116" s="15" t="s">
        <v>54</v>
      </c>
      <c r="D116" s="15" t="s">
        <v>57</v>
      </c>
      <c r="E116" s="69" cm="1">
        <f t="array" ref="E116">MAX(0,IFERROR(_xlfn.XLOOKUP($A116&amp;"|"&amp;$B116&amp;"|"&amp;$D116,'29-AUGUST-2026'!$A$3:$A$197&amp;"|"&amp;'29-AUGUST-2026'!$B$3:$B$197&amp;"|"&amp;'29-AUGUST-2026'!$D$3:$D$197,'29-AUGUST-2026'!$Y$3:$Y$197,_xlfn.XLOOKUP($A116&amp;"|"&amp;$B116,'29-AUGUST-2026'!$A$3:$A$197&amp;"|"&amp;'29-AUGUST-2026'!$B$3:$B$197,'29-AUGUST-2026'!$Y$3:$Y$197,0)),0))</f>
        <v>2</v>
      </c>
      <c r="F116" s="69" cm="1">
        <f t="array" ref="F116">MAX(0,IFERROR(_xlfn.XLOOKUP($A116&amp;"|"&amp;$B116&amp;"|"&amp;$D116,'29-AUGUST-2026'!$A$3:$A$197&amp;"|"&amp;'29-AUGUST-2026'!$B$3:$B$197&amp;"|"&amp;'29-AUGUST-2026'!$D$3:$D$197,'29-AUGUST-2026'!$Z$3:$Z$197,_xlfn.XLOOKUP($A116&amp;"|"&amp;$B116,'29-AUGUST-2026'!$A$3:$A$197&amp;"|"&amp;'29-AUGUST-2026'!$B$3:$B$197,'29-AUGUST-2026'!$Z$3:$Z$197,0)),0))</f>
        <v>0</v>
      </c>
      <c r="G116" s="15">
        <f t="shared" si="31"/>
        <v>2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20">
        <v>0</v>
      </c>
      <c r="S116" s="20">
        <v>0</v>
      </c>
      <c r="T116" s="20">
        <v>0</v>
      </c>
      <c r="U116" s="17"/>
      <c r="V116" s="17"/>
      <c r="W116" s="20">
        <f t="shared" si="32"/>
        <v>0</v>
      </c>
      <c r="X116" s="21">
        <f t="shared" si="39"/>
        <v>2</v>
      </c>
      <c r="Y116" s="15">
        <f t="shared" si="33"/>
        <v>2</v>
      </c>
      <c r="Z116" s="15">
        <f t="shared" si="34"/>
        <v>0</v>
      </c>
      <c r="AA116" s="18" t="str">
        <f>IF($A116="","",IF(AND($W116&gt;0,$V116=""),"IMPORT NEEDS DESTINATION",IF(MIN($Y116,$Z116)&lt;0,"NEGATIVE STOCK - CHECK ENTRIES","")))</f>
        <v/>
      </c>
      <c r="AB116" s="17">
        <v>0</v>
      </c>
      <c r="AC116" s="17">
        <v>0</v>
      </c>
      <c r="AD116" s="15">
        <f t="shared" si="35"/>
        <v>0</v>
      </c>
      <c r="AE116" s="17">
        <v>0</v>
      </c>
      <c r="AF116" s="17">
        <v>0</v>
      </c>
      <c r="AG116" s="15">
        <f t="shared" si="36"/>
        <v>0</v>
      </c>
      <c r="AH116" s="17">
        <v>0</v>
      </c>
      <c r="AI116" s="17">
        <v>0</v>
      </c>
      <c r="AJ116" s="15">
        <f t="shared" si="37"/>
        <v>0</v>
      </c>
      <c r="AK116" s="17">
        <v>0</v>
      </c>
      <c r="AL116" s="17">
        <v>0</v>
      </c>
      <c r="AM116" s="15">
        <f t="shared" si="38"/>
        <v>0</v>
      </c>
      <c r="AN116" s="17"/>
    </row>
    <row r="117" spans="1:40" x14ac:dyDescent="0.3">
      <c r="A117" s="15" t="s">
        <v>188</v>
      </c>
      <c r="B117" s="15">
        <v>100</v>
      </c>
      <c r="C117" s="15" t="s">
        <v>54</v>
      </c>
      <c r="D117" s="15" t="s">
        <v>57</v>
      </c>
      <c r="E117" s="69" cm="1">
        <f t="array" ref="E117">MAX(0,IFERROR(_xlfn.XLOOKUP($A117&amp;"|"&amp;$B117&amp;"|"&amp;$D117,'29-AUGUST-2026'!$A$3:$A$197&amp;"|"&amp;'29-AUGUST-2026'!$B$3:$B$197&amp;"|"&amp;'29-AUGUST-2026'!$D$3:$D$197,'29-AUGUST-2026'!$Y$3:$Y$197,_xlfn.XLOOKUP($A117&amp;"|"&amp;$B117,'29-AUGUST-2026'!$A$3:$A$197&amp;"|"&amp;'29-AUGUST-2026'!$B$3:$B$197,'29-AUGUST-2026'!$Y$3:$Y$197,0)),0))</f>
        <v>3</v>
      </c>
      <c r="F117" s="69" cm="1">
        <f t="array" ref="F117">MAX(0,IFERROR(_xlfn.XLOOKUP($A117&amp;"|"&amp;$B117&amp;"|"&amp;$D117,'29-AUGUST-2026'!$A$3:$A$197&amp;"|"&amp;'29-AUGUST-2026'!$B$3:$B$197&amp;"|"&amp;'29-AUGUST-2026'!$D$3:$D$197,'29-AUGUST-2026'!$Z$3:$Z$197,_xlfn.XLOOKUP($A117&amp;"|"&amp;$B117,'29-AUGUST-2026'!$A$3:$A$197&amp;"|"&amp;'29-AUGUST-2026'!$B$3:$B$197,'29-AUGUST-2026'!$Z$3:$Z$197,0)),0))</f>
        <v>0</v>
      </c>
      <c r="G117" s="15">
        <f t="shared" si="31"/>
        <v>3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20">
        <v>0</v>
      </c>
      <c r="S117" s="20">
        <v>0</v>
      </c>
      <c r="T117" s="20">
        <v>0</v>
      </c>
      <c r="U117" s="17"/>
      <c r="V117" s="17"/>
      <c r="W117" s="20">
        <f t="shared" si="32"/>
        <v>0</v>
      </c>
      <c r="X117" s="21">
        <f t="shared" si="39"/>
        <v>3</v>
      </c>
      <c r="Y117" s="15">
        <f t="shared" si="33"/>
        <v>3</v>
      </c>
      <c r="Z117" s="15">
        <f t="shared" si="34"/>
        <v>0</v>
      </c>
      <c r="AA117" s="18" t="str">
        <f>IF($A117="","",IF(AND($W117&gt;0,$V117=""),"IMPORT NEEDS DESTINATION",IF(MIN($Y117,$Z117)&lt;0,"NEGATIVE STOCK - CHECK ENTRIES","")))</f>
        <v/>
      </c>
      <c r="AB117" s="17">
        <v>0</v>
      </c>
      <c r="AC117" s="17">
        <v>0</v>
      </c>
      <c r="AD117" s="15">
        <f t="shared" si="35"/>
        <v>0</v>
      </c>
      <c r="AE117" s="17">
        <v>0</v>
      </c>
      <c r="AF117" s="17">
        <v>0</v>
      </c>
      <c r="AG117" s="15">
        <f t="shared" si="36"/>
        <v>0</v>
      </c>
      <c r="AH117" s="17">
        <v>0</v>
      </c>
      <c r="AI117" s="17">
        <v>0</v>
      </c>
      <c r="AJ117" s="15">
        <f t="shared" si="37"/>
        <v>0</v>
      </c>
      <c r="AK117" s="17">
        <v>0</v>
      </c>
      <c r="AL117" s="17">
        <v>0</v>
      </c>
      <c r="AM117" s="15">
        <f t="shared" si="38"/>
        <v>0</v>
      </c>
      <c r="AN117" s="17"/>
    </row>
    <row r="118" spans="1:40" x14ac:dyDescent="0.3">
      <c r="A118" s="15" t="s">
        <v>190</v>
      </c>
      <c r="B118" s="15">
        <v>100</v>
      </c>
      <c r="C118" s="15" t="s">
        <v>54</v>
      </c>
      <c r="D118" s="15" t="s">
        <v>57</v>
      </c>
      <c r="E118" s="69" cm="1">
        <f t="array" ref="E118">MAX(0,IFERROR(_xlfn.XLOOKUP($A118&amp;"|"&amp;$B118&amp;"|"&amp;$D118,'29-AUGUST-2026'!$A$3:$A$197&amp;"|"&amp;'29-AUGUST-2026'!$B$3:$B$197&amp;"|"&amp;'29-AUGUST-2026'!$D$3:$D$197,'29-AUGUST-2026'!$Y$3:$Y$197,_xlfn.XLOOKUP($A118&amp;"|"&amp;$B118,'29-AUGUST-2026'!$A$3:$A$197&amp;"|"&amp;'29-AUGUST-2026'!$B$3:$B$197,'29-AUGUST-2026'!$Y$3:$Y$197,0)),0))</f>
        <v>3</v>
      </c>
      <c r="F118" s="69" cm="1">
        <f t="array" ref="F118">MAX(0,IFERROR(_xlfn.XLOOKUP($A118&amp;"|"&amp;$B118&amp;"|"&amp;$D118,'29-AUGUST-2026'!$A$3:$A$197&amp;"|"&amp;'29-AUGUST-2026'!$B$3:$B$197&amp;"|"&amp;'29-AUGUST-2026'!$D$3:$D$197,'29-AUGUST-2026'!$Z$3:$Z$197,_xlfn.XLOOKUP($A118&amp;"|"&amp;$B118,'29-AUGUST-2026'!$A$3:$A$197&amp;"|"&amp;'29-AUGUST-2026'!$B$3:$B$197,'29-AUGUST-2026'!$Z$3:$Z$197,0)),0))</f>
        <v>0</v>
      </c>
      <c r="G118" s="15">
        <f t="shared" si="31"/>
        <v>3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20">
        <v>0</v>
      </c>
      <c r="S118" s="20">
        <v>0</v>
      </c>
      <c r="T118" s="20">
        <v>0</v>
      </c>
      <c r="U118" s="17"/>
      <c r="V118" s="17"/>
      <c r="W118" s="20">
        <f t="shared" si="32"/>
        <v>0</v>
      </c>
      <c r="X118" s="21">
        <f t="shared" si="39"/>
        <v>3</v>
      </c>
      <c r="Y118" s="15">
        <f t="shared" si="33"/>
        <v>3</v>
      </c>
      <c r="Z118" s="15">
        <f t="shared" si="34"/>
        <v>0</v>
      </c>
      <c r="AA118" s="18" t="str">
        <f>IF($A118="","",IF(AND($W118&gt;0,$V118=""),"IMPORT NEEDS DESTINATION",IF(MIN($Y118,$Z118)&lt;0,"NEGATIVE STOCK - CHECK ENTRIES","")))</f>
        <v/>
      </c>
      <c r="AB118" s="17">
        <v>0</v>
      </c>
      <c r="AC118" s="17">
        <v>0</v>
      </c>
      <c r="AD118" s="15">
        <f t="shared" si="35"/>
        <v>0</v>
      </c>
      <c r="AE118" s="17">
        <v>0</v>
      </c>
      <c r="AF118" s="17">
        <v>0</v>
      </c>
      <c r="AG118" s="15">
        <f t="shared" si="36"/>
        <v>0</v>
      </c>
      <c r="AH118" s="17">
        <v>0</v>
      </c>
      <c r="AI118" s="17">
        <v>0</v>
      </c>
      <c r="AJ118" s="15">
        <f t="shared" si="37"/>
        <v>0</v>
      </c>
      <c r="AK118" s="17">
        <v>0</v>
      </c>
      <c r="AL118" s="17">
        <v>0</v>
      </c>
      <c r="AM118" s="15">
        <f t="shared" si="38"/>
        <v>0</v>
      </c>
      <c r="AN118" s="17" t="s">
        <v>336</v>
      </c>
    </row>
    <row r="119" spans="1:40" x14ac:dyDescent="0.3">
      <c r="A119" s="15" t="s">
        <v>193</v>
      </c>
      <c r="B119" s="15">
        <v>100</v>
      </c>
      <c r="C119" s="15" t="s">
        <v>54</v>
      </c>
      <c r="D119" s="15" t="s">
        <v>57</v>
      </c>
      <c r="E119" s="69" cm="1">
        <f t="array" ref="E119">MAX(0,IFERROR(_xlfn.XLOOKUP($A119&amp;"|"&amp;$B119&amp;"|"&amp;$D119,'29-AUGUST-2026'!$A$3:$A$197&amp;"|"&amp;'29-AUGUST-2026'!$B$3:$B$197&amp;"|"&amp;'29-AUGUST-2026'!$D$3:$D$197,'29-AUGUST-2026'!$Y$3:$Y$197,_xlfn.XLOOKUP($A119&amp;"|"&amp;$B119,'29-AUGUST-2026'!$A$3:$A$197&amp;"|"&amp;'29-AUGUST-2026'!$B$3:$B$197,'29-AUGUST-2026'!$Y$3:$Y$197,0)),0))</f>
        <v>2</v>
      </c>
      <c r="F119" s="69" cm="1">
        <f t="array" ref="F119">MAX(0,IFERROR(_xlfn.XLOOKUP($A119&amp;"|"&amp;$B119&amp;"|"&amp;$D119,'29-AUGUST-2026'!$A$3:$A$197&amp;"|"&amp;'29-AUGUST-2026'!$B$3:$B$197&amp;"|"&amp;'29-AUGUST-2026'!$D$3:$D$197,'29-AUGUST-2026'!$Z$3:$Z$197,_xlfn.XLOOKUP($A119&amp;"|"&amp;$B119,'29-AUGUST-2026'!$A$3:$A$197&amp;"|"&amp;'29-AUGUST-2026'!$B$3:$B$197,'29-AUGUST-2026'!$Z$3:$Z$197,0)),0))</f>
        <v>0</v>
      </c>
      <c r="G119" s="15">
        <f t="shared" si="31"/>
        <v>2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20">
        <v>0</v>
      </c>
      <c r="S119" s="20">
        <v>0</v>
      </c>
      <c r="T119" s="20">
        <v>0</v>
      </c>
      <c r="U119" s="17"/>
      <c r="V119" s="17"/>
      <c r="W119" s="20">
        <f t="shared" si="32"/>
        <v>0</v>
      </c>
      <c r="X119" s="21">
        <f t="shared" si="39"/>
        <v>2</v>
      </c>
      <c r="Y119" s="15">
        <f t="shared" si="33"/>
        <v>2</v>
      </c>
      <c r="Z119" s="15">
        <f t="shared" si="34"/>
        <v>0</v>
      </c>
      <c r="AA119" s="18" t="str">
        <f>IF($A119="","",IF(AND($W119&gt;0,$V119=""),"IMPORT NEEDS DESTINATION",IF(MIN($Y119,$Z119)&lt;0,"NEGATIVE STOCK - CHECK ENTRIES","")))</f>
        <v/>
      </c>
      <c r="AB119" s="17">
        <v>0</v>
      </c>
      <c r="AC119" s="17">
        <v>0</v>
      </c>
      <c r="AD119" s="15">
        <f t="shared" si="35"/>
        <v>0</v>
      </c>
      <c r="AE119" s="17">
        <v>0</v>
      </c>
      <c r="AF119" s="17">
        <v>0</v>
      </c>
      <c r="AG119" s="15">
        <f t="shared" si="36"/>
        <v>0</v>
      </c>
      <c r="AH119" s="17">
        <v>0</v>
      </c>
      <c r="AI119" s="17">
        <v>0</v>
      </c>
      <c r="AJ119" s="15">
        <f t="shared" si="37"/>
        <v>0</v>
      </c>
      <c r="AK119" s="17">
        <v>0</v>
      </c>
      <c r="AL119" s="17">
        <v>0</v>
      </c>
      <c r="AM119" s="15">
        <f t="shared" si="38"/>
        <v>0</v>
      </c>
      <c r="AN119" s="17"/>
    </row>
    <row r="120" spans="1:40" x14ac:dyDescent="0.3">
      <c r="A120" s="15" t="s">
        <v>205</v>
      </c>
      <c r="B120" s="15">
        <v>1000</v>
      </c>
      <c r="C120" s="15" t="s">
        <v>54</v>
      </c>
      <c r="D120" s="15" t="s">
        <v>57</v>
      </c>
      <c r="E120" s="69" cm="1">
        <f t="array" ref="E120">MAX(0,IFERROR(_xlfn.XLOOKUP($A120&amp;"|"&amp;$B120&amp;"|"&amp;$D120,'29-AUGUST-2026'!$A$3:$A$197&amp;"|"&amp;'29-AUGUST-2026'!$B$3:$B$197&amp;"|"&amp;'29-AUGUST-2026'!$D$3:$D$197,'29-AUGUST-2026'!$Y$3:$Y$197,_xlfn.XLOOKUP($A120&amp;"|"&amp;$B120,'29-AUGUST-2026'!$A$3:$A$197&amp;"|"&amp;'29-AUGUST-2026'!$B$3:$B$197,'29-AUGUST-2026'!$Y$3:$Y$197,0)),0))</f>
        <v>1</v>
      </c>
      <c r="F120" s="69" cm="1">
        <f t="array" ref="F120">MAX(0,IFERROR(_xlfn.XLOOKUP($A120&amp;"|"&amp;$B120&amp;"|"&amp;$D120,'29-AUGUST-2026'!$A$3:$A$197&amp;"|"&amp;'29-AUGUST-2026'!$B$3:$B$197&amp;"|"&amp;'29-AUGUST-2026'!$D$3:$D$197,'29-AUGUST-2026'!$Z$3:$Z$197,_xlfn.XLOOKUP($A120&amp;"|"&amp;$B120,'29-AUGUST-2026'!$A$3:$A$197&amp;"|"&amp;'29-AUGUST-2026'!$B$3:$B$197,'29-AUGUST-2026'!$Z$3:$Z$197,0)),0))</f>
        <v>0</v>
      </c>
      <c r="G120" s="15">
        <f t="shared" si="31"/>
        <v>1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20">
        <v>0</v>
      </c>
      <c r="S120" s="20">
        <v>0</v>
      </c>
      <c r="T120" s="20">
        <v>0</v>
      </c>
      <c r="U120" s="17"/>
      <c r="V120" s="17"/>
      <c r="W120" s="20">
        <f t="shared" si="32"/>
        <v>0</v>
      </c>
      <c r="X120" s="21">
        <f t="shared" si="39"/>
        <v>1</v>
      </c>
      <c r="Y120" s="15">
        <f t="shared" si="33"/>
        <v>1</v>
      </c>
      <c r="Z120" s="15">
        <f t="shared" si="34"/>
        <v>0</v>
      </c>
      <c r="AA120" s="18" t="str">
        <f>IF($A120="","",IF(AND($W120&gt;0,$V120=""),"IMPORT NEEDS DESTINATION",IF(MIN($Y120,$Z120)&lt;0,"NEGATIVE STOCK - CHECK ENTRIES","")))</f>
        <v/>
      </c>
      <c r="AB120" s="17">
        <v>0</v>
      </c>
      <c r="AC120" s="17">
        <v>0</v>
      </c>
      <c r="AD120" s="15">
        <f t="shared" si="35"/>
        <v>0</v>
      </c>
      <c r="AE120" s="17">
        <v>0</v>
      </c>
      <c r="AF120" s="17">
        <v>0</v>
      </c>
      <c r="AG120" s="15">
        <f t="shared" si="36"/>
        <v>0</v>
      </c>
      <c r="AH120" s="17">
        <v>0</v>
      </c>
      <c r="AI120" s="17">
        <v>0</v>
      </c>
      <c r="AJ120" s="15">
        <f t="shared" si="37"/>
        <v>0</v>
      </c>
      <c r="AK120" s="17">
        <v>0</v>
      </c>
      <c r="AL120" s="17">
        <v>0</v>
      </c>
      <c r="AM120" s="15">
        <f t="shared" si="38"/>
        <v>0</v>
      </c>
      <c r="AN120" s="17"/>
    </row>
    <row r="121" spans="1:40" x14ac:dyDescent="0.3">
      <c r="A121" s="15" t="s">
        <v>206</v>
      </c>
      <c r="B121" s="15">
        <v>1000</v>
      </c>
      <c r="C121" s="15" t="s">
        <v>54</v>
      </c>
      <c r="D121" s="15" t="s">
        <v>57</v>
      </c>
      <c r="E121" s="69" cm="1">
        <f t="array" ref="E121">MAX(0,IFERROR(_xlfn.XLOOKUP($A121&amp;"|"&amp;$B121&amp;"|"&amp;$D121,'29-AUGUST-2026'!$A$3:$A$197&amp;"|"&amp;'29-AUGUST-2026'!$B$3:$B$197&amp;"|"&amp;'29-AUGUST-2026'!$D$3:$D$197,'29-AUGUST-2026'!$Y$3:$Y$197,_xlfn.XLOOKUP($A121&amp;"|"&amp;$B121,'29-AUGUST-2026'!$A$3:$A$197&amp;"|"&amp;'29-AUGUST-2026'!$B$3:$B$197,'29-AUGUST-2026'!$Y$3:$Y$197,0)),0))</f>
        <v>2</v>
      </c>
      <c r="F121" s="69" cm="1">
        <f t="array" ref="F121">MAX(0,IFERROR(_xlfn.XLOOKUP($A121&amp;"|"&amp;$B121&amp;"|"&amp;$D121,'29-AUGUST-2026'!$A$3:$A$197&amp;"|"&amp;'29-AUGUST-2026'!$B$3:$B$197&amp;"|"&amp;'29-AUGUST-2026'!$D$3:$D$197,'29-AUGUST-2026'!$Z$3:$Z$197,_xlfn.XLOOKUP($A121&amp;"|"&amp;$B121,'29-AUGUST-2026'!$A$3:$A$197&amp;"|"&amp;'29-AUGUST-2026'!$B$3:$B$197,'29-AUGUST-2026'!$Z$3:$Z$197,0)),0))</f>
        <v>0</v>
      </c>
      <c r="G121" s="15">
        <f t="shared" si="31"/>
        <v>2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20">
        <v>0</v>
      </c>
      <c r="S121" s="20">
        <v>0</v>
      </c>
      <c r="T121" s="20">
        <v>0</v>
      </c>
      <c r="U121" s="17"/>
      <c r="V121" s="17"/>
      <c r="W121" s="20">
        <f t="shared" si="32"/>
        <v>0</v>
      </c>
      <c r="X121" s="21">
        <f t="shared" si="39"/>
        <v>2</v>
      </c>
      <c r="Y121" s="15">
        <f t="shared" si="33"/>
        <v>2</v>
      </c>
      <c r="Z121" s="15">
        <f t="shared" si="34"/>
        <v>0</v>
      </c>
      <c r="AA121" s="18" t="str">
        <f>IF($A121="","",IF(AND($W121&gt;0,$V121=""),"IMPORT NEEDS DESTINATION",IF(MIN($Y121,$Z121)&lt;0,"NEGATIVE STOCK - CHECK ENTRIES","")))</f>
        <v/>
      </c>
      <c r="AB121" s="17">
        <v>0</v>
      </c>
      <c r="AC121" s="17">
        <v>0</v>
      </c>
      <c r="AD121" s="15">
        <f t="shared" si="35"/>
        <v>0</v>
      </c>
      <c r="AE121" s="17">
        <v>0</v>
      </c>
      <c r="AF121" s="17">
        <v>0</v>
      </c>
      <c r="AG121" s="15">
        <f t="shared" si="36"/>
        <v>0</v>
      </c>
      <c r="AH121" s="17">
        <v>0</v>
      </c>
      <c r="AI121" s="17">
        <v>0</v>
      </c>
      <c r="AJ121" s="15">
        <f t="shared" si="37"/>
        <v>0</v>
      </c>
      <c r="AK121" s="17">
        <v>0</v>
      </c>
      <c r="AL121" s="17">
        <v>0</v>
      </c>
      <c r="AM121" s="15">
        <f t="shared" si="38"/>
        <v>0</v>
      </c>
      <c r="AN121" s="17"/>
    </row>
    <row r="122" spans="1:40" x14ac:dyDescent="0.3">
      <c r="A122" s="15" t="s">
        <v>209</v>
      </c>
      <c r="B122" s="15">
        <v>100</v>
      </c>
      <c r="C122" s="15" t="s">
        <v>54</v>
      </c>
      <c r="D122" s="15" t="s">
        <v>57</v>
      </c>
      <c r="E122" s="69" cm="1">
        <f t="array" ref="E122">MAX(0,IFERROR(_xlfn.XLOOKUP($A122&amp;"|"&amp;$B122&amp;"|"&amp;$D122,'29-AUGUST-2026'!$A$3:$A$197&amp;"|"&amp;'29-AUGUST-2026'!$B$3:$B$197&amp;"|"&amp;'29-AUGUST-2026'!$D$3:$D$197,'29-AUGUST-2026'!$Y$3:$Y$197,_xlfn.XLOOKUP($A122&amp;"|"&amp;$B122,'29-AUGUST-2026'!$A$3:$A$197&amp;"|"&amp;'29-AUGUST-2026'!$B$3:$B$197,'29-AUGUST-2026'!$Y$3:$Y$197,0)),0))</f>
        <v>1</v>
      </c>
      <c r="F122" s="69" cm="1">
        <f t="array" ref="F122">MAX(0,IFERROR(_xlfn.XLOOKUP($A122&amp;"|"&amp;$B122&amp;"|"&amp;$D122,'29-AUGUST-2026'!$A$3:$A$197&amp;"|"&amp;'29-AUGUST-2026'!$B$3:$B$197&amp;"|"&amp;'29-AUGUST-2026'!$D$3:$D$197,'29-AUGUST-2026'!$Z$3:$Z$197,_xlfn.XLOOKUP($A122&amp;"|"&amp;$B122,'29-AUGUST-2026'!$A$3:$A$197&amp;"|"&amp;'29-AUGUST-2026'!$B$3:$B$197,'29-AUGUST-2026'!$Z$3:$Z$197,0)),0))</f>
        <v>0</v>
      </c>
      <c r="G122" s="15">
        <f t="shared" si="31"/>
        <v>1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20">
        <v>0</v>
      </c>
      <c r="S122" s="20">
        <v>0</v>
      </c>
      <c r="T122" s="20">
        <v>0</v>
      </c>
      <c r="U122" s="17"/>
      <c r="V122" s="17"/>
      <c r="W122" s="20">
        <f t="shared" si="32"/>
        <v>0</v>
      </c>
      <c r="X122" s="21">
        <f t="shared" si="39"/>
        <v>1</v>
      </c>
      <c r="Y122" s="15">
        <f t="shared" si="33"/>
        <v>1</v>
      </c>
      <c r="Z122" s="15">
        <f t="shared" si="34"/>
        <v>0</v>
      </c>
      <c r="AA122" s="18" t="str">
        <f>IF($A122="","",IF(AND($W122&gt;0,$V122=""),"IMPORT NEEDS DESTINATION",IF(MIN($Y122,$Z122)&lt;0,"NEGATIVE STOCK - CHECK ENTRIES","")))</f>
        <v/>
      </c>
      <c r="AB122" s="17">
        <v>0</v>
      </c>
      <c r="AC122" s="17">
        <v>0</v>
      </c>
      <c r="AD122" s="15">
        <f t="shared" si="35"/>
        <v>0</v>
      </c>
      <c r="AE122" s="17">
        <v>0</v>
      </c>
      <c r="AF122" s="17">
        <v>0</v>
      </c>
      <c r="AG122" s="15">
        <f t="shared" si="36"/>
        <v>0</v>
      </c>
      <c r="AH122" s="17">
        <v>0</v>
      </c>
      <c r="AI122" s="17">
        <v>0</v>
      </c>
      <c r="AJ122" s="15">
        <f t="shared" si="37"/>
        <v>0</v>
      </c>
      <c r="AK122" s="17">
        <v>0</v>
      </c>
      <c r="AL122" s="17">
        <v>0</v>
      </c>
      <c r="AM122" s="15">
        <f t="shared" si="38"/>
        <v>0</v>
      </c>
      <c r="AN122" s="17"/>
    </row>
    <row r="123" spans="1:40" x14ac:dyDescent="0.3">
      <c r="A123" s="15" t="s">
        <v>220</v>
      </c>
      <c r="B123" s="15">
        <v>1000</v>
      </c>
      <c r="C123" s="15" t="s">
        <v>54</v>
      </c>
      <c r="D123" s="15" t="s">
        <v>57</v>
      </c>
      <c r="E123" s="69" cm="1">
        <f t="array" ref="E123">MAX(0,IFERROR(_xlfn.XLOOKUP($A123&amp;"|"&amp;$B123&amp;"|"&amp;$D123,'29-AUGUST-2026'!$A$3:$A$197&amp;"|"&amp;'29-AUGUST-2026'!$B$3:$B$197&amp;"|"&amp;'29-AUGUST-2026'!$D$3:$D$197,'29-AUGUST-2026'!$Y$3:$Y$197,_xlfn.XLOOKUP($A123&amp;"|"&amp;$B123,'29-AUGUST-2026'!$A$3:$A$197&amp;"|"&amp;'29-AUGUST-2026'!$B$3:$B$197,'29-AUGUST-2026'!$Y$3:$Y$197,0)),0))</f>
        <v>4</v>
      </c>
      <c r="F123" s="69" cm="1">
        <f t="array" ref="F123">MAX(0,IFERROR(_xlfn.XLOOKUP($A123&amp;"|"&amp;$B123&amp;"|"&amp;$D123,'29-AUGUST-2026'!$A$3:$A$197&amp;"|"&amp;'29-AUGUST-2026'!$B$3:$B$197&amp;"|"&amp;'29-AUGUST-2026'!$D$3:$D$197,'29-AUGUST-2026'!$Z$3:$Z$197,_xlfn.XLOOKUP($A123&amp;"|"&amp;$B123,'29-AUGUST-2026'!$A$3:$A$197&amp;"|"&amp;'29-AUGUST-2026'!$B$3:$B$197,'29-AUGUST-2026'!$Z$3:$Z$197,0)),0))</f>
        <v>0</v>
      </c>
      <c r="G123" s="15">
        <f t="shared" si="31"/>
        <v>4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20">
        <v>0</v>
      </c>
      <c r="S123" s="20">
        <v>0</v>
      </c>
      <c r="T123" s="20">
        <v>0</v>
      </c>
      <c r="U123" s="17"/>
      <c r="V123" s="17"/>
      <c r="W123" s="20">
        <f t="shared" si="32"/>
        <v>0</v>
      </c>
      <c r="X123" s="21">
        <f t="shared" si="39"/>
        <v>4</v>
      </c>
      <c r="Y123" s="15">
        <f t="shared" si="33"/>
        <v>4</v>
      </c>
      <c r="Z123" s="15">
        <f t="shared" si="34"/>
        <v>0</v>
      </c>
      <c r="AA123" s="18" t="str">
        <f>IF($A123="","",IF(AND($W123&gt;0,$V123=""),"IMPORT NEEDS DESTINATION",IF(MIN($Y123,$Z123)&lt;0,"NEGATIVE STOCK - CHECK ENTRIES","")))</f>
        <v/>
      </c>
      <c r="AB123" s="17">
        <v>0</v>
      </c>
      <c r="AC123" s="17">
        <v>0</v>
      </c>
      <c r="AD123" s="15">
        <f t="shared" si="35"/>
        <v>0</v>
      </c>
      <c r="AE123" s="17">
        <v>0</v>
      </c>
      <c r="AF123" s="17">
        <v>0</v>
      </c>
      <c r="AG123" s="15">
        <f t="shared" si="36"/>
        <v>0</v>
      </c>
      <c r="AH123" s="17">
        <v>0</v>
      </c>
      <c r="AI123" s="17">
        <v>0</v>
      </c>
      <c r="AJ123" s="15">
        <f t="shared" si="37"/>
        <v>0</v>
      </c>
      <c r="AK123" s="17">
        <v>0</v>
      </c>
      <c r="AL123" s="17">
        <v>0</v>
      </c>
      <c r="AM123" s="15">
        <f t="shared" si="38"/>
        <v>0</v>
      </c>
      <c r="AN123" s="17"/>
    </row>
    <row r="124" spans="1:40" x14ac:dyDescent="0.3">
      <c r="A124" s="15" t="s">
        <v>223</v>
      </c>
      <c r="B124" s="15">
        <v>100</v>
      </c>
      <c r="C124" s="15" t="s">
        <v>54</v>
      </c>
      <c r="D124" s="15" t="s">
        <v>57</v>
      </c>
      <c r="E124" s="69" cm="1">
        <f t="array" ref="E124">MAX(0,IFERROR(_xlfn.XLOOKUP($A124&amp;"|"&amp;$B124&amp;"|"&amp;$D124,'29-AUGUST-2026'!$A$3:$A$197&amp;"|"&amp;'29-AUGUST-2026'!$B$3:$B$197&amp;"|"&amp;'29-AUGUST-2026'!$D$3:$D$197,'29-AUGUST-2026'!$Y$3:$Y$197,_xlfn.XLOOKUP($A124&amp;"|"&amp;$B124,'29-AUGUST-2026'!$A$3:$A$197&amp;"|"&amp;'29-AUGUST-2026'!$B$3:$B$197,'29-AUGUST-2026'!$Y$3:$Y$197,0)),0))</f>
        <v>1</v>
      </c>
      <c r="F124" s="69" cm="1">
        <f t="array" ref="F124">MAX(0,IFERROR(_xlfn.XLOOKUP($A124&amp;"|"&amp;$B124&amp;"|"&amp;$D124,'29-AUGUST-2026'!$A$3:$A$197&amp;"|"&amp;'29-AUGUST-2026'!$B$3:$B$197&amp;"|"&amp;'29-AUGUST-2026'!$D$3:$D$197,'29-AUGUST-2026'!$Z$3:$Z$197,_xlfn.XLOOKUP($A124&amp;"|"&amp;$B124,'29-AUGUST-2026'!$A$3:$A$197&amp;"|"&amp;'29-AUGUST-2026'!$B$3:$B$197,'29-AUGUST-2026'!$Z$3:$Z$197,0)),0))</f>
        <v>0</v>
      </c>
      <c r="G124" s="15">
        <f t="shared" si="31"/>
        <v>1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20">
        <v>0</v>
      </c>
      <c r="S124" s="20">
        <v>0</v>
      </c>
      <c r="T124" s="20">
        <v>0</v>
      </c>
      <c r="U124" s="17"/>
      <c r="V124" s="17"/>
      <c r="W124" s="20">
        <f t="shared" si="32"/>
        <v>0</v>
      </c>
      <c r="X124" s="21">
        <f t="shared" si="39"/>
        <v>1</v>
      </c>
      <c r="Y124" s="15">
        <f t="shared" si="33"/>
        <v>1</v>
      </c>
      <c r="Z124" s="15">
        <f t="shared" si="34"/>
        <v>0</v>
      </c>
      <c r="AA124" s="18" t="str">
        <f>IF($A124="","",IF(AND($W124&gt;0,$V124=""),"IMPORT NEEDS DESTINATION",IF(MIN($Y124,$Z124)&lt;0,"NEGATIVE STOCK - CHECK ENTRIES","")))</f>
        <v/>
      </c>
      <c r="AB124" s="17">
        <v>0</v>
      </c>
      <c r="AC124" s="17">
        <v>0</v>
      </c>
      <c r="AD124" s="15">
        <f t="shared" si="35"/>
        <v>0</v>
      </c>
      <c r="AE124" s="17">
        <v>0</v>
      </c>
      <c r="AF124" s="17">
        <v>0</v>
      </c>
      <c r="AG124" s="15">
        <f t="shared" si="36"/>
        <v>0</v>
      </c>
      <c r="AH124" s="17">
        <v>0</v>
      </c>
      <c r="AI124" s="17">
        <v>0</v>
      </c>
      <c r="AJ124" s="15">
        <f t="shared" si="37"/>
        <v>0</v>
      </c>
      <c r="AK124" s="17">
        <v>0</v>
      </c>
      <c r="AL124" s="17">
        <v>0</v>
      </c>
      <c r="AM124" s="15">
        <f t="shared" si="38"/>
        <v>0</v>
      </c>
      <c r="AN124" s="17"/>
    </row>
    <row r="125" spans="1:40" x14ac:dyDescent="0.3">
      <c r="A125" s="15" t="s">
        <v>228</v>
      </c>
      <c r="B125" s="15">
        <v>1000</v>
      </c>
      <c r="C125" s="15" t="s">
        <v>54</v>
      </c>
      <c r="D125" s="15" t="s">
        <v>57</v>
      </c>
      <c r="E125" s="69" cm="1">
        <f t="array" ref="E125">MAX(0,IFERROR(_xlfn.XLOOKUP($A125&amp;"|"&amp;$B125&amp;"|"&amp;$D125,'29-AUGUST-2026'!$A$3:$A$197&amp;"|"&amp;'29-AUGUST-2026'!$B$3:$B$197&amp;"|"&amp;'29-AUGUST-2026'!$D$3:$D$197,'29-AUGUST-2026'!$Y$3:$Y$197,_xlfn.XLOOKUP($A125&amp;"|"&amp;$B125,'29-AUGUST-2026'!$A$3:$A$197&amp;"|"&amp;'29-AUGUST-2026'!$B$3:$B$197,'29-AUGUST-2026'!$Y$3:$Y$197,0)),0))</f>
        <v>5</v>
      </c>
      <c r="F125" s="69" cm="1">
        <f t="array" ref="F125">MAX(0,IFERROR(_xlfn.XLOOKUP($A125&amp;"|"&amp;$B125&amp;"|"&amp;$D125,'29-AUGUST-2026'!$A$3:$A$197&amp;"|"&amp;'29-AUGUST-2026'!$B$3:$B$197&amp;"|"&amp;'29-AUGUST-2026'!$D$3:$D$197,'29-AUGUST-2026'!$Z$3:$Z$197,_xlfn.XLOOKUP($A125&amp;"|"&amp;$B125,'29-AUGUST-2026'!$A$3:$A$197&amp;"|"&amp;'29-AUGUST-2026'!$B$3:$B$197,'29-AUGUST-2026'!$Z$3:$Z$197,0)),0))</f>
        <v>0</v>
      </c>
      <c r="G125" s="15">
        <f t="shared" si="31"/>
        <v>5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20">
        <v>0</v>
      </c>
      <c r="S125" s="20">
        <v>0</v>
      </c>
      <c r="T125" s="20">
        <v>0</v>
      </c>
      <c r="U125" s="17"/>
      <c r="V125" s="17"/>
      <c r="W125" s="20">
        <f t="shared" si="32"/>
        <v>0</v>
      </c>
      <c r="X125" s="21">
        <f t="shared" si="39"/>
        <v>5</v>
      </c>
      <c r="Y125" s="15">
        <f t="shared" si="33"/>
        <v>5</v>
      </c>
      <c r="Z125" s="15">
        <f t="shared" si="34"/>
        <v>0</v>
      </c>
      <c r="AA125" s="18" t="str">
        <f>IF($A125="","",IF(AND($W125&gt;0,$V125=""),"IMPORT NEEDS DESTINATION",IF(MIN($Y125,$Z125)&lt;0,"NEGATIVE STOCK - CHECK ENTRIES","")))</f>
        <v/>
      </c>
      <c r="AB125" s="17">
        <v>0</v>
      </c>
      <c r="AC125" s="17">
        <v>0</v>
      </c>
      <c r="AD125" s="15">
        <f t="shared" si="35"/>
        <v>0</v>
      </c>
      <c r="AE125" s="17">
        <v>0</v>
      </c>
      <c r="AF125" s="17">
        <v>0</v>
      </c>
      <c r="AG125" s="15">
        <f t="shared" si="36"/>
        <v>0</v>
      </c>
      <c r="AH125" s="17">
        <v>0</v>
      </c>
      <c r="AI125" s="17">
        <v>0</v>
      </c>
      <c r="AJ125" s="15">
        <f t="shared" si="37"/>
        <v>0</v>
      </c>
      <c r="AK125" s="17">
        <v>0</v>
      </c>
      <c r="AL125" s="17">
        <v>0</v>
      </c>
      <c r="AM125" s="15">
        <f t="shared" si="38"/>
        <v>0</v>
      </c>
      <c r="AN125" s="17"/>
    </row>
    <row r="126" spans="1:40" x14ac:dyDescent="0.3">
      <c r="A126" s="15" t="s">
        <v>231</v>
      </c>
      <c r="B126" s="15">
        <v>100</v>
      </c>
      <c r="C126" s="15" t="s">
        <v>54</v>
      </c>
      <c r="D126" s="15" t="s">
        <v>57</v>
      </c>
      <c r="E126" s="69" cm="1">
        <f t="array" ref="E126">MAX(0,IFERROR(_xlfn.XLOOKUP($A126&amp;"|"&amp;$B126&amp;"|"&amp;$D126,'29-AUGUST-2026'!$A$3:$A$197&amp;"|"&amp;'29-AUGUST-2026'!$B$3:$B$197&amp;"|"&amp;'29-AUGUST-2026'!$D$3:$D$197,'29-AUGUST-2026'!$Y$3:$Y$197,_xlfn.XLOOKUP($A126&amp;"|"&amp;$B126,'29-AUGUST-2026'!$A$3:$A$197&amp;"|"&amp;'29-AUGUST-2026'!$B$3:$B$197,'29-AUGUST-2026'!$Y$3:$Y$197,0)),0))</f>
        <v>0</v>
      </c>
      <c r="F126" s="69" cm="1">
        <f t="array" ref="F126">MAX(0,IFERROR(_xlfn.XLOOKUP($A126&amp;"|"&amp;$B126&amp;"|"&amp;$D126,'29-AUGUST-2026'!$A$3:$A$197&amp;"|"&amp;'29-AUGUST-2026'!$B$3:$B$197&amp;"|"&amp;'29-AUGUST-2026'!$D$3:$D$197,'29-AUGUST-2026'!$Z$3:$Z$197,_xlfn.XLOOKUP($A126&amp;"|"&amp;$B126,'29-AUGUST-2026'!$A$3:$A$197&amp;"|"&amp;'29-AUGUST-2026'!$B$3:$B$197,'29-AUGUST-2026'!$Z$3:$Z$197,0)),0))</f>
        <v>0</v>
      </c>
      <c r="G126" s="15">
        <f t="shared" si="31"/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20">
        <v>0</v>
      </c>
      <c r="S126" s="20">
        <v>0</v>
      </c>
      <c r="T126" s="20">
        <v>0</v>
      </c>
      <c r="U126" s="17"/>
      <c r="V126" s="17"/>
      <c r="W126" s="20">
        <f t="shared" si="32"/>
        <v>0</v>
      </c>
      <c r="X126" s="21">
        <f t="shared" si="39"/>
        <v>0</v>
      </c>
      <c r="Y126" s="15">
        <f t="shared" si="33"/>
        <v>0</v>
      </c>
      <c r="Z126" s="15">
        <f t="shared" si="34"/>
        <v>0</v>
      </c>
      <c r="AA126" s="18" t="str">
        <f>IF($A126="","",IF(AND($W126&gt;0,$V126=""),"IMPORT NEEDS DESTINATION",IF(MIN($Y126,$Z126)&lt;0,"NEGATIVE STOCK - CHECK ENTRIES","")))</f>
        <v/>
      </c>
      <c r="AB126" s="17">
        <v>0</v>
      </c>
      <c r="AC126" s="17">
        <v>0</v>
      </c>
      <c r="AD126" s="15">
        <f t="shared" si="35"/>
        <v>0</v>
      </c>
      <c r="AE126" s="17">
        <v>0</v>
      </c>
      <c r="AF126" s="17">
        <v>0</v>
      </c>
      <c r="AG126" s="15">
        <f t="shared" si="36"/>
        <v>0</v>
      </c>
      <c r="AH126" s="17">
        <v>0</v>
      </c>
      <c r="AI126" s="17">
        <v>0</v>
      </c>
      <c r="AJ126" s="15">
        <f t="shared" si="37"/>
        <v>0</v>
      </c>
      <c r="AK126" s="17">
        <v>0</v>
      </c>
      <c r="AL126" s="17">
        <v>0</v>
      </c>
      <c r="AM126" s="15">
        <f t="shared" si="38"/>
        <v>0</v>
      </c>
      <c r="AN126" s="17"/>
    </row>
    <row r="127" spans="1:40" x14ac:dyDescent="0.3">
      <c r="A127" s="15" t="s">
        <v>233</v>
      </c>
      <c r="B127" s="15">
        <v>100</v>
      </c>
      <c r="C127" s="15" t="s">
        <v>54</v>
      </c>
      <c r="D127" s="15" t="s">
        <v>57</v>
      </c>
      <c r="E127" s="69" cm="1">
        <f t="array" ref="E127">MAX(0,IFERROR(_xlfn.XLOOKUP($A127&amp;"|"&amp;$B127&amp;"|"&amp;$D127,'29-AUGUST-2026'!$A$3:$A$197&amp;"|"&amp;'29-AUGUST-2026'!$B$3:$B$197&amp;"|"&amp;'29-AUGUST-2026'!$D$3:$D$197,'29-AUGUST-2026'!$Y$3:$Y$197,_xlfn.XLOOKUP($A127&amp;"|"&amp;$B127,'29-AUGUST-2026'!$A$3:$A$197&amp;"|"&amp;'29-AUGUST-2026'!$B$3:$B$197,'29-AUGUST-2026'!$Y$3:$Y$197,0)),0))</f>
        <v>3</v>
      </c>
      <c r="F127" s="69" cm="1">
        <f t="array" ref="F127">MAX(0,IFERROR(_xlfn.XLOOKUP($A127&amp;"|"&amp;$B127&amp;"|"&amp;$D127,'29-AUGUST-2026'!$A$3:$A$197&amp;"|"&amp;'29-AUGUST-2026'!$B$3:$B$197&amp;"|"&amp;'29-AUGUST-2026'!$D$3:$D$197,'29-AUGUST-2026'!$Z$3:$Z$197,_xlfn.XLOOKUP($A127&amp;"|"&amp;$B127,'29-AUGUST-2026'!$A$3:$A$197&amp;"|"&amp;'29-AUGUST-2026'!$B$3:$B$197,'29-AUGUST-2026'!$Z$3:$Z$197,0)),0))</f>
        <v>0</v>
      </c>
      <c r="G127" s="15">
        <f t="shared" si="31"/>
        <v>3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20">
        <v>0</v>
      </c>
      <c r="S127" s="20">
        <v>0</v>
      </c>
      <c r="T127" s="20">
        <v>0</v>
      </c>
      <c r="U127" s="17"/>
      <c r="V127" s="17"/>
      <c r="W127" s="20">
        <f t="shared" si="32"/>
        <v>0</v>
      </c>
      <c r="X127" s="21">
        <f t="shared" si="39"/>
        <v>3</v>
      </c>
      <c r="Y127" s="15">
        <f t="shared" si="33"/>
        <v>3</v>
      </c>
      <c r="Z127" s="15">
        <f t="shared" si="34"/>
        <v>0</v>
      </c>
      <c r="AA127" s="18" t="str">
        <f>IF($A127="","",IF(AND($W127&gt;0,$V127=""),"IMPORT NEEDS DESTINATION",IF(MIN($Y127,$Z127)&lt;0,"NEGATIVE STOCK - CHECK ENTRIES","")))</f>
        <v/>
      </c>
      <c r="AB127" s="17">
        <v>0</v>
      </c>
      <c r="AC127" s="17">
        <v>0</v>
      </c>
      <c r="AD127" s="15">
        <f t="shared" si="35"/>
        <v>0</v>
      </c>
      <c r="AE127" s="17">
        <v>0</v>
      </c>
      <c r="AF127" s="17">
        <v>0</v>
      </c>
      <c r="AG127" s="15">
        <f t="shared" si="36"/>
        <v>0</v>
      </c>
      <c r="AH127" s="17">
        <v>0</v>
      </c>
      <c r="AI127" s="17">
        <v>0</v>
      </c>
      <c r="AJ127" s="15">
        <f t="shared" si="37"/>
        <v>0</v>
      </c>
      <c r="AK127" s="17">
        <v>0</v>
      </c>
      <c r="AL127" s="17">
        <v>0</v>
      </c>
      <c r="AM127" s="15">
        <f t="shared" si="38"/>
        <v>0</v>
      </c>
      <c r="AN127" s="17"/>
    </row>
    <row r="128" spans="1:40" x14ac:dyDescent="0.3">
      <c r="A128" s="15" t="s">
        <v>243</v>
      </c>
      <c r="B128" s="15">
        <v>100000</v>
      </c>
      <c r="C128" s="15" t="s">
        <v>54</v>
      </c>
      <c r="D128" s="15" t="s">
        <v>57</v>
      </c>
      <c r="E128" s="69" cm="1">
        <f t="array" ref="E128">MAX(0,IFERROR(_xlfn.XLOOKUP($A128&amp;"|"&amp;$B128&amp;"|"&amp;$D128,'29-AUGUST-2026'!$A$3:$A$197&amp;"|"&amp;'29-AUGUST-2026'!$B$3:$B$197&amp;"|"&amp;'29-AUGUST-2026'!$D$3:$D$197,'29-AUGUST-2026'!$Y$3:$Y$197,_xlfn.XLOOKUP($A128&amp;"|"&amp;$B128,'29-AUGUST-2026'!$A$3:$A$197&amp;"|"&amp;'29-AUGUST-2026'!$B$3:$B$197,'29-AUGUST-2026'!$Y$3:$Y$197,0)),0))</f>
        <v>6</v>
      </c>
      <c r="F128" s="69" cm="1">
        <f t="array" ref="F128">MAX(0,IFERROR(_xlfn.XLOOKUP($A128&amp;"|"&amp;$B128&amp;"|"&amp;$D128,'29-AUGUST-2026'!$A$3:$A$197&amp;"|"&amp;'29-AUGUST-2026'!$B$3:$B$197&amp;"|"&amp;'29-AUGUST-2026'!$D$3:$D$197,'29-AUGUST-2026'!$Z$3:$Z$197,_xlfn.XLOOKUP($A128&amp;"|"&amp;$B128,'29-AUGUST-2026'!$A$3:$A$197&amp;"|"&amp;'29-AUGUST-2026'!$B$3:$B$197,'29-AUGUST-2026'!$Z$3:$Z$197,0)),0))</f>
        <v>0</v>
      </c>
      <c r="G128" s="15">
        <f t="shared" si="31"/>
        <v>6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20">
        <v>0</v>
      </c>
      <c r="S128" s="20">
        <v>0</v>
      </c>
      <c r="T128" s="20">
        <v>0</v>
      </c>
      <c r="U128" s="17"/>
      <c r="V128" s="17"/>
      <c r="W128" s="20">
        <f t="shared" si="32"/>
        <v>0</v>
      </c>
      <c r="X128" s="21">
        <f t="shared" si="39"/>
        <v>6</v>
      </c>
      <c r="Y128" s="15">
        <f t="shared" si="33"/>
        <v>6</v>
      </c>
      <c r="Z128" s="15">
        <f t="shared" si="34"/>
        <v>0</v>
      </c>
      <c r="AA128" s="18" t="str">
        <f>IF($A128="","",IF(AND($W128&gt;0,$V128=""),"IMPORT NEEDS DESTINATION",IF(MIN($Y128,$Z128)&lt;0,"NEGATIVE STOCK - CHECK ENTRIES","")))</f>
        <v/>
      </c>
      <c r="AB128" s="17">
        <v>0</v>
      </c>
      <c r="AC128" s="17">
        <v>0</v>
      </c>
      <c r="AD128" s="15">
        <f t="shared" si="35"/>
        <v>0</v>
      </c>
      <c r="AE128" s="17">
        <v>0</v>
      </c>
      <c r="AF128" s="17">
        <v>0</v>
      </c>
      <c r="AG128" s="15">
        <f t="shared" si="36"/>
        <v>0</v>
      </c>
      <c r="AH128" s="17">
        <v>0</v>
      </c>
      <c r="AI128" s="17">
        <v>0</v>
      </c>
      <c r="AJ128" s="15">
        <f t="shared" si="37"/>
        <v>0</v>
      </c>
      <c r="AK128" s="17">
        <v>0</v>
      </c>
      <c r="AL128" s="17">
        <v>0</v>
      </c>
      <c r="AM128" s="15">
        <f t="shared" si="38"/>
        <v>0</v>
      </c>
      <c r="AN128" s="17"/>
    </row>
    <row r="129" spans="1:40" x14ac:dyDescent="0.3">
      <c r="A129" s="15" t="s">
        <v>245</v>
      </c>
      <c r="B129" s="15">
        <v>25000</v>
      </c>
      <c r="C129" s="15" t="s">
        <v>54</v>
      </c>
      <c r="D129" s="15" t="s">
        <v>57</v>
      </c>
      <c r="E129" s="69" cm="1">
        <f t="array" ref="E129">MAX(0,IFERROR(_xlfn.XLOOKUP($A129&amp;"|"&amp;$B129&amp;"|"&amp;$D129,'29-AUGUST-2026'!$A$3:$A$197&amp;"|"&amp;'29-AUGUST-2026'!$B$3:$B$197&amp;"|"&amp;'29-AUGUST-2026'!$D$3:$D$197,'29-AUGUST-2026'!$Y$3:$Y$197,_xlfn.XLOOKUP($A129&amp;"|"&amp;$B129,'29-AUGUST-2026'!$A$3:$A$197&amp;"|"&amp;'29-AUGUST-2026'!$B$3:$B$197,'29-AUGUST-2026'!$Y$3:$Y$197,0)),0))</f>
        <v>1</v>
      </c>
      <c r="F129" s="69" cm="1">
        <f t="array" ref="F129">MAX(0,IFERROR(_xlfn.XLOOKUP($A129&amp;"|"&amp;$B129&amp;"|"&amp;$D129,'29-AUGUST-2026'!$A$3:$A$197&amp;"|"&amp;'29-AUGUST-2026'!$B$3:$B$197&amp;"|"&amp;'29-AUGUST-2026'!$D$3:$D$197,'29-AUGUST-2026'!$Z$3:$Z$197,_xlfn.XLOOKUP($A129&amp;"|"&amp;$B129,'29-AUGUST-2026'!$A$3:$A$197&amp;"|"&amp;'29-AUGUST-2026'!$B$3:$B$197,'29-AUGUST-2026'!$Z$3:$Z$197,0)),0))</f>
        <v>0</v>
      </c>
      <c r="G129" s="15">
        <f t="shared" si="31"/>
        <v>1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20">
        <v>0</v>
      </c>
      <c r="S129" s="20">
        <v>0</v>
      </c>
      <c r="T129" s="20">
        <v>0</v>
      </c>
      <c r="U129" s="17"/>
      <c r="V129" s="17"/>
      <c r="W129" s="20">
        <f t="shared" si="32"/>
        <v>0</v>
      </c>
      <c r="X129" s="21">
        <f t="shared" si="39"/>
        <v>1</v>
      </c>
      <c r="Y129" s="15">
        <f t="shared" si="33"/>
        <v>1</v>
      </c>
      <c r="Z129" s="15">
        <f t="shared" si="34"/>
        <v>0</v>
      </c>
      <c r="AA129" s="18" t="str">
        <f>IF($A129="","",IF(AND($W129&gt;0,$V129=""),"IMPORT NEEDS DESTINATION",IF(MIN($Y129,$Z129)&lt;0,"NEGATIVE STOCK - CHECK ENTRIES","")))</f>
        <v/>
      </c>
      <c r="AB129" s="17">
        <v>0</v>
      </c>
      <c r="AC129" s="17">
        <v>0</v>
      </c>
      <c r="AD129" s="15">
        <f t="shared" si="35"/>
        <v>0</v>
      </c>
      <c r="AE129" s="17">
        <v>0</v>
      </c>
      <c r="AF129" s="17">
        <v>0</v>
      </c>
      <c r="AG129" s="15">
        <f t="shared" si="36"/>
        <v>0</v>
      </c>
      <c r="AH129" s="17">
        <v>0</v>
      </c>
      <c r="AI129" s="17">
        <v>0</v>
      </c>
      <c r="AJ129" s="15">
        <f t="shared" si="37"/>
        <v>0</v>
      </c>
      <c r="AK129" s="17">
        <v>0</v>
      </c>
      <c r="AL129" s="17">
        <v>0</v>
      </c>
      <c r="AM129" s="15">
        <f t="shared" si="38"/>
        <v>0</v>
      </c>
      <c r="AN129" s="17"/>
    </row>
    <row r="130" spans="1:40" x14ac:dyDescent="0.3">
      <c r="A130" s="15" t="s">
        <v>67</v>
      </c>
      <c r="B130" s="15">
        <v>1000</v>
      </c>
      <c r="C130" s="15" t="s">
        <v>54</v>
      </c>
      <c r="D130" s="15" t="s">
        <v>68</v>
      </c>
      <c r="E130" s="69" cm="1">
        <f t="array" ref="E130">MAX(0,IFERROR(_xlfn.XLOOKUP($A130&amp;"|"&amp;$B130&amp;"|"&amp;$D130,'29-AUGUST-2026'!$A$3:$A$197&amp;"|"&amp;'29-AUGUST-2026'!$B$3:$B$197&amp;"|"&amp;'29-AUGUST-2026'!$D$3:$D$197,'29-AUGUST-2026'!$Y$3:$Y$197,_xlfn.XLOOKUP($A130&amp;"|"&amp;$B130,'29-AUGUST-2026'!$A$3:$A$197&amp;"|"&amp;'29-AUGUST-2026'!$B$3:$B$197,'29-AUGUST-2026'!$Y$3:$Y$197,0)),0))</f>
        <v>3</v>
      </c>
      <c r="F130" s="69" cm="1">
        <f t="array" ref="F130">MAX(0,IFERROR(_xlfn.XLOOKUP($A130&amp;"|"&amp;$B130&amp;"|"&amp;$D130,'29-AUGUST-2026'!$A$3:$A$197&amp;"|"&amp;'29-AUGUST-2026'!$B$3:$B$197&amp;"|"&amp;'29-AUGUST-2026'!$D$3:$D$197,'29-AUGUST-2026'!$Z$3:$Z$197,_xlfn.XLOOKUP($A130&amp;"|"&amp;$B130,'29-AUGUST-2026'!$A$3:$A$197&amp;"|"&amp;'29-AUGUST-2026'!$B$3:$B$197,'29-AUGUST-2026'!$Z$3:$Z$197,0)),0))</f>
        <v>0</v>
      </c>
      <c r="G130" s="15">
        <f t="shared" si="31"/>
        <v>3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20">
        <v>0</v>
      </c>
      <c r="S130" s="20">
        <v>0</v>
      </c>
      <c r="T130" s="20">
        <v>0</v>
      </c>
      <c r="U130" s="17"/>
      <c r="V130" s="17"/>
      <c r="W130" s="20">
        <f t="shared" si="32"/>
        <v>0</v>
      </c>
      <c r="X130" s="21">
        <f t="shared" si="39"/>
        <v>3</v>
      </c>
      <c r="Y130" s="15">
        <f t="shared" si="33"/>
        <v>3</v>
      </c>
      <c r="Z130" s="15">
        <f t="shared" si="34"/>
        <v>0</v>
      </c>
      <c r="AA130" s="18" t="str">
        <f>IF($A130="","",IF(AND($W130&gt;0,$V130=""),"IMPORT NEEDS DESTINATION",IF(MIN($Y130,$Z130)&lt;0,"NEGATIVE STOCK - CHECK ENTRIES","")))</f>
        <v/>
      </c>
      <c r="AB130" s="17">
        <v>0</v>
      </c>
      <c r="AC130" s="17">
        <v>0</v>
      </c>
      <c r="AD130" s="15">
        <f t="shared" si="35"/>
        <v>0</v>
      </c>
      <c r="AE130" s="17">
        <v>0</v>
      </c>
      <c r="AF130" s="17">
        <v>0</v>
      </c>
      <c r="AG130" s="15">
        <f t="shared" si="36"/>
        <v>0</v>
      </c>
      <c r="AH130" s="17">
        <v>0</v>
      </c>
      <c r="AI130" s="17">
        <v>0</v>
      </c>
      <c r="AJ130" s="15">
        <f t="shared" si="37"/>
        <v>0</v>
      </c>
      <c r="AK130" s="17">
        <v>0</v>
      </c>
      <c r="AL130" s="17">
        <v>0</v>
      </c>
      <c r="AM130" s="15">
        <f t="shared" si="38"/>
        <v>0</v>
      </c>
      <c r="AN130" s="17"/>
    </row>
    <row r="131" spans="1:40" x14ac:dyDescent="0.3">
      <c r="A131" s="15" t="s">
        <v>69</v>
      </c>
      <c r="B131" s="15">
        <v>100000</v>
      </c>
      <c r="C131" s="15" t="s">
        <v>54</v>
      </c>
      <c r="D131" s="15" t="s">
        <v>68</v>
      </c>
      <c r="E131" s="69" cm="1">
        <f t="array" ref="E131">MAX(0,IFERROR(_xlfn.XLOOKUP($A131&amp;"|"&amp;$B131&amp;"|"&amp;$D131,'29-AUGUST-2026'!$A$3:$A$197&amp;"|"&amp;'29-AUGUST-2026'!$B$3:$B$197&amp;"|"&amp;'29-AUGUST-2026'!$D$3:$D$197,'29-AUGUST-2026'!$Y$3:$Y$197,_xlfn.XLOOKUP($A131&amp;"|"&amp;$B131,'29-AUGUST-2026'!$A$3:$A$197&amp;"|"&amp;'29-AUGUST-2026'!$B$3:$B$197,'29-AUGUST-2026'!$Y$3:$Y$197,0)),0))</f>
        <v>2</v>
      </c>
      <c r="F131" s="69" cm="1">
        <f t="array" ref="F131">MAX(0,IFERROR(_xlfn.XLOOKUP($A131&amp;"|"&amp;$B131&amp;"|"&amp;$D131,'29-AUGUST-2026'!$A$3:$A$197&amp;"|"&amp;'29-AUGUST-2026'!$B$3:$B$197&amp;"|"&amp;'29-AUGUST-2026'!$D$3:$D$197,'29-AUGUST-2026'!$Z$3:$Z$197,_xlfn.XLOOKUP($A131&amp;"|"&amp;$B131,'29-AUGUST-2026'!$A$3:$A$197&amp;"|"&amp;'29-AUGUST-2026'!$B$3:$B$197,'29-AUGUST-2026'!$Z$3:$Z$197,0)),0))</f>
        <v>0</v>
      </c>
      <c r="G131" s="15">
        <f t="shared" si="31"/>
        <v>2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20">
        <v>0</v>
      </c>
      <c r="S131" s="20">
        <v>0</v>
      </c>
      <c r="T131" s="20">
        <v>0</v>
      </c>
      <c r="U131" s="17"/>
      <c r="V131" s="17"/>
      <c r="W131" s="20">
        <f t="shared" si="32"/>
        <v>0</v>
      </c>
      <c r="X131" s="21">
        <f t="shared" si="39"/>
        <v>2</v>
      </c>
      <c r="Y131" s="15">
        <f t="shared" si="33"/>
        <v>2</v>
      </c>
      <c r="Z131" s="15">
        <f t="shared" si="34"/>
        <v>0</v>
      </c>
      <c r="AA131" s="18" t="str">
        <f>IF($A131="","",IF(AND($W131&gt;0,$V131=""),"IMPORT NEEDS DESTINATION",IF(MIN($Y131,$Z131)&lt;0,"NEGATIVE STOCK - CHECK ENTRIES","")))</f>
        <v/>
      </c>
      <c r="AB131" s="17">
        <v>0</v>
      </c>
      <c r="AC131" s="17">
        <v>0</v>
      </c>
      <c r="AD131" s="15">
        <f t="shared" si="35"/>
        <v>0</v>
      </c>
      <c r="AE131" s="17">
        <v>0</v>
      </c>
      <c r="AF131" s="17">
        <v>0</v>
      </c>
      <c r="AG131" s="15">
        <f t="shared" si="36"/>
        <v>0</v>
      </c>
      <c r="AH131" s="17">
        <v>0</v>
      </c>
      <c r="AI131" s="17">
        <v>0</v>
      </c>
      <c r="AJ131" s="15">
        <f t="shared" si="37"/>
        <v>0</v>
      </c>
      <c r="AK131" s="17">
        <v>0</v>
      </c>
      <c r="AL131" s="17">
        <v>0</v>
      </c>
      <c r="AM131" s="15">
        <f t="shared" si="38"/>
        <v>0</v>
      </c>
      <c r="AN131" s="17"/>
    </row>
    <row r="132" spans="1:40" x14ac:dyDescent="0.3">
      <c r="A132" s="15" t="s">
        <v>75</v>
      </c>
      <c r="B132" s="15">
        <v>1000</v>
      </c>
      <c r="C132" s="15" t="s">
        <v>54</v>
      </c>
      <c r="D132" s="15" t="s">
        <v>68</v>
      </c>
      <c r="E132" s="69" cm="1">
        <f t="array" ref="E132">MAX(0,IFERROR(_xlfn.XLOOKUP($A132&amp;"|"&amp;$B132&amp;"|"&amp;$D132,'29-AUGUST-2026'!$A$3:$A$197&amp;"|"&amp;'29-AUGUST-2026'!$B$3:$B$197&amp;"|"&amp;'29-AUGUST-2026'!$D$3:$D$197,'29-AUGUST-2026'!$Y$3:$Y$197,_xlfn.XLOOKUP($A132&amp;"|"&amp;$B132,'29-AUGUST-2026'!$A$3:$A$197&amp;"|"&amp;'29-AUGUST-2026'!$B$3:$B$197,'29-AUGUST-2026'!$Y$3:$Y$197,0)),0))</f>
        <v>2</v>
      </c>
      <c r="F132" s="69" cm="1">
        <f t="array" ref="F132">MAX(0,IFERROR(_xlfn.XLOOKUP($A132&amp;"|"&amp;$B132&amp;"|"&amp;$D132,'29-AUGUST-2026'!$A$3:$A$197&amp;"|"&amp;'29-AUGUST-2026'!$B$3:$B$197&amp;"|"&amp;'29-AUGUST-2026'!$D$3:$D$197,'29-AUGUST-2026'!$Z$3:$Z$197,_xlfn.XLOOKUP($A132&amp;"|"&amp;$B132,'29-AUGUST-2026'!$A$3:$A$197&amp;"|"&amp;'29-AUGUST-2026'!$B$3:$B$197,'29-AUGUST-2026'!$Z$3:$Z$197,0)),0))</f>
        <v>0</v>
      </c>
      <c r="G132" s="15">
        <f t="shared" ref="G132:G163" si="40">E132+F132</f>
        <v>2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20">
        <v>0</v>
      </c>
      <c r="S132" s="20">
        <v>0</v>
      </c>
      <c r="T132" s="20">
        <v>0</v>
      </c>
      <c r="U132" s="17"/>
      <c r="V132" s="17"/>
      <c r="W132" s="20">
        <f t="shared" ref="W132:W163" si="41">R132+S132+T132</f>
        <v>0</v>
      </c>
      <c r="X132" s="21">
        <f t="shared" si="39"/>
        <v>2</v>
      </c>
      <c r="Y132" s="15">
        <f t="shared" ref="Y132:Y163" si="42">E132+N132+IF($V132="Arusha",$W132,0)-H132-K132</f>
        <v>2</v>
      </c>
      <c r="Z132" s="15">
        <f t="shared" ref="Z132:Z163" si="43">F132+O132+IF($V132="Moro",$W132,0)-I132-L132</f>
        <v>0</v>
      </c>
      <c r="AA132" s="18" t="str">
        <f>IF($A132="","",IF(AND($W132&gt;0,$V132=""),"IMPORT NEEDS DESTINATION",IF(MIN($Y132,$Z132)&lt;0,"NEGATIVE STOCK - CHECK ENTRIES","")))</f>
        <v/>
      </c>
      <c r="AB132" s="17">
        <v>0</v>
      </c>
      <c r="AC132" s="17">
        <v>0</v>
      </c>
      <c r="AD132" s="15">
        <f t="shared" si="35"/>
        <v>0</v>
      </c>
      <c r="AE132" s="17">
        <v>0</v>
      </c>
      <c r="AF132" s="17">
        <v>0</v>
      </c>
      <c r="AG132" s="15">
        <f t="shared" si="36"/>
        <v>0</v>
      </c>
      <c r="AH132" s="17">
        <v>0</v>
      </c>
      <c r="AI132" s="17">
        <v>0</v>
      </c>
      <c r="AJ132" s="15">
        <f t="shared" si="37"/>
        <v>0</v>
      </c>
      <c r="AK132" s="17">
        <v>0</v>
      </c>
      <c r="AL132" s="17">
        <v>0</v>
      </c>
      <c r="AM132" s="15">
        <f t="shared" si="38"/>
        <v>0</v>
      </c>
      <c r="AN132" s="17"/>
    </row>
    <row r="133" spans="1:40" x14ac:dyDescent="0.3">
      <c r="A133" s="15" t="s">
        <v>76</v>
      </c>
      <c r="B133" s="15">
        <v>100</v>
      </c>
      <c r="C133" s="15" t="s">
        <v>54</v>
      </c>
      <c r="D133" s="15" t="s">
        <v>68</v>
      </c>
      <c r="E133" s="69" cm="1">
        <f t="array" ref="E133">MAX(0,IFERROR(_xlfn.XLOOKUP($A133&amp;"|"&amp;$B133&amp;"|"&amp;$D133,'29-AUGUST-2026'!$A$3:$A$197&amp;"|"&amp;'29-AUGUST-2026'!$B$3:$B$197&amp;"|"&amp;'29-AUGUST-2026'!$D$3:$D$197,'29-AUGUST-2026'!$Y$3:$Y$197,_xlfn.XLOOKUP($A133&amp;"|"&amp;$B133,'29-AUGUST-2026'!$A$3:$A$197&amp;"|"&amp;'29-AUGUST-2026'!$B$3:$B$197,'29-AUGUST-2026'!$Y$3:$Y$197,0)),0))</f>
        <v>6</v>
      </c>
      <c r="F133" s="69" cm="1">
        <f t="array" ref="F133">MAX(0,IFERROR(_xlfn.XLOOKUP($A133&amp;"|"&amp;$B133&amp;"|"&amp;$D133,'29-AUGUST-2026'!$A$3:$A$197&amp;"|"&amp;'29-AUGUST-2026'!$B$3:$B$197&amp;"|"&amp;'29-AUGUST-2026'!$D$3:$D$197,'29-AUGUST-2026'!$Z$3:$Z$197,_xlfn.XLOOKUP($A133&amp;"|"&amp;$B133,'29-AUGUST-2026'!$A$3:$A$197&amp;"|"&amp;'29-AUGUST-2026'!$B$3:$B$197,'29-AUGUST-2026'!$Z$3:$Z$197,0)),0))</f>
        <v>0</v>
      </c>
      <c r="G133" s="15">
        <f t="shared" si="40"/>
        <v>6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20">
        <v>0</v>
      </c>
      <c r="S133" s="20">
        <v>0</v>
      </c>
      <c r="T133" s="20">
        <v>0</v>
      </c>
      <c r="U133" s="17"/>
      <c r="V133" s="17"/>
      <c r="W133" s="20">
        <f t="shared" si="41"/>
        <v>0</v>
      </c>
      <c r="X133" s="21">
        <f t="shared" si="39"/>
        <v>6</v>
      </c>
      <c r="Y133" s="15">
        <f t="shared" si="42"/>
        <v>6</v>
      </c>
      <c r="Z133" s="15">
        <f t="shared" si="43"/>
        <v>0</v>
      </c>
      <c r="AA133" s="18" t="str">
        <f>IF($A133="","",IF(AND($W133&gt;0,$V133=""),"IMPORT NEEDS DESTINATION",IF(MIN($Y133,$Z133)&lt;0,"NEGATIVE STOCK - CHECK ENTRIES","")))</f>
        <v/>
      </c>
      <c r="AB133" s="17">
        <v>0</v>
      </c>
      <c r="AC133" s="17">
        <v>0</v>
      </c>
      <c r="AD133" s="15">
        <f t="shared" ref="AD133:AD164" si="44">AB133-AC133</f>
        <v>0</v>
      </c>
      <c r="AE133" s="17">
        <v>0</v>
      </c>
      <c r="AF133" s="17">
        <v>0</v>
      </c>
      <c r="AG133" s="15">
        <f t="shared" ref="AG133:AG164" si="45">AE133-AF133</f>
        <v>0</v>
      </c>
      <c r="AH133" s="17">
        <v>0</v>
      </c>
      <c r="AI133" s="17">
        <v>0</v>
      </c>
      <c r="AJ133" s="15">
        <f t="shared" ref="AJ133:AJ164" si="46">AH133-AI133</f>
        <v>0</v>
      </c>
      <c r="AK133" s="17">
        <v>0</v>
      </c>
      <c r="AL133" s="17">
        <v>0</v>
      </c>
      <c r="AM133" s="15">
        <f t="shared" ref="AM133:AM164" si="47">AK133-AL133</f>
        <v>0</v>
      </c>
      <c r="AN133" s="17"/>
    </row>
    <row r="134" spans="1:40" x14ac:dyDescent="0.3">
      <c r="A134" s="15" t="s">
        <v>82</v>
      </c>
      <c r="B134" s="15">
        <v>1000</v>
      </c>
      <c r="C134" s="15" t="s">
        <v>54</v>
      </c>
      <c r="D134" s="15" t="s">
        <v>68</v>
      </c>
      <c r="E134" s="69" cm="1">
        <f t="array" ref="E134">MAX(0,IFERROR(_xlfn.XLOOKUP($A134&amp;"|"&amp;$B134&amp;"|"&amp;$D134,'29-AUGUST-2026'!$A$3:$A$197&amp;"|"&amp;'29-AUGUST-2026'!$B$3:$B$197&amp;"|"&amp;'29-AUGUST-2026'!$D$3:$D$197,'29-AUGUST-2026'!$Y$3:$Y$197,_xlfn.XLOOKUP($A134&amp;"|"&amp;$B134,'29-AUGUST-2026'!$A$3:$A$197&amp;"|"&amp;'29-AUGUST-2026'!$B$3:$B$197,'29-AUGUST-2026'!$Y$3:$Y$197,0)),0))</f>
        <v>2</v>
      </c>
      <c r="F134" s="69" cm="1">
        <f t="array" ref="F134">MAX(0,IFERROR(_xlfn.XLOOKUP($A134&amp;"|"&amp;$B134&amp;"|"&amp;$D134,'29-AUGUST-2026'!$A$3:$A$197&amp;"|"&amp;'29-AUGUST-2026'!$B$3:$B$197&amp;"|"&amp;'29-AUGUST-2026'!$D$3:$D$197,'29-AUGUST-2026'!$Z$3:$Z$197,_xlfn.XLOOKUP($A134&amp;"|"&amp;$B134,'29-AUGUST-2026'!$A$3:$A$197&amp;"|"&amp;'29-AUGUST-2026'!$B$3:$B$197,'29-AUGUST-2026'!$Z$3:$Z$197,0)),0))</f>
        <v>0</v>
      </c>
      <c r="G134" s="15">
        <f t="shared" si="40"/>
        <v>2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20">
        <v>0</v>
      </c>
      <c r="S134" s="20">
        <v>0</v>
      </c>
      <c r="T134" s="20">
        <v>0</v>
      </c>
      <c r="U134" s="17"/>
      <c r="V134" s="17"/>
      <c r="W134" s="20">
        <f t="shared" si="41"/>
        <v>0</v>
      </c>
      <c r="X134" s="21">
        <f t="shared" si="39"/>
        <v>2</v>
      </c>
      <c r="Y134" s="15">
        <f t="shared" si="42"/>
        <v>2</v>
      </c>
      <c r="Z134" s="15">
        <f t="shared" si="43"/>
        <v>0</v>
      </c>
      <c r="AA134" s="18" t="str">
        <f>IF($A134="","",IF(AND($W134&gt;0,$V134=""),"IMPORT NEEDS DESTINATION",IF(MIN($Y134,$Z134)&lt;0,"NEGATIVE STOCK - CHECK ENTRIES","")))</f>
        <v/>
      </c>
      <c r="AB134" s="17">
        <v>0</v>
      </c>
      <c r="AC134" s="17">
        <v>0</v>
      </c>
      <c r="AD134" s="15">
        <f t="shared" si="44"/>
        <v>0</v>
      </c>
      <c r="AE134" s="17">
        <v>0</v>
      </c>
      <c r="AF134" s="17">
        <v>0</v>
      </c>
      <c r="AG134" s="15">
        <f t="shared" si="45"/>
        <v>0</v>
      </c>
      <c r="AH134" s="17">
        <v>0</v>
      </c>
      <c r="AI134" s="17">
        <v>0</v>
      </c>
      <c r="AJ134" s="15">
        <f t="shared" si="46"/>
        <v>0</v>
      </c>
      <c r="AK134" s="17">
        <v>0</v>
      </c>
      <c r="AL134" s="17">
        <v>0</v>
      </c>
      <c r="AM134" s="15">
        <f t="shared" si="47"/>
        <v>0</v>
      </c>
      <c r="AN134" s="17"/>
    </row>
    <row r="135" spans="1:40" x14ac:dyDescent="0.3">
      <c r="A135" s="15" t="s">
        <v>85</v>
      </c>
      <c r="B135" s="15">
        <v>1000</v>
      </c>
      <c r="C135" s="15" t="s">
        <v>54</v>
      </c>
      <c r="D135" s="15" t="s">
        <v>68</v>
      </c>
      <c r="E135" s="69" cm="1">
        <f t="array" ref="E135">MAX(0,IFERROR(_xlfn.XLOOKUP($A135&amp;"|"&amp;$B135&amp;"|"&amp;$D135,'29-AUGUST-2026'!$A$3:$A$197&amp;"|"&amp;'29-AUGUST-2026'!$B$3:$B$197&amp;"|"&amp;'29-AUGUST-2026'!$D$3:$D$197,'29-AUGUST-2026'!$Y$3:$Y$197,_xlfn.XLOOKUP($A135&amp;"|"&amp;$B135,'29-AUGUST-2026'!$A$3:$A$197&amp;"|"&amp;'29-AUGUST-2026'!$B$3:$B$197,'29-AUGUST-2026'!$Y$3:$Y$197,0)),0))</f>
        <v>5</v>
      </c>
      <c r="F135" s="69" cm="1">
        <f t="array" ref="F135">MAX(0,IFERROR(_xlfn.XLOOKUP($A135&amp;"|"&amp;$B135&amp;"|"&amp;$D135,'29-AUGUST-2026'!$A$3:$A$197&amp;"|"&amp;'29-AUGUST-2026'!$B$3:$B$197&amp;"|"&amp;'29-AUGUST-2026'!$D$3:$D$197,'29-AUGUST-2026'!$Z$3:$Z$197,_xlfn.XLOOKUP($A135&amp;"|"&amp;$B135,'29-AUGUST-2026'!$A$3:$A$197&amp;"|"&amp;'29-AUGUST-2026'!$B$3:$B$197,'29-AUGUST-2026'!$Z$3:$Z$197,0)),0))</f>
        <v>0</v>
      </c>
      <c r="G135" s="15">
        <f t="shared" si="40"/>
        <v>5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20">
        <v>0</v>
      </c>
      <c r="S135" s="20">
        <v>0</v>
      </c>
      <c r="T135" s="20">
        <v>0</v>
      </c>
      <c r="U135" s="17"/>
      <c r="V135" s="17"/>
      <c r="W135" s="20">
        <f t="shared" si="41"/>
        <v>0</v>
      </c>
      <c r="X135" s="21">
        <f t="shared" si="39"/>
        <v>5</v>
      </c>
      <c r="Y135" s="15">
        <f t="shared" si="42"/>
        <v>5</v>
      </c>
      <c r="Z135" s="15">
        <f t="shared" si="43"/>
        <v>0</v>
      </c>
      <c r="AA135" s="18" t="str">
        <f>IF($A135="","",IF(AND($W135&gt;0,$V135=""),"IMPORT NEEDS DESTINATION",IF(MIN($Y135,$Z135)&lt;0,"NEGATIVE STOCK - CHECK ENTRIES","")))</f>
        <v/>
      </c>
      <c r="AB135" s="17">
        <v>0</v>
      </c>
      <c r="AC135" s="17">
        <v>0</v>
      </c>
      <c r="AD135" s="15">
        <f t="shared" si="44"/>
        <v>0</v>
      </c>
      <c r="AE135" s="17">
        <v>0</v>
      </c>
      <c r="AF135" s="17">
        <v>0</v>
      </c>
      <c r="AG135" s="15">
        <f t="shared" si="45"/>
        <v>0</v>
      </c>
      <c r="AH135" s="17">
        <v>0</v>
      </c>
      <c r="AI135" s="17">
        <v>0</v>
      </c>
      <c r="AJ135" s="15">
        <f t="shared" si="46"/>
        <v>0</v>
      </c>
      <c r="AK135" s="17">
        <v>0</v>
      </c>
      <c r="AL135" s="17">
        <v>0</v>
      </c>
      <c r="AM135" s="15">
        <f t="shared" si="47"/>
        <v>0</v>
      </c>
      <c r="AN135" s="17"/>
    </row>
    <row r="136" spans="1:40" x14ac:dyDescent="0.3">
      <c r="A136" s="15" t="s">
        <v>87</v>
      </c>
      <c r="B136" s="15">
        <v>100000</v>
      </c>
      <c r="C136" s="15" t="s">
        <v>54</v>
      </c>
      <c r="D136" s="15" t="s">
        <v>68</v>
      </c>
      <c r="E136" s="69" cm="1">
        <f t="array" ref="E136">MAX(0,IFERROR(_xlfn.XLOOKUP($A136&amp;"|"&amp;$B136&amp;"|"&amp;$D136,'29-AUGUST-2026'!$A$3:$A$197&amp;"|"&amp;'29-AUGUST-2026'!$B$3:$B$197&amp;"|"&amp;'29-AUGUST-2026'!$D$3:$D$197,'29-AUGUST-2026'!$Y$3:$Y$197,_xlfn.XLOOKUP($A136&amp;"|"&amp;$B136,'29-AUGUST-2026'!$A$3:$A$197&amp;"|"&amp;'29-AUGUST-2026'!$B$3:$B$197,'29-AUGUST-2026'!$Y$3:$Y$197,0)),0))</f>
        <v>2</v>
      </c>
      <c r="F136" s="69" cm="1">
        <f t="array" ref="F136">MAX(0,IFERROR(_xlfn.XLOOKUP($A136&amp;"|"&amp;$B136&amp;"|"&amp;$D136,'29-AUGUST-2026'!$A$3:$A$197&amp;"|"&amp;'29-AUGUST-2026'!$B$3:$B$197&amp;"|"&amp;'29-AUGUST-2026'!$D$3:$D$197,'29-AUGUST-2026'!$Z$3:$Z$197,_xlfn.XLOOKUP($A136&amp;"|"&amp;$B136,'29-AUGUST-2026'!$A$3:$A$197&amp;"|"&amp;'29-AUGUST-2026'!$B$3:$B$197,'29-AUGUST-2026'!$Z$3:$Z$197,0)),0))</f>
        <v>0</v>
      </c>
      <c r="G136" s="15">
        <f t="shared" si="40"/>
        <v>2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20">
        <v>0</v>
      </c>
      <c r="S136" s="20">
        <v>0</v>
      </c>
      <c r="T136" s="20">
        <v>0</v>
      </c>
      <c r="U136" s="17"/>
      <c r="V136" s="17"/>
      <c r="W136" s="20">
        <f t="shared" si="41"/>
        <v>0</v>
      </c>
      <c r="X136" s="21">
        <f t="shared" si="39"/>
        <v>2</v>
      </c>
      <c r="Y136" s="15">
        <f t="shared" si="42"/>
        <v>2</v>
      </c>
      <c r="Z136" s="15">
        <f t="shared" si="43"/>
        <v>0</v>
      </c>
      <c r="AA136" s="18" t="str">
        <f>IF($A136="","",IF(AND($W136&gt;0,$V136=""),"IMPORT NEEDS DESTINATION",IF(MIN($Y136,$Z136)&lt;0,"NEGATIVE STOCK - CHECK ENTRIES","")))</f>
        <v/>
      </c>
      <c r="AB136" s="17">
        <v>0</v>
      </c>
      <c r="AC136" s="17">
        <v>0</v>
      </c>
      <c r="AD136" s="15">
        <f t="shared" si="44"/>
        <v>0</v>
      </c>
      <c r="AE136" s="17">
        <v>0</v>
      </c>
      <c r="AF136" s="17">
        <v>0</v>
      </c>
      <c r="AG136" s="15">
        <f t="shared" si="45"/>
        <v>0</v>
      </c>
      <c r="AH136" s="17">
        <v>0</v>
      </c>
      <c r="AI136" s="17">
        <v>0</v>
      </c>
      <c r="AJ136" s="15">
        <f t="shared" si="46"/>
        <v>0</v>
      </c>
      <c r="AK136" s="17">
        <v>0</v>
      </c>
      <c r="AL136" s="17">
        <v>0</v>
      </c>
      <c r="AM136" s="15">
        <f t="shared" si="47"/>
        <v>0</v>
      </c>
      <c r="AN136" s="17"/>
    </row>
    <row r="137" spans="1:40" x14ac:dyDescent="0.3">
      <c r="A137" s="15" t="s">
        <v>88</v>
      </c>
      <c r="B137" s="15">
        <v>100000</v>
      </c>
      <c r="C137" s="15" t="s">
        <v>54</v>
      </c>
      <c r="D137" s="15" t="s">
        <v>68</v>
      </c>
      <c r="E137" s="69" cm="1">
        <f t="array" ref="E137">MAX(0,IFERROR(_xlfn.XLOOKUP($A137&amp;"|"&amp;$B137&amp;"|"&amp;$D137,'29-AUGUST-2026'!$A$3:$A$197&amp;"|"&amp;'29-AUGUST-2026'!$B$3:$B$197&amp;"|"&amp;'29-AUGUST-2026'!$D$3:$D$197,'29-AUGUST-2026'!$Y$3:$Y$197,_xlfn.XLOOKUP($A137&amp;"|"&amp;$B137,'29-AUGUST-2026'!$A$3:$A$197&amp;"|"&amp;'29-AUGUST-2026'!$B$3:$B$197,'29-AUGUST-2026'!$Y$3:$Y$197,0)),0))</f>
        <v>1</v>
      </c>
      <c r="F137" s="69" cm="1">
        <f t="array" ref="F137">MAX(0,IFERROR(_xlfn.XLOOKUP($A137&amp;"|"&amp;$B137&amp;"|"&amp;$D137,'29-AUGUST-2026'!$A$3:$A$197&amp;"|"&amp;'29-AUGUST-2026'!$B$3:$B$197&amp;"|"&amp;'29-AUGUST-2026'!$D$3:$D$197,'29-AUGUST-2026'!$Z$3:$Z$197,_xlfn.XLOOKUP($A137&amp;"|"&amp;$B137,'29-AUGUST-2026'!$A$3:$A$197&amp;"|"&amp;'29-AUGUST-2026'!$B$3:$B$197,'29-AUGUST-2026'!$Z$3:$Z$197,0)),0))</f>
        <v>0</v>
      </c>
      <c r="G137" s="15">
        <f t="shared" si="40"/>
        <v>1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20">
        <v>0</v>
      </c>
      <c r="S137" s="20">
        <v>0</v>
      </c>
      <c r="T137" s="20">
        <v>0</v>
      </c>
      <c r="U137" s="17"/>
      <c r="V137" s="17"/>
      <c r="W137" s="20">
        <f t="shared" si="41"/>
        <v>0</v>
      </c>
      <c r="X137" s="21">
        <f t="shared" si="39"/>
        <v>1</v>
      </c>
      <c r="Y137" s="15">
        <f t="shared" si="42"/>
        <v>1</v>
      </c>
      <c r="Z137" s="15">
        <f t="shared" si="43"/>
        <v>0</v>
      </c>
      <c r="AA137" s="18" t="str">
        <f>IF($A137="","",IF(AND($W137&gt;0,$V137=""),"IMPORT NEEDS DESTINATION",IF(MIN($Y137,$Z137)&lt;0,"NEGATIVE STOCK - CHECK ENTRIES","")))</f>
        <v/>
      </c>
      <c r="AB137" s="17">
        <v>0</v>
      </c>
      <c r="AC137" s="17">
        <v>0</v>
      </c>
      <c r="AD137" s="15">
        <f t="shared" si="44"/>
        <v>0</v>
      </c>
      <c r="AE137" s="17">
        <v>0</v>
      </c>
      <c r="AF137" s="17">
        <v>0</v>
      </c>
      <c r="AG137" s="15">
        <f t="shared" si="45"/>
        <v>0</v>
      </c>
      <c r="AH137" s="17">
        <v>0</v>
      </c>
      <c r="AI137" s="17">
        <v>0</v>
      </c>
      <c r="AJ137" s="15">
        <f t="shared" si="46"/>
        <v>0</v>
      </c>
      <c r="AK137" s="17">
        <v>0</v>
      </c>
      <c r="AL137" s="17">
        <v>0</v>
      </c>
      <c r="AM137" s="15">
        <f t="shared" si="47"/>
        <v>0</v>
      </c>
      <c r="AN137" s="17"/>
    </row>
    <row r="138" spans="1:40" x14ac:dyDescent="0.3">
      <c r="A138" s="15" t="s">
        <v>92</v>
      </c>
      <c r="B138" s="15">
        <v>100</v>
      </c>
      <c r="C138" s="15" t="s">
        <v>54</v>
      </c>
      <c r="D138" s="15" t="s">
        <v>68</v>
      </c>
      <c r="E138" s="69" cm="1">
        <f t="array" ref="E138">MAX(0,IFERROR(_xlfn.XLOOKUP($A138&amp;"|"&amp;$B138&amp;"|"&amp;$D138,'29-AUGUST-2026'!$A$3:$A$197&amp;"|"&amp;'29-AUGUST-2026'!$B$3:$B$197&amp;"|"&amp;'29-AUGUST-2026'!$D$3:$D$197,'29-AUGUST-2026'!$Y$3:$Y$197,_xlfn.XLOOKUP($A138&amp;"|"&amp;$B138,'29-AUGUST-2026'!$A$3:$A$197&amp;"|"&amp;'29-AUGUST-2026'!$B$3:$B$197,'29-AUGUST-2026'!$Y$3:$Y$197,0)),0))</f>
        <v>4</v>
      </c>
      <c r="F138" s="69" cm="1">
        <f t="array" ref="F138">MAX(0,IFERROR(_xlfn.XLOOKUP($A138&amp;"|"&amp;$B138&amp;"|"&amp;$D138,'29-AUGUST-2026'!$A$3:$A$197&amp;"|"&amp;'29-AUGUST-2026'!$B$3:$B$197&amp;"|"&amp;'29-AUGUST-2026'!$D$3:$D$197,'29-AUGUST-2026'!$Z$3:$Z$197,_xlfn.XLOOKUP($A138&amp;"|"&amp;$B138,'29-AUGUST-2026'!$A$3:$A$197&amp;"|"&amp;'29-AUGUST-2026'!$B$3:$B$197,'29-AUGUST-2026'!$Z$3:$Z$197,0)),0))</f>
        <v>0</v>
      </c>
      <c r="G138" s="15">
        <f t="shared" si="40"/>
        <v>4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20">
        <v>0</v>
      </c>
      <c r="S138" s="20">
        <v>0</v>
      </c>
      <c r="T138" s="20">
        <v>0</v>
      </c>
      <c r="U138" s="17"/>
      <c r="V138" s="17"/>
      <c r="W138" s="20">
        <f t="shared" si="41"/>
        <v>0</v>
      </c>
      <c r="X138" s="21">
        <f t="shared" si="39"/>
        <v>4</v>
      </c>
      <c r="Y138" s="15">
        <f t="shared" si="42"/>
        <v>4</v>
      </c>
      <c r="Z138" s="15">
        <f t="shared" si="43"/>
        <v>0</v>
      </c>
      <c r="AA138" s="18" t="str">
        <f>IF($A138="","",IF(AND($W138&gt;0,$V138=""),"IMPORT NEEDS DESTINATION",IF(MIN($Y138,$Z138)&lt;0,"NEGATIVE STOCK - CHECK ENTRIES","")))</f>
        <v/>
      </c>
      <c r="AB138" s="17">
        <v>0</v>
      </c>
      <c r="AC138" s="17">
        <v>0</v>
      </c>
      <c r="AD138" s="15">
        <f t="shared" si="44"/>
        <v>0</v>
      </c>
      <c r="AE138" s="17">
        <v>0</v>
      </c>
      <c r="AF138" s="17">
        <v>0</v>
      </c>
      <c r="AG138" s="15">
        <f t="shared" si="45"/>
        <v>0</v>
      </c>
      <c r="AH138" s="17">
        <v>0</v>
      </c>
      <c r="AI138" s="17">
        <v>0</v>
      </c>
      <c r="AJ138" s="15">
        <f t="shared" si="46"/>
        <v>0</v>
      </c>
      <c r="AK138" s="17">
        <v>0</v>
      </c>
      <c r="AL138" s="17">
        <v>0</v>
      </c>
      <c r="AM138" s="15">
        <f t="shared" si="47"/>
        <v>0</v>
      </c>
      <c r="AN138" s="17"/>
    </row>
    <row r="139" spans="1:40" x14ac:dyDescent="0.3">
      <c r="A139" s="15" t="s">
        <v>93</v>
      </c>
      <c r="B139" s="15">
        <v>100000</v>
      </c>
      <c r="C139" s="15" t="s">
        <v>54</v>
      </c>
      <c r="D139" s="15" t="s">
        <v>68</v>
      </c>
      <c r="E139" s="69" cm="1">
        <f t="array" ref="E139">MAX(0,IFERROR(_xlfn.XLOOKUP($A139&amp;"|"&amp;$B139&amp;"|"&amp;$D139,'29-AUGUST-2026'!$A$3:$A$197&amp;"|"&amp;'29-AUGUST-2026'!$B$3:$B$197&amp;"|"&amp;'29-AUGUST-2026'!$D$3:$D$197,'29-AUGUST-2026'!$Y$3:$Y$197,_xlfn.XLOOKUP($A139&amp;"|"&amp;$B139,'29-AUGUST-2026'!$A$3:$A$197&amp;"|"&amp;'29-AUGUST-2026'!$B$3:$B$197,'29-AUGUST-2026'!$Y$3:$Y$197,0)),0))</f>
        <v>2</v>
      </c>
      <c r="F139" s="69" cm="1">
        <f t="array" ref="F139">MAX(0,IFERROR(_xlfn.XLOOKUP($A139&amp;"|"&amp;$B139&amp;"|"&amp;$D139,'29-AUGUST-2026'!$A$3:$A$197&amp;"|"&amp;'29-AUGUST-2026'!$B$3:$B$197&amp;"|"&amp;'29-AUGUST-2026'!$D$3:$D$197,'29-AUGUST-2026'!$Z$3:$Z$197,_xlfn.XLOOKUP($A139&amp;"|"&amp;$B139,'29-AUGUST-2026'!$A$3:$A$197&amp;"|"&amp;'29-AUGUST-2026'!$B$3:$B$197,'29-AUGUST-2026'!$Z$3:$Z$197,0)),0))</f>
        <v>0</v>
      </c>
      <c r="G139" s="15">
        <f t="shared" si="40"/>
        <v>2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20">
        <v>0</v>
      </c>
      <c r="S139" s="20">
        <v>0</v>
      </c>
      <c r="T139" s="20">
        <v>0</v>
      </c>
      <c r="U139" s="17"/>
      <c r="V139" s="17"/>
      <c r="W139" s="20">
        <f t="shared" si="41"/>
        <v>0</v>
      </c>
      <c r="X139" s="21">
        <f t="shared" si="39"/>
        <v>2</v>
      </c>
      <c r="Y139" s="15">
        <f t="shared" si="42"/>
        <v>2</v>
      </c>
      <c r="Z139" s="15">
        <f t="shared" si="43"/>
        <v>0</v>
      </c>
      <c r="AA139" s="18" t="str">
        <f>IF($A139="","",IF(AND($W139&gt;0,$V139=""),"IMPORT NEEDS DESTINATION",IF(MIN($Y139,$Z139)&lt;0,"NEGATIVE STOCK - CHECK ENTRIES","")))</f>
        <v/>
      </c>
      <c r="AB139" s="17">
        <v>0</v>
      </c>
      <c r="AC139" s="17">
        <v>0</v>
      </c>
      <c r="AD139" s="15">
        <f t="shared" si="44"/>
        <v>0</v>
      </c>
      <c r="AE139" s="17">
        <v>0</v>
      </c>
      <c r="AF139" s="17">
        <v>0</v>
      </c>
      <c r="AG139" s="15">
        <f t="shared" si="45"/>
        <v>0</v>
      </c>
      <c r="AH139" s="17">
        <v>0</v>
      </c>
      <c r="AI139" s="17">
        <v>0</v>
      </c>
      <c r="AJ139" s="15">
        <f t="shared" si="46"/>
        <v>0</v>
      </c>
      <c r="AK139" s="17">
        <v>0</v>
      </c>
      <c r="AL139" s="17">
        <v>0</v>
      </c>
      <c r="AM139" s="15">
        <f t="shared" si="47"/>
        <v>0</v>
      </c>
      <c r="AN139" s="17"/>
    </row>
    <row r="140" spans="1:40" x14ac:dyDescent="0.3">
      <c r="A140" s="15" t="s">
        <v>100</v>
      </c>
      <c r="B140" s="15">
        <v>100</v>
      </c>
      <c r="C140" s="15" t="s">
        <v>54</v>
      </c>
      <c r="D140" s="15" t="s">
        <v>68</v>
      </c>
      <c r="E140" s="69" cm="1">
        <f t="array" ref="E140">MAX(0,IFERROR(_xlfn.XLOOKUP($A140&amp;"|"&amp;$B140&amp;"|"&amp;$D140,'29-AUGUST-2026'!$A$3:$A$197&amp;"|"&amp;'29-AUGUST-2026'!$B$3:$B$197&amp;"|"&amp;'29-AUGUST-2026'!$D$3:$D$197,'29-AUGUST-2026'!$Y$3:$Y$197,_xlfn.XLOOKUP($A140&amp;"|"&amp;$B140,'29-AUGUST-2026'!$A$3:$A$197&amp;"|"&amp;'29-AUGUST-2026'!$B$3:$B$197,'29-AUGUST-2026'!$Y$3:$Y$197,0)),0))</f>
        <v>3</v>
      </c>
      <c r="F140" s="69" cm="1">
        <f t="array" ref="F140">MAX(0,IFERROR(_xlfn.XLOOKUP($A140&amp;"|"&amp;$B140&amp;"|"&amp;$D140,'29-AUGUST-2026'!$A$3:$A$197&amp;"|"&amp;'29-AUGUST-2026'!$B$3:$B$197&amp;"|"&amp;'29-AUGUST-2026'!$D$3:$D$197,'29-AUGUST-2026'!$Z$3:$Z$197,_xlfn.XLOOKUP($A140&amp;"|"&amp;$B140,'29-AUGUST-2026'!$A$3:$A$197&amp;"|"&amp;'29-AUGUST-2026'!$B$3:$B$197,'29-AUGUST-2026'!$Z$3:$Z$197,0)),0))</f>
        <v>0</v>
      </c>
      <c r="G140" s="15">
        <f t="shared" si="40"/>
        <v>3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20">
        <v>0</v>
      </c>
      <c r="S140" s="20">
        <v>0</v>
      </c>
      <c r="T140" s="20">
        <v>0</v>
      </c>
      <c r="U140" s="17"/>
      <c r="V140" s="17"/>
      <c r="W140" s="20">
        <f t="shared" si="41"/>
        <v>0</v>
      </c>
      <c r="X140" s="21">
        <f t="shared" si="39"/>
        <v>3</v>
      </c>
      <c r="Y140" s="15">
        <f t="shared" si="42"/>
        <v>3</v>
      </c>
      <c r="Z140" s="15">
        <f t="shared" si="43"/>
        <v>0</v>
      </c>
      <c r="AA140" s="18" t="str">
        <f>IF($A140="","",IF(AND($W140&gt;0,$V140=""),"IMPORT NEEDS DESTINATION",IF(MIN($Y140,$Z140)&lt;0,"NEGATIVE STOCK - CHECK ENTRIES","")))</f>
        <v/>
      </c>
      <c r="AB140" s="17">
        <v>0</v>
      </c>
      <c r="AC140" s="17">
        <v>0</v>
      </c>
      <c r="AD140" s="15">
        <f t="shared" si="44"/>
        <v>0</v>
      </c>
      <c r="AE140" s="17">
        <v>0</v>
      </c>
      <c r="AF140" s="17">
        <v>0</v>
      </c>
      <c r="AG140" s="15">
        <f t="shared" si="45"/>
        <v>0</v>
      </c>
      <c r="AH140" s="17">
        <v>0</v>
      </c>
      <c r="AI140" s="17">
        <v>0</v>
      </c>
      <c r="AJ140" s="15">
        <f t="shared" si="46"/>
        <v>0</v>
      </c>
      <c r="AK140" s="17">
        <v>0</v>
      </c>
      <c r="AL140" s="17">
        <v>0</v>
      </c>
      <c r="AM140" s="15">
        <f t="shared" si="47"/>
        <v>0</v>
      </c>
      <c r="AN140" s="17"/>
    </row>
    <row r="141" spans="1:40" x14ac:dyDescent="0.3">
      <c r="A141" s="15" t="s">
        <v>101</v>
      </c>
      <c r="B141" s="15">
        <v>1000</v>
      </c>
      <c r="C141" s="15" t="s">
        <v>54</v>
      </c>
      <c r="D141" s="15" t="s">
        <v>68</v>
      </c>
      <c r="E141" s="69" cm="1">
        <f t="array" ref="E141">MAX(0,IFERROR(_xlfn.XLOOKUP($A141&amp;"|"&amp;$B141&amp;"|"&amp;$D141,'29-AUGUST-2026'!$A$3:$A$197&amp;"|"&amp;'29-AUGUST-2026'!$B$3:$B$197&amp;"|"&amp;'29-AUGUST-2026'!$D$3:$D$197,'29-AUGUST-2026'!$Y$3:$Y$197,_xlfn.XLOOKUP($A141&amp;"|"&amp;$B141,'29-AUGUST-2026'!$A$3:$A$197&amp;"|"&amp;'29-AUGUST-2026'!$B$3:$B$197,'29-AUGUST-2026'!$Y$3:$Y$197,0)),0))</f>
        <v>3</v>
      </c>
      <c r="F141" s="69" cm="1">
        <f t="array" ref="F141">MAX(0,IFERROR(_xlfn.XLOOKUP($A141&amp;"|"&amp;$B141&amp;"|"&amp;$D141,'29-AUGUST-2026'!$A$3:$A$197&amp;"|"&amp;'29-AUGUST-2026'!$B$3:$B$197&amp;"|"&amp;'29-AUGUST-2026'!$D$3:$D$197,'29-AUGUST-2026'!$Z$3:$Z$197,_xlfn.XLOOKUP($A141&amp;"|"&amp;$B141,'29-AUGUST-2026'!$A$3:$A$197&amp;"|"&amp;'29-AUGUST-2026'!$B$3:$B$197,'29-AUGUST-2026'!$Z$3:$Z$197,0)),0))</f>
        <v>0</v>
      </c>
      <c r="G141" s="15">
        <f t="shared" si="40"/>
        <v>3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20">
        <v>0</v>
      </c>
      <c r="S141" s="20">
        <v>0</v>
      </c>
      <c r="T141" s="20">
        <v>0</v>
      </c>
      <c r="U141" s="17"/>
      <c r="V141" s="17"/>
      <c r="W141" s="20">
        <f t="shared" si="41"/>
        <v>0</v>
      </c>
      <c r="X141" s="21">
        <f t="shared" si="39"/>
        <v>3</v>
      </c>
      <c r="Y141" s="15">
        <f t="shared" si="42"/>
        <v>3</v>
      </c>
      <c r="Z141" s="15">
        <f t="shared" si="43"/>
        <v>0</v>
      </c>
      <c r="AA141" s="18" t="str">
        <f>IF($A141="","",IF(AND($W141&gt;0,$V141=""),"IMPORT NEEDS DESTINATION",IF(MIN($Y141,$Z141)&lt;0,"NEGATIVE STOCK - CHECK ENTRIES","")))</f>
        <v/>
      </c>
      <c r="AB141" s="17">
        <v>0</v>
      </c>
      <c r="AC141" s="17">
        <v>0</v>
      </c>
      <c r="AD141" s="15">
        <f t="shared" si="44"/>
        <v>0</v>
      </c>
      <c r="AE141" s="17">
        <v>0</v>
      </c>
      <c r="AF141" s="17">
        <v>0</v>
      </c>
      <c r="AG141" s="15">
        <f t="shared" si="45"/>
        <v>0</v>
      </c>
      <c r="AH141" s="17">
        <v>0</v>
      </c>
      <c r="AI141" s="17">
        <v>0</v>
      </c>
      <c r="AJ141" s="15">
        <f t="shared" si="46"/>
        <v>0</v>
      </c>
      <c r="AK141" s="17">
        <v>0</v>
      </c>
      <c r="AL141" s="17">
        <v>0</v>
      </c>
      <c r="AM141" s="15">
        <f t="shared" si="47"/>
        <v>0</v>
      </c>
      <c r="AN141" s="17"/>
    </row>
    <row r="142" spans="1:40" x14ac:dyDescent="0.3">
      <c r="A142" s="15" t="s">
        <v>103</v>
      </c>
      <c r="B142" s="15">
        <v>1000</v>
      </c>
      <c r="C142" s="15" t="s">
        <v>54</v>
      </c>
      <c r="D142" s="15" t="s">
        <v>68</v>
      </c>
      <c r="E142" s="69" cm="1">
        <f t="array" ref="E142">MAX(0,IFERROR(_xlfn.XLOOKUP($A142&amp;"|"&amp;$B142&amp;"|"&amp;$D142,'29-AUGUST-2026'!$A$3:$A$197&amp;"|"&amp;'29-AUGUST-2026'!$B$3:$B$197&amp;"|"&amp;'29-AUGUST-2026'!$D$3:$D$197,'29-AUGUST-2026'!$Y$3:$Y$197,_xlfn.XLOOKUP($A142&amp;"|"&amp;$B142,'29-AUGUST-2026'!$A$3:$A$197&amp;"|"&amp;'29-AUGUST-2026'!$B$3:$B$197,'29-AUGUST-2026'!$Y$3:$Y$197,0)),0))</f>
        <v>1</v>
      </c>
      <c r="F142" s="69" cm="1">
        <f t="array" ref="F142">MAX(0,IFERROR(_xlfn.XLOOKUP($A142&amp;"|"&amp;$B142&amp;"|"&amp;$D142,'29-AUGUST-2026'!$A$3:$A$197&amp;"|"&amp;'29-AUGUST-2026'!$B$3:$B$197&amp;"|"&amp;'29-AUGUST-2026'!$D$3:$D$197,'29-AUGUST-2026'!$Z$3:$Z$197,_xlfn.XLOOKUP($A142&amp;"|"&amp;$B142,'29-AUGUST-2026'!$A$3:$A$197&amp;"|"&amp;'29-AUGUST-2026'!$B$3:$B$197,'29-AUGUST-2026'!$Z$3:$Z$197,0)),0))</f>
        <v>0</v>
      </c>
      <c r="G142" s="15">
        <f t="shared" si="40"/>
        <v>1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20">
        <v>0</v>
      </c>
      <c r="S142" s="20">
        <v>0</v>
      </c>
      <c r="T142" s="20">
        <v>0</v>
      </c>
      <c r="U142" s="17"/>
      <c r="V142" s="17"/>
      <c r="W142" s="20">
        <f t="shared" si="41"/>
        <v>0</v>
      </c>
      <c r="X142" s="21">
        <f t="shared" ref="X142:X173" si="48">Y142+Z142</f>
        <v>1</v>
      </c>
      <c r="Y142" s="15">
        <f t="shared" si="42"/>
        <v>1</v>
      </c>
      <c r="Z142" s="15">
        <f t="shared" si="43"/>
        <v>0</v>
      </c>
      <c r="AA142" s="18" t="str">
        <f>IF($A142="","",IF(AND($W142&gt;0,$V142=""),"IMPORT NEEDS DESTINATION",IF(MIN($Y142,$Z142)&lt;0,"NEGATIVE STOCK - CHECK ENTRIES","")))</f>
        <v/>
      </c>
      <c r="AB142" s="17">
        <v>0</v>
      </c>
      <c r="AC142" s="17">
        <v>0</v>
      </c>
      <c r="AD142" s="15">
        <f t="shared" si="44"/>
        <v>0</v>
      </c>
      <c r="AE142" s="17">
        <v>0</v>
      </c>
      <c r="AF142" s="17">
        <v>0</v>
      </c>
      <c r="AG142" s="15">
        <f t="shared" si="45"/>
        <v>0</v>
      </c>
      <c r="AH142" s="17">
        <v>0</v>
      </c>
      <c r="AI142" s="17">
        <v>0</v>
      </c>
      <c r="AJ142" s="15">
        <f t="shared" si="46"/>
        <v>0</v>
      </c>
      <c r="AK142" s="17">
        <v>0</v>
      </c>
      <c r="AL142" s="17">
        <v>0</v>
      </c>
      <c r="AM142" s="15">
        <f t="shared" si="47"/>
        <v>0</v>
      </c>
      <c r="AN142" s="17"/>
    </row>
    <row r="143" spans="1:40" x14ac:dyDescent="0.3">
      <c r="A143" s="15" t="s">
        <v>105</v>
      </c>
      <c r="B143" s="15">
        <v>100000</v>
      </c>
      <c r="C143" s="15" t="s">
        <v>54</v>
      </c>
      <c r="D143" s="15" t="s">
        <v>68</v>
      </c>
      <c r="E143" s="69" cm="1">
        <f t="array" ref="E143">MAX(0,IFERROR(_xlfn.XLOOKUP($A143&amp;"|"&amp;$B143&amp;"|"&amp;$D143,'29-AUGUST-2026'!$A$3:$A$197&amp;"|"&amp;'29-AUGUST-2026'!$B$3:$B$197&amp;"|"&amp;'29-AUGUST-2026'!$D$3:$D$197,'29-AUGUST-2026'!$Y$3:$Y$197,_xlfn.XLOOKUP($A143&amp;"|"&amp;$B143,'29-AUGUST-2026'!$A$3:$A$197&amp;"|"&amp;'29-AUGUST-2026'!$B$3:$B$197,'29-AUGUST-2026'!$Y$3:$Y$197,0)),0))</f>
        <v>2</v>
      </c>
      <c r="F143" s="69" cm="1">
        <f t="array" ref="F143">MAX(0,IFERROR(_xlfn.XLOOKUP($A143&amp;"|"&amp;$B143&amp;"|"&amp;$D143,'29-AUGUST-2026'!$A$3:$A$197&amp;"|"&amp;'29-AUGUST-2026'!$B$3:$B$197&amp;"|"&amp;'29-AUGUST-2026'!$D$3:$D$197,'29-AUGUST-2026'!$Z$3:$Z$197,_xlfn.XLOOKUP($A143&amp;"|"&amp;$B143,'29-AUGUST-2026'!$A$3:$A$197&amp;"|"&amp;'29-AUGUST-2026'!$B$3:$B$197,'29-AUGUST-2026'!$Z$3:$Z$197,0)),0))</f>
        <v>0</v>
      </c>
      <c r="G143" s="15">
        <f t="shared" si="40"/>
        <v>2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20">
        <v>0</v>
      </c>
      <c r="S143" s="20">
        <v>0</v>
      </c>
      <c r="T143" s="20">
        <v>0</v>
      </c>
      <c r="U143" s="17"/>
      <c r="V143" s="17"/>
      <c r="W143" s="20">
        <f t="shared" si="41"/>
        <v>0</v>
      </c>
      <c r="X143" s="21">
        <f t="shared" si="48"/>
        <v>2</v>
      </c>
      <c r="Y143" s="15">
        <f t="shared" si="42"/>
        <v>2</v>
      </c>
      <c r="Z143" s="15">
        <f t="shared" si="43"/>
        <v>0</v>
      </c>
      <c r="AA143" s="18" t="str">
        <f>IF($A143="","",IF(AND($W143&gt;0,$V143=""),"IMPORT NEEDS DESTINATION",IF(MIN($Y143,$Z143)&lt;0,"NEGATIVE STOCK - CHECK ENTRIES","")))</f>
        <v/>
      </c>
      <c r="AB143" s="17">
        <v>0</v>
      </c>
      <c r="AC143" s="17">
        <v>0</v>
      </c>
      <c r="AD143" s="15">
        <f t="shared" si="44"/>
        <v>0</v>
      </c>
      <c r="AE143" s="17">
        <v>0</v>
      </c>
      <c r="AF143" s="17">
        <v>0</v>
      </c>
      <c r="AG143" s="15">
        <f t="shared" si="45"/>
        <v>0</v>
      </c>
      <c r="AH143" s="17">
        <v>0</v>
      </c>
      <c r="AI143" s="17">
        <v>0</v>
      </c>
      <c r="AJ143" s="15">
        <f t="shared" si="46"/>
        <v>0</v>
      </c>
      <c r="AK143" s="17">
        <v>0</v>
      </c>
      <c r="AL143" s="17">
        <v>0</v>
      </c>
      <c r="AM143" s="15">
        <f t="shared" si="47"/>
        <v>0</v>
      </c>
      <c r="AN143" s="17"/>
    </row>
    <row r="144" spans="1:40" x14ac:dyDescent="0.3">
      <c r="A144" s="15" t="s">
        <v>107</v>
      </c>
      <c r="B144" s="15">
        <v>100000</v>
      </c>
      <c r="C144" s="15" t="s">
        <v>54</v>
      </c>
      <c r="D144" s="15" t="s">
        <v>68</v>
      </c>
      <c r="E144" s="69" cm="1">
        <f t="array" ref="E144">MAX(0,IFERROR(_xlfn.XLOOKUP($A144&amp;"|"&amp;$B144&amp;"|"&amp;$D144,'29-AUGUST-2026'!$A$3:$A$197&amp;"|"&amp;'29-AUGUST-2026'!$B$3:$B$197&amp;"|"&amp;'29-AUGUST-2026'!$D$3:$D$197,'29-AUGUST-2026'!$Y$3:$Y$197,_xlfn.XLOOKUP($A144&amp;"|"&amp;$B144,'29-AUGUST-2026'!$A$3:$A$197&amp;"|"&amp;'29-AUGUST-2026'!$B$3:$B$197,'29-AUGUST-2026'!$Y$3:$Y$197,0)),0))</f>
        <v>5</v>
      </c>
      <c r="F144" s="69" cm="1">
        <f t="array" ref="F144">MAX(0,IFERROR(_xlfn.XLOOKUP($A144&amp;"|"&amp;$B144&amp;"|"&amp;$D144,'29-AUGUST-2026'!$A$3:$A$197&amp;"|"&amp;'29-AUGUST-2026'!$B$3:$B$197&amp;"|"&amp;'29-AUGUST-2026'!$D$3:$D$197,'29-AUGUST-2026'!$Z$3:$Z$197,_xlfn.XLOOKUP($A144&amp;"|"&amp;$B144,'29-AUGUST-2026'!$A$3:$A$197&amp;"|"&amp;'29-AUGUST-2026'!$B$3:$B$197,'29-AUGUST-2026'!$Z$3:$Z$197,0)),0))</f>
        <v>0</v>
      </c>
      <c r="G144" s="15">
        <f t="shared" si="40"/>
        <v>5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20">
        <v>0</v>
      </c>
      <c r="S144" s="20">
        <v>0</v>
      </c>
      <c r="T144" s="20">
        <v>0</v>
      </c>
      <c r="U144" s="17"/>
      <c r="V144" s="17"/>
      <c r="W144" s="20">
        <f t="shared" si="41"/>
        <v>0</v>
      </c>
      <c r="X144" s="21">
        <f t="shared" si="48"/>
        <v>5</v>
      </c>
      <c r="Y144" s="15">
        <f t="shared" si="42"/>
        <v>5</v>
      </c>
      <c r="Z144" s="15">
        <f t="shared" si="43"/>
        <v>0</v>
      </c>
      <c r="AA144" s="18" t="str">
        <f>IF($A144="","",IF(AND($W144&gt;0,$V144=""),"IMPORT NEEDS DESTINATION",IF(MIN($Y144,$Z144)&lt;0,"NEGATIVE STOCK - CHECK ENTRIES","")))</f>
        <v/>
      </c>
      <c r="AB144" s="17">
        <v>0</v>
      </c>
      <c r="AC144" s="17">
        <v>0</v>
      </c>
      <c r="AD144" s="15">
        <f t="shared" si="44"/>
        <v>0</v>
      </c>
      <c r="AE144" s="17">
        <v>0</v>
      </c>
      <c r="AF144" s="17">
        <v>0</v>
      </c>
      <c r="AG144" s="15">
        <f t="shared" si="45"/>
        <v>0</v>
      </c>
      <c r="AH144" s="17">
        <v>0</v>
      </c>
      <c r="AI144" s="17">
        <v>0</v>
      </c>
      <c r="AJ144" s="15">
        <f t="shared" si="46"/>
        <v>0</v>
      </c>
      <c r="AK144" s="17">
        <v>0</v>
      </c>
      <c r="AL144" s="17">
        <v>0</v>
      </c>
      <c r="AM144" s="15">
        <f t="shared" si="47"/>
        <v>0</v>
      </c>
      <c r="AN144" s="17"/>
    </row>
    <row r="145" spans="1:40" x14ac:dyDescent="0.3">
      <c r="A145" s="15" t="s">
        <v>108</v>
      </c>
      <c r="B145" s="15">
        <v>100</v>
      </c>
      <c r="C145" s="15" t="s">
        <v>54</v>
      </c>
      <c r="D145" s="15" t="s">
        <v>68</v>
      </c>
      <c r="E145" s="69" cm="1">
        <f t="array" ref="E145">MAX(0,IFERROR(_xlfn.XLOOKUP($A145&amp;"|"&amp;$B145&amp;"|"&amp;$D145,'29-AUGUST-2026'!$A$3:$A$197&amp;"|"&amp;'29-AUGUST-2026'!$B$3:$B$197&amp;"|"&amp;'29-AUGUST-2026'!$D$3:$D$197,'29-AUGUST-2026'!$Y$3:$Y$197,_xlfn.XLOOKUP($A145&amp;"|"&amp;$B145,'29-AUGUST-2026'!$A$3:$A$197&amp;"|"&amp;'29-AUGUST-2026'!$B$3:$B$197,'29-AUGUST-2026'!$Y$3:$Y$197,0)),0))</f>
        <v>3</v>
      </c>
      <c r="F145" s="69" cm="1">
        <f t="array" ref="F145">MAX(0,IFERROR(_xlfn.XLOOKUP($A145&amp;"|"&amp;$B145&amp;"|"&amp;$D145,'29-AUGUST-2026'!$A$3:$A$197&amp;"|"&amp;'29-AUGUST-2026'!$B$3:$B$197&amp;"|"&amp;'29-AUGUST-2026'!$D$3:$D$197,'29-AUGUST-2026'!$Z$3:$Z$197,_xlfn.XLOOKUP($A145&amp;"|"&amp;$B145,'29-AUGUST-2026'!$A$3:$A$197&amp;"|"&amp;'29-AUGUST-2026'!$B$3:$B$197,'29-AUGUST-2026'!$Z$3:$Z$197,0)),0))</f>
        <v>0</v>
      </c>
      <c r="G145" s="15">
        <f t="shared" si="40"/>
        <v>3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20">
        <v>0</v>
      </c>
      <c r="S145" s="20">
        <v>0</v>
      </c>
      <c r="T145" s="20">
        <v>0</v>
      </c>
      <c r="U145" s="17"/>
      <c r="V145" s="17"/>
      <c r="W145" s="20">
        <f t="shared" si="41"/>
        <v>0</v>
      </c>
      <c r="X145" s="21">
        <f t="shared" si="48"/>
        <v>3</v>
      </c>
      <c r="Y145" s="15">
        <f t="shared" si="42"/>
        <v>3</v>
      </c>
      <c r="Z145" s="15">
        <f t="shared" si="43"/>
        <v>0</v>
      </c>
      <c r="AA145" s="18" t="str">
        <f>IF($A145="","",IF(AND($W145&gt;0,$V145=""),"IMPORT NEEDS DESTINATION",IF(MIN($Y145,$Z145)&lt;0,"NEGATIVE STOCK - CHECK ENTRIES","")))</f>
        <v/>
      </c>
      <c r="AB145" s="17">
        <v>0</v>
      </c>
      <c r="AC145" s="17">
        <v>0</v>
      </c>
      <c r="AD145" s="15">
        <f t="shared" si="44"/>
        <v>0</v>
      </c>
      <c r="AE145" s="17">
        <v>0</v>
      </c>
      <c r="AF145" s="17">
        <v>0</v>
      </c>
      <c r="AG145" s="15">
        <f t="shared" si="45"/>
        <v>0</v>
      </c>
      <c r="AH145" s="17">
        <v>0</v>
      </c>
      <c r="AI145" s="17">
        <v>0</v>
      </c>
      <c r="AJ145" s="15">
        <f t="shared" si="46"/>
        <v>0</v>
      </c>
      <c r="AK145" s="17">
        <v>0</v>
      </c>
      <c r="AL145" s="17">
        <v>0</v>
      </c>
      <c r="AM145" s="15">
        <f t="shared" si="47"/>
        <v>0</v>
      </c>
      <c r="AN145" s="17"/>
    </row>
    <row r="146" spans="1:40" x14ac:dyDescent="0.3">
      <c r="A146" s="15" t="s">
        <v>111</v>
      </c>
      <c r="B146" s="15">
        <v>1000</v>
      </c>
      <c r="C146" s="15" t="s">
        <v>54</v>
      </c>
      <c r="D146" s="15" t="s">
        <v>68</v>
      </c>
      <c r="E146" s="69" cm="1">
        <f t="array" ref="E146">MAX(0,IFERROR(_xlfn.XLOOKUP($A146&amp;"|"&amp;$B146&amp;"|"&amp;$D146,'29-AUGUST-2026'!$A$3:$A$197&amp;"|"&amp;'29-AUGUST-2026'!$B$3:$B$197&amp;"|"&amp;'29-AUGUST-2026'!$D$3:$D$197,'29-AUGUST-2026'!$Y$3:$Y$197,_xlfn.XLOOKUP($A146&amp;"|"&amp;$B146,'29-AUGUST-2026'!$A$3:$A$197&amp;"|"&amp;'29-AUGUST-2026'!$B$3:$B$197,'29-AUGUST-2026'!$Y$3:$Y$197,0)),0))</f>
        <v>3</v>
      </c>
      <c r="F146" s="69" cm="1">
        <f t="array" ref="F146">MAX(0,IFERROR(_xlfn.XLOOKUP($A146&amp;"|"&amp;$B146&amp;"|"&amp;$D146,'29-AUGUST-2026'!$A$3:$A$197&amp;"|"&amp;'29-AUGUST-2026'!$B$3:$B$197&amp;"|"&amp;'29-AUGUST-2026'!$D$3:$D$197,'29-AUGUST-2026'!$Z$3:$Z$197,_xlfn.XLOOKUP($A146&amp;"|"&amp;$B146,'29-AUGUST-2026'!$A$3:$A$197&amp;"|"&amp;'29-AUGUST-2026'!$B$3:$B$197,'29-AUGUST-2026'!$Z$3:$Z$197,0)),0))</f>
        <v>0</v>
      </c>
      <c r="G146" s="15">
        <f t="shared" si="40"/>
        <v>3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20">
        <v>0</v>
      </c>
      <c r="S146" s="20">
        <v>0</v>
      </c>
      <c r="T146" s="20">
        <v>0</v>
      </c>
      <c r="U146" s="17"/>
      <c r="V146" s="17"/>
      <c r="W146" s="20">
        <f t="shared" si="41"/>
        <v>0</v>
      </c>
      <c r="X146" s="21">
        <f t="shared" si="48"/>
        <v>3</v>
      </c>
      <c r="Y146" s="15">
        <f t="shared" si="42"/>
        <v>3</v>
      </c>
      <c r="Z146" s="15">
        <f t="shared" si="43"/>
        <v>0</v>
      </c>
      <c r="AA146" s="18" t="str">
        <f>IF($A146="","",IF(AND($W146&gt;0,$V146=""),"IMPORT NEEDS DESTINATION",IF(MIN($Y146,$Z146)&lt;0,"NEGATIVE STOCK - CHECK ENTRIES","")))</f>
        <v/>
      </c>
      <c r="AB146" s="17">
        <v>0</v>
      </c>
      <c r="AC146" s="17">
        <v>0</v>
      </c>
      <c r="AD146" s="15">
        <f t="shared" si="44"/>
        <v>0</v>
      </c>
      <c r="AE146" s="17">
        <v>0</v>
      </c>
      <c r="AF146" s="17">
        <v>0</v>
      </c>
      <c r="AG146" s="15">
        <f t="shared" si="45"/>
        <v>0</v>
      </c>
      <c r="AH146" s="17">
        <v>0</v>
      </c>
      <c r="AI146" s="17">
        <v>0</v>
      </c>
      <c r="AJ146" s="15">
        <f t="shared" si="46"/>
        <v>0</v>
      </c>
      <c r="AK146" s="17">
        <v>0</v>
      </c>
      <c r="AL146" s="17">
        <v>0</v>
      </c>
      <c r="AM146" s="15">
        <f t="shared" si="47"/>
        <v>0</v>
      </c>
      <c r="AN146" s="17"/>
    </row>
    <row r="147" spans="1:40" x14ac:dyDescent="0.3">
      <c r="A147" s="15" t="s">
        <v>112</v>
      </c>
      <c r="B147" s="15">
        <v>1000</v>
      </c>
      <c r="C147" s="15" t="s">
        <v>54</v>
      </c>
      <c r="D147" s="15" t="s">
        <v>68</v>
      </c>
      <c r="E147" s="69" cm="1">
        <f t="array" ref="E147">MAX(0,IFERROR(_xlfn.XLOOKUP($A147&amp;"|"&amp;$B147&amp;"|"&amp;$D147,'29-AUGUST-2026'!$A$3:$A$197&amp;"|"&amp;'29-AUGUST-2026'!$B$3:$B$197&amp;"|"&amp;'29-AUGUST-2026'!$D$3:$D$197,'29-AUGUST-2026'!$Y$3:$Y$197,_xlfn.XLOOKUP($A147&amp;"|"&amp;$B147,'29-AUGUST-2026'!$A$3:$A$197&amp;"|"&amp;'29-AUGUST-2026'!$B$3:$B$197,'29-AUGUST-2026'!$Y$3:$Y$197,0)),0))</f>
        <v>2</v>
      </c>
      <c r="F147" s="69" cm="1">
        <f t="array" ref="F147">MAX(0,IFERROR(_xlfn.XLOOKUP($A147&amp;"|"&amp;$B147&amp;"|"&amp;$D147,'29-AUGUST-2026'!$A$3:$A$197&amp;"|"&amp;'29-AUGUST-2026'!$B$3:$B$197&amp;"|"&amp;'29-AUGUST-2026'!$D$3:$D$197,'29-AUGUST-2026'!$Z$3:$Z$197,_xlfn.XLOOKUP($A147&amp;"|"&amp;$B147,'29-AUGUST-2026'!$A$3:$A$197&amp;"|"&amp;'29-AUGUST-2026'!$B$3:$B$197,'29-AUGUST-2026'!$Z$3:$Z$197,0)),0))</f>
        <v>0</v>
      </c>
      <c r="G147" s="15">
        <f t="shared" si="40"/>
        <v>2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20">
        <v>0</v>
      </c>
      <c r="S147" s="20">
        <v>0</v>
      </c>
      <c r="T147" s="20">
        <v>0</v>
      </c>
      <c r="U147" s="17"/>
      <c r="V147" s="17"/>
      <c r="W147" s="20">
        <f t="shared" si="41"/>
        <v>0</v>
      </c>
      <c r="X147" s="21">
        <f t="shared" si="48"/>
        <v>2</v>
      </c>
      <c r="Y147" s="15">
        <f t="shared" si="42"/>
        <v>2</v>
      </c>
      <c r="Z147" s="15">
        <f t="shared" si="43"/>
        <v>0</v>
      </c>
      <c r="AA147" s="18" t="str">
        <f>IF($A147="","",IF(AND($W147&gt;0,$V147=""),"IMPORT NEEDS DESTINATION",IF(MIN($Y147,$Z147)&lt;0,"NEGATIVE STOCK - CHECK ENTRIES","")))</f>
        <v/>
      </c>
      <c r="AB147" s="17">
        <v>0</v>
      </c>
      <c r="AC147" s="17">
        <v>0</v>
      </c>
      <c r="AD147" s="15">
        <f t="shared" si="44"/>
        <v>0</v>
      </c>
      <c r="AE147" s="17">
        <v>0</v>
      </c>
      <c r="AF147" s="17">
        <v>0</v>
      </c>
      <c r="AG147" s="15">
        <f t="shared" si="45"/>
        <v>0</v>
      </c>
      <c r="AH147" s="17">
        <v>0</v>
      </c>
      <c r="AI147" s="17">
        <v>0</v>
      </c>
      <c r="AJ147" s="15">
        <f t="shared" si="46"/>
        <v>0</v>
      </c>
      <c r="AK147" s="17">
        <v>0</v>
      </c>
      <c r="AL147" s="17">
        <v>0</v>
      </c>
      <c r="AM147" s="15">
        <f t="shared" si="47"/>
        <v>0</v>
      </c>
      <c r="AN147" s="17"/>
    </row>
    <row r="148" spans="1:40" x14ac:dyDescent="0.3">
      <c r="A148" s="15" t="s">
        <v>113</v>
      </c>
      <c r="B148" s="15">
        <v>1000</v>
      </c>
      <c r="C148" s="15" t="s">
        <v>54</v>
      </c>
      <c r="D148" s="15" t="s">
        <v>68</v>
      </c>
      <c r="E148" s="69" cm="1">
        <f t="array" ref="E148">MAX(0,IFERROR(_xlfn.XLOOKUP($A148&amp;"|"&amp;$B148&amp;"|"&amp;$D148,'29-AUGUST-2026'!$A$3:$A$197&amp;"|"&amp;'29-AUGUST-2026'!$B$3:$B$197&amp;"|"&amp;'29-AUGUST-2026'!$D$3:$D$197,'29-AUGUST-2026'!$Y$3:$Y$197,_xlfn.XLOOKUP($A148&amp;"|"&amp;$B148,'29-AUGUST-2026'!$A$3:$A$197&amp;"|"&amp;'29-AUGUST-2026'!$B$3:$B$197,'29-AUGUST-2026'!$Y$3:$Y$197,0)),0))</f>
        <v>4</v>
      </c>
      <c r="F148" s="69" cm="1">
        <f t="array" ref="F148">MAX(0,IFERROR(_xlfn.XLOOKUP($A148&amp;"|"&amp;$B148&amp;"|"&amp;$D148,'29-AUGUST-2026'!$A$3:$A$197&amp;"|"&amp;'29-AUGUST-2026'!$B$3:$B$197&amp;"|"&amp;'29-AUGUST-2026'!$D$3:$D$197,'29-AUGUST-2026'!$Z$3:$Z$197,_xlfn.XLOOKUP($A148&amp;"|"&amp;$B148,'29-AUGUST-2026'!$A$3:$A$197&amp;"|"&amp;'29-AUGUST-2026'!$B$3:$B$197,'29-AUGUST-2026'!$Z$3:$Z$197,0)),0))</f>
        <v>0</v>
      </c>
      <c r="G148" s="15">
        <f t="shared" si="40"/>
        <v>4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20">
        <v>0</v>
      </c>
      <c r="S148" s="20">
        <v>0</v>
      </c>
      <c r="T148" s="20">
        <v>0</v>
      </c>
      <c r="U148" s="17"/>
      <c r="V148" s="17"/>
      <c r="W148" s="20">
        <f t="shared" si="41"/>
        <v>0</v>
      </c>
      <c r="X148" s="21">
        <f t="shared" si="48"/>
        <v>4</v>
      </c>
      <c r="Y148" s="15">
        <f t="shared" si="42"/>
        <v>4</v>
      </c>
      <c r="Z148" s="15">
        <f t="shared" si="43"/>
        <v>0</v>
      </c>
      <c r="AA148" s="18" t="str">
        <f>IF($A148="","",IF(AND($W148&gt;0,$V148=""),"IMPORT NEEDS DESTINATION",IF(MIN($Y148,$Z148)&lt;0,"NEGATIVE STOCK - CHECK ENTRIES","")))</f>
        <v/>
      </c>
      <c r="AB148" s="17">
        <v>0</v>
      </c>
      <c r="AC148" s="17">
        <v>0</v>
      </c>
      <c r="AD148" s="15">
        <f t="shared" si="44"/>
        <v>0</v>
      </c>
      <c r="AE148" s="17">
        <v>0</v>
      </c>
      <c r="AF148" s="17">
        <v>0</v>
      </c>
      <c r="AG148" s="15">
        <f t="shared" si="45"/>
        <v>0</v>
      </c>
      <c r="AH148" s="17">
        <v>0</v>
      </c>
      <c r="AI148" s="17">
        <v>0</v>
      </c>
      <c r="AJ148" s="15">
        <f t="shared" si="46"/>
        <v>0</v>
      </c>
      <c r="AK148" s="17">
        <v>0</v>
      </c>
      <c r="AL148" s="17">
        <v>0</v>
      </c>
      <c r="AM148" s="15">
        <f t="shared" si="47"/>
        <v>0</v>
      </c>
      <c r="AN148" s="17"/>
    </row>
    <row r="149" spans="1:40" x14ac:dyDescent="0.3">
      <c r="A149" s="15" t="s">
        <v>116</v>
      </c>
      <c r="B149" s="15">
        <v>5000</v>
      </c>
      <c r="C149" s="15" t="s">
        <v>54</v>
      </c>
      <c r="D149" s="15" t="s">
        <v>68</v>
      </c>
      <c r="E149" s="69" cm="1">
        <f t="array" ref="E149">MAX(0,IFERROR(_xlfn.XLOOKUP($A149&amp;"|"&amp;$B149&amp;"|"&amp;$D149,'29-AUGUST-2026'!$A$3:$A$197&amp;"|"&amp;'29-AUGUST-2026'!$B$3:$B$197&amp;"|"&amp;'29-AUGUST-2026'!$D$3:$D$197,'29-AUGUST-2026'!$Y$3:$Y$197,_xlfn.XLOOKUP($A149&amp;"|"&amp;$B149,'29-AUGUST-2026'!$A$3:$A$197&amp;"|"&amp;'29-AUGUST-2026'!$B$3:$B$197,'29-AUGUST-2026'!$Y$3:$Y$197,0)),0))</f>
        <v>1</v>
      </c>
      <c r="F149" s="69" cm="1">
        <f t="array" ref="F149">MAX(0,IFERROR(_xlfn.XLOOKUP($A149&amp;"|"&amp;$B149&amp;"|"&amp;$D149,'29-AUGUST-2026'!$A$3:$A$197&amp;"|"&amp;'29-AUGUST-2026'!$B$3:$B$197&amp;"|"&amp;'29-AUGUST-2026'!$D$3:$D$197,'29-AUGUST-2026'!$Z$3:$Z$197,_xlfn.XLOOKUP($A149&amp;"|"&amp;$B149,'29-AUGUST-2026'!$A$3:$A$197&amp;"|"&amp;'29-AUGUST-2026'!$B$3:$B$197,'29-AUGUST-2026'!$Z$3:$Z$197,0)),0))</f>
        <v>0</v>
      </c>
      <c r="G149" s="15">
        <f t="shared" si="40"/>
        <v>1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20">
        <v>0</v>
      </c>
      <c r="S149" s="20">
        <v>0</v>
      </c>
      <c r="T149" s="20">
        <v>0</v>
      </c>
      <c r="U149" s="17"/>
      <c r="V149" s="17"/>
      <c r="W149" s="20">
        <f t="shared" si="41"/>
        <v>0</v>
      </c>
      <c r="X149" s="21">
        <f t="shared" si="48"/>
        <v>1</v>
      </c>
      <c r="Y149" s="15">
        <f t="shared" si="42"/>
        <v>1</v>
      </c>
      <c r="Z149" s="15">
        <f t="shared" si="43"/>
        <v>0</v>
      </c>
      <c r="AA149" s="18" t="str">
        <f>IF($A149="","",IF(AND($W149&gt;0,$V149=""),"IMPORT NEEDS DESTINATION",IF(MIN($Y149,$Z149)&lt;0,"NEGATIVE STOCK - CHECK ENTRIES","")))</f>
        <v/>
      </c>
      <c r="AB149" s="17">
        <v>0</v>
      </c>
      <c r="AC149" s="17">
        <v>0</v>
      </c>
      <c r="AD149" s="15">
        <f t="shared" si="44"/>
        <v>0</v>
      </c>
      <c r="AE149" s="17">
        <v>0</v>
      </c>
      <c r="AF149" s="17">
        <v>0</v>
      </c>
      <c r="AG149" s="15">
        <f t="shared" si="45"/>
        <v>0</v>
      </c>
      <c r="AH149" s="17">
        <v>0</v>
      </c>
      <c r="AI149" s="17">
        <v>0</v>
      </c>
      <c r="AJ149" s="15">
        <f t="shared" si="46"/>
        <v>0</v>
      </c>
      <c r="AK149" s="17">
        <v>0</v>
      </c>
      <c r="AL149" s="17">
        <v>0</v>
      </c>
      <c r="AM149" s="15">
        <f t="shared" si="47"/>
        <v>0</v>
      </c>
      <c r="AN149" s="17"/>
    </row>
    <row r="150" spans="1:40" x14ac:dyDescent="0.3">
      <c r="A150" s="15" t="s">
        <v>118</v>
      </c>
      <c r="B150" s="15">
        <v>5000</v>
      </c>
      <c r="C150" s="15" t="s">
        <v>54</v>
      </c>
      <c r="D150" s="15" t="s">
        <v>68</v>
      </c>
      <c r="E150" s="69" cm="1">
        <f t="array" ref="E150">MAX(0,IFERROR(_xlfn.XLOOKUP($A150&amp;"|"&amp;$B150&amp;"|"&amp;$D150,'29-AUGUST-2026'!$A$3:$A$197&amp;"|"&amp;'29-AUGUST-2026'!$B$3:$B$197&amp;"|"&amp;'29-AUGUST-2026'!$D$3:$D$197,'29-AUGUST-2026'!$Y$3:$Y$197,_xlfn.XLOOKUP($A150&amp;"|"&amp;$B150,'29-AUGUST-2026'!$A$3:$A$197&amp;"|"&amp;'29-AUGUST-2026'!$B$3:$B$197,'29-AUGUST-2026'!$Y$3:$Y$197,0)),0))</f>
        <v>3</v>
      </c>
      <c r="F150" s="69" cm="1">
        <f t="array" ref="F150">MAX(0,IFERROR(_xlfn.XLOOKUP($A150&amp;"|"&amp;$B150&amp;"|"&amp;$D150,'29-AUGUST-2026'!$A$3:$A$197&amp;"|"&amp;'29-AUGUST-2026'!$B$3:$B$197&amp;"|"&amp;'29-AUGUST-2026'!$D$3:$D$197,'29-AUGUST-2026'!$Z$3:$Z$197,_xlfn.XLOOKUP($A150&amp;"|"&amp;$B150,'29-AUGUST-2026'!$A$3:$A$197&amp;"|"&amp;'29-AUGUST-2026'!$B$3:$B$197,'29-AUGUST-2026'!$Z$3:$Z$197,0)),0))</f>
        <v>0</v>
      </c>
      <c r="G150" s="15">
        <f t="shared" si="40"/>
        <v>3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20">
        <v>0</v>
      </c>
      <c r="S150" s="20">
        <v>0</v>
      </c>
      <c r="T150" s="20">
        <v>0</v>
      </c>
      <c r="U150" s="17"/>
      <c r="V150" s="17"/>
      <c r="W150" s="20">
        <f t="shared" si="41"/>
        <v>0</v>
      </c>
      <c r="X150" s="21">
        <f t="shared" si="48"/>
        <v>3</v>
      </c>
      <c r="Y150" s="15">
        <f t="shared" si="42"/>
        <v>3</v>
      </c>
      <c r="Z150" s="15">
        <f t="shared" si="43"/>
        <v>0</v>
      </c>
      <c r="AA150" s="18" t="str">
        <f>IF($A150="","",IF(AND($W150&gt;0,$V150=""),"IMPORT NEEDS DESTINATION",IF(MIN($Y150,$Z150)&lt;0,"NEGATIVE STOCK - CHECK ENTRIES","")))</f>
        <v/>
      </c>
      <c r="AB150" s="17">
        <v>0</v>
      </c>
      <c r="AC150" s="17">
        <v>0</v>
      </c>
      <c r="AD150" s="15">
        <f t="shared" si="44"/>
        <v>0</v>
      </c>
      <c r="AE150" s="17">
        <v>0</v>
      </c>
      <c r="AF150" s="17">
        <v>0</v>
      </c>
      <c r="AG150" s="15">
        <f t="shared" si="45"/>
        <v>0</v>
      </c>
      <c r="AH150" s="17">
        <v>0</v>
      </c>
      <c r="AI150" s="17">
        <v>0</v>
      </c>
      <c r="AJ150" s="15">
        <f t="shared" si="46"/>
        <v>0</v>
      </c>
      <c r="AK150" s="17">
        <v>0</v>
      </c>
      <c r="AL150" s="17">
        <v>0</v>
      </c>
      <c r="AM150" s="15">
        <f t="shared" si="47"/>
        <v>0</v>
      </c>
      <c r="AN150" s="17"/>
    </row>
    <row r="151" spans="1:40" x14ac:dyDescent="0.3">
      <c r="A151" s="15" t="s">
        <v>119</v>
      </c>
      <c r="B151" s="15">
        <v>100</v>
      </c>
      <c r="C151" s="15" t="s">
        <v>54</v>
      </c>
      <c r="D151" s="15" t="s">
        <v>68</v>
      </c>
      <c r="E151" s="69" cm="1">
        <f t="array" ref="E151">MAX(0,IFERROR(_xlfn.XLOOKUP($A151&amp;"|"&amp;$B151&amp;"|"&amp;$D151,'29-AUGUST-2026'!$A$3:$A$197&amp;"|"&amp;'29-AUGUST-2026'!$B$3:$B$197&amp;"|"&amp;'29-AUGUST-2026'!$D$3:$D$197,'29-AUGUST-2026'!$Y$3:$Y$197,_xlfn.XLOOKUP($A151&amp;"|"&amp;$B151,'29-AUGUST-2026'!$A$3:$A$197&amp;"|"&amp;'29-AUGUST-2026'!$B$3:$B$197,'29-AUGUST-2026'!$Y$3:$Y$197,0)),0))</f>
        <v>0</v>
      </c>
      <c r="F151" s="69" cm="1">
        <f t="array" ref="F151">MAX(0,IFERROR(_xlfn.XLOOKUP($A151&amp;"|"&amp;$B151&amp;"|"&amp;$D151,'29-AUGUST-2026'!$A$3:$A$197&amp;"|"&amp;'29-AUGUST-2026'!$B$3:$B$197&amp;"|"&amp;'29-AUGUST-2026'!$D$3:$D$197,'29-AUGUST-2026'!$Z$3:$Z$197,_xlfn.XLOOKUP($A151&amp;"|"&amp;$B151,'29-AUGUST-2026'!$A$3:$A$197&amp;"|"&amp;'29-AUGUST-2026'!$B$3:$B$197,'29-AUGUST-2026'!$Z$3:$Z$197,0)),0))</f>
        <v>0</v>
      </c>
      <c r="G151" s="15">
        <f t="shared" si="40"/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20">
        <v>0</v>
      </c>
      <c r="S151" s="20">
        <v>0</v>
      </c>
      <c r="T151" s="20">
        <v>0</v>
      </c>
      <c r="U151" s="17"/>
      <c r="V151" s="17"/>
      <c r="W151" s="20">
        <f t="shared" si="41"/>
        <v>0</v>
      </c>
      <c r="X151" s="21">
        <f t="shared" si="48"/>
        <v>0</v>
      </c>
      <c r="Y151" s="15">
        <f t="shared" si="42"/>
        <v>0</v>
      </c>
      <c r="Z151" s="15">
        <f t="shared" si="43"/>
        <v>0</v>
      </c>
      <c r="AA151" s="18" t="str">
        <f>IF($A151="","",IF(AND($W151&gt;0,$V151=""),"IMPORT NEEDS DESTINATION",IF(MIN($Y151,$Z151)&lt;0,"NEGATIVE STOCK - CHECK ENTRIES","")))</f>
        <v/>
      </c>
      <c r="AB151" s="17">
        <v>0</v>
      </c>
      <c r="AC151" s="17">
        <v>0</v>
      </c>
      <c r="AD151" s="15">
        <f t="shared" si="44"/>
        <v>0</v>
      </c>
      <c r="AE151" s="17">
        <v>0</v>
      </c>
      <c r="AF151" s="17">
        <v>0</v>
      </c>
      <c r="AG151" s="15">
        <f t="shared" si="45"/>
        <v>0</v>
      </c>
      <c r="AH151" s="17">
        <v>0</v>
      </c>
      <c r="AI151" s="17">
        <v>0</v>
      </c>
      <c r="AJ151" s="15">
        <f t="shared" si="46"/>
        <v>0</v>
      </c>
      <c r="AK151" s="17">
        <v>0</v>
      </c>
      <c r="AL151" s="17">
        <v>0</v>
      </c>
      <c r="AM151" s="15">
        <f t="shared" si="47"/>
        <v>0</v>
      </c>
      <c r="AN151" s="17" t="s">
        <v>337</v>
      </c>
    </row>
    <row r="152" spans="1:40" x14ac:dyDescent="0.3">
      <c r="A152" s="15" t="s">
        <v>121</v>
      </c>
      <c r="B152" s="15">
        <v>100</v>
      </c>
      <c r="C152" s="15" t="s">
        <v>54</v>
      </c>
      <c r="D152" s="15" t="s">
        <v>68</v>
      </c>
      <c r="E152" s="69" cm="1">
        <f t="array" ref="E152">MAX(0,IFERROR(_xlfn.XLOOKUP($A152&amp;"|"&amp;$B152&amp;"|"&amp;$D152,'29-AUGUST-2026'!$A$3:$A$197&amp;"|"&amp;'29-AUGUST-2026'!$B$3:$B$197&amp;"|"&amp;'29-AUGUST-2026'!$D$3:$D$197,'29-AUGUST-2026'!$Y$3:$Y$197,_xlfn.XLOOKUP($A152&amp;"|"&amp;$B152,'29-AUGUST-2026'!$A$3:$A$197&amp;"|"&amp;'29-AUGUST-2026'!$B$3:$B$197,'29-AUGUST-2026'!$Y$3:$Y$197,0)),0))</f>
        <v>5</v>
      </c>
      <c r="F152" s="69" cm="1">
        <f t="array" ref="F152">MAX(0,IFERROR(_xlfn.XLOOKUP($A152&amp;"|"&amp;$B152&amp;"|"&amp;$D152,'29-AUGUST-2026'!$A$3:$A$197&amp;"|"&amp;'29-AUGUST-2026'!$B$3:$B$197&amp;"|"&amp;'29-AUGUST-2026'!$D$3:$D$197,'29-AUGUST-2026'!$Z$3:$Z$197,_xlfn.XLOOKUP($A152&amp;"|"&amp;$B152,'29-AUGUST-2026'!$A$3:$A$197&amp;"|"&amp;'29-AUGUST-2026'!$B$3:$B$197,'29-AUGUST-2026'!$Z$3:$Z$197,0)),0))</f>
        <v>0</v>
      </c>
      <c r="G152" s="15">
        <f t="shared" si="40"/>
        <v>5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20">
        <v>0</v>
      </c>
      <c r="S152" s="20">
        <v>0</v>
      </c>
      <c r="T152" s="20">
        <v>0</v>
      </c>
      <c r="U152" s="17"/>
      <c r="V152" s="17"/>
      <c r="W152" s="20">
        <f t="shared" si="41"/>
        <v>0</v>
      </c>
      <c r="X152" s="21">
        <f t="shared" si="48"/>
        <v>5</v>
      </c>
      <c r="Y152" s="15">
        <f t="shared" si="42"/>
        <v>5</v>
      </c>
      <c r="Z152" s="15">
        <f t="shared" si="43"/>
        <v>0</v>
      </c>
      <c r="AA152" s="18" t="str">
        <f>IF($A152="","",IF(AND($W152&gt;0,$V152=""),"IMPORT NEEDS DESTINATION",IF(MIN($Y152,$Z152)&lt;0,"NEGATIVE STOCK - CHECK ENTRIES","")))</f>
        <v/>
      </c>
      <c r="AB152" s="17">
        <v>0</v>
      </c>
      <c r="AC152" s="17">
        <v>0</v>
      </c>
      <c r="AD152" s="15">
        <f t="shared" si="44"/>
        <v>0</v>
      </c>
      <c r="AE152" s="17">
        <v>0</v>
      </c>
      <c r="AF152" s="17">
        <v>0</v>
      </c>
      <c r="AG152" s="15">
        <f t="shared" si="45"/>
        <v>0</v>
      </c>
      <c r="AH152" s="17">
        <v>0</v>
      </c>
      <c r="AI152" s="17">
        <v>0</v>
      </c>
      <c r="AJ152" s="15">
        <f t="shared" si="46"/>
        <v>0</v>
      </c>
      <c r="AK152" s="17">
        <v>0</v>
      </c>
      <c r="AL152" s="17">
        <v>0</v>
      </c>
      <c r="AM152" s="15">
        <f t="shared" si="47"/>
        <v>0</v>
      </c>
      <c r="AN152" s="17"/>
    </row>
    <row r="153" spans="1:40" x14ac:dyDescent="0.3">
      <c r="A153" s="15" t="s">
        <v>122</v>
      </c>
      <c r="B153" s="15">
        <v>1000</v>
      </c>
      <c r="C153" s="15" t="s">
        <v>54</v>
      </c>
      <c r="D153" s="15" t="s">
        <v>68</v>
      </c>
      <c r="E153" s="69" cm="1">
        <f t="array" ref="E153">MAX(0,IFERROR(_xlfn.XLOOKUP($A153&amp;"|"&amp;$B153&amp;"|"&amp;$D153,'29-AUGUST-2026'!$A$3:$A$197&amp;"|"&amp;'29-AUGUST-2026'!$B$3:$B$197&amp;"|"&amp;'29-AUGUST-2026'!$D$3:$D$197,'29-AUGUST-2026'!$Y$3:$Y$197,_xlfn.XLOOKUP($A153&amp;"|"&amp;$B153,'29-AUGUST-2026'!$A$3:$A$197&amp;"|"&amp;'29-AUGUST-2026'!$B$3:$B$197,'29-AUGUST-2026'!$Y$3:$Y$197,0)),0))</f>
        <v>2</v>
      </c>
      <c r="F153" s="69" cm="1">
        <f t="array" ref="F153">MAX(0,IFERROR(_xlfn.XLOOKUP($A153&amp;"|"&amp;$B153&amp;"|"&amp;$D153,'29-AUGUST-2026'!$A$3:$A$197&amp;"|"&amp;'29-AUGUST-2026'!$B$3:$B$197&amp;"|"&amp;'29-AUGUST-2026'!$D$3:$D$197,'29-AUGUST-2026'!$Z$3:$Z$197,_xlfn.XLOOKUP($A153&amp;"|"&amp;$B153,'29-AUGUST-2026'!$A$3:$A$197&amp;"|"&amp;'29-AUGUST-2026'!$B$3:$B$197,'29-AUGUST-2026'!$Z$3:$Z$197,0)),0))</f>
        <v>0</v>
      </c>
      <c r="G153" s="15">
        <f t="shared" si="40"/>
        <v>2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20">
        <v>0</v>
      </c>
      <c r="S153" s="20">
        <v>0</v>
      </c>
      <c r="T153" s="20">
        <v>0</v>
      </c>
      <c r="U153" s="17"/>
      <c r="V153" s="17"/>
      <c r="W153" s="20">
        <f t="shared" si="41"/>
        <v>0</v>
      </c>
      <c r="X153" s="21">
        <f t="shared" si="48"/>
        <v>2</v>
      </c>
      <c r="Y153" s="15">
        <f t="shared" si="42"/>
        <v>2</v>
      </c>
      <c r="Z153" s="15">
        <f t="shared" si="43"/>
        <v>0</v>
      </c>
      <c r="AA153" s="18" t="str">
        <f>IF($A153="","",IF(AND($W153&gt;0,$V153=""),"IMPORT NEEDS DESTINATION",IF(MIN($Y153,$Z153)&lt;0,"NEGATIVE STOCK - CHECK ENTRIES","")))</f>
        <v/>
      </c>
      <c r="AB153" s="17">
        <v>0</v>
      </c>
      <c r="AC153" s="17">
        <v>0</v>
      </c>
      <c r="AD153" s="15">
        <f t="shared" si="44"/>
        <v>0</v>
      </c>
      <c r="AE153" s="17">
        <v>0</v>
      </c>
      <c r="AF153" s="17">
        <v>0</v>
      </c>
      <c r="AG153" s="15">
        <f t="shared" si="45"/>
        <v>0</v>
      </c>
      <c r="AH153" s="17">
        <v>0</v>
      </c>
      <c r="AI153" s="17">
        <v>0</v>
      </c>
      <c r="AJ153" s="15">
        <f t="shared" si="46"/>
        <v>0</v>
      </c>
      <c r="AK153" s="17">
        <v>0</v>
      </c>
      <c r="AL153" s="17">
        <v>0</v>
      </c>
      <c r="AM153" s="15">
        <f t="shared" si="47"/>
        <v>0</v>
      </c>
      <c r="AN153" s="17"/>
    </row>
    <row r="154" spans="1:40" x14ac:dyDescent="0.3">
      <c r="A154" s="15" t="s">
        <v>125</v>
      </c>
      <c r="B154" s="15">
        <v>1000</v>
      </c>
      <c r="C154" s="15" t="s">
        <v>54</v>
      </c>
      <c r="D154" s="15" t="s">
        <v>68</v>
      </c>
      <c r="E154" s="69" cm="1">
        <f t="array" ref="E154">MAX(0,IFERROR(_xlfn.XLOOKUP($A154&amp;"|"&amp;$B154&amp;"|"&amp;$D154,'29-AUGUST-2026'!$A$3:$A$197&amp;"|"&amp;'29-AUGUST-2026'!$B$3:$B$197&amp;"|"&amp;'29-AUGUST-2026'!$D$3:$D$197,'29-AUGUST-2026'!$Y$3:$Y$197,_xlfn.XLOOKUP($A154&amp;"|"&amp;$B154,'29-AUGUST-2026'!$A$3:$A$197&amp;"|"&amp;'29-AUGUST-2026'!$B$3:$B$197,'29-AUGUST-2026'!$Y$3:$Y$197,0)),0))</f>
        <v>2</v>
      </c>
      <c r="F154" s="69" cm="1">
        <f t="array" ref="F154">MAX(0,IFERROR(_xlfn.XLOOKUP($A154&amp;"|"&amp;$B154&amp;"|"&amp;$D154,'29-AUGUST-2026'!$A$3:$A$197&amp;"|"&amp;'29-AUGUST-2026'!$B$3:$B$197&amp;"|"&amp;'29-AUGUST-2026'!$D$3:$D$197,'29-AUGUST-2026'!$Z$3:$Z$197,_xlfn.XLOOKUP($A154&amp;"|"&amp;$B154,'29-AUGUST-2026'!$A$3:$A$197&amp;"|"&amp;'29-AUGUST-2026'!$B$3:$B$197,'29-AUGUST-2026'!$Z$3:$Z$197,0)),0))</f>
        <v>0</v>
      </c>
      <c r="G154" s="15">
        <f t="shared" si="40"/>
        <v>2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20">
        <v>0</v>
      </c>
      <c r="S154" s="20">
        <v>0</v>
      </c>
      <c r="T154" s="20">
        <v>0</v>
      </c>
      <c r="U154" s="17"/>
      <c r="V154" s="17"/>
      <c r="W154" s="20">
        <f t="shared" si="41"/>
        <v>0</v>
      </c>
      <c r="X154" s="21">
        <f t="shared" si="48"/>
        <v>2</v>
      </c>
      <c r="Y154" s="15">
        <f t="shared" si="42"/>
        <v>2</v>
      </c>
      <c r="Z154" s="15">
        <f t="shared" si="43"/>
        <v>0</v>
      </c>
      <c r="AA154" s="18" t="str">
        <f>IF($A154="","",IF(AND($W154&gt;0,$V154=""),"IMPORT NEEDS DESTINATION",IF(MIN($Y154,$Z154)&lt;0,"NEGATIVE STOCK - CHECK ENTRIES","")))</f>
        <v/>
      </c>
      <c r="AB154" s="17">
        <v>0</v>
      </c>
      <c r="AC154" s="17">
        <v>0</v>
      </c>
      <c r="AD154" s="15">
        <f t="shared" si="44"/>
        <v>0</v>
      </c>
      <c r="AE154" s="17">
        <v>0</v>
      </c>
      <c r="AF154" s="17">
        <v>0</v>
      </c>
      <c r="AG154" s="15">
        <f t="shared" si="45"/>
        <v>0</v>
      </c>
      <c r="AH154" s="17">
        <v>0</v>
      </c>
      <c r="AI154" s="17">
        <v>0</v>
      </c>
      <c r="AJ154" s="15">
        <f t="shared" si="46"/>
        <v>0</v>
      </c>
      <c r="AK154" s="17">
        <v>0</v>
      </c>
      <c r="AL154" s="17">
        <v>0</v>
      </c>
      <c r="AM154" s="15">
        <f t="shared" si="47"/>
        <v>0</v>
      </c>
      <c r="AN154" s="17"/>
    </row>
    <row r="155" spans="1:40" x14ac:dyDescent="0.3">
      <c r="A155" s="15" t="s">
        <v>126</v>
      </c>
      <c r="B155" s="15">
        <v>1000</v>
      </c>
      <c r="C155" s="15" t="s">
        <v>54</v>
      </c>
      <c r="D155" s="15" t="s">
        <v>68</v>
      </c>
      <c r="E155" s="69" cm="1">
        <f t="array" ref="E155">MAX(0,IFERROR(_xlfn.XLOOKUP($A155&amp;"|"&amp;$B155&amp;"|"&amp;$D155,'29-AUGUST-2026'!$A$3:$A$197&amp;"|"&amp;'29-AUGUST-2026'!$B$3:$B$197&amp;"|"&amp;'29-AUGUST-2026'!$D$3:$D$197,'29-AUGUST-2026'!$Y$3:$Y$197,_xlfn.XLOOKUP($A155&amp;"|"&amp;$B155,'29-AUGUST-2026'!$A$3:$A$197&amp;"|"&amp;'29-AUGUST-2026'!$B$3:$B$197,'29-AUGUST-2026'!$Y$3:$Y$197,0)),0))</f>
        <v>3</v>
      </c>
      <c r="F155" s="69" cm="1">
        <f t="array" ref="F155">MAX(0,IFERROR(_xlfn.XLOOKUP($A155&amp;"|"&amp;$B155&amp;"|"&amp;$D155,'29-AUGUST-2026'!$A$3:$A$197&amp;"|"&amp;'29-AUGUST-2026'!$B$3:$B$197&amp;"|"&amp;'29-AUGUST-2026'!$D$3:$D$197,'29-AUGUST-2026'!$Z$3:$Z$197,_xlfn.XLOOKUP($A155&amp;"|"&amp;$B155,'29-AUGUST-2026'!$A$3:$A$197&amp;"|"&amp;'29-AUGUST-2026'!$B$3:$B$197,'29-AUGUST-2026'!$Z$3:$Z$197,0)),0))</f>
        <v>0</v>
      </c>
      <c r="G155" s="15">
        <f t="shared" si="40"/>
        <v>3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20">
        <v>0</v>
      </c>
      <c r="S155" s="20">
        <v>0</v>
      </c>
      <c r="T155" s="20">
        <v>0</v>
      </c>
      <c r="U155" s="17"/>
      <c r="V155" s="17"/>
      <c r="W155" s="20">
        <f t="shared" si="41"/>
        <v>0</v>
      </c>
      <c r="X155" s="21">
        <f t="shared" si="48"/>
        <v>3</v>
      </c>
      <c r="Y155" s="15">
        <f t="shared" si="42"/>
        <v>3</v>
      </c>
      <c r="Z155" s="15">
        <f t="shared" si="43"/>
        <v>0</v>
      </c>
      <c r="AA155" s="18" t="str">
        <f>IF($A155="","",IF(AND($W155&gt;0,$V155=""),"IMPORT NEEDS DESTINATION",IF(MIN($Y155,$Z155)&lt;0,"NEGATIVE STOCK - CHECK ENTRIES","")))</f>
        <v/>
      </c>
      <c r="AB155" s="17">
        <v>0</v>
      </c>
      <c r="AC155" s="17">
        <v>0</v>
      </c>
      <c r="AD155" s="15">
        <f t="shared" si="44"/>
        <v>0</v>
      </c>
      <c r="AE155" s="17">
        <v>0</v>
      </c>
      <c r="AF155" s="17">
        <v>0</v>
      </c>
      <c r="AG155" s="15">
        <f t="shared" si="45"/>
        <v>0</v>
      </c>
      <c r="AH155" s="17">
        <v>0</v>
      </c>
      <c r="AI155" s="17">
        <v>0</v>
      </c>
      <c r="AJ155" s="15">
        <f t="shared" si="46"/>
        <v>0</v>
      </c>
      <c r="AK155" s="17">
        <v>0</v>
      </c>
      <c r="AL155" s="17">
        <v>0</v>
      </c>
      <c r="AM155" s="15">
        <f t="shared" si="47"/>
        <v>0</v>
      </c>
      <c r="AN155" s="17"/>
    </row>
    <row r="156" spans="1:40" x14ac:dyDescent="0.3">
      <c r="A156" s="15" t="s">
        <v>136</v>
      </c>
      <c r="B156" s="15">
        <v>100000</v>
      </c>
      <c r="C156" s="15" t="s">
        <v>54</v>
      </c>
      <c r="D156" s="15" t="s">
        <v>68</v>
      </c>
      <c r="E156" s="69" cm="1">
        <f t="array" ref="E156">MAX(0,IFERROR(_xlfn.XLOOKUP($A156&amp;"|"&amp;$B156&amp;"|"&amp;$D156,'29-AUGUST-2026'!$A$3:$A$197&amp;"|"&amp;'29-AUGUST-2026'!$B$3:$B$197&amp;"|"&amp;'29-AUGUST-2026'!$D$3:$D$197,'29-AUGUST-2026'!$Y$3:$Y$197,_xlfn.XLOOKUP($A156&amp;"|"&amp;$B156,'29-AUGUST-2026'!$A$3:$A$197&amp;"|"&amp;'29-AUGUST-2026'!$B$3:$B$197,'29-AUGUST-2026'!$Y$3:$Y$197,0)),0))</f>
        <v>1</v>
      </c>
      <c r="F156" s="69" cm="1">
        <f t="array" ref="F156">MAX(0,IFERROR(_xlfn.XLOOKUP($A156&amp;"|"&amp;$B156&amp;"|"&amp;$D156,'29-AUGUST-2026'!$A$3:$A$197&amp;"|"&amp;'29-AUGUST-2026'!$B$3:$B$197&amp;"|"&amp;'29-AUGUST-2026'!$D$3:$D$197,'29-AUGUST-2026'!$Z$3:$Z$197,_xlfn.XLOOKUP($A156&amp;"|"&amp;$B156,'29-AUGUST-2026'!$A$3:$A$197&amp;"|"&amp;'29-AUGUST-2026'!$B$3:$B$197,'29-AUGUST-2026'!$Z$3:$Z$197,0)),0))</f>
        <v>0</v>
      </c>
      <c r="G156" s="15">
        <f t="shared" si="40"/>
        <v>1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20">
        <v>0</v>
      </c>
      <c r="S156" s="20">
        <v>0</v>
      </c>
      <c r="T156" s="20">
        <v>0</v>
      </c>
      <c r="U156" s="17"/>
      <c r="V156" s="17"/>
      <c r="W156" s="20">
        <f t="shared" si="41"/>
        <v>0</v>
      </c>
      <c r="X156" s="21">
        <f t="shared" si="48"/>
        <v>1</v>
      </c>
      <c r="Y156" s="15">
        <f t="shared" si="42"/>
        <v>1</v>
      </c>
      <c r="Z156" s="15">
        <f t="shared" si="43"/>
        <v>0</v>
      </c>
      <c r="AA156" s="18" t="str">
        <f>IF($A156="","",IF(AND($W156&gt;0,$V156=""),"IMPORT NEEDS DESTINATION",IF(MIN($Y156,$Z156)&lt;0,"NEGATIVE STOCK - CHECK ENTRIES","")))</f>
        <v/>
      </c>
      <c r="AB156" s="17">
        <v>0</v>
      </c>
      <c r="AC156" s="17">
        <v>0</v>
      </c>
      <c r="AD156" s="15">
        <f t="shared" si="44"/>
        <v>0</v>
      </c>
      <c r="AE156" s="17">
        <v>0</v>
      </c>
      <c r="AF156" s="17">
        <v>1</v>
      </c>
      <c r="AG156" s="15">
        <f t="shared" si="45"/>
        <v>-1</v>
      </c>
      <c r="AH156" s="17">
        <v>0</v>
      </c>
      <c r="AI156" s="17">
        <v>0</v>
      </c>
      <c r="AJ156" s="15">
        <f t="shared" si="46"/>
        <v>0</v>
      </c>
      <c r="AK156" s="17">
        <v>0</v>
      </c>
      <c r="AL156" s="17">
        <v>0</v>
      </c>
      <c r="AM156" s="15">
        <f t="shared" si="47"/>
        <v>0</v>
      </c>
      <c r="AN156" s="17"/>
    </row>
    <row r="157" spans="1:40" x14ac:dyDescent="0.3">
      <c r="A157" s="15" t="s">
        <v>137</v>
      </c>
      <c r="B157" s="15">
        <v>1000</v>
      </c>
      <c r="C157" s="15" t="s">
        <v>54</v>
      </c>
      <c r="D157" s="15" t="s">
        <v>68</v>
      </c>
      <c r="E157" s="69" cm="1">
        <f t="array" ref="E157">MAX(0,IFERROR(_xlfn.XLOOKUP($A157&amp;"|"&amp;$B157&amp;"|"&amp;$D157,'29-AUGUST-2026'!$A$3:$A$197&amp;"|"&amp;'29-AUGUST-2026'!$B$3:$B$197&amp;"|"&amp;'29-AUGUST-2026'!$D$3:$D$197,'29-AUGUST-2026'!$Y$3:$Y$197,_xlfn.XLOOKUP($A157&amp;"|"&amp;$B157,'29-AUGUST-2026'!$A$3:$A$197&amp;"|"&amp;'29-AUGUST-2026'!$B$3:$B$197,'29-AUGUST-2026'!$Y$3:$Y$197,0)),0))</f>
        <v>5</v>
      </c>
      <c r="F157" s="69" cm="1">
        <f t="array" ref="F157">MAX(0,IFERROR(_xlfn.XLOOKUP($A157&amp;"|"&amp;$B157&amp;"|"&amp;$D157,'29-AUGUST-2026'!$A$3:$A$197&amp;"|"&amp;'29-AUGUST-2026'!$B$3:$B$197&amp;"|"&amp;'29-AUGUST-2026'!$D$3:$D$197,'29-AUGUST-2026'!$Z$3:$Z$197,_xlfn.XLOOKUP($A157&amp;"|"&amp;$B157,'29-AUGUST-2026'!$A$3:$A$197&amp;"|"&amp;'29-AUGUST-2026'!$B$3:$B$197,'29-AUGUST-2026'!$Z$3:$Z$197,0)),0))</f>
        <v>0</v>
      </c>
      <c r="G157" s="15">
        <f t="shared" si="40"/>
        <v>5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20">
        <v>0</v>
      </c>
      <c r="S157" s="20">
        <v>0</v>
      </c>
      <c r="T157" s="20">
        <v>0</v>
      </c>
      <c r="U157" s="17"/>
      <c r="V157" s="17"/>
      <c r="W157" s="20">
        <f t="shared" si="41"/>
        <v>0</v>
      </c>
      <c r="X157" s="21">
        <f t="shared" si="48"/>
        <v>5</v>
      </c>
      <c r="Y157" s="15">
        <f t="shared" si="42"/>
        <v>5</v>
      </c>
      <c r="Z157" s="15">
        <f t="shared" si="43"/>
        <v>0</v>
      </c>
      <c r="AA157" s="18" t="str">
        <f>IF($A157="","",IF(AND($W157&gt;0,$V157=""),"IMPORT NEEDS DESTINATION",IF(MIN($Y157,$Z157)&lt;0,"NEGATIVE STOCK - CHECK ENTRIES","")))</f>
        <v/>
      </c>
      <c r="AB157" s="17">
        <v>0</v>
      </c>
      <c r="AC157" s="17">
        <v>0</v>
      </c>
      <c r="AD157" s="15">
        <f t="shared" si="44"/>
        <v>0</v>
      </c>
      <c r="AE157" s="17">
        <v>0</v>
      </c>
      <c r="AF157" s="17">
        <v>0</v>
      </c>
      <c r="AG157" s="15">
        <f t="shared" si="45"/>
        <v>0</v>
      </c>
      <c r="AH157" s="17">
        <v>0</v>
      </c>
      <c r="AI157" s="17">
        <v>0</v>
      </c>
      <c r="AJ157" s="15">
        <f t="shared" si="46"/>
        <v>0</v>
      </c>
      <c r="AK157" s="17">
        <v>0</v>
      </c>
      <c r="AL157" s="17">
        <v>0</v>
      </c>
      <c r="AM157" s="15">
        <f t="shared" si="47"/>
        <v>0</v>
      </c>
      <c r="AN157" s="17"/>
    </row>
    <row r="158" spans="1:40" x14ac:dyDescent="0.3">
      <c r="A158" s="15" t="s">
        <v>139</v>
      </c>
      <c r="B158" s="15">
        <v>100</v>
      </c>
      <c r="C158" s="15" t="s">
        <v>54</v>
      </c>
      <c r="D158" s="15" t="s">
        <v>68</v>
      </c>
      <c r="E158" s="69" cm="1">
        <f t="array" ref="E158">MAX(0,IFERROR(_xlfn.XLOOKUP($A158&amp;"|"&amp;$B158&amp;"|"&amp;$D158,'29-AUGUST-2026'!$A$3:$A$197&amp;"|"&amp;'29-AUGUST-2026'!$B$3:$B$197&amp;"|"&amp;'29-AUGUST-2026'!$D$3:$D$197,'29-AUGUST-2026'!$Y$3:$Y$197,_xlfn.XLOOKUP($A158&amp;"|"&amp;$B158,'29-AUGUST-2026'!$A$3:$A$197&amp;"|"&amp;'29-AUGUST-2026'!$B$3:$B$197,'29-AUGUST-2026'!$Y$3:$Y$197,0)),0))</f>
        <v>8</v>
      </c>
      <c r="F158" s="69" cm="1">
        <f t="array" ref="F158">MAX(0,IFERROR(_xlfn.XLOOKUP($A158&amp;"|"&amp;$B158&amp;"|"&amp;$D158,'29-AUGUST-2026'!$A$3:$A$197&amp;"|"&amp;'29-AUGUST-2026'!$B$3:$B$197&amp;"|"&amp;'29-AUGUST-2026'!$D$3:$D$197,'29-AUGUST-2026'!$Z$3:$Z$197,_xlfn.XLOOKUP($A158&amp;"|"&amp;$B158,'29-AUGUST-2026'!$A$3:$A$197&amp;"|"&amp;'29-AUGUST-2026'!$B$3:$B$197,'29-AUGUST-2026'!$Z$3:$Z$197,0)),0))</f>
        <v>0</v>
      </c>
      <c r="G158" s="15">
        <f t="shared" si="40"/>
        <v>8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20">
        <v>0</v>
      </c>
      <c r="S158" s="20">
        <v>0</v>
      </c>
      <c r="T158" s="20">
        <v>0</v>
      </c>
      <c r="U158" s="17"/>
      <c r="V158" s="17"/>
      <c r="W158" s="20">
        <f t="shared" si="41"/>
        <v>0</v>
      </c>
      <c r="X158" s="21">
        <f t="shared" si="48"/>
        <v>8</v>
      </c>
      <c r="Y158" s="15">
        <f t="shared" si="42"/>
        <v>8</v>
      </c>
      <c r="Z158" s="15">
        <f t="shared" si="43"/>
        <v>0</v>
      </c>
      <c r="AA158" s="18" t="str">
        <f>IF($A158="","",IF(AND($W158&gt;0,$V158=""),"IMPORT NEEDS DESTINATION",IF(MIN($Y158,$Z158)&lt;0,"NEGATIVE STOCK - CHECK ENTRIES","")))</f>
        <v/>
      </c>
      <c r="AB158" s="17">
        <v>0</v>
      </c>
      <c r="AC158" s="17">
        <v>0</v>
      </c>
      <c r="AD158" s="15">
        <f t="shared" si="44"/>
        <v>0</v>
      </c>
      <c r="AE158" s="17">
        <v>0</v>
      </c>
      <c r="AF158" s="17">
        <v>0</v>
      </c>
      <c r="AG158" s="15">
        <f t="shared" si="45"/>
        <v>0</v>
      </c>
      <c r="AH158" s="17">
        <v>0</v>
      </c>
      <c r="AI158" s="17">
        <v>0</v>
      </c>
      <c r="AJ158" s="15">
        <f t="shared" si="46"/>
        <v>0</v>
      </c>
      <c r="AK158" s="17">
        <v>0</v>
      </c>
      <c r="AL158" s="17">
        <v>0</v>
      </c>
      <c r="AM158" s="15">
        <f t="shared" si="47"/>
        <v>0</v>
      </c>
      <c r="AN158" s="17"/>
    </row>
    <row r="159" spans="1:40" x14ac:dyDescent="0.3">
      <c r="A159" s="15" t="s">
        <v>140</v>
      </c>
      <c r="B159" s="15">
        <v>1000</v>
      </c>
      <c r="C159" s="15" t="s">
        <v>54</v>
      </c>
      <c r="D159" s="15" t="s">
        <v>68</v>
      </c>
      <c r="E159" s="69" cm="1">
        <f t="array" ref="E159">MAX(0,IFERROR(_xlfn.XLOOKUP($A159&amp;"|"&amp;$B159&amp;"|"&amp;$D159,'29-AUGUST-2026'!$A$3:$A$197&amp;"|"&amp;'29-AUGUST-2026'!$B$3:$B$197&amp;"|"&amp;'29-AUGUST-2026'!$D$3:$D$197,'29-AUGUST-2026'!$Y$3:$Y$197,_xlfn.XLOOKUP($A159&amp;"|"&amp;$B159,'29-AUGUST-2026'!$A$3:$A$197&amp;"|"&amp;'29-AUGUST-2026'!$B$3:$B$197,'29-AUGUST-2026'!$Y$3:$Y$197,0)),0))</f>
        <v>7</v>
      </c>
      <c r="F159" s="69" cm="1">
        <f t="array" ref="F159">MAX(0,IFERROR(_xlfn.XLOOKUP($A159&amp;"|"&amp;$B159&amp;"|"&amp;$D159,'29-AUGUST-2026'!$A$3:$A$197&amp;"|"&amp;'29-AUGUST-2026'!$B$3:$B$197&amp;"|"&amp;'29-AUGUST-2026'!$D$3:$D$197,'29-AUGUST-2026'!$Z$3:$Z$197,_xlfn.XLOOKUP($A159&amp;"|"&amp;$B159,'29-AUGUST-2026'!$A$3:$A$197&amp;"|"&amp;'29-AUGUST-2026'!$B$3:$B$197,'29-AUGUST-2026'!$Z$3:$Z$197,0)),0))</f>
        <v>0</v>
      </c>
      <c r="G159" s="15">
        <f t="shared" si="40"/>
        <v>7</v>
      </c>
      <c r="H159" s="17"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20">
        <v>0</v>
      </c>
      <c r="S159" s="20">
        <v>0</v>
      </c>
      <c r="T159" s="20">
        <v>0</v>
      </c>
      <c r="U159" s="17"/>
      <c r="V159" s="17"/>
      <c r="W159" s="20">
        <f t="shared" si="41"/>
        <v>0</v>
      </c>
      <c r="X159" s="21">
        <f t="shared" si="48"/>
        <v>7</v>
      </c>
      <c r="Y159" s="15">
        <f t="shared" si="42"/>
        <v>7</v>
      </c>
      <c r="Z159" s="15">
        <f t="shared" si="43"/>
        <v>0</v>
      </c>
      <c r="AA159" s="18" t="str">
        <f>IF($A159="","",IF(AND($W159&gt;0,$V159=""),"IMPORT NEEDS DESTINATION",IF(MIN($Y159,$Z159)&lt;0,"NEGATIVE STOCK - CHECK ENTRIES","")))</f>
        <v/>
      </c>
      <c r="AB159" s="17">
        <v>0</v>
      </c>
      <c r="AC159" s="17">
        <v>0</v>
      </c>
      <c r="AD159" s="15">
        <f t="shared" si="44"/>
        <v>0</v>
      </c>
      <c r="AE159" s="17">
        <v>0</v>
      </c>
      <c r="AF159" s="17">
        <v>0</v>
      </c>
      <c r="AG159" s="15">
        <f t="shared" si="45"/>
        <v>0</v>
      </c>
      <c r="AH159" s="17">
        <v>0</v>
      </c>
      <c r="AI159" s="17">
        <v>0</v>
      </c>
      <c r="AJ159" s="15">
        <f t="shared" si="46"/>
        <v>0</v>
      </c>
      <c r="AK159" s="17">
        <v>0</v>
      </c>
      <c r="AL159" s="17">
        <v>0</v>
      </c>
      <c r="AM159" s="15">
        <f t="shared" si="47"/>
        <v>0</v>
      </c>
      <c r="AN159" s="17"/>
    </row>
    <row r="160" spans="1:40" x14ac:dyDescent="0.3">
      <c r="A160" s="15" t="s">
        <v>144</v>
      </c>
      <c r="B160" s="15">
        <v>1000</v>
      </c>
      <c r="C160" s="15" t="s">
        <v>54</v>
      </c>
      <c r="D160" s="15" t="s">
        <v>68</v>
      </c>
      <c r="E160" s="69" cm="1">
        <f t="array" ref="E160">MAX(0,IFERROR(_xlfn.XLOOKUP($A160&amp;"|"&amp;$B160&amp;"|"&amp;$D160,'29-AUGUST-2026'!$A$3:$A$197&amp;"|"&amp;'29-AUGUST-2026'!$B$3:$B$197&amp;"|"&amp;'29-AUGUST-2026'!$D$3:$D$197,'29-AUGUST-2026'!$Y$3:$Y$197,_xlfn.XLOOKUP($A160&amp;"|"&amp;$B160,'29-AUGUST-2026'!$A$3:$A$197&amp;"|"&amp;'29-AUGUST-2026'!$B$3:$B$197,'29-AUGUST-2026'!$Y$3:$Y$197,0)),0))</f>
        <v>0</v>
      </c>
      <c r="F160" s="69" cm="1">
        <f t="array" ref="F160">MAX(0,IFERROR(_xlfn.XLOOKUP($A160&amp;"|"&amp;$B160&amp;"|"&amp;$D160,'29-AUGUST-2026'!$A$3:$A$197&amp;"|"&amp;'29-AUGUST-2026'!$B$3:$B$197&amp;"|"&amp;'29-AUGUST-2026'!$D$3:$D$197,'29-AUGUST-2026'!$Z$3:$Z$197,_xlfn.XLOOKUP($A160&amp;"|"&amp;$B160,'29-AUGUST-2026'!$A$3:$A$197&amp;"|"&amp;'29-AUGUST-2026'!$B$3:$B$197,'29-AUGUST-2026'!$Z$3:$Z$197,0)),0))</f>
        <v>0</v>
      </c>
      <c r="G160" s="15">
        <f t="shared" si="40"/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20">
        <v>0</v>
      </c>
      <c r="S160" s="20">
        <v>0</v>
      </c>
      <c r="T160" s="20">
        <v>0</v>
      </c>
      <c r="U160" s="17"/>
      <c r="V160" s="17"/>
      <c r="W160" s="20">
        <f t="shared" si="41"/>
        <v>0</v>
      </c>
      <c r="X160" s="21">
        <f t="shared" si="48"/>
        <v>0</v>
      </c>
      <c r="Y160" s="15">
        <f t="shared" si="42"/>
        <v>0</v>
      </c>
      <c r="Z160" s="15">
        <f t="shared" si="43"/>
        <v>0</v>
      </c>
      <c r="AA160" s="18" t="str">
        <f>IF($A160="","",IF(AND($W160&gt;0,$V160=""),"IMPORT NEEDS DESTINATION",IF(MIN($Y160,$Z160)&lt;0,"NEGATIVE STOCK - CHECK ENTRIES","")))</f>
        <v/>
      </c>
      <c r="AB160" s="17">
        <v>0</v>
      </c>
      <c r="AC160" s="17">
        <v>0</v>
      </c>
      <c r="AD160" s="15">
        <f t="shared" si="44"/>
        <v>0</v>
      </c>
      <c r="AE160" s="17">
        <v>0</v>
      </c>
      <c r="AF160" s="17">
        <v>0</v>
      </c>
      <c r="AG160" s="15">
        <f t="shared" si="45"/>
        <v>0</v>
      </c>
      <c r="AH160" s="17">
        <v>0</v>
      </c>
      <c r="AI160" s="17">
        <v>0</v>
      </c>
      <c r="AJ160" s="15">
        <f t="shared" si="46"/>
        <v>0</v>
      </c>
      <c r="AK160" s="17">
        <v>0</v>
      </c>
      <c r="AL160" s="17">
        <v>0</v>
      </c>
      <c r="AM160" s="15">
        <f t="shared" si="47"/>
        <v>0</v>
      </c>
      <c r="AN160" s="17"/>
    </row>
    <row r="161" spans="1:40" x14ac:dyDescent="0.3">
      <c r="A161" s="15" t="s">
        <v>145</v>
      </c>
      <c r="B161" s="15">
        <v>1000</v>
      </c>
      <c r="C161" s="15" t="s">
        <v>54</v>
      </c>
      <c r="D161" s="15" t="s">
        <v>68</v>
      </c>
      <c r="E161" s="69" cm="1">
        <f t="array" ref="E161">MAX(0,IFERROR(_xlfn.XLOOKUP($A161&amp;"|"&amp;$B161&amp;"|"&amp;$D161,'29-AUGUST-2026'!$A$3:$A$197&amp;"|"&amp;'29-AUGUST-2026'!$B$3:$B$197&amp;"|"&amp;'29-AUGUST-2026'!$D$3:$D$197,'29-AUGUST-2026'!$Y$3:$Y$197,_xlfn.XLOOKUP($A161&amp;"|"&amp;$B161,'29-AUGUST-2026'!$A$3:$A$197&amp;"|"&amp;'29-AUGUST-2026'!$B$3:$B$197,'29-AUGUST-2026'!$Y$3:$Y$197,0)),0))</f>
        <v>5</v>
      </c>
      <c r="F161" s="69" cm="1">
        <f t="array" ref="F161">MAX(0,IFERROR(_xlfn.XLOOKUP($A161&amp;"|"&amp;$B161&amp;"|"&amp;$D161,'29-AUGUST-2026'!$A$3:$A$197&amp;"|"&amp;'29-AUGUST-2026'!$B$3:$B$197&amp;"|"&amp;'29-AUGUST-2026'!$D$3:$D$197,'29-AUGUST-2026'!$Z$3:$Z$197,_xlfn.XLOOKUP($A161&amp;"|"&amp;$B161,'29-AUGUST-2026'!$A$3:$A$197&amp;"|"&amp;'29-AUGUST-2026'!$B$3:$B$197,'29-AUGUST-2026'!$Z$3:$Z$197,0)),0))</f>
        <v>0</v>
      </c>
      <c r="G161" s="15">
        <f t="shared" si="40"/>
        <v>5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20">
        <v>0</v>
      </c>
      <c r="S161" s="20">
        <v>0</v>
      </c>
      <c r="T161" s="20">
        <v>0</v>
      </c>
      <c r="U161" s="17"/>
      <c r="V161" s="17"/>
      <c r="W161" s="20">
        <f t="shared" si="41"/>
        <v>0</v>
      </c>
      <c r="X161" s="21">
        <f t="shared" si="48"/>
        <v>5</v>
      </c>
      <c r="Y161" s="15">
        <f t="shared" si="42"/>
        <v>5</v>
      </c>
      <c r="Z161" s="15">
        <f t="shared" si="43"/>
        <v>0</v>
      </c>
      <c r="AA161" s="18" t="str">
        <f>IF($A161="","",IF(AND($W161&gt;0,$V161=""),"IMPORT NEEDS DESTINATION",IF(MIN($Y161,$Z161)&lt;0,"NEGATIVE STOCK - CHECK ENTRIES","")))</f>
        <v/>
      </c>
      <c r="AB161" s="17">
        <v>0</v>
      </c>
      <c r="AC161" s="17">
        <v>0</v>
      </c>
      <c r="AD161" s="15">
        <f t="shared" si="44"/>
        <v>0</v>
      </c>
      <c r="AE161" s="17">
        <v>0</v>
      </c>
      <c r="AF161" s="17">
        <v>0</v>
      </c>
      <c r="AG161" s="15">
        <f t="shared" si="45"/>
        <v>0</v>
      </c>
      <c r="AH161" s="17">
        <v>0</v>
      </c>
      <c r="AI161" s="17">
        <v>0</v>
      </c>
      <c r="AJ161" s="15">
        <f t="shared" si="46"/>
        <v>0</v>
      </c>
      <c r="AK161" s="17">
        <v>0</v>
      </c>
      <c r="AL161" s="17">
        <v>0</v>
      </c>
      <c r="AM161" s="15">
        <f t="shared" si="47"/>
        <v>0</v>
      </c>
      <c r="AN161" s="17"/>
    </row>
    <row r="162" spans="1:40" x14ac:dyDescent="0.3">
      <c r="A162" s="15" t="s">
        <v>146</v>
      </c>
      <c r="B162" s="15">
        <v>1000</v>
      </c>
      <c r="C162" s="15" t="s">
        <v>54</v>
      </c>
      <c r="D162" s="15" t="s">
        <v>68</v>
      </c>
      <c r="E162" s="69" cm="1">
        <f t="array" ref="E162">MAX(0,IFERROR(_xlfn.XLOOKUP($A162&amp;"|"&amp;$B162&amp;"|"&amp;$D162,'29-AUGUST-2026'!$A$3:$A$197&amp;"|"&amp;'29-AUGUST-2026'!$B$3:$B$197&amp;"|"&amp;'29-AUGUST-2026'!$D$3:$D$197,'29-AUGUST-2026'!$Y$3:$Y$197,_xlfn.XLOOKUP($A162&amp;"|"&amp;$B162,'29-AUGUST-2026'!$A$3:$A$197&amp;"|"&amp;'29-AUGUST-2026'!$B$3:$B$197,'29-AUGUST-2026'!$Y$3:$Y$197,0)),0))</f>
        <v>0</v>
      </c>
      <c r="F162" s="69" cm="1">
        <f t="array" ref="F162">MAX(0,IFERROR(_xlfn.XLOOKUP($A162&amp;"|"&amp;$B162&amp;"|"&amp;$D162,'29-AUGUST-2026'!$A$3:$A$197&amp;"|"&amp;'29-AUGUST-2026'!$B$3:$B$197&amp;"|"&amp;'29-AUGUST-2026'!$D$3:$D$197,'29-AUGUST-2026'!$Z$3:$Z$197,_xlfn.XLOOKUP($A162&amp;"|"&amp;$B162,'29-AUGUST-2026'!$A$3:$A$197&amp;"|"&amp;'29-AUGUST-2026'!$B$3:$B$197,'29-AUGUST-2026'!$Z$3:$Z$197,0)),0))</f>
        <v>0</v>
      </c>
      <c r="G162" s="15">
        <f t="shared" si="40"/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20">
        <v>0</v>
      </c>
      <c r="S162" s="20">
        <v>0</v>
      </c>
      <c r="T162" s="20">
        <v>0</v>
      </c>
      <c r="U162" s="17"/>
      <c r="V162" s="17"/>
      <c r="W162" s="20">
        <f t="shared" si="41"/>
        <v>0</v>
      </c>
      <c r="X162" s="21">
        <f t="shared" si="48"/>
        <v>0</v>
      </c>
      <c r="Y162" s="15">
        <f t="shared" si="42"/>
        <v>0</v>
      </c>
      <c r="Z162" s="15">
        <f t="shared" si="43"/>
        <v>0</v>
      </c>
      <c r="AA162" s="18" t="str">
        <f>IF($A162="","",IF(AND($W162&gt;0,$V162=""),"IMPORT NEEDS DESTINATION",IF(MIN($Y162,$Z162)&lt;0,"NEGATIVE STOCK - CHECK ENTRIES","")))</f>
        <v/>
      </c>
      <c r="AB162" s="17">
        <v>0</v>
      </c>
      <c r="AC162" s="17">
        <v>0</v>
      </c>
      <c r="AD162" s="15">
        <f t="shared" si="44"/>
        <v>0</v>
      </c>
      <c r="AE162" s="17">
        <v>0</v>
      </c>
      <c r="AF162" s="17">
        <v>0</v>
      </c>
      <c r="AG162" s="15">
        <f t="shared" si="45"/>
        <v>0</v>
      </c>
      <c r="AH162" s="17">
        <v>0</v>
      </c>
      <c r="AI162" s="17">
        <v>0</v>
      </c>
      <c r="AJ162" s="15">
        <f t="shared" si="46"/>
        <v>0</v>
      </c>
      <c r="AK162" s="17">
        <v>0</v>
      </c>
      <c r="AL162" s="17">
        <v>0</v>
      </c>
      <c r="AM162" s="15">
        <f t="shared" si="47"/>
        <v>0</v>
      </c>
      <c r="AN162" s="17"/>
    </row>
    <row r="163" spans="1:40" x14ac:dyDescent="0.3">
      <c r="A163" s="15" t="s">
        <v>150</v>
      </c>
      <c r="B163" s="15">
        <v>10000</v>
      </c>
      <c r="C163" s="15" t="s">
        <v>54</v>
      </c>
      <c r="D163" s="15" t="s">
        <v>68</v>
      </c>
      <c r="E163" s="69" cm="1">
        <f t="array" ref="E163">MAX(0,IFERROR(_xlfn.XLOOKUP($A163&amp;"|"&amp;$B163&amp;"|"&amp;$D163,'29-AUGUST-2026'!$A$3:$A$197&amp;"|"&amp;'29-AUGUST-2026'!$B$3:$B$197&amp;"|"&amp;'29-AUGUST-2026'!$D$3:$D$197,'29-AUGUST-2026'!$Y$3:$Y$197,_xlfn.XLOOKUP($A163&amp;"|"&amp;$B163,'29-AUGUST-2026'!$A$3:$A$197&amp;"|"&amp;'29-AUGUST-2026'!$B$3:$B$197,'29-AUGUST-2026'!$Y$3:$Y$197,0)),0))</f>
        <v>1</v>
      </c>
      <c r="F163" s="69" cm="1">
        <f t="array" ref="F163">MAX(0,IFERROR(_xlfn.XLOOKUP($A163&amp;"|"&amp;$B163&amp;"|"&amp;$D163,'29-AUGUST-2026'!$A$3:$A$197&amp;"|"&amp;'29-AUGUST-2026'!$B$3:$B$197&amp;"|"&amp;'29-AUGUST-2026'!$D$3:$D$197,'29-AUGUST-2026'!$Z$3:$Z$197,_xlfn.XLOOKUP($A163&amp;"|"&amp;$B163,'29-AUGUST-2026'!$A$3:$A$197&amp;"|"&amp;'29-AUGUST-2026'!$B$3:$B$197,'29-AUGUST-2026'!$Z$3:$Z$197,0)),0))</f>
        <v>0</v>
      </c>
      <c r="G163" s="15">
        <f t="shared" si="40"/>
        <v>1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20">
        <v>0</v>
      </c>
      <c r="S163" s="20">
        <v>0</v>
      </c>
      <c r="T163" s="20">
        <v>0</v>
      </c>
      <c r="U163" s="17"/>
      <c r="V163" s="17"/>
      <c r="W163" s="20">
        <f t="shared" si="41"/>
        <v>0</v>
      </c>
      <c r="X163" s="21">
        <f t="shared" si="48"/>
        <v>1</v>
      </c>
      <c r="Y163" s="15">
        <f t="shared" si="42"/>
        <v>1</v>
      </c>
      <c r="Z163" s="15">
        <f t="shared" si="43"/>
        <v>0</v>
      </c>
      <c r="AA163" s="18" t="str">
        <f>IF($A163="","",IF(AND($W163&gt;0,$V163=""),"IMPORT NEEDS DESTINATION",IF(MIN($Y163,$Z163)&lt;0,"NEGATIVE STOCK - CHECK ENTRIES","")))</f>
        <v/>
      </c>
      <c r="AB163" s="17">
        <v>0</v>
      </c>
      <c r="AC163" s="17">
        <v>0</v>
      </c>
      <c r="AD163" s="15">
        <f t="shared" si="44"/>
        <v>0</v>
      </c>
      <c r="AE163" s="17">
        <v>0</v>
      </c>
      <c r="AF163" s="17">
        <v>0</v>
      </c>
      <c r="AG163" s="15">
        <f t="shared" si="45"/>
        <v>0</v>
      </c>
      <c r="AH163" s="17">
        <v>0</v>
      </c>
      <c r="AI163" s="17">
        <v>0</v>
      </c>
      <c r="AJ163" s="15">
        <f t="shared" si="46"/>
        <v>0</v>
      </c>
      <c r="AK163" s="17">
        <v>0</v>
      </c>
      <c r="AL163" s="17">
        <v>0</v>
      </c>
      <c r="AM163" s="15">
        <f t="shared" si="47"/>
        <v>0</v>
      </c>
      <c r="AN163" s="17"/>
    </row>
    <row r="164" spans="1:40" x14ac:dyDescent="0.3">
      <c r="A164" s="15" t="s">
        <v>151</v>
      </c>
      <c r="B164" s="15">
        <v>100000</v>
      </c>
      <c r="C164" s="15" t="s">
        <v>54</v>
      </c>
      <c r="D164" s="15" t="s">
        <v>68</v>
      </c>
      <c r="E164" s="69" cm="1">
        <f t="array" ref="E164">MAX(0,IFERROR(_xlfn.XLOOKUP($A164&amp;"|"&amp;$B164&amp;"|"&amp;$D164,'29-AUGUST-2026'!$A$3:$A$197&amp;"|"&amp;'29-AUGUST-2026'!$B$3:$B$197&amp;"|"&amp;'29-AUGUST-2026'!$D$3:$D$197,'29-AUGUST-2026'!$Y$3:$Y$197,_xlfn.XLOOKUP($A164&amp;"|"&amp;$B164,'29-AUGUST-2026'!$A$3:$A$197&amp;"|"&amp;'29-AUGUST-2026'!$B$3:$B$197,'29-AUGUST-2026'!$Y$3:$Y$197,0)),0))</f>
        <v>2</v>
      </c>
      <c r="F164" s="69" cm="1">
        <f t="array" ref="F164">MAX(0,IFERROR(_xlfn.XLOOKUP($A164&amp;"|"&amp;$B164&amp;"|"&amp;$D164,'29-AUGUST-2026'!$A$3:$A$197&amp;"|"&amp;'29-AUGUST-2026'!$B$3:$B$197&amp;"|"&amp;'29-AUGUST-2026'!$D$3:$D$197,'29-AUGUST-2026'!$Z$3:$Z$197,_xlfn.XLOOKUP($A164&amp;"|"&amp;$B164,'29-AUGUST-2026'!$A$3:$A$197&amp;"|"&amp;'29-AUGUST-2026'!$B$3:$B$197,'29-AUGUST-2026'!$Z$3:$Z$197,0)),0))</f>
        <v>0</v>
      </c>
      <c r="G164" s="15">
        <f t="shared" ref="G164:G195" si="49">E164+F164</f>
        <v>2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20">
        <v>0</v>
      </c>
      <c r="S164" s="20">
        <v>0</v>
      </c>
      <c r="T164" s="20">
        <v>0</v>
      </c>
      <c r="U164" s="17"/>
      <c r="V164" s="17"/>
      <c r="W164" s="20">
        <f t="shared" ref="W164:W198" si="50">R164+S164+T164</f>
        <v>0</v>
      </c>
      <c r="X164" s="21">
        <f t="shared" si="48"/>
        <v>2</v>
      </c>
      <c r="Y164" s="15">
        <f t="shared" ref="Y164:Y198" si="51">E164+N164+IF($V164="Arusha",$W164,0)-H164-K164</f>
        <v>2</v>
      </c>
      <c r="Z164" s="15">
        <f t="shared" ref="Z164:Z198" si="52">F164+O164+IF($V164="Moro",$W164,0)-I164-L164</f>
        <v>0</v>
      </c>
      <c r="AA164" s="18" t="str">
        <f>IF($A164="","",IF(AND($W164&gt;0,$V164=""),"IMPORT NEEDS DESTINATION",IF(MIN($Y164,$Z164)&lt;0,"NEGATIVE STOCK - CHECK ENTRIES","")))</f>
        <v/>
      </c>
      <c r="AB164" s="17">
        <v>0</v>
      </c>
      <c r="AC164" s="17">
        <v>0</v>
      </c>
      <c r="AD164" s="15">
        <f t="shared" si="44"/>
        <v>0</v>
      </c>
      <c r="AE164" s="17">
        <v>0</v>
      </c>
      <c r="AF164" s="17">
        <v>0</v>
      </c>
      <c r="AG164" s="15">
        <f t="shared" si="45"/>
        <v>0</v>
      </c>
      <c r="AH164" s="17">
        <v>0</v>
      </c>
      <c r="AI164" s="17">
        <v>0</v>
      </c>
      <c r="AJ164" s="15">
        <f t="shared" si="46"/>
        <v>0</v>
      </c>
      <c r="AK164" s="17">
        <v>0</v>
      </c>
      <c r="AL164" s="17">
        <v>0</v>
      </c>
      <c r="AM164" s="15">
        <f t="shared" si="47"/>
        <v>0</v>
      </c>
      <c r="AN164" s="17"/>
    </row>
    <row r="165" spans="1:40" x14ac:dyDescent="0.3">
      <c r="A165" s="15" t="s">
        <v>153</v>
      </c>
      <c r="B165" s="15">
        <v>100</v>
      </c>
      <c r="C165" s="15" t="s">
        <v>54</v>
      </c>
      <c r="D165" s="15" t="s">
        <v>68</v>
      </c>
      <c r="E165" s="69" cm="1">
        <f t="array" ref="E165">MAX(0,IFERROR(_xlfn.XLOOKUP($A165&amp;"|"&amp;$B165&amp;"|"&amp;$D165,'29-AUGUST-2026'!$A$3:$A$197&amp;"|"&amp;'29-AUGUST-2026'!$B$3:$B$197&amp;"|"&amp;'29-AUGUST-2026'!$D$3:$D$197,'29-AUGUST-2026'!$Y$3:$Y$197,_xlfn.XLOOKUP($A165&amp;"|"&amp;$B165,'29-AUGUST-2026'!$A$3:$A$197&amp;"|"&amp;'29-AUGUST-2026'!$B$3:$B$197,'29-AUGUST-2026'!$Y$3:$Y$197,0)),0))</f>
        <v>0</v>
      </c>
      <c r="F165" s="69" cm="1">
        <f t="array" ref="F165">MAX(0,IFERROR(_xlfn.XLOOKUP($A165&amp;"|"&amp;$B165&amp;"|"&amp;$D165,'29-AUGUST-2026'!$A$3:$A$197&amp;"|"&amp;'29-AUGUST-2026'!$B$3:$B$197&amp;"|"&amp;'29-AUGUST-2026'!$D$3:$D$197,'29-AUGUST-2026'!$Z$3:$Z$197,_xlfn.XLOOKUP($A165&amp;"|"&amp;$B165,'29-AUGUST-2026'!$A$3:$A$197&amp;"|"&amp;'29-AUGUST-2026'!$B$3:$B$197,'29-AUGUST-2026'!$Z$3:$Z$197,0)),0))</f>
        <v>0</v>
      </c>
      <c r="G165" s="15">
        <f t="shared" si="49"/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20">
        <v>0</v>
      </c>
      <c r="S165" s="20">
        <v>0</v>
      </c>
      <c r="T165" s="20">
        <v>0</v>
      </c>
      <c r="U165" s="17"/>
      <c r="V165" s="17"/>
      <c r="W165" s="20">
        <f t="shared" si="50"/>
        <v>0</v>
      </c>
      <c r="X165" s="21">
        <f t="shared" si="48"/>
        <v>0</v>
      </c>
      <c r="Y165" s="15">
        <f t="shared" si="51"/>
        <v>0</v>
      </c>
      <c r="Z165" s="15">
        <f t="shared" si="52"/>
        <v>0</v>
      </c>
      <c r="AA165" s="18" t="str">
        <f>IF($A165="","",IF(AND($W165&gt;0,$V165=""),"IMPORT NEEDS DESTINATION",IF(MIN($Y165,$Z165)&lt;0,"NEGATIVE STOCK - CHECK ENTRIES","")))</f>
        <v/>
      </c>
      <c r="AB165" s="17">
        <v>0</v>
      </c>
      <c r="AC165" s="17">
        <v>0</v>
      </c>
      <c r="AD165" s="15">
        <f t="shared" ref="AD165:AD196" si="53">AB165-AC165</f>
        <v>0</v>
      </c>
      <c r="AE165" s="17">
        <v>0</v>
      </c>
      <c r="AF165" s="17">
        <v>0</v>
      </c>
      <c r="AG165" s="15">
        <f t="shared" ref="AG165:AG196" si="54">AE165-AF165</f>
        <v>0</v>
      </c>
      <c r="AH165" s="17">
        <v>0</v>
      </c>
      <c r="AI165" s="17">
        <v>0</v>
      </c>
      <c r="AJ165" s="15">
        <f t="shared" ref="AJ165:AJ196" si="55">AH165-AI165</f>
        <v>0</v>
      </c>
      <c r="AK165" s="17">
        <v>0</v>
      </c>
      <c r="AL165" s="17">
        <v>0</v>
      </c>
      <c r="AM165" s="15">
        <f t="shared" ref="AM165:AM196" si="56">AK165-AL165</f>
        <v>0</v>
      </c>
      <c r="AN165" s="17"/>
    </row>
    <row r="166" spans="1:40" x14ac:dyDescent="0.3">
      <c r="A166" s="15" t="s">
        <v>155</v>
      </c>
      <c r="B166" s="15">
        <v>100</v>
      </c>
      <c r="C166" s="15" t="s">
        <v>54</v>
      </c>
      <c r="D166" s="15" t="s">
        <v>68</v>
      </c>
      <c r="E166" s="69" cm="1">
        <f t="array" ref="E166">MAX(0,IFERROR(_xlfn.XLOOKUP($A166&amp;"|"&amp;$B166&amp;"|"&amp;$D166,'29-AUGUST-2026'!$A$3:$A$197&amp;"|"&amp;'29-AUGUST-2026'!$B$3:$B$197&amp;"|"&amp;'29-AUGUST-2026'!$D$3:$D$197,'29-AUGUST-2026'!$Y$3:$Y$197,_xlfn.XLOOKUP($A166&amp;"|"&amp;$B166,'29-AUGUST-2026'!$A$3:$A$197&amp;"|"&amp;'29-AUGUST-2026'!$B$3:$B$197,'29-AUGUST-2026'!$Y$3:$Y$197,0)),0))</f>
        <v>1</v>
      </c>
      <c r="F166" s="69" cm="1">
        <f t="array" ref="F166">MAX(0,IFERROR(_xlfn.XLOOKUP($A166&amp;"|"&amp;$B166&amp;"|"&amp;$D166,'29-AUGUST-2026'!$A$3:$A$197&amp;"|"&amp;'29-AUGUST-2026'!$B$3:$B$197&amp;"|"&amp;'29-AUGUST-2026'!$D$3:$D$197,'29-AUGUST-2026'!$Z$3:$Z$197,_xlfn.XLOOKUP($A166&amp;"|"&amp;$B166,'29-AUGUST-2026'!$A$3:$A$197&amp;"|"&amp;'29-AUGUST-2026'!$B$3:$B$197,'29-AUGUST-2026'!$Z$3:$Z$197,0)),0))</f>
        <v>0</v>
      </c>
      <c r="G166" s="15">
        <f t="shared" si="49"/>
        <v>1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20">
        <v>0</v>
      </c>
      <c r="S166" s="20">
        <v>0</v>
      </c>
      <c r="T166" s="20">
        <v>0</v>
      </c>
      <c r="U166" s="17"/>
      <c r="V166" s="17"/>
      <c r="W166" s="20">
        <f t="shared" si="50"/>
        <v>0</v>
      </c>
      <c r="X166" s="21">
        <f t="shared" si="48"/>
        <v>1</v>
      </c>
      <c r="Y166" s="15">
        <f t="shared" si="51"/>
        <v>1</v>
      </c>
      <c r="Z166" s="15">
        <f t="shared" si="52"/>
        <v>0</v>
      </c>
      <c r="AA166" s="18" t="str">
        <f>IF($A166="","",IF(AND($W166&gt;0,$V166=""),"IMPORT NEEDS DESTINATION",IF(MIN($Y166,$Z166)&lt;0,"NEGATIVE STOCK - CHECK ENTRIES","")))</f>
        <v/>
      </c>
      <c r="AB166" s="17">
        <v>0</v>
      </c>
      <c r="AC166" s="17">
        <v>0</v>
      </c>
      <c r="AD166" s="15">
        <f t="shared" si="53"/>
        <v>0</v>
      </c>
      <c r="AE166" s="17">
        <v>0</v>
      </c>
      <c r="AF166" s="17">
        <v>0</v>
      </c>
      <c r="AG166" s="15">
        <f t="shared" si="54"/>
        <v>0</v>
      </c>
      <c r="AH166" s="17">
        <v>0</v>
      </c>
      <c r="AI166" s="17">
        <v>0</v>
      </c>
      <c r="AJ166" s="15">
        <f t="shared" si="55"/>
        <v>0</v>
      </c>
      <c r="AK166" s="17">
        <v>0</v>
      </c>
      <c r="AL166" s="17">
        <v>0</v>
      </c>
      <c r="AM166" s="15">
        <f t="shared" si="56"/>
        <v>0</v>
      </c>
      <c r="AN166" s="17"/>
    </row>
    <row r="167" spans="1:40" x14ac:dyDescent="0.3">
      <c r="A167" s="15" t="s">
        <v>156</v>
      </c>
      <c r="B167" s="15">
        <v>2500</v>
      </c>
      <c r="C167" s="15" t="s">
        <v>54</v>
      </c>
      <c r="D167" s="15" t="s">
        <v>68</v>
      </c>
      <c r="E167" s="69" cm="1">
        <f t="array" ref="E167">MAX(0,IFERROR(_xlfn.XLOOKUP($A167&amp;"|"&amp;$B167&amp;"|"&amp;$D167,'29-AUGUST-2026'!$A$3:$A$197&amp;"|"&amp;'29-AUGUST-2026'!$B$3:$B$197&amp;"|"&amp;'29-AUGUST-2026'!$D$3:$D$197,'29-AUGUST-2026'!$Y$3:$Y$197,_xlfn.XLOOKUP($A167&amp;"|"&amp;$B167,'29-AUGUST-2026'!$A$3:$A$197&amp;"|"&amp;'29-AUGUST-2026'!$B$3:$B$197,'29-AUGUST-2026'!$Y$3:$Y$197,0)),0))</f>
        <v>0</v>
      </c>
      <c r="F167" s="69" cm="1">
        <f t="array" ref="F167">MAX(0,IFERROR(_xlfn.XLOOKUP($A167&amp;"|"&amp;$B167&amp;"|"&amp;$D167,'29-AUGUST-2026'!$A$3:$A$197&amp;"|"&amp;'29-AUGUST-2026'!$B$3:$B$197&amp;"|"&amp;'29-AUGUST-2026'!$D$3:$D$197,'29-AUGUST-2026'!$Z$3:$Z$197,_xlfn.XLOOKUP($A167&amp;"|"&amp;$B167,'29-AUGUST-2026'!$A$3:$A$197&amp;"|"&amp;'29-AUGUST-2026'!$B$3:$B$197,'29-AUGUST-2026'!$Z$3:$Z$197,0)),0))</f>
        <v>0</v>
      </c>
      <c r="G167" s="15">
        <f t="shared" si="49"/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20">
        <v>0</v>
      </c>
      <c r="S167" s="20">
        <v>0</v>
      </c>
      <c r="T167" s="20">
        <v>0</v>
      </c>
      <c r="U167" s="17"/>
      <c r="V167" s="17"/>
      <c r="W167" s="20">
        <f t="shared" si="50"/>
        <v>0</v>
      </c>
      <c r="X167" s="21">
        <f t="shared" si="48"/>
        <v>0</v>
      </c>
      <c r="Y167" s="15">
        <f t="shared" si="51"/>
        <v>0</v>
      </c>
      <c r="Z167" s="15">
        <f t="shared" si="52"/>
        <v>0</v>
      </c>
      <c r="AA167" s="18" t="str">
        <f>IF($A167="","",IF(AND($W167&gt;0,$V167=""),"IMPORT NEEDS DESTINATION",IF(MIN($Y167,$Z167)&lt;0,"NEGATIVE STOCK - CHECK ENTRIES","")))</f>
        <v/>
      </c>
      <c r="AB167" s="17">
        <v>0</v>
      </c>
      <c r="AC167" s="17">
        <v>0</v>
      </c>
      <c r="AD167" s="15">
        <f t="shared" si="53"/>
        <v>0</v>
      </c>
      <c r="AE167" s="17">
        <v>0</v>
      </c>
      <c r="AF167" s="17">
        <v>0</v>
      </c>
      <c r="AG167" s="15">
        <f t="shared" si="54"/>
        <v>0</v>
      </c>
      <c r="AH167" s="17">
        <v>0</v>
      </c>
      <c r="AI167" s="17">
        <v>0</v>
      </c>
      <c r="AJ167" s="15">
        <f t="shared" si="55"/>
        <v>0</v>
      </c>
      <c r="AK167" s="17">
        <v>0</v>
      </c>
      <c r="AL167" s="17">
        <v>0</v>
      </c>
      <c r="AM167" s="15">
        <f t="shared" si="56"/>
        <v>0</v>
      </c>
      <c r="AN167" s="17" t="s">
        <v>338</v>
      </c>
    </row>
    <row r="168" spans="1:40" x14ac:dyDescent="0.3">
      <c r="A168" s="15" t="s">
        <v>164</v>
      </c>
      <c r="B168" s="15">
        <v>100</v>
      </c>
      <c r="C168" s="15" t="s">
        <v>54</v>
      </c>
      <c r="D168" s="15" t="s">
        <v>68</v>
      </c>
      <c r="E168" s="69" cm="1">
        <f t="array" ref="E168">MAX(0,IFERROR(_xlfn.XLOOKUP($A168&amp;"|"&amp;$B168&amp;"|"&amp;$D168,'29-AUGUST-2026'!$A$3:$A$197&amp;"|"&amp;'29-AUGUST-2026'!$B$3:$B$197&amp;"|"&amp;'29-AUGUST-2026'!$D$3:$D$197,'29-AUGUST-2026'!$Y$3:$Y$197,_xlfn.XLOOKUP($A168&amp;"|"&amp;$B168,'29-AUGUST-2026'!$A$3:$A$197&amp;"|"&amp;'29-AUGUST-2026'!$B$3:$B$197,'29-AUGUST-2026'!$Y$3:$Y$197,0)),0))</f>
        <v>2</v>
      </c>
      <c r="F168" s="69" cm="1">
        <f t="array" ref="F168">MAX(0,IFERROR(_xlfn.XLOOKUP($A168&amp;"|"&amp;$B168&amp;"|"&amp;$D168,'29-AUGUST-2026'!$A$3:$A$197&amp;"|"&amp;'29-AUGUST-2026'!$B$3:$B$197&amp;"|"&amp;'29-AUGUST-2026'!$D$3:$D$197,'29-AUGUST-2026'!$Z$3:$Z$197,_xlfn.XLOOKUP($A168&amp;"|"&amp;$B168,'29-AUGUST-2026'!$A$3:$A$197&amp;"|"&amp;'29-AUGUST-2026'!$B$3:$B$197,'29-AUGUST-2026'!$Z$3:$Z$197,0)),0))</f>
        <v>0</v>
      </c>
      <c r="G168" s="15">
        <f t="shared" si="49"/>
        <v>2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20">
        <v>0</v>
      </c>
      <c r="S168" s="20">
        <v>0</v>
      </c>
      <c r="T168" s="20">
        <v>0</v>
      </c>
      <c r="U168" s="17"/>
      <c r="V168" s="17"/>
      <c r="W168" s="20">
        <f t="shared" si="50"/>
        <v>0</v>
      </c>
      <c r="X168" s="21">
        <f t="shared" si="48"/>
        <v>2</v>
      </c>
      <c r="Y168" s="15">
        <f t="shared" si="51"/>
        <v>2</v>
      </c>
      <c r="Z168" s="15">
        <f t="shared" si="52"/>
        <v>0</v>
      </c>
      <c r="AA168" s="18" t="str">
        <f>IF($A168="","",IF(AND($W168&gt;0,$V168=""),"IMPORT NEEDS DESTINATION",IF(MIN($Y168,$Z168)&lt;0,"NEGATIVE STOCK - CHECK ENTRIES","")))</f>
        <v/>
      </c>
      <c r="AB168" s="17">
        <v>0</v>
      </c>
      <c r="AC168" s="17">
        <v>0</v>
      </c>
      <c r="AD168" s="15">
        <f t="shared" si="53"/>
        <v>0</v>
      </c>
      <c r="AE168" s="17">
        <v>0</v>
      </c>
      <c r="AF168" s="17">
        <v>0</v>
      </c>
      <c r="AG168" s="15">
        <f t="shared" si="54"/>
        <v>0</v>
      </c>
      <c r="AH168" s="17">
        <v>0</v>
      </c>
      <c r="AI168" s="17">
        <v>0</v>
      </c>
      <c r="AJ168" s="15">
        <f t="shared" si="55"/>
        <v>0</v>
      </c>
      <c r="AK168" s="17">
        <v>0</v>
      </c>
      <c r="AL168" s="17">
        <v>0</v>
      </c>
      <c r="AM168" s="15">
        <f t="shared" si="56"/>
        <v>0</v>
      </c>
      <c r="AN168" s="17"/>
    </row>
    <row r="169" spans="1:40" x14ac:dyDescent="0.3">
      <c r="A169" s="15" t="s">
        <v>165</v>
      </c>
      <c r="B169" s="15">
        <v>100000</v>
      </c>
      <c r="C169" s="15" t="s">
        <v>54</v>
      </c>
      <c r="D169" s="15" t="s">
        <v>68</v>
      </c>
      <c r="E169" s="69" cm="1">
        <f t="array" ref="E169">MAX(0,IFERROR(_xlfn.XLOOKUP($A169&amp;"|"&amp;$B169&amp;"|"&amp;$D169,'29-AUGUST-2026'!$A$3:$A$197&amp;"|"&amp;'29-AUGUST-2026'!$B$3:$B$197&amp;"|"&amp;'29-AUGUST-2026'!$D$3:$D$197,'29-AUGUST-2026'!$Y$3:$Y$197,_xlfn.XLOOKUP($A169&amp;"|"&amp;$B169,'29-AUGUST-2026'!$A$3:$A$197&amp;"|"&amp;'29-AUGUST-2026'!$B$3:$B$197,'29-AUGUST-2026'!$Y$3:$Y$197,0)),0))</f>
        <v>2</v>
      </c>
      <c r="F169" s="69" cm="1">
        <f t="array" ref="F169">MAX(0,IFERROR(_xlfn.XLOOKUP($A169&amp;"|"&amp;$B169&amp;"|"&amp;$D169,'29-AUGUST-2026'!$A$3:$A$197&amp;"|"&amp;'29-AUGUST-2026'!$B$3:$B$197&amp;"|"&amp;'29-AUGUST-2026'!$D$3:$D$197,'29-AUGUST-2026'!$Z$3:$Z$197,_xlfn.XLOOKUP($A169&amp;"|"&amp;$B169,'29-AUGUST-2026'!$A$3:$A$197&amp;"|"&amp;'29-AUGUST-2026'!$B$3:$B$197,'29-AUGUST-2026'!$Z$3:$Z$197,0)),0))</f>
        <v>0</v>
      </c>
      <c r="G169" s="15">
        <f t="shared" si="49"/>
        <v>2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20">
        <v>0</v>
      </c>
      <c r="S169" s="20">
        <v>0</v>
      </c>
      <c r="T169" s="20">
        <v>0</v>
      </c>
      <c r="U169" s="17"/>
      <c r="V169" s="17"/>
      <c r="W169" s="20">
        <f t="shared" si="50"/>
        <v>0</v>
      </c>
      <c r="X169" s="21">
        <f t="shared" si="48"/>
        <v>2</v>
      </c>
      <c r="Y169" s="15">
        <f t="shared" si="51"/>
        <v>2</v>
      </c>
      <c r="Z169" s="15">
        <f t="shared" si="52"/>
        <v>0</v>
      </c>
      <c r="AA169" s="18" t="str">
        <f>IF($A169="","",IF(AND($W169&gt;0,$V169=""),"IMPORT NEEDS DESTINATION",IF(MIN($Y169,$Z169)&lt;0,"NEGATIVE STOCK - CHECK ENTRIES","")))</f>
        <v/>
      </c>
      <c r="AB169" s="17">
        <v>0</v>
      </c>
      <c r="AC169" s="17">
        <v>0</v>
      </c>
      <c r="AD169" s="15">
        <f t="shared" si="53"/>
        <v>0</v>
      </c>
      <c r="AE169" s="17">
        <v>0</v>
      </c>
      <c r="AF169" s="17">
        <v>0</v>
      </c>
      <c r="AG169" s="15">
        <f t="shared" si="54"/>
        <v>0</v>
      </c>
      <c r="AH169" s="17">
        <v>0</v>
      </c>
      <c r="AI169" s="17">
        <v>0</v>
      </c>
      <c r="AJ169" s="15">
        <f t="shared" si="55"/>
        <v>0</v>
      </c>
      <c r="AK169" s="17">
        <v>0</v>
      </c>
      <c r="AL169" s="17">
        <v>0</v>
      </c>
      <c r="AM169" s="15">
        <f t="shared" si="56"/>
        <v>0</v>
      </c>
      <c r="AN169" s="17"/>
    </row>
    <row r="170" spans="1:40" x14ac:dyDescent="0.3">
      <c r="A170" s="15" t="s">
        <v>165</v>
      </c>
      <c r="B170" s="15">
        <v>25000</v>
      </c>
      <c r="C170" s="15" t="s">
        <v>54</v>
      </c>
      <c r="D170" s="15" t="s">
        <v>68</v>
      </c>
      <c r="E170" s="69" cm="1">
        <f t="array" ref="E170">MAX(0,IFERROR(_xlfn.XLOOKUP($A170&amp;"|"&amp;$B170&amp;"|"&amp;$D170,'29-AUGUST-2026'!$A$3:$A$197&amp;"|"&amp;'29-AUGUST-2026'!$B$3:$B$197&amp;"|"&amp;'29-AUGUST-2026'!$D$3:$D$197,'29-AUGUST-2026'!$Y$3:$Y$197,_xlfn.XLOOKUP($A170&amp;"|"&amp;$B170,'29-AUGUST-2026'!$A$3:$A$197&amp;"|"&amp;'29-AUGUST-2026'!$B$3:$B$197,'29-AUGUST-2026'!$Y$3:$Y$197,0)),0))</f>
        <v>0</v>
      </c>
      <c r="F170" s="69" cm="1">
        <f t="array" ref="F170">MAX(0,IFERROR(_xlfn.XLOOKUP($A170&amp;"|"&amp;$B170&amp;"|"&amp;$D170,'29-AUGUST-2026'!$A$3:$A$197&amp;"|"&amp;'29-AUGUST-2026'!$B$3:$B$197&amp;"|"&amp;'29-AUGUST-2026'!$D$3:$D$197,'29-AUGUST-2026'!$Z$3:$Z$197,_xlfn.XLOOKUP($A170&amp;"|"&amp;$B170,'29-AUGUST-2026'!$A$3:$A$197&amp;"|"&amp;'29-AUGUST-2026'!$B$3:$B$197,'29-AUGUST-2026'!$Z$3:$Z$197,0)),0))</f>
        <v>0</v>
      </c>
      <c r="G170" s="15">
        <f t="shared" si="49"/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20">
        <v>0</v>
      </c>
      <c r="S170" s="20">
        <v>0</v>
      </c>
      <c r="T170" s="20">
        <v>0</v>
      </c>
      <c r="U170" s="17"/>
      <c r="V170" s="17"/>
      <c r="W170" s="20">
        <f t="shared" si="50"/>
        <v>0</v>
      </c>
      <c r="X170" s="21">
        <f t="shared" si="48"/>
        <v>0</v>
      </c>
      <c r="Y170" s="15">
        <f t="shared" si="51"/>
        <v>0</v>
      </c>
      <c r="Z170" s="15">
        <f t="shared" si="52"/>
        <v>0</v>
      </c>
      <c r="AA170" s="18" t="str">
        <f>IF($A170="","",IF(AND($W170&gt;0,$V170=""),"IMPORT NEEDS DESTINATION",IF(MIN($Y170,$Z170)&lt;0,"NEGATIVE STOCK - CHECK ENTRIES","")))</f>
        <v/>
      </c>
      <c r="AB170" s="17">
        <v>0</v>
      </c>
      <c r="AC170" s="17">
        <v>0</v>
      </c>
      <c r="AD170" s="15">
        <f t="shared" si="53"/>
        <v>0</v>
      </c>
      <c r="AE170" s="17">
        <v>0</v>
      </c>
      <c r="AF170" s="17">
        <v>0</v>
      </c>
      <c r="AG170" s="15">
        <f t="shared" si="54"/>
        <v>0</v>
      </c>
      <c r="AH170" s="17">
        <v>0</v>
      </c>
      <c r="AI170" s="17">
        <v>0</v>
      </c>
      <c r="AJ170" s="15">
        <f t="shared" si="55"/>
        <v>0</v>
      </c>
      <c r="AK170" s="17">
        <v>0</v>
      </c>
      <c r="AL170" s="17">
        <v>0</v>
      </c>
      <c r="AM170" s="15">
        <f t="shared" si="56"/>
        <v>0</v>
      </c>
      <c r="AN170" s="17" t="s">
        <v>338</v>
      </c>
    </row>
    <row r="171" spans="1:40" x14ac:dyDescent="0.3">
      <c r="A171" s="15" t="s">
        <v>166</v>
      </c>
      <c r="B171" s="15">
        <v>100000</v>
      </c>
      <c r="C171" s="15" t="s">
        <v>54</v>
      </c>
      <c r="D171" s="15" t="s">
        <v>68</v>
      </c>
      <c r="E171" s="69" cm="1">
        <f t="array" ref="E171">MAX(0,IFERROR(_xlfn.XLOOKUP($A171&amp;"|"&amp;$B171&amp;"|"&amp;$D171,'29-AUGUST-2026'!$A$3:$A$197&amp;"|"&amp;'29-AUGUST-2026'!$B$3:$B$197&amp;"|"&amp;'29-AUGUST-2026'!$D$3:$D$197,'29-AUGUST-2026'!$Y$3:$Y$197,_xlfn.XLOOKUP($A171&amp;"|"&amp;$B171,'29-AUGUST-2026'!$A$3:$A$197&amp;"|"&amp;'29-AUGUST-2026'!$B$3:$B$197,'29-AUGUST-2026'!$Y$3:$Y$197,0)),0))</f>
        <v>0</v>
      </c>
      <c r="F171" s="69" cm="1">
        <f t="array" ref="F171">MAX(0,IFERROR(_xlfn.XLOOKUP($A171&amp;"|"&amp;$B171&amp;"|"&amp;$D171,'29-AUGUST-2026'!$A$3:$A$197&amp;"|"&amp;'29-AUGUST-2026'!$B$3:$B$197&amp;"|"&amp;'29-AUGUST-2026'!$D$3:$D$197,'29-AUGUST-2026'!$Z$3:$Z$197,_xlfn.XLOOKUP($A171&amp;"|"&amp;$B171,'29-AUGUST-2026'!$A$3:$A$197&amp;"|"&amp;'29-AUGUST-2026'!$B$3:$B$197,'29-AUGUST-2026'!$Z$3:$Z$197,0)),0))</f>
        <v>0</v>
      </c>
      <c r="G171" s="15">
        <f t="shared" si="49"/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20">
        <v>0</v>
      </c>
      <c r="S171" s="20">
        <v>0</v>
      </c>
      <c r="T171" s="20">
        <v>0</v>
      </c>
      <c r="U171" s="17"/>
      <c r="V171" s="17"/>
      <c r="W171" s="20">
        <f t="shared" si="50"/>
        <v>0</v>
      </c>
      <c r="X171" s="21">
        <f t="shared" si="48"/>
        <v>0</v>
      </c>
      <c r="Y171" s="15">
        <f t="shared" si="51"/>
        <v>0</v>
      </c>
      <c r="Z171" s="15">
        <f t="shared" si="52"/>
        <v>0</v>
      </c>
      <c r="AA171" s="18" t="str">
        <f>IF($A171="","",IF(AND($W171&gt;0,$V171=""),"IMPORT NEEDS DESTINATION",IF(MIN($Y171,$Z171)&lt;0,"NEGATIVE STOCK - CHECK ENTRIES","")))</f>
        <v/>
      </c>
      <c r="AB171" s="17">
        <v>0</v>
      </c>
      <c r="AC171" s="17">
        <v>0</v>
      </c>
      <c r="AD171" s="15">
        <f t="shared" si="53"/>
        <v>0</v>
      </c>
      <c r="AE171" s="17">
        <v>0</v>
      </c>
      <c r="AF171" s="17">
        <v>0</v>
      </c>
      <c r="AG171" s="15">
        <f t="shared" si="54"/>
        <v>0</v>
      </c>
      <c r="AH171" s="17">
        <v>0</v>
      </c>
      <c r="AI171" s="17">
        <v>0</v>
      </c>
      <c r="AJ171" s="15">
        <f t="shared" si="55"/>
        <v>0</v>
      </c>
      <c r="AK171" s="17">
        <v>0</v>
      </c>
      <c r="AL171" s="17">
        <v>0</v>
      </c>
      <c r="AM171" s="15">
        <f t="shared" si="56"/>
        <v>0</v>
      </c>
      <c r="AN171" s="17"/>
    </row>
    <row r="172" spans="1:40" x14ac:dyDescent="0.3">
      <c r="A172" s="15" t="s">
        <v>168</v>
      </c>
      <c r="B172" s="15">
        <v>100</v>
      </c>
      <c r="C172" s="15" t="s">
        <v>54</v>
      </c>
      <c r="D172" s="15" t="s">
        <v>68</v>
      </c>
      <c r="E172" s="69" cm="1">
        <f t="array" ref="E172">MAX(0,IFERROR(_xlfn.XLOOKUP($A172&amp;"|"&amp;$B172&amp;"|"&amp;$D172,'29-AUGUST-2026'!$A$3:$A$197&amp;"|"&amp;'29-AUGUST-2026'!$B$3:$B$197&amp;"|"&amp;'29-AUGUST-2026'!$D$3:$D$197,'29-AUGUST-2026'!$Y$3:$Y$197,_xlfn.XLOOKUP($A172&amp;"|"&amp;$B172,'29-AUGUST-2026'!$A$3:$A$197&amp;"|"&amp;'29-AUGUST-2026'!$B$3:$B$197,'29-AUGUST-2026'!$Y$3:$Y$197,0)),0))</f>
        <v>1</v>
      </c>
      <c r="F172" s="69" cm="1">
        <f t="array" ref="F172">MAX(0,IFERROR(_xlfn.XLOOKUP($A172&amp;"|"&amp;$B172&amp;"|"&amp;$D172,'29-AUGUST-2026'!$A$3:$A$197&amp;"|"&amp;'29-AUGUST-2026'!$B$3:$B$197&amp;"|"&amp;'29-AUGUST-2026'!$D$3:$D$197,'29-AUGUST-2026'!$Z$3:$Z$197,_xlfn.XLOOKUP($A172&amp;"|"&amp;$B172,'29-AUGUST-2026'!$A$3:$A$197&amp;"|"&amp;'29-AUGUST-2026'!$B$3:$B$197,'29-AUGUST-2026'!$Z$3:$Z$197,0)),0))</f>
        <v>0</v>
      </c>
      <c r="G172" s="15">
        <f t="shared" si="49"/>
        <v>1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20">
        <v>0</v>
      </c>
      <c r="S172" s="20">
        <v>0</v>
      </c>
      <c r="T172" s="20">
        <v>0</v>
      </c>
      <c r="U172" s="17"/>
      <c r="V172" s="17"/>
      <c r="W172" s="20">
        <f t="shared" si="50"/>
        <v>0</v>
      </c>
      <c r="X172" s="21">
        <f t="shared" si="48"/>
        <v>1</v>
      </c>
      <c r="Y172" s="15">
        <f t="shared" si="51"/>
        <v>1</v>
      </c>
      <c r="Z172" s="15">
        <f t="shared" si="52"/>
        <v>0</v>
      </c>
      <c r="AA172" s="18" t="str">
        <f>IF($A172="","",IF(AND($W172&gt;0,$V172=""),"IMPORT NEEDS DESTINATION",IF(MIN($Y172,$Z172)&lt;0,"NEGATIVE STOCK - CHECK ENTRIES","")))</f>
        <v/>
      </c>
      <c r="AB172" s="17">
        <v>0</v>
      </c>
      <c r="AC172" s="17">
        <v>0</v>
      </c>
      <c r="AD172" s="15">
        <f t="shared" si="53"/>
        <v>0</v>
      </c>
      <c r="AE172" s="17">
        <v>0</v>
      </c>
      <c r="AF172" s="17">
        <v>0</v>
      </c>
      <c r="AG172" s="15">
        <f t="shared" si="54"/>
        <v>0</v>
      </c>
      <c r="AH172" s="17">
        <v>0</v>
      </c>
      <c r="AI172" s="17">
        <v>0</v>
      </c>
      <c r="AJ172" s="15">
        <f t="shared" si="55"/>
        <v>0</v>
      </c>
      <c r="AK172" s="17">
        <v>0</v>
      </c>
      <c r="AL172" s="17">
        <v>0</v>
      </c>
      <c r="AM172" s="15">
        <f t="shared" si="56"/>
        <v>0</v>
      </c>
      <c r="AN172" s="17"/>
    </row>
    <row r="173" spans="1:40" x14ac:dyDescent="0.3">
      <c r="A173" s="15" t="s">
        <v>169</v>
      </c>
      <c r="B173" s="15">
        <v>1000</v>
      </c>
      <c r="C173" s="15" t="s">
        <v>54</v>
      </c>
      <c r="D173" s="15" t="s">
        <v>68</v>
      </c>
      <c r="E173" s="69" cm="1">
        <f t="array" ref="E173">MAX(0,IFERROR(_xlfn.XLOOKUP($A173&amp;"|"&amp;$B173&amp;"|"&amp;$D173,'29-AUGUST-2026'!$A$3:$A$197&amp;"|"&amp;'29-AUGUST-2026'!$B$3:$B$197&amp;"|"&amp;'29-AUGUST-2026'!$D$3:$D$197,'29-AUGUST-2026'!$Y$3:$Y$197,_xlfn.XLOOKUP($A173&amp;"|"&amp;$B173,'29-AUGUST-2026'!$A$3:$A$197&amp;"|"&amp;'29-AUGUST-2026'!$B$3:$B$197,'29-AUGUST-2026'!$Y$3:$Y$197,0)),0))</f>
        <v>2</v>
      </c>
      <c r="F173" s="69" cm="1">
        <f t="array" ref="F173">MAX(0,IFERROR(_xlfn.XLOOKUP($A173&amp;"|"&amp;$B173&amp;"|"&amp;$D173,'29-AUGUST-2026'!$A$3:$A$197&amp;"|"&amp;'29-AUGUST-2026'!$B$3:$B$197&amp;"|"&amp;'29-AUGUST-2026'!$D$3:$D$197,'29-AUGUST-2026'!$Z$3:$Z$197,_xlfn.XLOOKUP($A173&amp;"|"&amp;$B173,'29-AUGUST-2026'!$A$3:$A$197&amp;"|"&amp;'29-AUGUST-2026'!$B$3:$B$197,'29-AUGUST-2026'!$Z$3:$Z$197,0)),0))</f>
        <v>0</v>
      </c>
      <c r="G173" s="15">
        <f t="shared" si="49"/>
        <v>2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20">
        <v>0</v>
      </c>
      <c r="S173" s="20">
        <v>0</v>
      </c>
      <c r="T173" s="20">
        <v>0</v>
      </c>
      <c r="U173" s="17"/>
      <c r="V173" s="17"/>
      <c r="W173" s="20">
        <f t="shared" si="50"/>
        <v>0</v>
      </c>
      <c r="X173" s="21">
        <f t="shared" si="48"/>
        <v>2</v>
      </c>
      <c r="Y173" s="15">
        <f t="shared" si="51"/>
        <v>2</v>
      </c>
      <c r="Z173" s="15">
        <f t="shared" si="52"/>
        <v>0</v>
      </c>
      <c r="AA173" s="18" t="str">
        <f>IF($A173="","",IF(AND($W173&gt;0,$V173=""),"IMPORT NEEDS DESTINATION",IF(MIN($Y173,$Z173)&lt;0,"NEGATIVE STOCK - CHECK ENTRIES","")))</f>
        <v/>
      </c>
      <c r="AB173" s="17">
        <v>0</v>
      </c>
      <c r="AC173" s="17">
        <v>0</v>
      </c>
      <c r="AD173" s="15">
        <f t="shared" si="53"/>
        <v>0</v>
      </c>
      <c r="AE173" s="17">
        <v>0</v>
      </c>
      <c r="AF173" s="17">
        <v>0</v>
      </c>
      <c r="AG173" s="15">
        <f t="shared" si="54"/>
        <v>0</v>
      </c>
      <c r="AH173" s="17">
        <v>0</v>
      </c>
      <c r="AI173" s="17">
        <v>0</v>
      </c>
      <c r="AJ173" s="15">
        <f t="shared" si="55"/>
        <v>0</v>
      </c>
      <c r="AK173" s="17">
        <v>0</v>
      </c>
      <c r="AL173" s="17">
        <v>0</v>
      </c>
      <c r="AM173" s="15">
        <f t="shared" si="56"/>
        <v>0</v>
      </c>
      <c r="AN173" s="17"/>
    </row>
    <row r="174" spans="1:40" x14ac:dyDescent="0.3">
      <c r="A174" s="15" t="s">
        <v>172</v>
      </c>
      <c r="B174" s="15">
        <v>100</v>
      </c>
      <c r="C174" s="15" t="s">
        <v>54</v>
      </c>
      <c r="D174" s="15" t="s">
        <v>68</v>
      </c>
      <c r="E174" s="69" cm="1">
        <f t="array" ref="E174">MAX(0,IFERROR(_xlfn.XLOOKUP($A174&amp;"|"&amp;$B174&amp;"|"&amp;$D174,'29-AUGUST-2026'!$A$3:$A$197&amp;"|"&amp;'29-AUGUST-2026'!$B$3:$B$197&amp;"|"&amp;'29-AUGUST-2026'!$D$3:$D$197,'29-AUGUST-2026'!$Y$3:$Y$197,_xlfn.XLOOKUP($A174&amp;"|"&amp;$B174,'29-AUGUST-2026'!$A$3:$A$197&amp;"|"&amp;'29-AUGUST-2026'!$B$3:$B$197,'29-AUGUST-2026'!$Y$3:$Y$197,0)),0))</f>
        <v>10</v>
      </c>
      <c r="F174" s="69" cm="1">
        <f t="array" ref="F174">MAX(0,IFERROR(_xlfn.XLOOKUP($A174&amp;"|"&amp;$B174&amp;"|"&amp;$D174,'29-AUGUST-2026'!$A$3:$A$197&amp;"|"&amp;'29-AUGUST-2026'!$B$3:$B$197&amp;"|"&amp;'29-AUGUST-2026'!$D$3:$D$197,'29-AUGUST-2026'!$Z$3:$Z$197,_xlfn.XLOOKUP($A174&amp;"|"&amp;$B174,'29-AUGUST-2026'!$A$3:$A$197&amp;"|"&amp;'29-AUGUST-2026'!$B$3:$B$197,'29-AUGUST-2026'!$Z$3:$Z$197,0)),0))</f>
        <v>0</v>
      </c>
      <c r="G174" s="15">
        <f t="shared" si="49"/>
        <v>10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20">
        <v>0</v>
      </c>
      <c r="S174" s="20">
        <v>0</v>
      </c>
      <c r="T174" s="20">
        <v>0</v>
      </c>
      <c r="U174" s="17"/>
      <c r="V174" s="17"/>
      <c r="W174" s="20">
        <f t="shared" si="50"/>
        <v>0</v>
      </c>
      <c r="X174" s="21">
        <f t="shared" ref="X174:X198" si="57">Y174+Z174</f>
        <v>10</v>
      </c>
      <c r="Y174" s="15">
        <f t="shared" si="51"/>
        <v>10</v>
      </c>
      <c r="Z174" s="15">
        <f t="shared" si="52"/>
        <v>0</v>
      </c>
      <c r="AA174" s="18" t="str">
        <f>IF($A174="","",IF(AND($W174&gt;0,$V174=""),"IMPORT NEEDS DESTINATION",IF(MIN($Y174,$Z174)&lt;0,"NEGATIVE STOCK - CHECK ENTRIES","")))</f>
        <v/>
      </c>
      <c r="AB174" s="17">
        <v>0</v>
      </c>
      <c r="AC174" s="17">
        <v>0</v>
      </c>
      <c r="AD174" s="15">
        <f t="shared" si="53"/>
        <v>0</v>
      </c>
      <c r="AE174" s="17">
        <v>0</v>
      </c>
      <c r="AF174" s="17">
        <v>0</v>
      </c>
      <c r="AG174" s="15">
        <f t="shared" si="54"/>
        <v>0</v>
      </c>
      <c r="AH174" s="17">
        <v>0</v>
      </c>
      <c r="AI174" s="17">
        <v>0</v>
      </c>
      <c r="AJ174" s="15">
        <f t="shared" si="55"/>
        <v>0</v>
      </c>
      <c r="AK174" s="17">
        <v>0</v>
      </c>
      <c r="AL174" s="17">
        <v>0</v>
      </c>
      <c r="AM174" s="15">
        <f t="shared" si="56"/>
        <v>0</v>
      </c>
      <c r="AN174" s="17"/>
    </row>
    <row r="175" spans="1:40" x14ac:dyDescent="0.3">
      <c r="A175" s="15" t="s">
        <v>173</v>
      </c>
      <c r="B175" s="15">
        <v>100</v>
      </c>
      <c r="C175" s="15" t="s">
        <v>54</v>
      </c>
      <c r="D175" s="15" t="s">
        <v>68</v>
      </c>
      <c r="E175" s="69" cm="1">
        <f t="array" ref="E175">MAX(0,IFERROR(_xlfn.XLOOKUP($A175&amp;"|"&amp;$B175&amp;"|"&amp;$D175,'29-AUGUST-2026'!$A$3:$A$197&amp;"|"&amp;'29-AUGUST-2026'!$B$3:$B$197&amp;"|"&amp;'29-AUGUST-2026'!$D$3:$D$197,'29-AUGUST-2026'!$Y$3:$Y$197,_xlfn.XLOOKUP($A175&amp;"|"&amp;$B175,'29-AUGUST-2026'!$A$3:$A$197&amp;"|"&amp;'29-AUGUST-2026'!$B$3:$B$197,'29-AUGUST-2026'!$Y$3:$Y$197,0)),0))</f>
        <v>10</v>
      </c>
      <c r="F175" s="69" cm="1">
        <f t="array" ref="F175">MAX(0,IFERROR(_xlfn.XLOOKUP($A175&amp;"|"&amp;$B175&amp;"|"&amp;$D175,'29-AUGUST-2026'!$A$3:$A$197&amp;"|"&amp;'29-AUGUST-2026'!$B$3:$B$197&amp;"|"&amp;'29-AUGUST-2026'!$D$3:$D$197,'29-AUGUST-2026'!$Z$3:$Z$197,_xlfn.XLOOKUP($A175&amp;"|"&amp;$B175,'29-AUGUST-2026'!$A$3:$A$197&amp;"|"&amp;'29-AUGUST-2026'!$B$3:$B$197,'29-AUGUST-2026'!$Z$3:$Z$197,0)),0))</f>
        <v>0</v>
      </c>
      <c r="G175" s="15">
        <f t="shared" si="49"/>
        <v>10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20">
        <v>0</v>
      </c>
      <c r="S175" s="20">
        <v>0</v>
      </c>
      <c r="T175" s="20">
        <v>0</v>
      </c>
      <c r="U175" s="17"/>
      <c r="V175" s="17"/>
      <c r="W175" s="20">
        <f t="shared" si="50"/>
        <v>0</v>
      </c>
      <c r="X175" s="21">
        <f t="shared" si="57"/>
        <v>10</v>
      </c>
      <c r="Y175" s="15">
        <f t="shared" si="51"/>
        <v>10</v>
      </c>
      <c r="Z175" s="15">
        <f t="shared" si="52"/>
        <v>0</v>
      </c>
      <c r="AA175" s="18" t="str">
        <f>IF($A175="","",IF(AND($W175&gt;0,$V175=""),"IMPORT NEEDS DESTINATION",IF(MIN($Y175,$Z175)&lt;0,"NEGATIVE STOCK - CHECK ENTRIES","")))</f>
        <v/>
      </c>
      <c r="AB175" s="17">
        <v>0</v>
      </c>
      <c r="AC175" s="17">
        <v>0</v>
      </c>
      <c r="AD175" s="15">
        <f t="shared" si="53"/>
        <v>0</v>
      </c>
      <c r="AE175" s="17">
        <v>0</v>
      </c>
      <c r="AF175" s="17">
        <v>0</v>
      </c>
      <c r="AG175" s="15">
        <f t="shared" si="54"/>
        <v>0</v>
      </c>
      <c r="AH175" s="17">
        <v>0</v>
      </c>
      <c r="AI175" s="17">
        <v>0</v>
      </c>
      <c r="AJ175" s="15">
        <f t="shared" si="55"/>
        <v>0</v>
      </c>
      <c r="AK175" s="17">
        <v>0</v>
      </c>
      <c r="AL175" s="17">
        <v>0</v>
      </c>
      <c r="AM175" s="15">
        <f t="shared" si="56"/>
        <v>0</v>
      </c>
      <c r="AN175" s="17"/>
    </row>
    <row r="176" spans="1:40" x14ac:dyDescent="0.3">
      <c r="A176" s="15" t="s">
        <v>174</v>
      </c>
      <c r="B176" s="15">
        <v>100</v>
      </c>
      <c r="C176" s="15" t="s">
        <v>54</v>
      </c>
      <c r="D176" s="15" t="s">
        <v>68</v>
      </c>
      <c r="E176" s="69" cm="1">
        <f t="array" ref="E176">MAX(0,IFERROR(_xlfn.XLOOKUP($A176&amp;"|"&amp;$B176&amp;"|"&amp;$D176,'29-AUGUST-2026'!$A$3:$A$197&amp;"|"&amp;'29-AUGUST-2026'!$B$3:$B$197&amp;"|"&amp;'29-AUGUST-2026'!$D$3:$D$197,'29-AUGUST-2026'!$Y$3:$Y$197,_xlfn.XLOOKUP($A176&amp;"|"&amp;$B176,'29-AUGUST-2026'!$A$3:$A$197&amp;"|"&amp;'29-AUGUST-2026'!$B$3:$B$197,'29-AUGUST-2026'!$Y$3:$Y$197,0)),0))</f>
        <v>4</v>
      </c>
      <c r="F176" s="69" cm="1">
        <f t="array" ref="F176">MAX(0,IFERROR(_xlfn.XLOOKUP($A176&amp;"|"&amp;$B176&amp;"|"&amp;$D176,'29-AUGUST-2026'!$A$3:$A$197&amp;"|"&amp;'29-AUGUST-2026'!$B$3:$B$197&amp;"|"&amp;'29-AUGUST-2026'!$D$3:$D$197,'29-AUGUST-2026'!$Z$3:$Z$197,_xlfn.XLOOKUP($A176&amp;"|"&amp;$B176,'29-AUGUST-2026'!$A$3:$A$197&amp;"|"&amp;'29-AUGUST-2026'!$B$3:$B$197,'29-AUGUST-2026'!$Z$3:$Z$197,0)),0))</f>
        <v>0</v>
      </c>
      <c r="G176" s="15">
        <f t="shared" si="49"/>
        <v>4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20">
        <v>0</v>
      </c>
      <c r="S176" s="20">
        <v>0</v>
      </c>
      <c r="T176" s="20">
        <v>0</v>
      </c>
      <c r="U176" s="17"/>
      <c r="V176" s="17"/>
      <c r="W176" s="20">
        <f t="shared" si="50"/>
        <v>0</v>
      </c>
      <c r="X176" s="21">
        <f t="shared" si="57"/>
        <v>4</v>
      </c>
      <c r="Y176" s="15">
        <f t="shared" si="51"/>
        <v>4</v>
      </c>
      <c r="Z176" s="15">
        <f t="shared" si="52"/>
        <v>0</v>
      </c>
      <c r="AA176" s="18" t="str">
        <f>IF($A176="","",IF(AND($W176&gt;0,$V176=""),"IMPORT NEEDS DESTINATION",IF(MIN($Y176,$Z176)&lt;0,"NEGATIVE STOCK - CHECK ENTRIES","")))</f>
        <v/>
      </c>
      <c r="AB176" s="17">
        <v>0</v>
      </c>
      <c r="AC176" s="17">
        <v>0</v>
      </c>
      <c r="AD176" s="15">
        <f t="shared" si="53"/>
        <v>0</v>
      </c>
      <c r="AE176" s="17">
        <v>0</v>
      </c>
      <c r="AF176" s="17">
        <v>0</v>
      </c>
      <c r="AG176" s="15">
        <f t="shared" si="54"/>
        <v>0</v>
      </c>
      <c r="AH176" s="17">
        <v>0</v>
      </c>
      <c r="AI176" s="17">
        <v>0</v>
      </c>
      <c r="AJ176" s="15">
        <f t="shared" si="55"/>
        <v>0</v>
      </c>
      <c r="AK176" s="17">
        <v>0</v>
      </c>
      <c r="AL176" s="17">
        <v>0</v>
      </c>
      <c r="AM176" s="15">
        <f t="shared" si="56"/>
        <v>0</v>
      </c>
      <c r="AN176" s="17"/>
    </row>
    <row r="177" spans="1:40" x14ac:dyDescent="0.3">
      <c r="A177" s="15" t="s">
        <v>179</v>
      </c>
      <c r="B177" s="15">
        <v>2500</v>
      </c>
      <c r="C177" s="15" t="s">
        <v>54</v>
      </c>
      <c r="D177" s="15" t="s">
        <v>68</v>
      </c>
      <c r="E177" s="69" cm="1">
        <f t="array" ref="E177">MAX(0,IFERROR(_xlfn.XLOOKUP($A177&amp;"|"&amp;$B177&amp;"|"&amp;$D177,'29-AUGUST-2026'!$A$3:$A$197&amp;"|"&amp;'29-AUGUST-2026'!$B$3:$B$197&amp;"|"&amp;'29-AUGUST-2026'!$D$3:$D$197,'29-AUGUST-2026'!$Y$3:$Y$197,_xlfn.XLOOKUP($A177&amp;"|"&amp;$B177,'29-AUGUST-2026'!$A$3:$A$197&amp;"|"&amp;'29-AUGUST-2026'!$B$3:$B$197,'29-AUGUST-2026'!$Y$3:$Y$197,0)),0))</f>
        <v>2</v>
      </c>
      <c r="F177" s="69" cm="1">
        <f t="array" ref="F177">MAX(0,IFERROR(_xlfn.XLOOKUP($A177&amp;"|"&amp;$B177&amp;"|"&amp;$D177,'29-AUGUST-2026'!$A$3:$A$197&amp;"|"&amp;'29-AUGUST-2026'!$B$3:$B$197&amp;"|"&amp;'29-AUGUST-2026'!$D$3:$D$197,'29-AUGUST-2026'!$Z$3:$Z$197,_xlfn.XLOOKUP($A177&amp;"|"&amp;$B177,'29-AUGUST-2026'!$A$3:$A$197&amp;"|"&amp;'29-AUGUST-2026'!$B$3:$B$197,'29-AUGUST-2026'!$Z$3:$Z$197,0)),0))</f>
        <v>0</v>
      </c>
      <c r="G177" s="15">
        <f t="shared" si="49"/>
        <v>2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20">
        <v>0</v>
      </c>
      <c r="S177" s="20">
        <v>0</v>
      </c>
      <c r="T177" s="20">
        <v>0</v>
      </c>
      <c r="U177" s="17"/>
      <c r="V177" s="17"/>
      <c r="W177" s="20">
        <f t="shared" si="50"/>
        <v>0</v>
      </c>
      <c r="X177" s="21">
        <f t="shared" si="57"/>
        <v>2</v>
      </c>
      <c r="Y177" s="15">
        <f t="shared" si="51"/>
        <v>2</v>
      </c>
      <c r="Z177" s="15">
        <f t="shared" si="52"/>
        <v>0</v>
      </c>
      <c r="AA177" s="18" t="str">
        <f>IF($A177="","",IF(AND($W177&gt;0,$V177=""),"IMPORT NEEDS DESTINATION",IF(MIN($Y177,$Z177)&lt;0,"NEGATIVE STOCK - CHECK ENTRIES","")))</f>
        <v/>
      </c>
      <c r="AB177" s="17">
        <v>0</v>
      </c>
      <c r="AC177" s="17">
        <v>0</v>
      </c>
      <c r="AD177" s="15">
        <f t="shared" si="53"/>
        <v>0</v>
      </c>
      <c r="AE177" s="17">
        <v>0</v>
      </c>
      <c r="AF177" s="17">
        <v>0</v>
      </c>
      <c r="AG177" s="15">
        <f t="shared" si="54"/>
        <v>0</v>
      </c>
      <c r="AH177" s="17">
        <v>0</v>
      </c>
      <c r="AI177" s="17">
        <v>0</v>
      </c>
      <c r="AJ177" s="15">
        <f t="shared" si="55"/>
        <v>0</v>
      </c>
      <c r="AK177" s="17">
        <v>0</v>
      </c>
      <c r="AL177" s="17">
        <v>0</v>
      </c>
      <c r="AM177" s="15">
        <f t="shared" si="56"/>
        <v>0</v>
      </c>
      <c r="AN177" s="17"/>
    </row>
    <row r="178" spans="1:40" x14ac:dyDescent="0.3">
      <c r="A178" s="15" t="s">
        <v>180</v>
      </c>
      <c r="B178" s="15">
        <v>1000</v>
      </c>
      <c r="C178" s="15" t="s">
        <v>54</v>
      </c>
      <c r="D178" s="15" t="s">
        <v>68</v>
      </c>
      <c r="E178" s="69" cm="1">
        <f t="array" ref="E178">MAX(0,IFERROR(_xlfn.XLOOKUP($A178&amp;"|"&amp;$B178&amp;"|"&amp;$D178,'29-AUGUST-2026'!$A$3:$A$197&amp;"|"&amp;'29-AUGUST-2026'!$B$3:$B$197&amp;"|"&amp;'29-AUGUST-2026'!$D$3:$D$197,'29-AUGUST-2026'!$Y$3:$Y$197,_xlfn.XLOOKUP($A178&amp;"|"&amp;$B178,'29-AUGUST-2026'!$A$3:$A$197&amp;"|"&amp;'29-AUGUST-2026'!$B$3:$B$197,'29-AUGUST-2026'!$Y$3:$Y$197,0)),0))</f>
        <v>2</v>
      </c>
      <c r="F178" s="69" cm="1">
        <f t="array" ref="F178">MAX(0,IFERROR(_xlfn.XLOOKUP($A178&amp;"|"&amp;$B178&amp;"|"&amp;$D178,'29-AUGUST-2026'!$A$3:$A$197&amp;"|"&amp;'29-AUGUST-2026'!$B$3:$B$197&amp;"|"&amp;'29-AUGUST-2026'!$D$3:$D$197,'29-AUGUST-2026'!$Z$3:$Z$197,_xlfn.XLOOKUP($A178&amp;"|"&amp;$B178,'29-AUGUST-2026'!$A$3:$A$197&amp;"|"&amp;'29-AUGUST-2026'!$B$3:$B$197,'29-AUGUST-2026'!$Z$3:$Z$197,0)),0))</f>
        <v>0</v>
      </c>
      <c r="G178" s="15">
        <f t="shared" si="49"/>
        <v>2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20">
        <v>0</v>
      </c>
      <c r="S178" s="20">
        <v>0</v>
      </c>
      <c r="T178" s="20">
        <v>0</v>
      </c>
      <c r="U178" s="17"/>
      <c r="V178" s="17"/>
      <c r="W178" s="20">
        <f t="shared" si="50"/>
        <v>0</v>
      </c>
      <c r="X178" s="21">
        <f t="shared" si="57"/>
        <v>2</v>
      </c>
      <c r="Y178" s="15">
        <f t="shared" si="51"/>
        <v>2</v>
      </c>
      <c r="Z178" s="15">
        <f t="shared" si="52"/>
        <v>0</v>
      </c>
      <c r="AA178" s="18" t="str">
        <f>IF($A178="","",IF(AND($W178&gt;0,$V178=""),"IMPORT NEEDS DESTINATION",IF(MIN($Y178,$Z178)&lt;0,"NEGATIVE STOCK - CHECK ENTRIES","")))</f>
        <v/>
      </c>
      <c r="AB178" s="17">
        <v>0</v>
      </c>
      <c r="AC178" s="17">
        <v>0</v>
      </c>
      <c r="AD178" s="15">
        <f t="shared" si="53"/>
        <v>0</v>
      </c>
      <c r="AE178" s="17">
        <v>0</v>
      </c>
      <c r="AF178" s="17">
        <v>0</v>
      </c>
      <c r="AG178" s="15">
        <f t="shared" si="54"/>
        <v>0</v>
      </c>
      <c r="AH178" s="17">
        <v>0</v>
      </c>
      <c r="AI178" s="17">
        <v>0</v>
      </c>
      <c r="AJ178" s="15">
        <f t="shared" si="55"/>
        <v>0</v>
      </c>
      <c r="AK178" s="17">
        <v>0</v>
      </c>
      <c r="AL178" s="17">
        <v>0</v>
      </c>
      <c r="AM178" s="15">
        <f t="shared" si="56"/>
        <v>0</v>
      </c>
      <c r="AN178" s="17"/>
    </row>
    <row r="179" spans="1:40" x14ac:dyDescent="0.3">
      <c r="A179" s="15" t="s">
        <v>182</v>
      </c>
      <c r="B179" s="15">
        <v>1000</v>
      </c>
      <c r="C179" s="15" t="s">
        <v>54</v>
      </c>
      <c r="D179" s="15" t="s">
        <v>68</v>
      </c>
      <c r="E179" s="69" cm="1">
        <f t="array" ref="E179">MAX(0,IFERROR(_xlfn.XLOOKUP($A179&amp;"|"&amp;$B179&amp;"|"&amp;$D179,'29-AUGUST-2026'!$A$3:$A$197&amp;"|"&amp;'29-AUGUST-2026'!$B$3:$B$197&amp;"|"&amp;'29-AUGUST-2026'!$D$3:$D$197,'29-AUGUST-2026'!$Y$3:$Y$197,_xlfn.XLOOKUP($A179&amp;"|"&amp;$B179,'29-AUGUST-2026'!$A$3:$A$197&amp;"|"&amp;'29-AUGUST-2026'!$B$3:$B$197,'29-AUGUST-2026'!$Y$3:$Y$197,0)),0))</f>
        <v>4</v>
      </c>
      <c r="F179" s="69" cm="1">
        <f t="array" ref="F179">MAX(0,IFERROR(_xlfn.XLOOKUP($A179&amp;"|"&amp;$B179&amp;"|"&amp;$D179,'29-AUGUST-2026'!$A$3:$A$197&amp;"|"&amp;'29-AUGUST-2026'!$B$3:$B$197&amp;"|"&amp;'29-AUGUST-2026'!$D$3:$D$197,'29-AUGUST-2026'!$Z$3:$Z$197,_xlfn.XLOOKUP($A179&amp;"|"&amp;$B179,'29-AUGUST-2026'!$A$3:$A$197&amp;"|"&amp;'29-AUGUST-2026'!$B$3:$B$197,'29-AUGUST-2026'!$Z$3:$Z$197,0)),0))</f>
        <v>0</v>
      </c>
      <c r="G179" s="15">
        <f t="shared" si="49"/>
        <v>4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20">
        <v>0</v>
      </c>
      <c r="S179" s="20">
        <v>0</v>
      </c>
      <c r="T179" s="20">
        <v>0</v>
      </c>
      <c r="U179" s="17"/>
      <c r="V179" s="17"/>
      <c r="W179" s="20">
        <f t="shared" si="50"/>
        <v>0</v>
      </c>
      <c r="X179" s="21">
        <f t="shared" si="57"/>
        <v>4</v>
      </c>
      <c r="Y179" s="15">
        <f t="shared" si="51"/>
        <v>4</v>
      </c>
      <c r="Z179" s="15">
        <f t="shared" si="52"/>
        <v>0</v>
      </c>
      <c r="AA179" s="18" t="str">
        <f>IF($A179="","",IF(AND($W179&gt;0,$V179=""),"IMPORT NEEDS DESTINATION",IF(MIN($Y179,$Z179)&lt;0,"NEGATIVE STOCK - CHECK ENTRIES","")))</f>
        <v/>
      </c>
      <c r="AB179" s="17">
        <v>0</v>
      </c>
      <c r="AC179" s="17">
        <v>0</v>
      </c>
      <c r="AD179" s="15">
        <f t="shared" si="53"/>
        <v>0</v>
      </c>
      <c r="AE179" s="17">
        <v>0</v>
      </c>
      <c r="AF179" s="17">
        <v>0</v>
      </c>
      <c r="AG179" s="15">
        <f t="shared" si="54"/>
        <v>0</v>
      </c>
      <c r="AH179" s="17">
        <v>0</v>
      </c>
      <c r="AI179" s="17">
        <v>0</v>
      </c>
      <c r="AJ179" s="15">
        <f t="shared" si="55"/>
        <v>0</v>
      </c>
      <c r="AK179" s="17">
        <v>0</v>
      </c>
      <c r="AL179" s="17">
        <v>0</v>
      </c>
      <c r="AM179" s="15">
        <f t="shared" si="56"/>
        <v>0</v>
      </c>
      <c r="AN179" s="17"/>
    </row>
    <row r="180" spans="1:40" x14ac:dyDescent="0.3">
      <c r="A180" s="15" t="s">
        <v>183</v>
      </c>
      <c r="B180" s="15">
        <v>100</v>
      </c>
      <c r="C180" s="15" t="s">
        <v>54</v>
      </c>
      <c r="D180" s="15" t="s">
        <v>68</v>
      </c>
      <c r="E180" s="69" cm="1">
        <f t="array" ref="E180">MAX(0,IFERROR(_xlfn.XLOOKUP($A180&amp;"|"&amp;$B180&amp;"|"&amp;$D180,'29-AUGUST-2026'!$A$3:$A$197&amp;"|"&amp;'29-AUGUST-2026'!$B$3:$B$197&amp;"|"&amp;'29-AUGUST-2026'!$D$3:$D$197,'29-AUGUST-2026'!$Y$3:$Y$197,_xlfn.XLOOKUP($A180&amp;"|"&amp;$B180,'29-AUGUST-2026'!$A$3:$A$197&amp;"|"&amp;'29-AUGUST-2026'!$B$3:$B$197,'29-AUGUST-2026'!$Y$3:$Y$197,0)),0))</f>
        <v>2</v>
      </c>
      <c r="F180" s="69" cm="1">
        <f t="array" ref="F180">MAX(0,IFERROR(_xlfn.XLOOKUP($A180&amp;"|"&amp;$B180&amp;"|"&amp;$D180,'29-AUGUST-2026'!$A$3:$A$197&amp;"|"&amp;'29-AUGUST-2026'!$B$3:$B$197&amp;"|"&amp;'29-AUGUST-2026'!$D$3:$D$197,'29-AUGUST-2026'!$Z$3:$Z$197,_xlfn.XLOOKUP($A180&amp;"|"&amp;$B180,'29-AUGUST-2026'!$A$3:$A$197&amp;"|"&amp;'29-AUGUST-2026'!$B$3:$B$197,'29-AUGUST-2026'!$Z$3:$Z$197,0)),0))</f>
        <v>0</v>
      </c>
      <c r="G180" s="15">
        <f t="shared" si="49"/>
        <v>2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20">
        <v>0</v>
      </c>
      <c r="S180" s="20">
        <v>0</v>
      </c>
      <c r="T180" s="20">
        <v>0</v>
      </c>
      <c r="U180" s="17"/>
      <c r="V180" s="17"/>
      <c r="W180" s="20">
        <f t="shared" si="50"/>
        <v>0</v>
      </c>
      <c r="X180" s="21">
        <f t="shared" si="57"/>
        <v>2</v>
      </c>
      <c r="Y180" s="15">
        <f t="shared" si="51"/>
        <v>2</v>
      </c>
      <c r="Z180" s="15">
        <f t="shared" si="52"/>
        <v>0</v>
      </c>
      <c r="AA180" s="18" t="str">
        <f>IF($A180="","",IF(AND($W180&gt;0,$V180=""),"IMPORT NEEDS DESTINATION",IF(MIN($Y180,$Z180)&lt;0,"NEGATIVE STOCK - CHECK ENTRIES","")))</f>
        <v/>
      </c>
      <c r="AB180" s="17">
        <v>0</v>
      </c>
      <c r="AC180" s="17">
        <v>0</v>
      </c>
      <c r="AD180" s="15">
        <f t="shared" si="53"/>
        <v>0</v>
      </c>
      <c r="AE180" s="17">
        <v>0</v>
      </c>
      <c r="AF180" s="17">
        <v>0</v>
      </c>
      <c r="AG180" s="15">
        <f t="shared" si="54"/>
        <v>0</v>
      </c>
      <c r="AH180" s="17">
        <v>0</v>
      </c>
      <c r="AI180" s="17">
        <v>0</v>
      </c>
      <c r="AJ180" s="15">
        <f t="shared" si="55"/>
        <v>0</v>
      </c>
      <c r="AK180" s="17">
        <v>0</v>
      </c>
      <c r="AL180" s="17">
        <v>0</v>
      </c>
      <c r="AM180" s="15">
        <f t="shared" si="56"/>
        <v>0</v>
      </c>
      <c r="AN180" s="17"/>
    </row>
    <row r="181" spans="1:40" x14ac:dyDescent="0.3">
      <c r="A181" s="15" t="s">
        <v>185</v>
      </c>
      <c r="B181" s="15">
        <v>100</v>
      </c>
      <c r="C181" s="15" t="s">
        <v>54</v>
      </c>
      <c r="D181" s="15" t="s">
        <v>68</v>
      </c>
      <c r="E181" s="69" cm="1">
        <f t="array" ref="E181">MAX(0,IFERROR(_xlfn.XLOOKUP($A181&amp;"|"&amp;$B181&amp;"|"&amp;$D181,'29-AUGUST-2026'!$A$3:$A$197&amp;"|"&amp;'29-AUGUST-2026'!$B$3:$B$197&amp;"|"&amp;'29-AUGUST-2026'!$D$3:$D$197,'29-AUGUST-2026'!$Y$3:$Y$197,_xlfn.XLOOKUP($A181&amp;"|"&amp;$B181,'29-AUGUST-2026'!$A$3:$A$197&amp;"|"&amp;'29-AUGUST-2026'!$B$3:$B$197,'29-AUGUST-2026'!$Y$3:$Y$197,0)),0))</f>
        <v>6</v>
      </c>
      <c r="F181" s="69" cm="1">
        <f t="array" ref="F181">MAX(0,IFERROR(_xlfn.XLOOKUP($A181&amp;"|"&amp;$B181&amp;"|"&amp;$D181,'29-AUGUST-2026'!$A$3:$A$197&amp;"|"&amp;'29-AUGUST-2026'!$B$3:$B$197&amp;"|"&amp;'29-AUGUST-2026'!$D$3:$D$197,'29-AUGUST-2026'!$Z$3:$Z$197,_xlfn.XLOOKUP($A181&amp;"|"&amp;$B181,'29-AUGUST-2026'!$A$3:$A$197&amp;"|"&amp;'29-AUGUST-2026'!$B$3:$B$197,'29-AUGUST-2026'!$Z$3:$Z$197,0)),0))</f>
        <v>0</v>
      </c>
      <c r="G181" s="15">
        <f t="shared" si="49"/>
        <v>6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20">
        <v>0</v>
      </c>
      <c r="S181" s="20">
        <v>0</v>
      </c>
      <c r="T181" s="20">
        <v>0</v>
      </c>
      <c r="U181" s="17"/>
      <c r="V181" s="17"/>
      <c r="W181" s="20">
        <f t="shared" si="50"/>
        <v>0</v>
      </c>
      <c r="X181" s="21">
        <f t="shared" si="57"/>
        <v>6</v>
      </c>
      <c r="Y181" s="15">
        <f t="shared" si="51"/>
        <v>6</v>
      </c>
      <c r="Z181" s="15">
        <f t="shared" si="52"/>
        <v>0</v>
      </c>
      <c r="AA181" s="18" t="str">
        <f>IF($A181="","",IF(AND($W181&gt;0,$V181=""),"IMPORT NEEDS DESTINATION",IF(MIN($Y181,$Z181)&lt;0,"NEGATIVE STOCK - CHECK ENTRIES","")))</f>
        <v/>
      </c>
      <c r="AB181" s="17">
        <v>0</v>
      </c>
      <c r="AC181" s="17">
        <v>0</v>
      </c>
      <c r="AD181" s="15">
        <f t="shared" si="53"/>
        <v>0</v>
      </c>
      <c r="AE181" s="17">
        <v>0</v>
      </c>
      <c r="AF181" s="17">
        <v>0</v>
      </c>
      <c r="AG181" s="15">
        <f t="shared" si="54"/>
        <v>0</v>
      </c>
      <c r="AH181" s="17">
        <v>0</v>
      </c>
      <c r="AI181" s="17">
        <v>0</v>
      </c>
      <c r="AJ181" s="15">
        <f t="shared" si="55"/>
        <v>0</v>
      </c>
      <c r="AK181" s="17">
        <v>0</v>
      </c>
      <c r="AL181" s="17">
        <v>0</v>
      </c>
      <c r="AM181" s="15">
        <f t="shared" si="56"/>
        <v>0</v>
      </c>
      <c r="AN181" s="17"/>
    </row>
    <row r="182" spans="1:40" x14ac:dyDescent="0.3">
      <c r="A182" s="15" t="s">
        <v>187</v>
      </c>
      <c r="B182" s="15">
        <v>1000</v>
      </c>
      <c r="C182" s="15" t="s">
        <v>54</v>
      </c>
      <c r="D182" s="15" t="s">
        <v>68</v>
      </c>
      <c r="E182" s="69" cm="1">
        <f t="array" ref="E182">MAX(0,IFERROR(_xlfn.XLOOKUP($A182&amp;"|"&amp;$B182&amp;"|"&amp;$D182,'29-AUGUST-2026'!$A$3:$A$197&amp;"|"&amp;'29-AUGUST-2026'!$B$3:$B$197&amp;"|"&amp;'29-AUGUST-2026'!$D$3:$D$197,'29-AUGUST-2026'!$Y$3:$Y$197,_xlfn.XLOOKUP($A182&amp;"|"&amp;$B182,'29-AUGUST-2026'!$A$3:$A$197&amp;"|"&amp;'29-AUGUST-2026'!$B$3:$B$197,'29-AUGUST-2026'!$Y$3:$Y$197,0)),0))</f>
        <v>1</v>
      </c>
      <c r="F182" s="69" cm="1">
        <f t="array" ref="F182">MAX(0,IFERROR(_xlfn.XLOOKUP($A182&amp;"|"&amp;$B182&amp;"|"&amp;$D182,'29-AUGUST-2026'!$A$3:$A$197&amp;"|"&amp;'29-AUGUST-2026'!$B$3:$B$197&amp;"|"&amp;'29-AUGUST-2026'!$D$3:$D$197,'29-AUGUST-2026'!$Z$3:$Z$197,_xlfn.XLOOKUP($A182&amp;"|"&amp;$B182,'29-AUGUST-2026'!$A$3:$A$197&amp;"|"&amp;'29-AUGUST-2026'!$B$3:$B$197,'29-AUGUST-2026'!$Z$3:$Z$197,0)),0))</f>
        <v>0</v>
      </c>
      <c r="G182" s="15">
        <f t="shared" si="49"/>
        <v>1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20">
        <v>0</v>
      </c>
      <c r="S182" s="20">
        <v>0</v>
      </c>
      <c r="T182" s="20">
        <v>0</v>
      </c>
      <c r="U182" s="17"/>
      <c r="V182" s="17"/>
      <c r="W182" s="20">
        <f t="shared" si="50"/>
        <v>0</v>
      </c>
      <c r="X182" s="21">
        <f t="shared" si="57"/>
        <v>1</v>
      </c>
      <c r="Y182" s="15">
        <f t="shared" si="51"/>
        <v>1</v>
      </c>
      <c r="Z182" s="15">
        <f t="shared" si="52"/>
        <v>0</v>
      </c>
      <c r="AA182" s="18" t="str">
        <f>IF($A182="","",IF(AND($W182&gt;0,$V182=""),"IMPORT NEEDS DESTINATION",IF(MIN($Y182,$Z182)&lt;0,"NEGATIVE STOCK - CHECK ENTRIES","")))</f>
        <v/>
      </c>
      <c r="AB182" s="17">
        <v>0</v>
      </c>
      <c r="AC182" s="17">
        <v>0</v>
      </c>
      <c r="AD182" s="15">
        <f t="shared" si="53"/>
        <v>0</v>
      </c>
      <c r="AE182" s="17">
        <v>0</v>
      </c>
      <c r="AF182" s="17">
        <v>0</v>
      </c>
      <c r="AG182" s="15">
        <f t="shared" si="54"/>
        <v>0</v>
      </c>
      <c r="AH182" s="17">
        <v>0</v>
      </c>
      <c r="AI182" s="17">
        <v>0</v>
      </c>
      <c r="AJ182" s="15">
        <f t="shared" si="55"/>
        <v>0</v>
      </c>
      <c r="AK182" s="17">
        <v>0</v>
      </c>
      <c r="AL182" s="17">
        <v>0</v>
      </c>
      <c r="AM182" s="15">
        <f t="shared" si="56"/>
        <v>0</v>
      </c>
      <c r="AN182" s="17"/>
    </row>
    <row r="183" spans="1:40" x14ac:dyDescent="0.3">
      <c r="A183" s="15" t="s">
        <v>189</v>
      </c>
      <c r="B183" s="15">
        <v>100</v>
      </c>
      <c r="C183" s="15" t="s">
        <v>54</v>
      </c>
      <c r="D183" s="15" t="s">
        <v>68</v>
      </c>
      <c r="E183" s="69" cm="1">
        <f t="array" ref="E183">MAX(0,IFERROR(_xlfn.XLOOKUP($A183&amp;"|"&amp;$B183&amp;"|"&amp;$D183,'29-AUGUST-2026'!$A$3:$A$197&amp;"|"&amp;'29-AUGUST-2026'!$B$3:$B$197&amp;"|"&amp;'29-AUGUST-2026'!$D$3:$D$197,'29-AUGUST-2026'!$Y$3:$Y$197,_xlfn.XLOOKUP($A183&amp;"|"&amp;$B183,'29-AUGUST-2026'!$A$3:$A$197&amp;"|"&amp;'29-AUGUST-2026'!$B$3:$B$197,'29-AUGUST-2026'!$Y$3:$Y$197,0)),0))</f>
        <v>0</v>
      </c>
      <c r="F183" s="69" cm="1">
        <f t="array" ref="F183">MAX(0,IFERROR(_xlfn.XLOOKUP($A183&amp;"|"&amp;$B183&amp;"|"&amp;$D183,'29-AUGUST-2026'!$A$3:$A$197&amp;"|"&amp;'29-AUGUST-2026'!$B$3:$B$197&amp;"|"&amp;'29-AUGUST-2026'!$D$3:$D$197,'29-AUGUST-2026'!$Z$3:$Z$197,_xlfn.XLOOKUP($A183&amp;"|"&amp;$B183,'29-AUGUST-2026'!$A$3:$A$197&amp;"|"&amp;'29-AUGUST-2026'!$B$3:$B$197,'29-AUGUST-2026'!$Z$3:$Z$197,0)),0))</f>
        <v>0</v>
      </c>
      <c r="G183" s="15">
        <f t="shared" si="49"/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20">
        <v>0</v>
      </c>
      <c r="S183" s="20">
        <v>0</v>
      </c>
      <c r="T183" s="20">
        <v>0</v>
      </c>
      <c r="U183" s="17"/>
      <c r="V183" s="17"/>
      <c r="W183" s="20">
        <f t="shared" si="50"/>
        <v>0</v>
      </c>
      <c r="X183" s="21">
        <f t="shared" si="57"/>
        <v>0</v>
      </c>
      <c r="Y183" s="15">
        <f t="shared" si="51"/>
        <v>0</v>
      </c>
      <c r="Z183" s="15">
        <f t="shared" si="52"/>
        <v>0</v>
      </c>
      <c r="AA183" s="18" t="str">
        <f>IF($A183="","",IF(AND($W183&gt;0,$V183=""),"IMPORT NEEDS DESTINATION",IF(MIN($Y183,$Z183)&lt;0,"NEGATIVE STOCK - CHECK ENTRIES","")))</f>
        <v/>
      </c>
      <c r="AB183" s="17">
        <v>0</v>
      </c>
      <c r="AC183" s="17">
        <v>0</v>
      </c>
      <c r="AD183" s="15">
        <f t="shared" si="53"/>
        <v>0</v>
      </c>
      <c r="AE183" s="17">
        <v>0</v>
      </c>
      <c r="AF183" s="17">
        <v>0</v>
      </c>
      <c r="AG183" s="15">
        <f t="shared" si="54"/>
        <v>0</v>
      </c>
      <c r="AH183" s="17">
        <v>0</v>
      </c>
      <c r="AI183" s="17">
        <v>0</v>
      </c>
      <c r="AJ183" s="15">
        <f t="shared" si="55"/>
        <v>0</v>
      </c>
      <c r="AK183" s="17">
        <v>0</v>
      </c>
      <c r="AL183" s="17">
        <v>0</v>
      </c>
      <c r="AM183" s="15">
        <f t="shared" si="56"/>
        <v>0</v>
      </c>
      <c r="AN183" s="17"/>
    </row>
    <row r="184" spans="1:40" x14ac:dyDescent="0.3">
      <c r="A184" s="15" t="s">
        <v>191</v>
      </c>
      <c r="B184" s="15">
        <v>100</v>
      </c>
      <c r="C184" s="15" t="s">
        <v>54</v>
      </c>
      <c r="D184" s="15" t="s">
        <v>68</v>
      </c>
      <c r="E184" s="69" cm="1">
        <f t="array" ref="E184">MAX(0,IFERROR(_xlfn.XLOOKUP($A184&amp;"|"&amp;$B184&amp;"|"&amp;$D184,'29-AUGUST-2026'!$A$3:$A$197&amp;"|"&amp;'29-AUGUST-2026'!$B$3:$B$197&amp;"|"&amp;'29-AUGUST-2026'!$D$3:$D$197,'29-AUGUST-2026'!$Y$3:$Y$197,_xlfn.XLOOKUP($A184&amp;"|"&amp;$B184,'29-AUGUST-2026'!$A$3:$A$197&amp;"|"&amp;'29-AUGUST-2026'!$B$3:$B$197,'29-AUGUST-2026'!$Y$3:$Y$197,0)),0))</f>
        <v>2</v>
      </c>
      <c r="F184" s="69" cm="1">
        <f t="array" ref="F184">MAX(0,IFERROR(_xlfn.XLOOKUP($A184&amp;"|"&amp;$B184&amp;"|"&amp;$D184,'29-AUGUST-2026'!$A$3:$A$197&amp;"|"&amp;'29-AUGUST-2026'!$B$3:$B$197&amp;"|"&amp;'29-AUGUST-2026'!$D$3:$D$197,'29-AUGUST-2026'!$Z$3:$Z$197,_xlfn.XLOOKUP($A184&amp;"|"&amp;$B184,'29-AUGUST-2026'!$A$3:$A$197&amp;"|"&amp;'29-AUGUST-2026'!$B$3:$B$197,'29-AUGUST-2026'!$Z$3:$Z$197,0)),0))</f>
        <v>0</v>
      </c>
      <c r="G184" s="15">
        <f t="shared" si="49"/>
        <v>2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20">
        <v>0</v>
      </c>
      <c r="S184" s="20">
        <v>0</v>
      </c>
      <c r="T184" s="20">
        <v>0</v>
      </c>
      <c r="U184" s="17"/>
      <c r="V184" s="17"/>
      <c r="W184" s="20">
        <f t="shared" si="50"/>
        <v>0</v>
      </c>
      <c r="X184" s="21">
        <f t="shared" si="57"/>
        <v>2</v>
      </c>
      <c r="Y184" s="15">
        <f t="shared" si="51"/>
        <v>2</v>
      </c>
      <c r="Z184" s="15">
        <f t="shared" si="52"/>
        <v>0</v>
      </c>
      <c r="AA184" s="18" t="str">
        <f>IF($A184="","",IF(AND($W184&gt;0,$V184=""),"IMPORT NEEDS DESTINATION",IF(MIN($Y184,$Z184)&lt;0,"NEGATIVE STOCK - CHECK ENTRIES","")))</f>
        <v/>
      </c>
      <c r="AB184" s="17">
        <v>0</v>
      </c>
      <c r="AC184" s="17">
        <v>0</v>
      </c>
      <c r="AD184" s="15">
        <f t="shared" si="53"/>
        <v>0</v>
      </c>
      <c r="AE184" s="17">
        <v>0</v>
      </c>
      <c r="AF184" s="17">
        <v>0</v>
      </c>
      <c r="AG184" s="15">
        <f t="shared" si="54"/>
        <v>0</v>
      </c>
      <c r="AH184" s="17">
        <v>0</v>
      </c>
      <c r="AI184" s="17">
        <v>0</v>
      </c>
      <c r="AJ184" s="15">
        <f t="shared" si="55"/>
        <v>0</v>
      </c>
      <c r="AK184" s="17">
        <v>0</v>
      </c>
      <c r="AL184" s="17">
        <v>0</v>
      </c>
      <c r="AM184" s="15">
        <f t="shared" si="56"/>
        <v>0</v>
      </c>
      <c r="AN184" s="17"/>
    </row>
    <row r="185" spans="1:40" x14ac:dyDescent="0.3">
      <c r="A185" s="15" t="s">
        <v>195</v>
      </c>
      <c r="B185" s="15">
        <v>1000</v>
      </c>
      <c r="C185" s="15" t="s">
        <v>54</v>
      </c>
      <c r="D185" s="15" t="s">
        <v>68</v>
      </c>
      <c r="E185" s="69" cm="1">
        <f t="array" ref="E185">MAX(0,IFERROR(_xlfn.XLOOKUP($A185&amp;"|"&amp;$B185&amp;"|"&amp;$D185,'29-AUGUST-2026'!$A$3:$A$197&amp;"|"&amp;'29-AUGUST-2026'!$B$3:$B$197&amp;"|"&amp;'29-AUGUST-2026'!$D$3:$D$197,'29-AUGUST-2026'!$Y$3:$Y$197,_xlfn.XLOOKUP($A185&amp;"|"&amp;$B185,'29-AUGUST-2026'!$A$3:$A$197&amp;"|"&amp;'29-AUGUST-2026'!$B$3:$B$197,'29-AUGUST-2026'!$Y$3:$Y$197,0)),0))</f>
        <v>2</v>
      </c>
      <c r="F185" s="69" cm="1">
        <f t="array" ref="F185">MAX(0,IFERROR(_xlfn.XLOOKUP($A185&amp;"|"&amp;$B185&amp;"|"&amp;$D185,'29-AUGUST-2026'!$A$3:$A$197&amp;"|"&amp;'29-AUGUST-2026'!$B$3:$B$197&amp;"|"&amp;'29-AUGUST-2026'!$D$3:$D$197,'29-AUGUST-2026'!$Z$3:$Z$197,_xlfn.XLOOKUP($A185&amp;"|"&amp;$B185,'29-AUGUST-2026'!$A$3:$A$197&amp;"|"&amp;'29-AUGUST-2026'!$B$3:$B$197,'29-AUGUST-2026'!$Z$3:$Z$197,0)),0))</f>
        <v>0</v>
      </c>
      <c r="G185" s="15">
        <f t="shared" si="49"/>
        <v>2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20">
        <v>0</v>
      </c>
      <c r="S185" s="20">
        <v>0</v>
      </c>
      <c r="T185" s="20">
        <v>0</v>
      </c>
      <c r="U185" s="17"/>
      <c r="V185" s="17"/>
      <c r="W185" s="20">
        <f t="shared" si="50"/>
        <v>0</v>
      </c>
      <c r="X185" s="21">
        <f t="shared" si="57"/>
        <v>2</v>
      </c>
      <c r="Y185" s="15">
        <f t="shared" si="51"/>
        <v>2</v>
      </c>
      <c r="Z185" s="15">
        <f t="shared" si="52"/>
        <v>0</v>
      </c>
      <c r="AA185" s="18" t="str">
        <f>IF($A185="","",IF(AND($W185&gt;0,$V185=""),"IMPORT NEEDS DESTINATION",IF(MIN($Y185,$Z185)&lt;0,"NEGATIVE STOCK - CHECK ENTRIES","")))</f>
        <v/>
      </c>
      <c r="AB185" s="17">
        <v>0</v>
      </c>
      <c r="AC185" s="17">
        <v>0</v>
      </c>
      <c r="AD185" s="15">
        <f t="shared" si="53"/>
        <v>0</v>
      </c>
      <c r="AE185" s="17">
        <v>0</v>
      </c>
      <c r="AF185" s="17">
        <v>0</v>
      </c>
      <c r="AG185" s="15">
        <f t="shared" si="54"/>
        <v>0</v>
      </c>
      <c r="AH185" s="17">
        <v>0</v>
      </c>
      <c r="AI185" s="17">
        <v>0</v>
      </c>
      <c r="AJ185" s="15">
        <f t="shared" si="55"/>
        <v>0</v>
      </c>
      <c r="AK185" s="17">
        <v>0</v>
      </c>
      <c r="AL185" s="17">
        <v>0</v>
      </c>
      <c r="AM185" s="15">
        <f t="shared" si="56"/>
        <v>0</v>
      </c>
      <c r="AN185" s="17"/>
    </row>
    <row r="186" spans="1:40" x14ac:dyDescent="0.3">
      <c r="A186" s="15" t="s">
        <v>207</v>
      </c>
      <c r="B186" s="15">
        <v>1000</v>
      </c>
      <c r="C186" s="15" t="s">
        <v>54</v>
      </c>
      <c r="D186" s="15" t="s">
        <v>68</v>
      </c>
      <c r="E186" s="69" cm="1">
        <f t="array" ref="E186">MAX(0,IFERROR(_xlfn.XLOOKUP($A186&amp;"|"&amp;$B186&amp;"|"&amp;$D186,'29-AUGUST-2026'!$A$3:$A$197&amp;"|"&amp;'29-AUGUST-2026'!$B$3:$B$197&amp;"|"&amp;'29-AUGUST-2026'!$D$3:$D$197,'29-AUGUST-2026'!$Y$3:$Y$197,_xlfn.XLOOKUP($A186&amp;"|"&amp;$B186,'29-AUGUST-2026'!$A$3:$A$197&amp;"|"&amp;'29-AUGUST-2026'!$B$3:$B$197,'29-AUGUST-2026'!$Y$3:$Y$197,0)),0))</f>
        <v>3</v>
      </c>
      <c r="F186" s="69" cm="1">
        <f t="array" ref="F186">MAX(0,IFERROR(_xlfn.XLOOKUP($A186&amp;"|"&amp;$B186&amp;"|"&amp;$D186,'29-AUGUST-2026'!$A$3:$A$197&amp;"|"&amp;'29-AUGUST-2026'!$B$3:$B$197&amp;"|"&amp;'29-AUGUST-2026'!$D$3:$D$197,'29-AUGUST-2026'!$Z$3:$Z$197,_xlfn.XLOOKUP($A186&amp;"|"&amp;$B186,'29-AUGUST-2026'!$A$3:$A$197&amp;"|"&amp;'29-AUGUST-2026'!$B$3:$B$197,'29-AUGUST-2026'!$Z$3:$Z$197,0)),0))</f>
        <v>0</v>
      </c>
      <c r="G186" s="15">
        <f t="shared" si="49"/>
        <v>3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20">
        <v>0</v>
      </c>
      <c r="S186" s="20">
        <v>0</v>
      </c>
      <c r="T186" s="20">
        <v>0</v>
      </c>
      <c r="U186" s="17"/>
      <c r="V186" s="17"/>
      <c r="W186" s="20">
        <f t="shared" si="50"/>
        <v>0</v>
      </c>
      <c r="X186" s="21">
        <f t="shared" si="57"/>
        <v>3</v>
      </c>
      <c r="Y186" s="15">
        <f t="shared" si="51"/>
        <v>3</v>
      </c>
      <c r="Z186" s="15">
        <f t="shared" si="52"/>
        <v>0</v>
      </c>
      <c r="AA186" s="18" t="str">
        <f>IF($A186="","",IF(AND($W186&gt;0,$V186=""),"IMPORT NEEDS DESTINATION",IF(MIN($Y186,$Z186)&lt;0,"NEGATIVE STOCK - CHECK ENTRIES","")))</f>
        <v/>
      </c>
      <c r="AB186" s="17">
        <v>0</v>
      </c>
      <c r="AC186" s="17">
        <v>0</v>
      </c>
      <c r="AD186" s="15">
        <f t="shared" si="53"/>
        <v>0</v>
      </c>
      <c r="AE186" s="17">
        <v>0</v>
      </c>
      <c r="AF186" s="17">
        <v>0</v>
      </c>
      <c r="AG186" s="15">
        <f t="shared" si="54"/>
        <v>0</v>
      </c>
      <c r="AH186" s="17">
        <v>0</v>
      </c>
      <c r="AI186" s="17">
        <v>0</v>
      </c>
      <c r="AJ186" s="15">
        <f t="shared" si="55"/>
        <v>0</v>
      </c>
      <c r="AK186" s="17">
        <v>0</v>
      </c>
      <c r="AL186" s="17">
        <v>0</v>
      </c>
      <c r="AM186" s="15">
        <f t="shared" si="56"/>
        <v>0</v>
      </c>
      <c r="AN186" s="17"/>
    </row>
    <row r="187" spans="1:40" x14ac:dyDescent="0.3">
      <c r="A187" s="15" t="s">
        <v>208</v>
      </c>
      <c r="B187" s="15">
        <v>1000</v>
      </c>
      <c r="C187" s="15" t="s">
        <v>54</v>
      </c>
      <c r="D187" s="15" t="s">
        <v>68</v>
      </c>
      <c r="E187" s="69" cm="1">
        <f t="array" ref="E187">MAX(0,IFERROR(_xlfn.XLOOKUP($A187&amp;"|"&amp;$B187&amp;"|"&amp;$D187,'29-AUGUST-2026'!$A$3:$A$197&amp;"|"&amp;'29-AUGUST-2026'!$B$3:$B$197&amp;"|"&amp;'29-AUGUST-2026'!$D$3:$D$197,'29-AUGUST-2026'!$Y$3:$Y$197,_xlfn.XLOOKUP($A187&amp;"|"&amp;$B187,'29-AUGUST-2026'!$A$3:$A$197&amp;"|"&amp;'29-AUGUST-2026'!$B$3:$B$197,'29-AUGUST-2026'!$Y$3:$Y$197,0)),0))</f>
        <v>9</v>
      </c>
      <c r="F187" s="69" cm="1">
        <f t="array" ref="F187">MAX(0,IFERROR(_xlfn.XLOOKUP($A187&amp;"|"&amp;$B187&amp;"|"&amp;$D187,'29-AUGUST-2026'!$A$3:$A$197&amp;"|"&amp;'29-AUGUST-2026'!$B$3:$B$197&amp;"|"&amp;'29-AUGUST-2026'!$D$3:$D$197,'29-AUGUST-2026'!$Z$3:$Z$197,_xlfn.XLOOKUP($A187&amp;"|"&amp;$B187,'29-AUGUST-2026'!$A$3:$A$197&amp;"|"&amp;'29-AUGUST-2026'!$B$3:$B$197,'29-AUGUST-2026'!$Z$3:$Z$197,0)),0))</f>
        <v>0</v>
      </c>
      <c r="G187" s="15">
        <f t="shared" si="49"/>
        <v>9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20">
        <v>0</v>
      </c>
      <c r="S187" s="20">
        <v>0</v>
      </c>
      <c r="T187" s="20">
        <v>0</v>
      </c>
      <c r="U187" s="17"/>
      <c r="V187" s="17"/>
      <c r="W187" s="20">
        <f t="shared" si="50"/>
        <v>0</v>
      </c>
      <c r="X187" s="21">
        <f t="shared" si="57"/>
        <v>9</v>
      </c>
      <c r="Y187" s="15">
        <f t="shared" si="51"/>
        <v>9</v>
      </c>
      <c r="Z187" s="15">
        <f t="shared" si="52"/>
        <v>0</v>
      </c>
      <c r="AA187" s="18" t="str">
        <f>IF($A187="","",IF(AND($W187&gt;0,$V187=""),"IMPORT NEEDS DESTINATION",IF(MIN($Y187,$Z187)&lt;0,"NEGATIVE STOCK - CHECK ENTRIES","")))</f>
        <v/>
      </c>
      <c r="AB187" s="17">
        <v>0</v>
      </c>
      <c r="AC187" s="17">
        <v>0</v>
      </c>
      <c r="AD187" s="15">
        <f t="shared" si="53"/>
        <v>0</v>
      </c>
      <c r="AE187" s="17">
        <v>0</v>
      </c>
      <c r="AF187" s="17">
        <v>0</v>
      </c>
      <c r="AG187" s="15">
        <f t="shared" si="54"/>
        <v>0</v>
      </c>
      <c r="AH187" s="17">
        <v>0</v>
      </c>
      <c r="AI187" s="17">
        <v>0</v>
      </c>
      <c r="AJ187" s="15">
        <f t="shared" si="55"/>
        <v>0</v>
      </c>
      <c r="AK187" s="17">
        <v>0</v>
      </c>
      <c r="AL187" s="17">
        <v>0</v>
      </c>
      <c r="AM187" s="15">
        <f t="shared" si="56"/>
        <v>0</v>
      </c>
      <c r="AN187" s="17"/>
    </row>
    <row r="188" spans="1:40" x14ac:dyDescent="0.3">
      <c r="A188" s="15" t="s">
        <v>210</v>
      </c>
      <c r="B188" s="15">
        <v>1000</v>
      </c>
      <c r="C188" s="15" t="s">
        <v>54</v>
      </c>
      <c r="D188" s="15" t="s">
        <v>68</v>
      </c>
      <c r="E188" s="69" cm="1">
        <f t="array" ref="E188">MAX(0,IFERROR(_xlfn.XLOOKUP($A188&amp;"|"&amp;$B188&amp;"|"&amp;$D188,'29-AUGUST-2026'!$A$3:$A$197&amp;"|"&amp;'29-AUGUST-2026'!$B$3:$B$197&amp;"|"&amp;'29-AUGUST-2026'!$D$3:$D$197,'29-AUGUST-2026'!$Y$3:$Y$197,_xlfn.XLOOKUP($A188&amp;"|"&amp;$B188,'29-AUGUST-2026'!$A$3:$A$197&amp;"|"&amp;'29-AUGUST-2026'!$B$3:$B$197,'29-AUGUST-2026'!$Y$3:$Y$197,0)),0))</f>
        <v>3</v>
      </c>
      <c r="F188" s="69" cm="1">
        <f t="array" ref="F188">MAX(0,IFERROR(_xlfn.XLOOKUP($A188&amp;"|"&amp;$B188&amp;"|"&amp;$D188,'29-AUGUST-2026'!$A$3:$A$197&amp;"|"&amp;'29-AUGUST-2026'!$B$3:$B$197&amp;"|"&amp;'29-AUGUST-2026'!$D$3:$D$197,'29-AUGUST-2026'!$Z$3:$Z$197,_xlfn.XLOOKUP($A188&amp;"|"&amp;$B188,'29-AUGUST-2026'!$A$3:$A$197&amp;"|"&amp;'29-AUGUST-2026'!$B$3:$B$197,'29-AUGUST-2026'!$Z$3:$Z$197,0)),0))</f>
        <v>0</v>
      </c>
      <c r="G188" s="15">
        <f t="shared" si="49"/>
        <v>3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20">
        <v>0</v>
      </c>
      <c r="S188" s="20">
        <v>0</v>
      </c>
      <c r="T188" s="20">
        <v>0</v>
      </c>
      <c r="U188" s="17"/>
      <c r="V188" s="17"/>
      <c r="W188" s="20">
        <f t="shared" si="50"/>
        <v>0</v>
      </c>
      <c r="X188" s="21">
        <f t="shared" si="57"/>
        <v>3</v>
      </c>
      <c r="Y188" s="15">
        <f t="shared" si="51"/>
        <v>3</v>
      </c>
      <c r="Z188" s="15">
        <f t="shared" si="52"/>
        <v>0</v>
      </c>
      <c r="AA188" s="18" t="str">
        <f>IF($A188="","",IF(AND($W188&gt;0,$V188=""),"IMPORT NEEDS DESTINATION",IF(MIN($Y188,$Z188)&lt;0,"NEGATIVE STOCK - CHECK ENTRIES","")))</f>
        <v/>
      </c>
      <c r="AB188" s="17">
        <v>0</v>
      </c>
      <c r="AC188" s="17">
        <v>0</v>
      </c>
      <c r="AD188" s="15">
        <f t="shared" si="53"/>
        <v>0</v>
      </c>
      <c r="AE188" s="17">
        <v>0</v>
      </c>
      <c r="AF188" s="17">
        <v>0</v>
      </c>
      <c r="AG188" s="15">
        <f t="shared" si="54"/>
        <v>0</v>
      </c>
      <c r="AH188" s="17">
        <v>0</v>
      </c>
      <c r="AI188" s="17">
        <v>0</v>
      </c>
      <c r="AJ188" s="15">
        <f t="shared" si="55"/>
        <v>0</v>
      </c>
      <c r="AK188" s="17">
        <v>0</v>
      </c>
      <c r="AL188" s="17">
        <v>0</v>
      </c>
      <c r="AM188" s="15">
        <f t="shared" si="56"/>
        <v>0</v>
      </c>
      <c r="AN188" s="17"/>
    </row>
    <row r="189" spans="1:40" x14ac:dyDescent="0.3">
      <c r="A189" s="15" t="s">
        <v>221</v>
      </c>
      <c r="B189" s="15">
        <v>1000</v>
      </c>
      <c r="C189" s="15" t="s">
        <v>54</v>
      </c>
      <c r="D189" s="15" t="s">
        <v>68</v>
      </c>
      <c r="E189" s="69" cm="1">
        <f t="array" ref="E189">MAX(0,IFERROR(_xlfn.XLOOKUP($A189&amp;"|"&amp;$B189&amp;"|"&amp;$D189,'29-AUGUST-2026'!$A$3:$A$197&amp;"|"&amp;'29-AUGUST-2026'!$B$3:$B$197&amp;"|"&amp;'29-AUGUST-2026'!$D$3:$D$197,'29-AUGUST-2026'!$Y$3:$Y$197,_xlfn.XLOOKUP($A189&amp;"|"&amp;$B189,'29-AUGUST-2026'!$A$3:$A$197&amp;"|"&amp;'29-AUGUST-2026'!$B$3:$B$197,'29-AUGUST-2026'!$Y$3:$Y$197,0)),0))</f>
        <v>1</v>
      </c>
      <c r="F189" s="69" cm="1">
        <f t="array" ref="F189">MAX(0,IFERROR(_xlfn.XLOOKUP($A189&amp;"|"&amp;$B189&amp;"|"&amp;$D189,'29-AUGUST-2026'!$A$3:$A$197&amp;"|"&amp;'29-AUGUST-2026'!$B$3:$B$197&amp;"|"&amp;'29-AUGUST-2026'!$D$3:$D$197,'29-AUGUST-2026'!$Z$3:$Z$197,_xlfn.XLOOKUP($A189&amp;"|"&amp;$B189,'29-AUGUST-2026'!$A$3:$A$197&amp;"|"&amp;'29-AUGUST-2026'!$B$3:$B$197,'29-AUGUST-2026'!$Z$3:$Z$197,0)),0))</f>
        <v>0</v>
      </c>
      <c r="G189" s="15">
        <f t="shared" si="49"/>
        <v>1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20">
        <v>0</v>
      </c>
      <c r="S189" s="20">
        <v>0</v>
      </c>
      <c r="T189" s="20">
        <v>0</v>
      </c>
      <c r="U189" s="17"/>
      <c r="V189" s="17"/>
      <c r="W189" s="20">
        <f t="shared" si="50"/>
        <v>0</v>
      </c>
      <c r="X189" s="21">
        <f t="shared" si="57"/>
        <v>1</v>
      </c>
      <c r="Y189" s="15">
        <f t="shared" si="51"/>
        <v>1</v>
      </c>
      <c r="Z189" s="15">
        <f t="shared" si="52"/>
        <v>0</v>
      </c>
      <c r="AA189" s="18" t="str">
        <f>IF($A189="","",IF(AND($W189&gt;0,$V189=""),"IMPORT NEEDS DESTINATION",IF(MIN($Y189,$Z189)&lt;0,"NEGATIVE STOCK - CHECK ENTRIES","")))</f>
        <v/>
      </c>
      <c r="AB189" s="17">
        <v>0</v>
      </c>
      <c r="AC189" s="17">
        <v>0</v>
      </c>
      <c r="AD189" s="15">
        <f t="shared" si="53"/>
        <v>0</v>
      </c>
      <c r="AE189" s="17">
        <v>0</v>
      </c>
      <c r="AF189" s="17">
        <v>0</v>
      </c>
      <c r="AG189" s="15">
        <f t="shared" si="54"/>
        <v>0</v>
      </c>
      <c r="AH189" s="17">
        <v>0</v>
      </c>
      <c r="AI189" s="17">
        <v>0</v>
      </c>
      <c r="AJ189" s="15">
        <f t="shared" si="55"/>
        <v>0</v>
      </c>
      <c r="AK189" s="17">
        <v>0</v>
      </c>
      <c r="AL189" s="17">
        <v>0</v>
      </c>
      <c r="AM189" s="15">
        <f t="shared" si="56"/>
        <v>0</v>
      </c>
      <c r="AN189" s="17"/>
    </row>
    <row r="190" spans="1:40" x14ac:dyDescent="0.3">
      <c r="A190" s="15" t="s">
        <v>222</v>
      </c>
      <c r="B190" s="15">
        <v>1000</v>
      </c>
      <c r="C190" s="15" t="s">
        <v>54</v>
      </c>
      <c r="D190" s="15" t="s">
        <v>68</v>
      </c>
      <c r="E190" s="69" cm="1">
        <f t="array" ref="E190">MAX(0,IFERROR(_xlfn.XLOOKUP($A190&amp;"|"&amp;$B190&amp;"|"&amp;$D190,'29-AUGUST-2026'!$A$3:$A$197&amp;"|"&amp;'29-AUGUST-2026'!$B$3:$B$197&amp;"|"&amp;'29-AUGUST-2026'!$D$3:$D$197,'29-AUGUST-2026'!$Y$3:$Y$197,_xlfn.XLOOKUP($A190&amp;"|"&amp;$B190,'29-AUGUST-2026'!$A$3:$A$197&amp;"|"&amp;'29-AUGUST-2026'!$B$3:$B$197,'29-AUGUST-2026'!$Y$3:$Y$197,0)),0))</f>
        <v>2</v>
      </c>
      <c r="F190" s="69" cm="1">
        <f t="array" ref="F190">MAX(0,IFERROR(_xlfn.XLOOKUP($A190&amp;"|"&amp;$B190&amp;"|"&amp;$D190,'29-AUGUST-2026'!$A$3:$A$197&amp;"|"&amp;'29-AUGUST-2026'!$B$3:$B$197&amp;"|"&amp;'29-AUGUST-2026'!$D$3:$D$197,'29-AUGUST-2026'!$Z$3:$Z$197,_xlfn.XLOOKUP($A190&amp;"|"&amp;$B190,'29-AUGUST-2026'!$A$3:$A$197&amp;"|"&amp;'29-AUGUST-2026'!$B$3:$B$197,'29-AUGUST-2026'!$Z$3:$Z$197,0)),0))</f>
        <v>0</v>
      </c>
      <c r="G190" s="15">
        <f t="shared" si="49"/>
        <v>2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20">
        <v>0</v>
      </c>
      <c r="S190" s="20">
        <v>0</v>
      </c>
      <c r="T190" s="20">
        <v>0</v>
      </c>
      <c r="U190" s="17"/>
      <c r="V190" s="17"/>
      <c r="W190" s="20">
        <f t="shared" si="50"/>
        <v>0</v>
      </c>
      <c r="X190" s="21">
        <f t="shared" si="57"/>
        <v>2</v>
      </c>
      <c r="Y190" s="15">
        <f t="shared" si="51"/>
        <v>2</v>
      </c>
      <c r="Z190" s="15">
        <f t="shared" si="52"/>
        <v>0</v>
      </c>
      <c r="AA190" s="18" t="str">
        <f>IF($A190="","",IF(AND($W190&gt;0,$V190=""),"IMPORT NEEDS DESTINATION",IF(MIN($Y190,$Z190)&lt;0,"NEGATIVE STOCK - CHECK ENTRIES","")))</f>
        <v/>
      </c>
      <c r="AB190" s="17">
        <v>0</v>
      </c>
      <c r="AC190" s="17">
        <v>0</v>
      </c>
      <c r="AD190" s="15">
        <f t="shared" si="53"/>
        <v>0</v>
      </c>
      <c r="AE190" s="17">
        <v>0</v>
      </c>
      <c r="AF190" s="17">
        <v>0</v>
      </c>
      <c r="AG190" s="15">
        <f t="shared" si="54"/>
        <v>0</v>
      </c>
      <c r="AH190" s="17">
        <v>0</v>
      </c>
      <c r="AI190" s="17">
        <v>0</v>
      </c>
      <c r="AJ190" s="15">
        <f t="shared" si="55"/>
        <v>0</v>
      </c>
      <c r="AK190" s="17">
        <v>0</v>
      </c>
      <c r="AL190" s="17">
        <v>0</v>
      </c>
      <c r="AM190" s="15">
        <f t="shared" si="56"/>
        <v>0</v>
      </c>
      <c r="AN190" s="17"/>
    </row>
    <row r="191" spans="1:40" x14ac:dyDescent="0.3">
      <c r="A191" s="15" t="s">
        <v>226</v>
      </c>
      <c r="B191" s="15">
        <v>100</v>
      </c>
      <c r="C191" s="15" t="s">
        <v>54</v>
      </c>
      <c r="D191" s="15" t="s">
        <v>68</v>
      </c>
      <c r="E191" s="69" cm="1">
        <f t="array" ref="E191">MAX(0,IFERROR(_xlfn.XLOOKUP($A191&amp;"|"&amp;$B191&amp;"|"&amp;$D191,'29-AUGUST-2026'!$A$3:$A$197&amp;"|"&amp;'29-AUGUST-2026'!$B$3:$B$197&amp;"|"&amp;'29-AUGUST-2026'!$D$3:$D$197,'29-AUGUST-2026'!$Y$3:$Y$197,_xlfn.XLOOKUP($A191&amp;"|"&amp;$B191,'29-AUGUST-2026'!$A$3:$A$197&amp;"|"&amp;'29-AUGUST-2026'!$B$3:$B$197,'29-AUGUST-2026'!$Y$3:$Y$197,0)),0))</f>
        <v>2</v>
      </c>
      <c r="F191" s="69" cm="1">
        <f t="array" ref="F191">MAX(0,IFERROR(_xlfn.XLOOKUP($A191&amp;"|"&amp;$B191&amp;"|"&amp;$D191,'29-AUGUST-2026'!$A$3:$A$197&amp;"|"&amp;'29-AUGUST-2026'!$B$3:$B$197&amp;"|"&amp;'29-AUGUST-2026'!$D$3:$D$197,'29-AUGUST-2026'!$Z$3:$Z$197,_xlfn.XLOOKUP($A191&amp;"|"&amp;$B191,'29-AUGUST-2026'!$A$3:$A$197&amp;"|"&amp;'29-AUGUST-2026'!$B$3:$B$197,'29-AUGUST-2026'!$Z$3:$Z$197,0)),0))</f>
        <v>0</v>
      </c>
      <c r="G191" s="15">
        <f t="shared" si="49"/>
        <v>2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20">
        <v>0</v>
      </c>
      <c r="S191" s="20">
        <v>0</v>
      </c>
      <c r="T191" s="20">
        <v>0</v>
      </c>
      <c r="U191" s="17"/>
      <c r="V191" s="17"/>
      <c r="W191" s="20">
        <f t="shared" si="50"/>
        <v>0</v>
      </c>
      <c r="X191" s="21">
        <f t="shared" si="57"/>
        <v>2</v>
      </c>
      <c r="Y191" s="15">
        <f t="shared" si="51"/>
        <v>2</v>
      </c>
      <c r="Z191" s="15">
        <f t="shared" si="52"/>
        <v>0</v>
      </c>
      <c r="AA191" s="18" t="str">
        <f>IF($A191="","",IF(AND($W191&gt;0,$V191=""),"IMPORT NEEDS DESTINATION",IF(MIN($Y191,$Z191)&lt;0,"NEGATIVE STOCK - CHECK ENTRIES","")))</f>
        <v/>
      </c>
      <c r="AB191" s="17">
        <v>0</v>
      </c>
      <c r="AC191" s="17">
        <v>0</v>
      </c>
      <c r="AD191" s="15">
        <f t="shared" si="53"/>
        <v>0</v>
      </c>
      <c r="AE191" s="17">
        <v>0</v>
      </c>
      <c r="AF191" s="17">
        <v>0</v>
      </c>
      <c r="AG191" s="15">
        <f t="shared" si="54"/>
        <v>0</v>
      </c>
      <c r="AH191" s="17">
        <v>0</v>
      </c>
      <c r="AI191" s="17">
        <v>0</v>
      </c>
      <c r="AJ191" s="15">
        <f t="shared" si="55"/>
        <v>0</v>
      </c>
      <c r="AK191" s="17">
        <v>0</v>
      </c>
      <c r="AL191" s="17">
        <v>0</v>
      </c>
      <c r="AM191" s="15">
        <f t="shared" si="56"/>
        <v>0</v>
      </c>
      <c r="AN191" s="17"/>
    </row>
    <row r="192" spans="1:40" x14ac:dyDescent="0.3">
      <c r="A192" s="15" t="s">
        <v>229</v>
      </c>
      <c r="B192" s="15">
        <v>100</v>
      </c>
      <c r="C192" s="15" t="s">
        <v>54</v>
      </c>
      <c r="D192" s="15" t="s">
        <v>68</v>
      </c>
      <c r="E192" s="69" cm="1">
        <f t="array" ref="E192">MAX(0,IFERROR(_xlfn.XLOOKUP($A192&amp;"|"&amp;$B192&amp;"|"&amp;$D192,'29-AUGUST-2026'!$A$3:$A$197&amp;"|"&amp;'29-AUGUST-2026'!$B$3:$B$197&amp;"|"&amp;'29-AUGUST-2026'!$D$3:$D$197,'29-AUGUST-2026'!$Y$3:$Y$197,_xlfn.XLOOKUP($A192&amp;"|"&amp;$B192,'29-AUGUST-2026'!$A$3:$A$197&amp;"|"&amp;'29-AUGUST-2026'!$B$3:$B$197,'29-AUGUST-2026'!$Y$3:$Y$197,0)),0))</f>
        <v>3</v>
      </c>
      <c r="F192" s="69" cm="1">
        <f t="array" ref="F192">MAX(0,IFERROR(_xlfn.XLOOKUP($A192&amp;"|"&amp;$B192&amp;"|"&amp;$D192,'29-AUGUST-2026'!$A$3:$A$197&amp;"|"&amp;'29-AUGUST-2026'!$B$3:$B$197&amp;"|"&amp;'29-AUGUST-2026'!$D$3:$D$197,'29-AUGUST-2026'!$Z$3:$Z$197,_xlfn.XLOOKUP($A192&amp;"|"&amp;$B192,'29-AUGUST-2026'!$A$3:$A$197&amp;"|"&amp;'29-AUGUST-2026'!$B$3:$B$197,'29-AUGUST-2026'!$Z$3:$Z$197,0)),0))</f>
        <v>0</v>
      </c>
      <c r="G192" s="15">
        <f t="shared" si="49"/>
        <v>3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20">
        <v>0</v>
      </c>
      <c r="S192" s="20">
        <v>0</v>
      </c>
      <c r="T192" s="20">
        <v>0</v>
      </c>
      <c r="U192" s="17"/>
      <c r="V192" s="17"/>
      <c r="W192" s="20">
        <f t="shared" si="50"/>
        <v>0</v>
      </c>
      <c r="X192" s="21">
        <f t="shared" si="57"/>
        <v>3</v>
      </c>
      <c r="Y192" s="15">
        <f t="shared" si="51"/>
        <v>3</v>
      </c>
      <c r="Z192" s="15">
        <f t="shared" si="52"/>
        <v>0</v>
      </c>
      <c r="AA192" s="18" t="str">
        <f>IF($A192="","",IF(AND($W192&gt;0,$V192=""),"IMPORT NEEDS DESTINATION",IF(MIN($Y192,$Z192)&lt;0,"NEGATIVE STOCK - CHECK ENTRIES","")))</f>
        <v/>
      </c>
      <c r="AB192" s="17">
        <v>0</v>
      </c>
      <c r="AC192" s="17">
        <v>0</v>
      </c>
      <c r="AD192" s="15">
        <f t="shared" si="53"/>
        <v>0</v>
      </c>
      <c r="AE192" s="17">
        <v>0</v>
      </c>
      <c r="AF192" s="17">
        <v>0</v>
      </c>
      <c r="AG192" s="15">
        <f t="shared" si="54"/>
        <v>0</v>
      </c>
      <c r="AH192" s="17">
        <v>0</v>
      </c>
      <c r="AI192" s="17">
        <v>0</v>
      </c>
      <c r="AJ192" s="15">
        <f t="shared" si="55"/>
        <v>0</v>
      </c>
      <c r="AK192" s="17">
        <v>0</v>
      </c>
      <c r="AL192" s="17">
        <v>0</v>
      </c>
      <c r="AM192" s="15">
        <f t="shared" si="56"/>
        <v>0</v>
      </c>
      <c r="AN192" s="17"/>
    </row>
    <row r="193" spans="1:40" x14ac:dyDescent="0.3">
      <c r="A193" s="15" t="s">
        <v>230</v>
      </c>
      <c r="B193" s="15">
        <v>1000</v>
      </c>
      <c r="C193" s="15" t="s">
        <v>54</v>
      </c>
      <c r="D193" s="15" t="s">
        <v>68</v>
      </c>
      <c r="E193" s="69" cm="1">
        <f t="array" ref="E193">MAX(0,IFERROR(_xlfn.XLOOKUP($A193&amp;"|"&amp;$B193&amp;"|"&amp;$D193,'29-AUGUST-2026'!$A$3:$A$197&amp;"|"&amp;'29-AUGUST-2026'!$B$3:$B$197&amp;"|"&amp;'29-AUGUST-2026'!$D$3:$D$197,'29-AUGUST-2026'!$Y$3:$Y$197,_xlfn.XLOOKUP($A193&amp;"|"&amp;$B193,'29-AUGUST-2026'!$A$3:$A$197&amp;"|"&amp;'29-AUGUST-2026'!$B$3:$B$197,'29-AUGUST-2026'!$Y$3:$Y$197,0)),0))</f>
        <v>2</v>
      </c>
      <c r="F193" s="69" cm="1">
        <f t="array" ref="F193">MAX(0,IFERROR(_xlfn.XLOOKUP($A193&amp;"|"&amp;$B193&amp;"|"&amp;$D193,'29-AUGUST-2026'!$A$3:$A$197&amp;"|"&amp;'29-AUGUST-2026'!$B$3:$B$197&amp;"|"&amp;'29-AUGUST-2026'!$D$3:$D$197,'29-AUGUST-2026'!$Z$3:$Z$197,_xlfn.XLOOKUP($A193&amp;"|"&amp;$B193,'29-AUGUST-2026'!$A$3:$A$197&amp;"|"&amp;'29-AUGUST-2026'!$B$3:$B$197,'29-AUGUST-2026'!$Z$3:$Z$197,0)),0))</f>
        <v>0</v>
      </c>
      <c r="G193" s="15">
        <f t="shared" si="49"/>
        <v>2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20">
        <v>0</v>
      </c>
      <c r="S193" s="20">
        <v>0</v>
      </c>
      <c r="T193" s="20">
        <v>0</v>
      </c>
      <c r="U193" s="17"/>
      <c r="V193" s="17"/>
      <c r="W193" s="20">
        <f t="shared" si="50"/>
        <v>0</v>
      </c>
      <c r="X193" s="21">
        <f t="shared" si="57"/>
        <v>2</v>
      </c>
      <c r="Y193" s="15">
        <f t="shared" si="51"/>
        <v>2</v>
      </c>
      <c r="Z193" s="15">
        <f t="shared" si="52"/>
        <v>0</v>
      </c>
      <c r="AA193" s="18" t="str">
        <f>IF($A193="","",IF(AND($W193&gt;0,$V193=""),"IMPORT NEEDS DESTINATION",IF(MIN($Y193,$Z193)&lt;0,"NEGATIVE STOCK - CHECK ENTRIES","")))</f>
        <v/>
      </c>
      <c r="AB193" s="17">
        <v>0</v>
      </c>
      <c r="AC193" s="17">
        <v>0</v>
      </c>
      <c r="AD193" s="15">
        <f t="shared" si="53"/>
        <v>0</v>
      </c>
      <c r="AE193" s="17">
        <v>0</v>
      </c>
      <c r="AF193" s="17">
        <v>0</v>
      </c>
      <c r="AG193" s="15">
        <f t="shared" si="54"/>
        <v>0</v>
      </c>
      <c r="AH193" s="17">
        <v>0</v>
      </c>
      <c r="AI193" s="17">
        <v>0</v>
      </c>
      <c r="AJ193" s="15">
        <f t="shared" si="55"/>
        <v>0</v>
      </c>
      <c r="AK193" s="17">
        <v>0</v>
      </c>
      <c r="AL193" s="17">
        <v>0</v>
      </c>
      <c r="AM193" s="15">
        <f t="shared" si="56"/>
        <v>0</v>
      </c>
      <c r="AN193" s="17"/>
    </row>
    <row r="194" spans="1:40" x14ac:dyDescent="0.3">
      <c r="A194" s="15" t="s">
        <v>232</v>
      </c>
      <c r="B194" s="15">
        <v>100000</v>
      </c>
      <c r="C194" s="15" t="s">
        <v>54</v>
      </c>
      <c r="D194" s="15" t="s">
        <v>68</v>
      </c>
      <c r="E194" s="69" cm="1">
        <f t="array" ref="E194">MAX(0,IFERROR(_xlfn.XLOOKUP($A194&amp;"|"&amp;$B194&amp;"|"&amp;$D194,'29-AUGUST-2026'!$A$3:$A$197&amp;"|"&amp;'29-AUGUST-2026'!$B$3:$B$197&amp;"|"&amp;'29-AUGUST-2026'!$D$3:$D$197,'29-AUGUST-2026'!$Y$3:$Y$197,_xlfn.XLOOKUP($A194&amp;"|"&amp;$B194,'29-AUGUST-2026'!$A$3:$A$197&amp;"|"&amp;'29-AUGUST-2026'!$B$3:$B$197,'29-AUGUST-2026'!$Y$3:$Y$197,0)),0))</f>
        <v>2</v>
      </c>
      <c r="F194" s="69" cm="1">
        <f t="array" ref="F194">MAX(0,IFERROR(_xlfn.XLOOKUP($A194&amp;"|"&amp;$B194&amp;"|"&amp;$D194,'29-AUGUST-2026'!$A$3:$A$197&amp;"|"&amp;'29-AUGUST-2026'!$B$3:$B$197&amp;"|"&amp;'29-AUGUST-2026'!$D$3:$D$197,'29-AUGUST-2026'!$Z$3:$Z$197,_xlfn.XLOOKUP($A194&amp;"|"&amp;$B194,'29-AUGUST-2026'!$A$3:$A$197&amp;"|"&amp;'29-AUGUST-2026'!$B$3:$B$197,'29-AUGUST-2026'!$Z$3:$Z$197,0)),0))</f>
        <v>0</v>
      </c>
      <c r="G194" s="15">
        <f t="shared" si="49"/>
        <v>2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20">
        <v>0</v>
      </c>
      <c r="S194" s="20">
        <v>0</v>
      </c>
      <c r="T194" s="20">
        <v>0</v>
      </c>
      <c r="U194" s="17"/>
      <c r="V194" s="17"/>
      <c r="W194" s="20">
        <f t="shared" si="50"/>
        <v>0</v>
      </c>
      <c r="X194" s="21">
        <f t="shared" si="57"/>
        <v>2</v>
      </c>
      <c r="Y194" s="15">
        <f t="shared" si="51"/>
        <v>2</v>
      </c>
      <c r="Z194" s="15">
        <f t="shared" si="52"/>
        <v>0</v>
      </c>
      <c r="AA194" s="18" t="str">
        <f>IF($A194="","",IF(AND($W194&gt;0,$V194=""),"IMPORT NEEDS DESTINATION",IF(MIN($Y194,$Z194)&lt;0,"NEGATIVE STOCK - CHECK ENTRIES","")))</f>
        <v/>
      </c>
      <c r="AB194" s="17">
        <v>0</v>
      </c>
      <c r="AC194" s="17">
        <v>0</v>
      </c>
      <c r="AD194" s="15">
        <f t="shared" si="53"/>
        <v>0</v>
      </c>
      <c r="AE194" s="17">
        <v>0</v>
      </c>
      <c r="AF194" s="17">
        <v>0</v>
      </c>
      <c r="AG194" s="15">
        <f t="shared" si="54"/>
        <v>0</v>
      </c>
      <c r="AH194" s="17">
        <v>0</v>
      </c>
      <c r="AI194" s="17">
        <v>0</v>
      </c>
      <c r="AJ194" s="15">
        <f t="shared" si="55"/>
        <v>0</v>
      </c>
      <c r="AK194" s="17">
        <v>0</v>
      </c>
      <c r="AL194" s="17">
        <v>0</v>
      </c>
      <c r="AM194" s="15">
        <f t="shared" si="56"/>
        <v>0</v>
      </c>
      <c r="AN194" s="17"/>
    </row>
    <row r="195" spans="1:40" x14ac:dyDescent="0.3">
      <c r="A195" s="15" t="s">
        <v>234</v>
      </c>
      <c r="B195" s="15">
        <v>1000</v>
      </c>
      <c r="C195" s="15" t="s">
        <v>54</v>
      </c>
      <c r="D195" s="15" t="s">
        <v>68</v>
      </c>
      <c r="E195" s="69" cm="1">
        <f t="array" ref="E195">MAX(0,IFERROR(_xlfn.XLOOKUP($A195&amp;"|"&amp;$B195&amp;"|"&amp;$D195,'29-AUGUST-2026'!$A$3:$A$197&amp;"|"&amp;'29-AUGUST-2026'!$B$3:$B$197&amp;"|"&amp;'29-AUGUST-2026'!$D$3:$D$197,'29-AUGUST-2026'!$Y$3:$Y$197,_xlfn.XLOOKUP($A195&amp;"|"&amp;$B195,'29-AUGUST-2026'!$A$3:$A$197&amp;"|"&amp;'29-AUGUST-2026'!$B$3:$B$197,'29-AUGUST-2026'!$Y$3:$Y$197,0)),0))</f>
        <v>2</v>
      </c>
      <c r="F195" s="69" cm="1">
        <f t="array" ref="F195">MAX(0,IFERROR(_xlfn.XLOOKUP($A195&amp;"|"&amp;$B195&amp;"|"&amp;$D195,'29-AUGUST-2026'!$A$3:$A$197&amp;"|"&amp;'29-AUGUST-2026'!$B$3:$B$197&amp;"|"&amp;'29-AUGUST-2026'!$D$3:$D$197,'29-AUGUST-2026'!$Z$3:$Z$197,_xlfn.XLOOKUP($A195&amp;"|"&amp;$B195,'29-AUGUST-2026'!$A$3:$A$197&amp;"|"&amp;'29-AUGUST-2026'!$B$3:$B$197,'29-AUGUST-2026'!$Z$3:$Z$197,0)),0))</f>
        <v>0</v>
      </c>
      <c r="G195" s="15">
        <f t="shared" si="49"/>
        <v>2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20">
        <v>0</v>
      </c>
      <c r="S195" s="20">
        <v>0</v>
      </c>
      <c r="T195" s="20">
        <v>0</v>
      </c>
      <c r="U195" s="17"/>
      <c r="V195" s="17"/>
      <c r="W195" s="20">
        <f t="shared" si="50"/>
        <v>0</v>
      </c>
      <c r="X195" s="21">
        <f t="shared" si="57"/>
        <v>2</v>
      </c>
      <c r="Y195" s="15">
        <f t="shared" si="51"/>
        <v>2</v>
      </c>
      <c r="Z195" s="15">
        <f t="shared" si="52"/>
        <v>0</v>
      </c>
      <c r="AA195" s="18" t="str">
        <f>IF($A195="","",IF(AND($W195&gt;0,$V195=""),"IMPORT NEEDS DESTINATION",IF(MIN($Y195,$Z195)&lt;0,"NEGATIVE STOCK - CHECK ENTRIES","")))</f>
        <v/>
      </c>
      <c r="AB195" s="17">
        <v>0</v>
      </c>
      <c r="AC195" s="17">
        <v>0</v>
      </c>
      <c r="AD195" s="15">
        <f t="shared" si="53"/>
        <v>0</v>
      </c>
      <c r="AE195" s="17">
        <v>0</v>
      </c>
      <c r="AF195" s="17">
        <v>0</v>
      </c>
      <c r="AG195" s="15">
        <f t="shared" si="54"/>
        <v>0</v>
      </c>
      <c r="AH195" s="17">
        <v>0</v>
      </c>
      <c r="AI195" s="17">
        <v>0</v>
      </c>
      <c r="AJ195" s="15">
        <f t="shared" si="55"/>
        <v>0</v>
      </c>
      <c r="AK195" s="17">
        <v>0</v>
      </c>
      <c r="AL195" s="17">
        <v>0</v>
      </c>
      <c r="AM195" s="15">
        <f t="shared" si="56"/>
        <v>0</v>
      </c>
      <c r="AN195" s="17"/>
    </row>
    <row r="196" spans="1:40" x14ac:dyDescent="0.3">
      <c r="A196" s="15" t="s">
        <v>235</v>
      </c>
      <c r="B196" s="15">
        <v>100000</v>
      </c>
      <c r="C196" s="15" t="s">
        <v>54</v>
      </c>
      <c r="D196" s="15" t="s">
        <v>68</v>
      </c>
      <c r="E196" s="69" cm="1">
        <f t="array" ref="E196">MAX(0,IFERROR(_xlfn.XLOOKUP($A196&amp;"|"&amp;$B196&amp;"|"&amp;$D196,'29-AUGUST-2026'!$A$3:$A$197&amp;"|"&amp;'29-AUGUST-2026'!$B$3:$B$197&amp;"|"&amp;'29-AUGUST-2026'!$D$3:$D$197,'29-AUGUST-2026'!$Y$3:$Y$197,_xlfn.XLOOKUP($A196&amp;"|"&amp;$B196,'29-AUGUST-2026'!$A$3:$A$197&amp;"|"&amp;'29-AUGUST-2026'!$B$3:$B$197,'29-AUGUST-2026'!$Y$3:$Y$197,0)),0))</f>
        <v>3</v>
      </c>
      <c r="F196" s="69" cm="1">
        <f t="array" ref="F196">MAX(0,IFERROR(_xlfn.XLOOKUP($A196&amp;"|"&amp;$B196&amp;"|"&amp;$D196,'29-AUGUST-2026'!$A$3:$A$197&amp;"|"&amp;'29-AUGUST-2026'!$B$3:$B$197&amp;"|"&amp;'29-AUGUST-2026'!$D$3:$D$197,'29-AUGUST-2026'!$Z$3:$Z$197,_xlfn.XLOOKUP($A196&amp;"|"&amp;$B196,'29-AUGUST-2026'!$A$3:$A$197&amp;"|"&amp;'29-AUGUST-2026'!$B$3:$B$197,'29-AUGUST-2026'!$Z$3:$Z$197,0)),0))</f>
        <v>0</v>
      </c>
      <c r="G196" s="15">
        <f t="shared" ref="G196:G198" si="58">E196+F196</f>
        <v>3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20">
        <v>0</v>
      </c>
      <c r="S196" s="20">
        <v>0</v>
      </c>
      <c r="T196" s="20">
        <v>0</v>
      </c>
      <c r="U196" s="17"/>
      <c r="V196" s="17"/>
      <c r="W196" s="20">
        <f t="shared" si="50"/>
        <v>0</v>
      </c>
      <c r="X196" s="21">
        <f t="shared" si="57"/>
        <v>3</v>
      </c>
      <c r="Y196" s="15">
        <f t="shared" si="51"/>
        <v>3</v>
      </c>
      <c r="Z196" s="15">
        <f t="shared" si="52"/>
        <v>0</v>
      </c>
      <c r="AA196" s="18" t="str">
        <f>IF($A196="","",IF(AND($W196&gt;0,$V196=""),"IMPORT NEEDS DESTINATION",IF(MIN($Y196,$Z196)&lt;0,"NEGATIVE STOCK - CHECK ENTRIES","")))</f>
        <v/>
      </c>
      <c r="AB196" s="17">
        <v>0</v>
      </c>
      <c r="AC196" s="17">
        <v>0</v>
      </c>
      <c r="AD196" s="15">
        <f t="shared" si="53"/>
        <v>0</v>
      </c>
      <c r="AE196" s="17">
        <v>0</v>
      </c>
      <c r="AF196" s="17">
        <v>0</v>
      </c>
      <c r="AG196" s="15">
        <f t="shared" si="54"/>
        <v>0</v>
      </c>
      <c r="AH196" s="17">
        <v>0</v>
      </c>
      <c r="AI196" s="17">
        <v>0</v>
      </c>
      <c r="AJ196" s="15">
        <f t="shared" si="55"/>
        <v>0</v>
      </c>
      <c r="AK196" s="17">
        <v>0</v>
      </c>
      <c r="AL196" s="17">
        <v>0</v>
      </c>
      <c r="AM196" s="15">
        <f t="shared" si="56"/>
        <v>0</v>
      </c>
      <c r="AN196" s="17"/>
    </row>
    <row r="197" spans="1:40" x14ac:dyDescent="0.3">
      <c r="A197" s="15" t="s">
        <v>241</v>
      </c>
      <c r="B197" s="15">
        <v>25000</v>
      </c>
      <c r="C197" s="15" t="s">
        <v>54</v>
      </c>
      <c r="D197" s="15" t="s">
        <v>68</v>
      </c>
      <c r="E197" s="69" cm="1">
        <f t="array" ref="E197">MAX(0,IFERROR(_xlfn.XLOOKUP($A197&amp;"|"&amp;$B197&amp;"|"&amp;$D197,'29-AUGUST-2026'!$A$3:$A$197&amp;"|"&amp;'29-AUGUST-2026'!$B$3:$B$197&amp;"|"&amp;'29-AUGUST-2026'!$D$3:$D$197,'29-AUGUST-2026'!$Y$3:$Y$197,_xlfn.XLOOKUP($A197&amp;"|"&amp;$B197,'29-AUGUST-2026'!$A$3:$A$197&amp;"|"&amp;'29-AUGUST-2026'!$B$3:$B$197,'29-AUGUST-2026'!$Y$3:$Y$197,0)),0))</f>
        <v>0</v>
      </c>
      <c r="F197" s="69" cm="1">
        <f t="array" ref="F197">MAX(0,IFERROR(_xlfn.XLOOKUP($A197&amp;"|"&amp;$B197&amp;"|"&amp;$D197,'29-AUGUST-2026'!$A$3:$A$197&amp;"|"&amp;'29-AUGUST-2026'!$B$3:$B$197&amp;"|"&amp;'29-AUGUST-2026'!$D$3:$D$197,'29-AUGUST-2026'!$Z$3:$Z$197,_xlfn.XLOOKUP($A197&amp;"|"&amp;$B197,'29-AUGUST-2026'!$A$3:$A$197&amp;"|"&amp;'29-AUGUST-2026'!$B$3:$B$197,'29-AUGUST-2026'!$Z$3:$Z$197,0)),0))</f>
        <v>0</v>
      </c>
      <c r="G197" s="15">
        <f t="shared" si="58"/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20">
        <v>0</v>
      </c>
      <c r="S197" s="20">
        <v>0</v>
      </c>
      <c r="T197" s="20">
        <v>0</v>
      </c>
      <c r="U197" s="17"/>
      <c r="V197" s="17"/>
      <c r="W197" s="20">
        <f t="shared" si="50"/>
        <v>0</v>
      </c>
      <c r="X197" s="21">
        <f t="shared" si="57"/>
        <v>0</v>
      </c>
      <c r="Y197" s="15">
        <f t="shared" si="51"/>
        <v>0</v>
      </c>
      <c r="Z197" s="15">
        <f t="shared" si="52"/>
        <v>0</v>
      </c>
      <c r="AA197" s="18" t="str">
        <f>IF($A197="","",IF(AND($W197&gt;0,$V197=""),"IMPORT NEEDS DESTINATION",IF(MIN($Y197,$Z197)&lt;0,"NEGATIVE STOCK - CHECK ENTRIES","")))</f>
        <v/>
      </c>
      <c r="AB197" s="17">
        <v>0</v>
      </c>
      <c r="AC197" s="17">
        <v>0</v>
      </c>
      <c r="AD197" s="15">
        <f t="shared" ref="AD197:AD198" si="59">AB197-AC197</f>
        <v>0</v>
      </c>
      <c r="AE197" s="17">
        <v>0</v>
      </c>
      <c r="AF197" s="17">
        <v>0</v>
      </c>
      <c r="AG197" s="15">
        <f t="shared" ref="AG197:AG198" si="60">AE197-AF197</f>
        <v>0</v>
      </c>
      <c r="AH197" s="17">
        <v>0</v>
      </c>
      <c r="AI197" s="17">
        <v>0</v>
      </c>
      <c r="AJ197" s="15">
        <f t="shared" ref="AJ197:AJ198" si="61">AH197-AI197</f>
        <v>0</v>
      </c>
      <c r="AK197" s="17">
        <v>0</v>
      </c>
      <c r="AL197" s="17">
        <v>0</v>
      </c>
      <c r="AM197" s="15">
        <f t="shared" ref="AM197:AM198" si="62">AK197-AL197</f>
        <v>0</v>
      </c>
      <c r="AN197" s="17" t="s">
        <v>337</v>
      </c>
    </row>
    <row r="198" spans="1:40" x14ac:dyDescent="0.3">
      <c r="A198" s="15" t="s">
        <v>242</v>
      </c>
      <c r="B198" s="15">
        <v>100</v>
      </c>
      <c r="C198" s="15" t="s">
        <v>54</v>
      </c>
      <c r="D198" s="15" t="s">
        <v>68</v>
      </c>
      <c r="E198" s="69" cm="1">
        <f t="array" ref="E198">MAX(0,IFERROR(_xlfn.XLOOKUP($A198&amp;"|"&amp;$B198&amp;"|"&amp;$D198,'29-AUGUST-2026'!$A$3:$A$197&amp;"|"&amp;'29-AUGUST-2026'!$B$3:$B$197&amp;"|"&amp;'29-AUGUST-2026'!$D$3:$D$197,'29-AUGUST-2026'!$Y$3:$Y$197,_xlfn.XLOOKUP($A198&amp;"|"&amp;$B198,'29-AUGUST-2026'!$A$3:$A$197&amp;"|"&amp;'29-AUGUST-2026'!$B$3:$B$197,'29-AUGUST-2026'!$Y$3:$Y$197,0)),0))</f>
        <v>6</v>
      </c>
      <c r="F198" s="69" cm="1">
        <f t="array" ref="F198">MAX(0,IFERROR(_xlfn.XLOOKUP($A198&amp;"|"&amp;$B198&amp;"|"&amp;$D198,'29-AUGUST-2026'!$A$3:$A$197&amp;"|"&amp;'29-AUGUST-2026'!$B$3:$B$197&amp;"|"&amp;'29-AUGUST-2026'!$D$3:$D$197,'29-AUGUST-2026'!$Z$3:$Z$197,_xlfn.XLOOKUP($A198&amp;"|"&amp;$B198,'29-AUGUST-2026'!$A$3:$A$197&amp;"|"&amp;'29-AUGUST-2026'!$B$3:$B$197,'29-AUGUST-2026'!$Z$3:$Z$197,0)),0))</f>
        <v>0</v>
      </c>
      <c r="G198" s="15">
        <f t="shared" si="58"/>
        <v>6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20">
        <v>0</v>
      </c>
      <c r="S198" s="20">
        <v>0</v>
      </c>
      <c r="T198" s="20">
        <v>0</v>
      </c>
      <c r="U198" s="17"/>
      <c r="V198" s="17"/>
      <c r="W198" s="20">
        <f t="shared" si="50"/>
        <v>0</v>
      </c>
      <c r="X198" s="21">
        <f t="shared" si="57"/>
        <v>6</v>
      </c>
      <c r="Y198" s="15">
        <f t="shared" si="51"/>
        <v>6</v>
      </c>
      <c r="Z198" s="15">
        <f t="shared" si="52"/>
        <v>0</v>
      </c>
      <c r="AA198" s="18" t="str">
        <f>IF($A198="","",IF(AND($W198&gt;0,$V198=""),"IMPORT NEEDS DESTINATION",IF(MIN($Y198,$Z198)&lt;0,"NEGATIVE STOCK - CHECK ENTRIES","")))</f>
        <v/>
      </c>
      <c r="AB198" s="17">
        <v>0</v>
      </c>
      <c r="AC198" s="17">
        <v>0</v>
      </c>
      <c r="AD198" s="15">
        <f t="shared" si="59"/>
        <v>0</v>
      </c>
      <c r="AE198" s="17">
        <v>0</v>
      </c>
      <c r="AF198" s="17">
        <v>0</v>
      </c>
      <c r="AG198" s="15">
        <f t="shared" si="60"/>
        <v>0</v>
      </c>
      <c r="AH198" s="17">
        <v>0</v>
      </c>
      <c r="AI198" s="17">
        <v>0</v>
      </c>
      <c r="AJ198" s="15">
        <f t="shared" si="61"/>
        <v>0</v>
      </c>
      <c r="AK198" s="17">
        <v>0</v>
      </c>
      <c r="AL198" s="17">
        <v>0</v>
      </c>
      <c r="AM198" s="15">
        <f t="shared" si="62"/>
        <v>0</v>
      </c>
      <c r="AN198" s="17"/>
    </row>
    <row r="200" spans="1:40" x14ac:dyDescent="0.3">
      <c r="R200" s="22">
        <f>SUM(R3:R198)</f>
        <v>6</v>
      </c>
      <c r="S200" s="22">
        <f>SUM(S3:S198)</f>
        <v>0</v>
      </c>
      <c r="T200" s="22">
        <f>SUM(T3:T198)</f>
        <v>0</v>
      </c>
      <c r="V200" s="24" t="s">
        <v>296</v>
      </c>
      <c r="W200" s="23">
        <f>SUM(W3:W198)</f>
        <v>6</v>
      </c>
    </row>
    <row r="202" spans="1:40" x14ac:dyDescent="0.3">
      <c r="A202" t="s">
        <v>295</v>
      </c>
    </row>
  </sheetData>
  <autoFilter ref="A2:AN198" xr:uid="{00000000-0001-0000-0C00-000000000000}"/>
  <mergeCells count="6">
    <mergeCell ref="A1:D1"/>
    <mergeCell ref="E1:G1"/>
    <mergeCell ref="H1:Q1"/>
    <mergeCell ref="X1:Z1"/>
    <mergeCell ref="AB1:AM1"/>
    <mergeCell ref="R1:W1"/>
  </mergeCells>
  <conditionalFormatting sqref="Y3:Z198">
    <cfRule type="expression" dxfId="7" priority="3">
      <formula>Y3&lt;0</formula>
    </cfRule>
  </conditionalFormatting>
  <conditionalFormatting sqref="AA3:AA198">
    <cfRule type="expression" dxfId="6" priority="2">
      <formula>AA3&lt;&gt;""</formula>
    </cfRule>
  </conditionalFormatting>
  <dataValidations count="1">
    <dataValidation type="list" allowBlank="1" showInputMessage="1" showErrorMessage="1" errorTitle="Invalid destination" error="Choose Arusha, Moro, Dar or Dodoma." sqref="V3:V198" xr:uid="{5105F5F2-F448-4B63-8FBA-80E265398CE8}">
      <formula1>"Arusha,Moro,Dar,Dodoma"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4BA2-151A-4D82-B55E-6E560A42E57C}">
  <dimension ref="A1:L204"/>
  <sheetViews>
    <sheetView workbookViewId="0">
      <pane ySplit="9" topLeftCell="A61" activePane="bottomLeft" state="frozen"/>
      <selection pane="bottomLeft" activeCell="C64" sqref="C64"/>
    </sheetView>
  </sheetViews>
  <sheetFormatPr defaultRowHeight="14.4" x14ac:dyDescent="0.3"/>
  <cols>
    <col min="1" max="1" width="45.6640625" customWidth="1"/>
    <col min="2" max="2" width="13" customWidth="1"/>
    <col min="3" max="3" width="15.6640625" customWidth="1"/>
    <col min="4" max="8" width="13" customWidth="1"/>
    <col min="9" max="11" width="16.6640625" customWidth="1"/>
    <col min="12" max="12" width="42.5546875" customWidth="1"/>
  </cols>
  <sheetData>
    <row r="1" spans="1:12" ht="17.399999999999999" x14ac:dyDescent="0.35">
      <c r="A1" s="48" t="s">
        <v>320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x14ac:dyDescent="0.3">
      <c r="A2" s="49" t="s">
        <v>321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x14ac:dyDescent="0.3">
      <c r="A3" s="25" t="s">
        <v>308</v>
      </c>
      <c r="B3" s="26" t="s">
        <v>309</v>
      </c>
      <c r="C3" s="26" t="s">
        <v>310</v>
      </c>
    </row>
    <row r="4" spans="1:12" x14ac:dyDescent="0.3">
      <c r="A4" t="s">
        <v>311</v>
      </c>
      <c r="B4">
        <f>COUNTIF($A$10:$A$204,"?*")</f>
        <v>195</v>
      </c>
      <c r="E4" s="50" t="s">
        <v>316</v>
      </c>
      <c r="F4" s="50"/>
      <c r="G4" s="50"/>
      <c r="H4" s="50"/>
      <c r="I4" s="31">
        <f>SUM($J$10:$J$204)</f>
        <v>0</v>
      </c>
    </row>
    <row r="5" spans="1:12" x14ac:dyDescent="0.3">
      <c r="A5" t="s">
        <v>312</v>
      </c>
      <c r="B5">
        <f>COUNT($I$10:$I$204)</f>
        <v>132</v>
      </c>
      <c r="E5" s="50" t="s">
        <v>317</v>
      </c>
      <c r="F5" s="50"/>
      <c r="G5" s="50"/>
      <c r="H5" s="50"/>
      <c r="I5" s="31">
        <f>COUNTIF($K$10:$K$204,"NOT COUNTED")</f>
        <v>50</v>
      </c>
    </row>
    <row r="6" spans="1:12" x14ac:dyDescent="0.3">
      <c r="A6" t="s">
        <v>313</v>
      </c>
      <c r="B6">
        <f>COUNTIF($K$10:$K$204,"MATCH")</f>
        <v>132</v>
      </c>
      <c r="E6" s="50" t="s">
        <v>318</v>
      </c>
      <c r="F6" s="50"/>
      <c r="G6" s="50"/>
      <c r="H6" s="50"/>
      <c r="I6" s="31">
        <f>COUNTIF($K$10:$K$204,"NOT IN COUNT")</f>
        <v>13</v>
      </c>
    </row>
    <row r="7" spans="1:12" x14ac:dyDescent="0.3">
      <c r="A7" s="27" t="s">
        <v>314</v>
      </c>
      <c r="B7" s="27">
        <f>COUNTIF($K$10:$K$204,"DEFICIT")</f>
        <v>0</v>
      </c>
      <c r="C7" s="28">
        <f>SUMIF($K$10:$K$204,"DEFICIT",$J$10:$J$204)</f>
        <v>0</v>
      </c>
      <c r="E7" s="50" t="s">
        <v>319</v>
      </c>
      <c r="F7" s="50"/>
      <c r="G7" s="50"/>
      <c r="H7" s="50"/>
      <c r="I7" s="31">
        <f>COUNTIF('29-AUGUST-2026'!$Y$3:$Y$197,"&lt;0")</f>
        <v>5</v>
      </c>
    </row>
    <row r="8" spans="1:12" x14ac:dyDescent="0.3">
      <c r="A8" s="29" t="s">
        <v>315</v>
      </c>
      <c r="B8" s="29">
        <f>COUNTIF($K$10:$K$204,"EXCESS")</f>
        <v>0</v>
      </c>
      <c r="C8" s="30">
        <f>SUMIF($K$10:$K$204,"EXCESS",$J$10:$J$204)</f>
        <v>0</v>
      </c>
    </row>
    <row r="9" spans="1:12" ht="45" customHeight="1" x14ac:dyDescent="0.3">
      <c r="A9" s="32" t="s">
        <v>45</v>
      </c>
      <c r="B9" s="33" t="s">
        <v>46</v>
      </c>
      <c r="C9" s="33" t="s">
        <v>47</v>
      </c>
      <c r="D9" s="33" t="s">
        <v>305</v>
      </c>
      <c r="E9" s="33" t="s">
        <v>257</v>
      </c>
      <c r="F9" s="33" t="s">
        <v>260</v>
      </c>
      <c r="G9" s="33" t="s">
        <v>263</v>
      </c>
      <c r="H9" s="33" t="s">
        <v>306</v>
      </c>
      <c r="I9" s="33" t="s">
        <v>303</v>
      </c>
      <c r="J9" s="33" t="s">
        <v>307</v>
      </c>
      <c r="K9" s="33" t="s">
        <v>51</v>
      </c>
      <c r="L9" s="34" t="s">
        <v>284</v>
      </c>
    </row>
    <row r="10" spans="1:12" x14ac:dyDescent="0.3">
      <c r="A10" s="35" t="str">
        <f>'29-AUGUST-2026'!A3</f>
        <v>30-WC773</v>
      </c>
      <c r="B10" s="36">
        <f>'29-AUGUST-2026'!B3</f>
        <v>1000</v>
      </c>
      <c r="C10" s="36" t="str">
        <f>'29-AUGUST-2026'!C3</f>
        <v>SEED</v>
      </c>
      <c r="D10" s="37">
        <f>'29-AUGUST-2026'!E3</f>
        <v>1</v>
      </c>
      <c r="E10" s="37">
        <f>'29-AUGUST-2026'!H3</f>
        <v>0</v>
      </c>
      <c r="F10" s="37">
        <f>'29-AUGUST-2026'!K3</f>
        <v>0</v>
      </c>
      <c r="G10" s="37">
        <f>'29-AUGUST-2026'!N3</f>
        <v>0</v>
      </c>
      <c r="H10" s="37">
        <f>'29-AUGUST-2026'!Y3</f>
        <v>1</v>
      </c>
      <c r="I10" s="37" t="str">
        <f>IF($A10="","",IF(COUNTIFS([1]Sheet1!$A$2:$A$190,$A10,[1]Sheet1!$B$2:$B$190,$B10)=0,"NOT IN COUNT",IF(COUNTIFS([1]Sheet1!$A$2:$A$190,$A10,[1]Sheet1!$B$2:$B$190,$B10,[1]Sheet1!$C$2:$C$190,"&gt;=0")=0,"NOT COUNTED",SUMIFS([1]Sheet1!$C$2:$C$190,[1]Sheet1!$A$2:$A$190,$A10,[1]Sheet1!$B$2:$B$190,$B10))))</f>
        <v>NOT IN COUNT</v>
      </c>
      <c r="J10" s="37" t="str">
        <f>IF(ISNUMBER($I10),$I10-$H10,"")</f>
        <v/>
      </c>
      <c r="K10" s="36" t="str">
        <f>IF($A10="","",IF(NOT(ISNUMBER($I10)),$I10,IF($J10=0,"MATCH",IF($J10&lt;0,"DEFICIT","EXCESS"))))</f>
        <v>NOT IN COUNT</v>
      </c>
      <c r="L10" s="38" t="str">
        <f>IF($A10="","",IF(COUNTIFS([1]Sheet1!$D$2:$D$190,$A10&amp;"|"&amp;$B10)&gt;1,"Item listed twice in count sheet","")&amp;IF(AND(ISNUMBER($I10),$H10&lt;0)," ; system closing is negative — check entries",""))</f>
        <v/>
      </c>
    </row>
    <row r="11" spans="1:12" x14ac:dyDescent="0.3">
      <c r="A11" s="35" t="str">
        <f>'29-AUGUST-2026'!A4</f>
        <v>African eggplant BENUE F1</v>
      </c>
      <c r="B11" s="36">
        <f>'29-AUGUST-2026'!B4</f>
        <v>100</v>
      </c>
      <c r="C11" s="36" t="str">
        <f>'29-AUGUST-2026'!C4</f>
        <v>SEED</v>
      </c>
      <c r="D11" s="37">
        <f>'29-AUGUST-2026'!E4</f>
        <v>1</v>
      </c>
      <c r="E11" s="37">
        <f>'29-AUGUST-2026'!H4</f>
        <v>12</v>
      </c>
      <c r="F11" s="37">
        <f>'29-AUGUST-2026'!K4</f>
        <v>60</v>
      </c>
      <c r="G11" s="37">
        <f>'29-AUGUST-2026'!N4</f>
        <v>71</v>
      </c>
      <c r="H11" s="37">
        <f>'29-AUGUST-2026'!Y4</f>
        <v>0</v>
      </c>
      <c r="I11" s="37">
        <f>IF($A11="","",IF(COUNTIFS([1]Sheet1!$A$2:$A$190,$A11,[1]Sheet1!$B$2:$B$190,$B11)=0,"NOT IN COUNT",IF(COUNTIFS([1]Sheet1!$A$2:$A$190,$A11,[1]Sheet1!$B$2:$B$190,$B11,[1]Sheet1!$C$2:$C$190,"&gt;=0")=0,"NOT COUNTED",SUMIFS([1]Sheet1!$C$2:$C$190,[1]Sheet1!$A$2:$A$190,$A11,[1]Sheet1!$B$2:$B$190,$B11))))</f>
        <v>0</v>
      </c>
      <c r="J11" s="37">
        <f t="shared" ref="J11:J74" si="0">IF(ISNUMBER($I11),$I11-$H11,"")</f>
        <v>0</v>
      </c>
      <c r="K11" s="36" t="str">
        <f t="shared" ref="K11:K74" si="1">IF($A11="","",IF(NOT(ISNUMBER($I11)),$I11,IF($J11=0,"MATCH",IF($J11&lt;0,"DEFICIT","EXCESS"))))</f>
        <v>MATCH</v>
      </c>
      <c r="L11" s="38" t="str">
        <f>IF($A11="","",IF(COUNTIFS([1]Sheet1!$D$2:$D$190,$A11&amp;"|"&amp;$B11)&gt;1,"Item listed twice in count sheet","")&amp;IF(AND(ISNUMBER($I11),$H11&lt;0)," ; system closing is negative — check entries",""))</f>
        <v/>
      </c>
    </row>
    <row r="12" spans="1:12" x14ac:dyDescent="0.3">
      <c r="A12" s="35" t="str">
        <f>'29-AUGUST-2026'!A5</f>
        <v>African eggplant KAZINGA RZ F1</v>
      </c>
      <c r="B12" s="36">
        <f>'29-AUGUST-2026'!B5</f>
        <v>100</v>
      </c>
      <c r="C12" s="36" t="str">
        <f>'29-AUGUST-2026'!C5</f>
        <v>SEED</v>
      </c>
      <c r="D12" s="37">
        <f>'29-AUGUST-2026'!E5</f>
        <v>0</v>
      </c>
      <c r="E12" s="37">
        <f>'29-AUGUST-2026'!H5</f>
        <v>0</v>
      </c>
      <c r="F12" s="37">
        <f>'29-AUGUST-2026'!K5</f>
        <v>0</v>
      </c>
      <c r="G12" s="37">
        <f>'29-AUGUST-2026'!N5</f>
        <v>0</v>
      </c>
      <c r="H12" s="37">
        <f>'29-AUGUST-2026'!Y5</f>
        <v>0</v>
      </c>
      <c r="I12" s="37">
        <f>IF($A12="","",IF(COUNTIFS([1]Sheet1!$A$2:$A$190,$A12,[1]Sheet1!$B$2:$B$190,$B12)=0,"NOT IN COUNT",IF(COUNTIFS([1]Sheet1!$A$2:$A$190,$A12,[1]Sheet1!$B$2:$B$190,$B12,[1]Sheet1!$C$2:$C$190,"&gt;=0")=0,"NOT COUNTED",SUMIFS([1]Sheet1!$C$2:$C$190,[1]Sheet1!$A$2:$A$190,$A12,[1]Sheet1!$B$2:$B$190,$B12))))</f>
        <v>0</v>
      </c>
      <c r="J12" s="37">
        <f t="shared" si="0"/>
        <v>0</v>
      </c>
      <c r="K12" s="36" t="str">
        <f t="shared" si="1"/>
        <v>MATCH</v>
      </c>
      <c r="L12" s="38" t="str">
        <f>IF($A12="","",IF(COUNTIFS([1]Sheet1!$D$2:$D$190,$A12&amp;"|"&amp;$B12)&gt;1,"Item listed twice in count sheet","")&amp;IF(AND(ISNUMBER($I12),$H12&lt;0)," ; system closing is negative — check entries",""))</f>
        <v/>
      </c>
    </row>
    <row r="13" spans="1:12" x14ac:dyDescent="0.3">
      <c r="A13" s="35" t="str">
        <f>'29-AUGUST-2026'!A6</f>
        <v>African eggplant KERIO RZ F1</v>
      </c>
      <c r="B13" s="36">
        <f>'29-AUGUST-2026'!B6</f>
        <v>100</v>
      </c>
      <c r="C13" s="36" t="str">
        <f>'29-AUGUST-2026'!C6</f>
        <v>SEED</v>
      </c>
      <c r="D13" s="37">
        <f>'29-AUGUST-2026'!E6</f>
        <v>0</v>
      </c>
      <c r="E13" s="37">
        <f>'29-AUGUST-2026'!H6</f>
        <v>0</v>
      </c>
      <c r="F13" s="37">
        <f>'29-AUGUST-2026'!K6</f>
        <v>0</v>
      </c>
      <c r="G13" s="37">
        <f>'29-AUGUST-2026'!N6</f>
        <v>0</v>
      </c>
      <c r="H13" s="37">
        <f>'29-AUGUST-2026'!Y6</f>
        <v>0</v>
      </c>
      <c r="I13" s="37">
        <f>IF($A13="","",IF(COUNTIFS([1]Sheet1!$A$2:$A$190,$A13,[1]Sheet1!$B$2:$B$190,$B13)=0,"NOT IN COUNT",IF(COUNTIFS([1]Sheet1!$A$2:$A$190,$A13,[1]Sheet1!$B$2:$B$190,$B13,[1]Sheet1!$C$2:$C$190,"&gt;=0")=0,"NOT COUNTED",SUMIFS([1]Sheet1!$C$2:$C$190,[1]Sheet1!$A$2:$A$190,$A13,[1]Sheet1!$B$2:$B$190,$B13))))</f>
        <v>0</v>
      </c>
      <c r="J13" s="37">
        <f t="shared" si="0"/>
        <v>0</v>
      </c>
      <c r="K13" s="36" t="str">
        <f t="shared" si="1"/>
        <v>MATCH</v>
      </c>
      <c r="L13" s="38" t="str">
        <f>IF($A13="","",IF(COUNTIFS([1]Sheet1!$D$2:$D$190,$A13&amp;"|"&amp;$B13)&gt;1,"Item listed twice in count sheet","")&amp;IF(AND(ISNUMBER($I13),$H13&lt;0)," ; system closing is negative — check entries",""))</f>
        <v/>
      </c>
    </row>
    <row r="14" spans="1:12" x14ac:dyDescent="0.3">
      <c r="A14" s="35" t="str">
        <f>'29-AUGUST-2026'!A7</f>
        <v>African eggplant LIMPOPO RZ F3</v>
      </c>
      <c r="B14" s="36">
        <f>'29-AUGUST-2026'!B7</f>
        <v>100</v>
      </c>
      <c r="C14" s="36" t="str">
        <f>'29-AUGUST-2026'!C7</f>
        <v>SEED</v>
      </c>
      <c r="D14" s="37">
        <f>'29-AUGUST-2026'!E7</f>
        <v>5</v>
      </c>
      <c r="E14" s="37">
        <f>'29-AUGUST-2026'!H7</f>
        <v>0</v>
      </c>
      <c r="F14" s="37">
        <f>'29-AUGUST-2026'!K7</f>
        <v>0</v>
      </c>
      <c r="G14" s="37">
        <f>'29-AUGUST-2026'!N7</f>
        <v>0</v>
      </c>
      <c r="H14" s="37">
        <f>'29-AUGUST-2026'!Y7</f>
        <v>5</v>
      </c>
      <c r="I14" s="37">
        <f>IF($A14="","",IF(COUNTIFS([1]Sheet1!$A$2:$A$190,$A14,[1]Sheet1!$B$2:$B$190,$B14)=0,"NOT IN COUNT",IF(COUNTIFS([1]Sheet1!$A$2:$A$190,$A14,[1]Sheet1!$B$2:$B$190,$B14,[1]Sheet1!$C$2:$C$190,"&gt;=0")=0,"NOT COUNTED",SUMIFS([1]Sheet1!$C$2:$C$190,[1]Sheet1!$A$2:$A$190,$A14,[1]Sheet1!$B$2:$B$190,$B14))))</f>
        <v>5</v>
      </c>
      <c r="J14" s="37">
        <f t="shared" si="0"/>
        <v>0</v>
      </c>
      <c r="K14" s="36" t="str">
        <f t="shared" si="1"/>
        <v>MATCH</v>
      </c>
      <c r="L14" s="38" t="str">
        <f>IF($A14="","",IF(COUNTIFS([1]Sheet1!$D$2:$D$190,$A14&amp;"|"&amp;$B14)&gt;1,"Item listed twice in count sheet","")&amp;IF(AND(ISNUMBER($I14),$H14&lt;0)," ; system closing is negative — check entries",""))</f>
        <v/>
      </c>
    </row>
    <row r="15" spans="1:12" x14ac:dyDescent="0.3">
      <c r="A15" s="35" t="str">
        <f>'29-AUGUST-2026'!A8</f>
        <v>African hot pepper AFADJA RZ F7</v>
      </c>
      <c r="B15" s="36">
        <f>'29-AUGUST-2026'!B8</f>
        <v>100</v>
      </c>
      <c r="C15" s="36" t="str">
        <f>'29-AUGUST-2026'!C8</f>
        <v>SEED</v>
      </c>
      <c r="D15" s="37">
        <f>'29-AUGUST-2026'!E8</f>
        <v>0</v>
      </c>
      <c r="E15" s="37">
        <f>'29-AUGUST-2026'!H8</f>
        <v>0</v>
      </c>
      <c r="F15" s="37">
        <f>'29-AUGUST-2026'!K8</f>
        <v>0</v>
      </c>
      <c r="G15" s="37">
        <f>'29-AUGUST-2026'!N8</f>
        <v>150</v>
      </c>
      <c r="H15" s="37">
        <f>'29-AUGUST-2026'!Y8</f>
        <v>150</v>
      </c>
      <c r="I15" s="37">
        <f>IF($A15="","",IF(COUNTIFS([1]Sheet1!$A$2:$A$190,$A15,[1]Sheet1!$B$2:$B$190,$B15)=0,"NOT IN COUNT",IF(COUNTIFS([1]Sheet1!$A$2:$A$190,$A15,[1]Sheet1!$B$2:$B$190,$B15,[1]Sheet1!$C$2:$C$190,"&gt;=0")=0,"NOT COUNTED",SUMIFS([1]Sheet1!$C$2:$C$190,[1]Sheet1!$A$2:$A$190,$A15,[1]Sheet1!$B$2:$B$190,$B15))))</f>
        <v>150</v>
      </c>
      <c r="J15" s="37">
        <f t="shared" si="0"/>
        <v>0</v>
      </c>
      <c r="K15" s="36" t="str">
        <f t="shared" si="1"/>
        <v>MATCH</v>
      </c>
      <c r="L15" s="38" t="str">
        <f>IF($A15="","",IF(COUNTIFS([1]Sheet1!$D$2:$D$190,$A15&amp;"|"&amp;$B15)&gt;1,"Item listed twice in count sheet","")&amp;IF(AND(ISNUMBER($I15),$H15&lt;0)," ; system closing is negative — check entries",""))</f>
        <v/>
      </c>
    </row>
    <row r="16" spans="1:12" x14ac:dyDescent="0.3">
      <c r="A16" s="35" t="str">
        <f>'29-AUGUST-2026'!A9</f>
        <v>African hot pepper AFADJA RZ F7</v>
      </c>
      <c r="B16" s="36">
        <f>'29-AUGUST-2026'!B9</f>
        <v>500</v>
      </c>
      <c r="C16" s="36" t="str">
        <f>'29-AUGUST-2026'!C9</f>
        <v>SEED</v>
      </c>
      <c r="D16" s="37">
        <f>'29-AUGUST-2026'!E9</f>
        <v>0</v>
      </c>
      <c r="E16" s="37">
        <f>'29-AUGUST-2026'!H9</f>
        <v>0</v>
      </c>
      <c r="F16" s="37">
        <f>'29-AUGUST-2026'!K9</f>
        <v>0</v>
      </c>
      <c r="G16" s="37">
        <f>'29-AUGUST-2026'!N9</f>
        <v>0</v>
      </c>
      <c r="H16" s="37">
        <f>'29-AUGUST-2026'!Y9</f>
        <v>0</v>
      </c>
      <c r="I16" s="37">
        <f>IF($A16="","",IF(COUNTIFS([1]Sheet1!$A$2:$A$190,$A16,[1]Sheet1!$B$2:$B$190,$B16)=0,"NOT IN COUNT",IF(COUNTIFS([1]Sheet1!$A$2:$A$190,$A16,[1]Sheet1!$B$2:$B$190,$B16,[1]Sheet1!$C$2:$C$190,"&gt;=0")=0,"NOT COUNTED",SUMIFS([1]Sheet1!$C$2:$C$190,[1]Sheet1!$A$2:$A$190,$A16,[1]Sheet1!$B$2:$B$190,$B16))))</f>
        <v>0</v>
      </c>
      <c r="J16" s="37">
        <f t="shared" si="0"/>
        <v>0</v>
      </c>
      <c r="K16" s="36" t="str">
        <f t="shared" si="1"/>
        <v>MATCH</v>
      </c>
      <c r="L16" s="38" t="str">
        <f>IF($A16="","",IF(COUNTIFS([1]Sheet1!$D$2:$D$190,$A16&amp;"|"&amp;$B16)&gt;1,"Item listed twice in count sheet","")&amp;IF(AND(ISNUMBER($I16),$H16&lt;0)," ; system closing is negative — check entries",""))</f>
        <v/>
      </c>
    </row>
    <row r="17" spans="1:12" x14ac:dyDescent="0.3">
      <c r="A17" s="35" t="str">
        <f>'29-AUGUST-2026'!A10</f>
        <v>African hot pepper LENGAI RZ F2</v>
      </c>
      <c r="B17" s="36">
        <f>'29-AUGUST-2026'!B10</f>
        <v>100</v>
      </c>
      <c r="C17" s="36" t="str">
        <f>'29-AUGUST-2026'!C10</f>
        <v>SEED</v>
      </c>
      <c r="D17" s="37">
        <f>'29-AUGUST-2026'!E10</f>
        <v>330</v>
      </c>
      <c r="E17" s="37">
        <f>'29-AUGUST-2026'!H10</f>
        <v>0</v>
      </c>
      <c r="F17" s="37">
        <f>'29-AUGUST-2026'!K10</f>
        <v>7</v>
      </c>
      <c r="G17" s="37">
        <f>'29-AUGUST-2026'!N10</f>
        <v>0</v>
      </c>
      <c r="H17" s="37">
        <f>'29-AUGUST-2026'!Y10</f>
        <v>330</v>
      </c>
      <c r="I17" s="37">
        <f>IF($A17="","",IF(COUNTIFS([1]Sheet1!$A$2:$A$190,$A17,[1]Sheet1!$B$2:$B$190,$B17)=0,"NOT IN COUNT",IF(COUNTIFS([1]Sheet1!$A$2:$A$190,$A17,[1]Sheet1!$B$2:$B$190,$B17,[1]Sheet1!$C$2:$C$190,"&gt;=0")=0,"NOT COUNTED",SUMIFS([1]Sheet1!$C$2:$C$190,[1]Sheet1!$A$2:$A$190,$A17,[1]Sheet1!$B$2:$B$190,$B17))))</f>
        <v>330</v>
      </c>
      <c r="J17" s="37">
        <f t="shared" si="0"/>
        <v>0</v>
      </c>
      <c r="K17" s="36" t="str">
        <f t="shared" si="1"/>
        <v>MATCH</v>
      </c>
      <c r="L17" s="38" t="str">
        <f>IF($A17="","",IF(COUNTIFS([1]Sheet1!$D$2:$D$190,$A17&amp;"|"&amp;$B17)&gt;1,"Item listed twice in count sheet","")&amp;IF(AND(ISNUMBER($I17),$H17&lt;0)," ; system closing is negative — check entries",""))</f>
        <v/>
      </c>
    </row>
    <row r="18" spans="1:12" x14ac:dyDescent="0.3">
      <c r="A18" s="35" t="str">
        <f>'29-AUGUST-2026'!A11</f>
        <v>African hot pepper LENGAI RZ F3</v>
      </c>
      <c r="B18" s="36">
        <f>'29-AUGUST-2026'!B11</f>
        <v>500</v>
      </c>
      <c r="C18" s="36" t="str">
        <f>'29-AUGUST-2026'!C11</f>
        <v>SEED</v>
      </c>
      <c r="D18" s="37">
        <f>'29-AUGUST-2026'!E11</f>
        <v>8</v>
      </c>
      <c r="E18" s="37">
        <f>'29-AUGUST-2026'!H11</f>
        <v>0</v>
      </c>
      <c r="F18" s="37">
        <f>'29-AUGUST-2026'!K11</f>
        <v>0</v>
      </c>
      <c r="G18" s="37">
        <f>'29-AUGUST-2026'!N11</f>
        <v>0</v>
      </c>
      <c r="H18" s="37">
        <f>'29-AUGUST-2026'!Y11</f>
        <v>8</v>
      </c>
      <c r="I18" s="37">
        <f>IF($A18="","",IF(COUNTIFS([1]Sheet1!$A$2:$A$190,$A18,[1]Sheet1!$B$2:$B$190,$B18)=0,"NOT IN COUNT",IF(COUNTIFS([1]Sheet1!$A$2:$A$190,$A18,[1]Sheet1!$B$2:$B$190,$B18,[1]Sheet1!$C$2:$C$190,"&gt;=0")=0,"NOT COUNTED",SUMIFS([1]Sheet1!$C$2:$C$190,[1]Sheet1!$A$2:$A$190,$A18,[1]Sheet1!$B$2:$B$190,$B18))))</f>
        <v>8</v>
      </c>
      <c r="J18" s="37">
        <f t="shared" si="0"/>
        <v>0</v>
      </c>
      <c r="K18" s="36" t="str">
        <f t="shared" si="1"/>
        <v>MATCH</v>
      </c>
      <c r="L18" s="38" t="str">
        <f>IF($A18="","",IF(COUNTIFS([1]Sheet1!$D$2:$D$190,$A18&amp;"|"&amp;$B18)&gt;1,"Item listed twice in count sheet","")&amp;IF(AND(ISNUMBER($I18),$H18&lt;0)," ; system closing is negative — check entries",""))</f>
        <v/>
      </c>
    </row>
    <row r="19" spans="1:12" x14ac:dyDescent="0.3">
      <c r="A19" s="35" t="str">
        <f>'29-AUGUST-2026'!A12</f>
        <v>African Hot Pepper Loleza RZ</v>
      </c>
      <c r="B19" s="36">
        <f>'29-AUGUST-2026'!B12</f>
        <v>100</v>
      </c>
      <c r="C19" s="36" t="str">
        <f>'29-AUGUST-2026'!C12</f>
        <v>SEED</v>
      </c>
      <c r="D19" s="37">
        <f>'29-AUGUST-2026'!E12</f>
        <v>4340</v>
      </c>
      <c r="E19" s="37">
        <f>'29-AUGUST-2026'!H12</f>
        <v>3</v>
      </c>
      <c r="F19" s="37">
        <f>'29-AUGUST-2026'!K12</f>
        <v>905</v>
      </c>
      <c r="G19" s="37">
        <f>'29-AUGUST-2026'!N12</f>
        <v>0</v>
      </c>
      <c r="H19" s="37">
        <f>'29-AUGUST-2026'!Y12</f>
        <v>4325</v>
      </c>
      <c r="I19" s="37">
        <f>IF($A19="","",IF(COUNTIFS([1]Sheet1!$A$2:$A$190,$A19,[1]Sheet1!$B$2:$B$190,$B19)=0,"NOT IN COUNT",IF(COUNTIFS([1]Sheet1!$A$2:$A$190,$A19,[1]Sheet1!$B$2:$B$190,$B19,[1]Sheet1!$C$2:$C$190,"&gt;=0")=0,"NOT COUNTED",SUMIFS([1]Sheet1!$C$2:$C$190,[1]Sheet1!$A$2:$A$190,$A19,[1]Sheet1!$B$2:$B$190,$B19))))</f>
        <v>4325</v>
      </c>
      <c r="J19" s="37">
        <f t="shared" si="0"/>
        <v>0</v>
      </c>
      <c r="K19" s="36" t="str">
        <f t="shared" si="1"/>
        <v>MATCH</v>
      </c>
      <c r="L19" s="38" t="str">
        <f>IF($A19="","",IF(COUNTIFS([1]Sheet1!$D$2:$D$190,$A19&amp;"|"&amp;$B19)&gt;1,"Item listed twice in count sheet","")&amp;IF(AND(ISNUMBER($I19),$H19&lt;0)," ; system closing is negative — check entries",""))</f>
        <v/>
      </c>
    </row>
    <row r="20" spans="1:12" x14ac:dyDescent="0.3">
      <c r="A20" s="35" t="str">
        <f>'29-AUGUST-2026'!A13</f>
        <v>African Hot Pepper Loleza RZ</v>
      </c>
      <c r="B20" s="36">
        <f>'29-AUGUST-2026'!B13</f>
        <v>500</v>
      </c>
      <c r="C20" s="36" t="str">
        <f>'29-AUGUST-2026'!C13</f>
        <v>SEED</v>
      </c>
      <c r="D20" s="37">
        <f>'29-AUGUST-2026'!E13</f>
        <v>0</v>
      </c>
      <c r="E20" s="37">
        <f>'29-AUGUST-2026'!H13</f>
        <v>0</v>
      </c>
      <c r="F20" s="37">
        <f>'29-AUGUST-2026'!K13</f>
        <v>0</v>
      </c>
      <c r="G20" s="37">
        <f>'29-AUGUST-2026'!N13</f>
        <v>0</v>
      </c>
      <c r="H20" s="37">
        <f>'29-AUGUST-2026'!Y13</f>
        <v>0</v>
      </c>
      <c r="I20" s="37" t="str">
        <f>IF($A20="","",IF(COUNTIFS([1]Sheet1!$A$2:$A$190,$A20,[1]Sheet1!$B$2:$B$190,$B20)=0,"NOT IN COUNT",IF(COUNTIFS([1]Sheet1!$A$2:$A$190,$A20,[1]Sheet1!$B$2:$B$190,$B20,[1]Sheet1!$C$2:$C$190,"&gt;=0")=0,"NOT COUNTED",SUMIFS([1]Sheet1!$C$2:$C$190,[1]Sheet1!$A$2:$A$190,$A20,[1]Sheet1!$B$2:$B$190,$B20))))</f>
        <v>NOT COUNTED</v>
      </c>
      <c r="J20" s="37" t="str">
        <f t="shared" si="0"/>
        <v/>
      </c>
      <c r="K20" s="36" t="str">
        <f t="shared" si="1"/>
        <v>NOT COUNTED</v>
      </c>
      <c r="L20" s="38" t="str">
        <f>IF($A20="","",IF(COUNTIFS([1]Sheet1!$D$2:$D$190,$A20&amp;"|"&amp;$B20)&gt;1,"Item listed twice in count sheet","")&amp;IF(AND(ISNUMBER($I20),$H20&lt;0)," ; system closing is negative — check entries",""))</f>
        <v/>
      </c>
    </row>
    <row r="21" spans="1:12" x14ac:dyDescent="0.3">
      <c r="A21" s="35" t="str">
        <f>'29-AUGUST-2026'!A14</f>
        <v>African Hot Pepper Mawenzili</v>
      </c>
      <c r="B21" s="36">
        <f>'29-AUGUST-2026'!B14</f>
        <v>100</v>
      </c>
      <c r="C21" s="36" t="str">
        <f>'29-AUGUST-2026'!C14</f>
        <v>SEED</v>
      </c>
      <c r="D21" s="37">
        <f>'29-AUGUST-2026'!E14</f>
        <v>23</v>
      </c>
      <c r="E21" s="37">
        <f>'29-AUGUST-2026'!H14</f>
        <v>23</v>
      </c>
      <c r="F21" s="37">
        <f>'29-AUGUST-2026'!K14</f>
        <v>0</v>
      </c>
      <c r="G21" s="37">
        <f>'29-AUGUST-2026'!N14</f>
        <v>0</v>
      </c>
      <c r="H21" s="37">
        <f>'29-AUGUST-2026'!Y14</f>
        <v>23</v>
      </c>
      <c r="I21" s="37">
        <f>IF($A21="","",IF(COUNTIFS([1]Sheet1!$A$2:$A$190,$A21,[1]Sheet1!$B$2:$B$190,$B21)=0,"NOT IN COUNT",IF(COUNTIFS([1]Sheet1!$A$2:$A$190,$A21,[1]Sheet1!$B$2:$B$190,$B21,[1]Sheet1!$C$2:$C$190,"&gt;=0")=0,"NOT COUNTED",SUMIFS([1]Sheet1!$C$2:$C$190,[1]Sheet1!$A$2:$A$190,$A21,[1]Sheet1!$B$2:$B$190,$B21))))</f>
        <v>23</v>
      </c>
      <c r="J21" s="37">
        <f t="shared" si="0"/>
        <v>0</v>
      </c>
      <c r="K21" s="36" t="str">
        <f t="shared" si="1"/>
        <v>MATCH</v>
      </c>
      <c r="L21" s="38" t="str">
        <f>IF($A21="","",IF(COUNTIFS([1]Sheet1!$D$2:$D$190,$A21&amp;"|"&amp;$B21)&gt;1,"Item listed twice in count sheet","")&amp;IF(AND(ISNUMBER($I21),$H21&lt;0)," ; system closing is negative — check entries",""))</f>
        <v/>
      </c>
    </row>
    <row r="22" spans="1:12" x14ac:dyDescent="0.3">
      <c r="A22" s="35" t="str">
        <f>'29-AUGUST-2026'!A15</f>
        <v>African Hot Pepper Mawenzili</v>
      </c>
      <c r="B22" s="36">
        <f>'29-AUGUST-2026'!B15</f>
        <v>1000</v>
      </c>
      <c r="C22" s="36" t="str">
        <f>'29-AUGUST-2026'!C15</f>
        <v>SEED</v>
      </c>
      <c r="D22" s="37">
        <f>'29-AUGUST-2026'!E15</f>
        <v>0</v>
      </c>
      <c r="E22" s="37">
        <f>'29-AUGUST-2026'!H15</f>
        <v>0</v>
      </c>
      <c r="F22" s="37">
        <f>'29-AUGUST-2026'!K15</f>
        <v>0</v>
      </c>
      <c r="G22" s="37">
        <f>'29-AUGUST-2026'!N15</f>
        <v>0</v>
      </c>
      <c r="H22" s="37">
        <f>'29-AUGUST-2026'!Y15</f>
        <v>0</v>
      </c>
      <c r="I22" s="37">
        <f>IF($A22="","",IF(COUNTIFS([1]Sheet1!$A$2:$A$190,$A22,[1]Sheet1!$B$2:$B$190,$B22)=0,"NOT IN COUNT",IF(COUNTIFS([1]Sheet1!$A$2:$A$190,$A22,[1]Sheet1!$B$2:$B$190,$B22,[1]Sheet1!$C$2:$C$190,"&gt;=0")=0,"NOT COUNTED",SUMIFS([1]Sheet1!$C$2:$C$190,[1]Sheet1!$A$2:$A$190,$A22,[1]Sheet1!$B$2:$B$190,$B22))))</f>
        <v>0</v>
      </c>
      <c r="J22" s="37">
        <f t="shared" si="0"/>
        <v>0</v>
      </c>
      <c r="K22" s="36" t="str">
        <f t="shared" si="1"/>
        <v>MATCH</v>
      </c>
      <c r="L22" s="38" t="str">
        <f>IF($A22="","",IF(COUNTIFS([1]Sheet1!$D$2:$D$190,$A22&amp;"|"&amp;$B22)&gt;1,"Item listed twice in count sheet","")&amp;IF(AND(ISNUMBER($I22),$H22&lt;0)," ; system closing is negative — check entries",""))</f>
        <v/>
      </c>
    </row>
    <row r="23" spans="1:12" x14ac:dyDescent="0.3">
      <c r="A23" s="35" t="str">
        <f>'29-AUGUST-2026'!A16</f>
        <v>Allegreto</v>
      </c>
      <c r="B23" s="36">
        <f>'29-AUGUST-2026'!B16</f>
        <v>1000</v>
      </c>
      <c r="C23" s="36" t="str">
        <f>'29-AUGUST-2026'!C16</f>
        <v>SEED</v>
      </c>
      <c r="D23" s="37">
        <f>'29-AUGUST-2026'!E16</f>
        <v>9</v>
      </c>
      <c r="E23" s="37">
        <f>'29-AUGUST-2026'!H16</f>
        <v>0</v>
      </c>
      <c r="F23" s="37">
        <f>'29-AUGUST-2026'!K16</f>
        <v>0</v>
      </c>
      <c r="G23" s="37">
        <f>'29-AUGUST-2026'!N16</f>
        <v>0</v>
      </c>
      <c r="H23" s="37">
        <f>'29-AUGUST-2026'!Y16</f>
        <v>9</v>
      </c>
      <c r="I23" s="37">
        <f>IF($A23="","",IF(COUNTIFS([1]Sheet1!$A$2:$A$190,$A23,[1]Sheet1!$B$2:$B$190,$B23)=0,"NOT IN COUNT",IF(COUNTIFS([1]Sheet1!$A$2:$A$190,$A23,[1]Sheet1!$B$2:$B$190,$B23,[1]Sheet1!$C$2:$C$190,"&gt;=0")=0,"NOT COUNTED",SUMIFS([1]Sheet1!$C$2:$C$190,[1]Sheet1!$A$2:$A$190,$A23,[1]Sheet1!$B$2:$B$190,$B23))))</f>
        <v>9</v>
      </c>
      <c r="J23" s="37">
        <f t="shared" si="0"/>
        <v>0</v>
      </c>
      <c r="K23" s="36" t="str">
        <f t="shared" si="1"/>
        <v>MATCH</v>
      </c>
      <c r="L23" s="38" t="str">
        <f>IF($A23="","",IF(COUNTIFS([1]Sheet1!$D$2:$D$190,$A23&amp;"|"&amp;$B23)&gt;1,"Item listed twice in count sheet","")&amp;IF(AND(ISNUMBER($I23),$H23&lt;0)," ; system closing is negative — check entries",""))</f>
        <v>Item listed twice in count sheet</v>
      </c>
    </row>
    <row r="24" spans="1:12" x14ac:dyDescent="0.3">
      <c r="A24" s="35" t="str">
        <f>'29-AUGUST-2026'!A17</f>
        <v>Alpes</v>
      </c>
      <c r="B24" s="36">
        <f>'29-AUGUST-2026'!B17</f>
        <v>100</v>
      </c>
      <c r="C24" s="36" t="str">
        <f>'29-AUGUST-2026'!C17</f>
        <v>SEED</v>
      </c>
      <c r="D24" s="37">
        <f>'29-AUGUST-2026'!E17</f>
        <v>4</v>
      </c>
      <c r="E24" s="37">
        <f>'29-AUGUST-2026'!H17</f>
        <v>0</v>
      </c>
      <c r="F24" s="37">
        <f>'29-AUGUST-2026'!K17</f>
        <v>0</v>
      </c>
      <c r="G24" s="37">
        <f>'29-AUGUST-2026'!N17</f>
        <v>0</v>
      </c>
      <c r="H24" s="37">
        <f>'29-AUGUST-2026'!Y17</f>
        <v>4</v>
      </c>
      <c r="I24" s="37" t="str">
        <f>IF($A24="","",IF(COUNTIFS([1]Sheet1!$A$2:$A$190,$A24,[1]Sheet1!$B$2:$B$190,$B24)=0,"NOT IN COUNT",IF(COUNTIFS([1]Sheet1!$A$2:$A$190,$A24,[1]Sheet1!$B$2:$B$190,$B24,[1]Sheet1!$C$2:$C$190,"&gt;=0")=0,"NOT COUNTED",SUMIFS([1]Sheet1!$C$2:$C$190,[1]Sheet1!$A$2:$A$190,$A24,[1]Sheet1!$B$2:$B$190,$B24))))</f>
        <v>NOT IN COUNT</v>
      </c>
      <c r="J24" s="37" t="str">
        <f t="shared" si="0"/>
        <v/>
      </c>
      <c r="K24" s="36" t="str">
        <f t="shared" si="1"/>
        <v>NOT IN COUNT</v>
      </c>
      <c r="L24" s="38" t="str">
        <f>IF($A24="","",IF(COUNTIFS([1]Sheet1!$D$2:$D$190,$A24&amp;"|"&amp;$B24)&gt;1,"Item listed twice in count sheet","")&amp;IF(AND(ISNUMBER($I24),$H24&lt;0)," ; system closing is negative — check entries",""))</f>
        <v/>
      </c>
    </row>
    <row r="25" spans="1:12" x14ac:dyDescent="0.3">
      <c r="A25" s="35" t="str">
        <f>'29-AUGUST-2026'!A18</f>
        <v>Alpes</v>
      </c>
      <c r="B25" s="36">
        <f>'29-AUGUST-2026'!B18</f>
        <v>1000</v>
      </c>
      <c r="C25" s="36" t="str">
        <f>'29-AUGUST-2026'!C18</f>
        <v>SEED</v>
      </c>
      <c r="D25" s="37">
        <f>'29-AUGUST-2026'!E18</f>
        <v>8</v>
      </c>
      <c r="E25" s="37">
        <f>'29-AUGUST-2026'!H18</f>
        <v>0</v>
      </c>
      <c r="F25" s="37">
        <f>'29-AUGUST-2026'!K18</f>
        <v>0</v>
      </c>
      <c r="G25" s="37">
        <f>'29-AUGUST-2026'!N18</f>
        <v>0</v>
      </c>
      <c r="H25" s="37">
        <f>'29-AUGUST-2026'!Y18</f>
        <v>8</v>
      </c>
      <c r="I25" s="37">
        <f>IF($A25="","",IF(COUNTIFS([1]Sheet1!$A$2:$A$190,$A25,[1]Sheet1!$B$2:$B$190,$B25)=0,"NOT IN COUNT",IF(COUNTIFS([1]Sheet1!$A$2:$A$190,$A25,[1]Sheet1!$B$2:$B$190,$B25,[1]Sheet1!$C$2:$C$190,"&gt;=0")=0,"NOT COUNTED",SUMIFS([1]Sheet1!$C$2:$C$190,[1]Sheet1!$A$2:$A$190,$A25,[1]Sheet1!$B$2:$B$190,$B25))))</f>
        <v>8</v>
      </c>
      <c r="J25" s="37">
        <f t="shared" si="0"/>
        <v>0</v>
      </c>
      <c r="K25" s="36" t="str">
        <f t="shared" si="1"/>
        <v>MATCH</v>
      </c>
      <c r="L25" s="38" t="str">
        <f>IF($A25="","",IF(COUNTIFS([1]Sheet1!$D$2:$D$190,$A25&amp;"|"&amp;$B25)&gt;1,"Item listed twice in count sheet","")&amp;IF(AND(ISNUMBER($I25),$H25&lt;0)," ; system closing is negative — check entries",""))</f>
        <v/>
      </c>
    </row>
    <row r="26" spans="1:12" x14ac:dyDescent="0.3">
      <c r="A26" s="35" t="str">
        <f>'29-AUGUST-2026'!A19</f>
        <v>Aubergine BRIGITTE RZ F2</v>
      </c>
      <c r="B26" s="36">
        <f>'29-AUGUST-2026'!B19</f>
        <v>100</v>
      </c>
      <c r="C26" s="36" t="str">
        <f>'29-AUGUST-2026'!C19</f>
        <v>SEED</v>
      </c>
      <c r="D26" s="37">
        <f>'29-AUGUST-2026'!E19</f>
        <v>1</v>
      </c>
      <c r="E26" s="37">
        <f>'29-AUGUST-2026'!H19</f>
        <v>0</v>
      </c>
      <c r="F26" s="37">
        <f>'29-AUGUST-2026'!K19</f>
        <v>0</v>
      </c>
      <c r="G26" s="37">
        <f>'29-AUGUST-2026'!N19</f>
        <v>0</v>
      </c>
      <c r="H26" s="37">
        <f>'29-AUGUST-2026'!Y19</f>
        <v>1</v>
      </c>
      <c r="I26" s="37">
        <f>IF($A26="","",IF(COUNTIFS([1]Sheet1!$A$2:$A$190,$A26,[1]Sheet1!$B$2:$B$190,$B26)=0,"NOT IN COUNT",IF(COUNTIFS([1]Sheet1!$A$2:$A$190,$A26,[1]Sheet1!$B$2:$B$190,$B26,[1]Sheet1!$C$2:$C$190,"&gt;=0")=0,"NOT COUNTED",SUMIFS([1]Sheet1!$C$2:$C$190,[1]Sheet1!$A$2:$A$190,$A26,[1]Sheet1!$B$2:$B$190,$B26))))</f>
        <v>1</v>
      </c>
      <c r="J26" s="37">
        <f t="shared" si="0"/>
        <v>0</v>
      </c>
      <c r="K26" s="36" t="str">
        <f t="shared" si="1"/>
        <v>MATCH</v>
      </c>
      <c r="L26" s="38" t="str">
        <f>IF($A26="","",IF(COUNTIFS([1]Sheet1!$D$2:$D$190,$A26&amp;"|"&amp;$B26)&gt;1,"Item listed twice in count sheet","")&amp;IF(AND(ISNUMBER($I26),$H26&lt;0)," ; system closing is negative — check entries",""))</f>
        <v/>
      </c>
    </row>
    <row r="27" spans="1:12" x14ac:dyDescent="0.3">
      <c r="A27" s="35" t="str">
        <f>'29-AUGUST-2026'!A20</f>
        <v>Aubergine FANTASTIC RZ F3</v>
      </c>
      <c r="B27" s="36">
        <f>'29-AUGUST-2026'!B20</f>
        <v>100</v>
      </c>
      <c r="C27" s="36" t="str">
        <f>'29-AUGUST-2026'!C20</f>
        <v>SEED</v>
      </c>
      <c r="D27" s="37">
        <f>'29-AUGUST-2026'!E20</f>
        <v>79</v>
      </c>
      <c r="E27" s="37">
        <f>'29-AUGUST-2026'!H20</f>
        <v>0</v>
      </c>
      <c r="F27" s="37">
        <f>'29-AUGUST-2026'!K20</f>
        <v>8</v>
      </c>
      <c r="G27" s="37">
        <f>'29-AUGUST-2026'!N20</f>
        <v>0</v>
      </c>
      <c r="H27" s="37">
        <f>'29-AUGUST-2026'!Y20</f>
        <v>77</v>
      </c>
      <c r="I27" s="37">
        <f>IF($A27="","",IF(COUNTIFS([1]Sheet1!$A$2:$A$190,$A27,[1]Sheet1!$B$2:$B$190,$B27)=0,"NOT IN COUNT",IF(COUNTIFS([1]Sheet1!$A$2:$A$190,$A27,[1]Sheet1!$B$2:$B$190,$B27,[1]Sheet1!$C$2:$C$190,"&gt;=0")=0,"NOT COUNTED",SUMIFS([1]Sheet1!$C$2:$C$190,[1]Sheet1!$A$2:$A$190,$A27,[1]Sheet1!$B$2:$B$190,$B27))))</f>
        <v>77</v>
      </c>
      <c r="J27" s="37">
        <f t="shared" si="0"/>
        <v>0</v>
      </c>
      <c r="K27" s="36" t="str">
        <f t="shared" si="1"/>
        <v>MATCH</v>
      </c>
      <c r="L27" s="38" t="str">
        <f>IF($A27="","",IF(COUNTIFS([1]Sheet1!$D$2:$D$190,$A27&amp;"|"&amp;$B27)&gt;1,"Item listed twice in count sheet","")&amp;IF(AND(ISNUMBER($I27),$H27&lt;0)," ; system closing is negative — check entries",""))</f>
        <v/>
      </c>
    </row>
    <row r="28" spans="1:12" x14ac:dyDescent="0.3">
      <c r="A28" s="35" t="str">
        <f>'29-AUGUST-2026'!A21</f>
        <v>Baronesa</v>
      </c>
      <c r="B28" s="36">
        <f>'29-AUGUST-2026'!B21</f>
        <v>100</v>
      </c>
      <c r="C28" s="36" t="str">
        <f>'29-AUGUST-2026'!C21</f>
        <v>SEED</v>
      </c>
      <c r="D28" s="37">
        <f>'29-AUGUST-2026'!E21</f>
        <v>0</v>
      </c>
      <c r="E28" s="37">
        <f>'29-AUGUST-2026'!H21</f>
        <v>0</v>
      </c>
      <c r="F28" s="37">
        <f>'29-AUGUST-2026'!K21</f>
        <v>0</v>
      </c>
      <c r="G28" s="37">
        <f>'29-AUGUST-2026'!N21</f>
        <v>0</v>
      </c>
      <c r="H28" s="37">
        <f>'29-AUGUST-2026'!Y21</f>
        <v>0</v>
      </c>
      <c r="I28" s="37" t="str">
        <f>IF($A28="","",IF(COUNTIFS([1]Sheet1!$A$2:$A$190,$A28,[1]Sheet1!$B$2:$B$190,$B28)=0,"NOT IN COUNT",IF(COUNTIFS([1]Sheet1!$A$2:$A$190,$A28,[1]Sheet1!$B$2:$B$190,$B28,[1]Sheet1!$C$2:$C$190,"&gt;=0")=0,"NOT COUNTED",SUMIFS([1]Sheet1!$C$2:$C$190,[1]Sheet1!$A$2:$A$190,$A28,[1]Sheet1!$B$2:$B$190,$B28))))</f>
        <v>NOT COUNTED</v>
      </c>
      <c r="J28" s="37" t="str">
        <f t="shared" si="0"/>
        <v/>
      </c>
      <c r="K28" s="36" t="str">
        <f t="shared" si="1"/>
        <v>NOT COUNTED</v>
      </c>
      <c r="L28" s="38" t="str">
        <f>IF($A28="","",IF(COUNTIFS([1]Sheet1!$D$2:$D$190,$A28&amp;"|"&amp;$B28)&gt;1,"Item listed twice in count sheet","")&amp;IF(AND(ISNUMBER($I28),$H28&lt;0)," ; system closing is negative — check entries",""))</f>
        <v/>
      </c>
    </row>
    <row r="29" spans="1:12" x14ac:dyDescent="0.3">
      <c r="A29" s="35" t="str">
        <f>'29-AUGUST-2026'!A22</f>
        <v>Batavia lettuce INVICTA RZ</v>
      </c>
      <c r="B29" s="36">
        <f>'29-AUGUST-2026'!B22</f>
        <v>1000</v>
      </c>
      <c r="C29" s="36" t="str">
        <f>'29-AUGUST-2026'!C22</f>
        <v>SEED</v>
      </c>
      <c r="D29" s="37">
        <f>'29-AUGUST-2026'!E22</f>
        <v>4</v>
      </c>
      <c r="E29" s="37">
        <f>'29-AUGUST-2026'!H22</f>
        <v>0</v>
      </c>
      <c r="F29" s="37">
        <f>'29-AUGUST-2026'!K22</f>
        <v>3</v>
      </c>
      <c r="G29" s="37">
        <f>'29-AUGUST-2026'!N22</f>
        <v>0</v>
      </c>
      <c r="H29" s="37">
        <f>'29-AUGUST-2026'!Y22</f>
        <v>0</v>
      </c>
      <c r="I29" s="37">
        <f>IF($A29="","",IF(COUNTIFS([1]Sheet1!$A$2:$A$190,$A29,[1]Sheet1!$B$2:$B$190,$B29)=0,"NOT IN COUNT",IF(COUNTIFS([1]Sheet1!$A$2:$A$190,$A29,[1]Sheet1!$B$2:$B$190,$B29,[1]Sheet1!$C$2:$C$190,"&gt;=0")=0,"NOT COUNTED",SUMIFS([1]Sheet1!$C$2:$C$190,[1]Sheet1!$A$2:$A$190,$A29,[1]Sheet1!$B$2:$B$190,$B29))))</f>
        <v>0</v>
      </c>
      <c r="J29" s="37">
        <f t="shared" si="0"/>
        <v>0</v>
      </c>
      <c r="K29" s="36" t="str">
        <f t="shared" si="1"/>
        <v>MATCH</v>
      </c>
      <c r="L29" s="38" t="str">
        <f>IF($A29="","",IF(COUNTIFS([1]Sheet1!$D$2:$D$190,$A29&amp;"|"&amp;$B29)&gt;1,"Item listed twice in count sheet","")&amp;IF(AND(ISNUMBER($I29),$H29&lt;0)," ; system closing is negative — check entries",""))</f>
        <v/>
      </c>
    </row>
    <row r="30" spans="1:12" x14ac:dyDescent="0.3">
      <c r="A30" s="35" t="str">
        <f>'29-AUGUST-2026'!A23</f>
        <v>Batavia lettuce TOURBILLON RZ</v>
      </c>
      <c r="B30" s="36">
        <f>'29-AUGUST-2026'!B23</f>
        <v>1000</v>
      </c>
      <c r="C30" s="36" t="str">
        <f>'29-AUGUST-2026'!C23</f>
        <v>SEED</v>
      </c>
      <c r="D30" s="37">
        <f>'29-AUGUST-2026'!E23</f>
        <v>24</v>
      </c>
      <c r="E30" s="37">
        <f>'29-AUGUST-2026'!H23</f>
        <v>0</v>
      </c>
      <c r="F30" s="37">
        <f>'29-AUGUST-2026'!K23</f>
        <v>1</v>
      </c>
      <c r="G30" s="37">
        <f>'29-AUGUST-2026'!N23</f>
        <v>0</v>
      </c>
      <c r="H30" s="37">
        <f>'29-AUGUST-2026'!Y23</f>
        <v>23</v>
      </c>
      <c r="I30" s="37">
        <f>IF($A30="","",IF(COUNTIFS([1]Sheet1!$A$2:$A$190,$A30,[1]Sheet1!$B$2:$B$190,$B30)=0,"NOT IN COUNT",IF(COUNTIFS([1]Sheet1!$A$2:$A$190,$A30,[1]Sheet1!$B$2:$B$190,$B30,[1]Sheet1!$C$2:$C$190,"&gt;=0")=0,"NOT COUNTED",SUMIFS([1]Sheet1!$C$2:$C$190,[1]Sheet1!$A$2:$A$190,$A30,[1]Sheet1!$B$2:$B$190,$B30))))</f>
        <v>23</v>
      </c>
      <c r="J30" s="37">
        <f t="shared" si="0"/>
        <v>0</v>
      </c>
      <c r="K30" s="36" t="str">
        <f t="shared" si="1"/>
        <v>MATCH</v>
      </c>
      <c r="L30" s="38" t="s">
        <v>322</v>
      </c>
    </row>
    <row r="31" spans="1:12" x14ac:dyDescent="0.3">
      <c r="A31" s="35" t="str">
        <f>'29-AUGUST-2026'!A24</f>
        <v>Beetroot LARKA RZ</v>
      </c>
      <c r="B31" s="36">
        <f>'29-AUGUST-2026'!B24</f>
        <v>25000</v>
      </c>
      <c r="C31" s="36" t="str">
        <f>'29-AUGUST-2026'!C24</f>
        <v>SEED</v>
      </c>
      <c r="D31" s="37">
        <f>'29-AUGUST-2026'!E24</f>
        <v>4</v>
      </c>
      <c r="E31" s="37">
        <f>'29-AUGUST-2026'!H24</f>
        <v>0</v>
      </c>
      <c r="F31" s="37">
        <f>'29-AUGUST-2026'!K24</f>
        <v>0</v>
      </c>
      <c r="G31" s="37">
        <f>'29-AUGUST-2026'!N24</f>
        <v>0</v>
      </c>
      <c r="H31" s="37">
        <f>'29-AUGUST-2026'!Y24</f>
        <v>4</v>
      </c>
      <c r="I31" s="37">
        <f>IF($A31="","",IF(COUNTIFS([1]Sheet1!$A$2:$A$190,$A31,[1]Sheet1!$B$2:$B$190,$B31)=0,"NOT IN COUNT",IF(COUNTIFS([1]Sheet1!$A$2:$A$190,$A31,[1]Sheet1!$B$2:$B$190,$B31,[1]Sheet1!$C$2:$C$190,"&gt;=0")=0,"NOT COUNTED",SUMIFS([1]Sheet1!$C$2:$C$190,[1]Sheet1!$A$2:$A$190,$A31,[1]Sheet1!$B$2:$B$190,$B31))))</f>
        <v>4</v>
      </c>
      <c r="J31" s="37">
        <f t="shared" si="0"/>
        <v>0</v>
      </c>
      <c r="K31" s="36" t="str">
        <f t="shared" si="1"/>
        <v>MATCH</v>
      </c>
      <c r="L31" s="38" t="str">
        <f>IF($A31="","",IF(COUNTIFS([1]Sheet1!$D$2:$D$190,$A31&amp;"|"&amp;$B31)&gt;1,"Item listed twice in count sheet","")&amp;IF(AND(ISNUMBER($I31),$H31&lt;0)," ; system closing is negative — check entries",""))</f>
        <v/>
      </c>
    </row>
    <row r="32" spans="1:12" x14ac:dyDescent="0.3">
      <c r="A32" s="35" t="str">
        <f>'29-AUGUST-2026'!A25</f>
        <v>Beetroot Zeppo</v>
      </c>
      <c r="B32" s="36">
        <f>'29-AUGUST-2026'!B25</f>
        <v>25000</v>
      </c>
      <c r="C32" s="36" t="str">
        <f>'29-AUGUST-2026'!C25</f>
        <v>SEED</v>
      </c>
      <c r="D32" s="37">
        <f>'29-AUGUST-2026'!E25</f>
        <v>2</v>
      </c>
      <c r="E32" s="37">
        <f>'29-AUGUST-2026'!H25</f>
        <v>0</v>
      </c>
      <c r="F32" s="37">
        <f>'29-AUGUST-2026'!K25</f>
        <v>2</v>
      </c>
      <c r="G32" s="37">
        <f>'29-AUGUST-2026'!N25</f>
        <v>0</v>
      </c>
      <c r="H32" s="37">
        <f>'29-AUGUST-2026'!Y25</f>
        <v>2</v>
      </c>
      <c r="I32" s="37">
        <f>IF($A32="","",IF(COUNTIFS([1]Sheet1!$A$2:$A$190,$A32,[1]Sheet1!$B$2:$B$190,$B32)=0,"NOT IN COUNT",IF(COUNTIFS([1]Sheet1!$A$2:$A$190,$A32,[1]Sheet1!$B$2:$B$190,$B32,[1]Sheet1!$C$2:$C$190,"&gt;=0")=0,"NOT COUNTED",SUMIFS([1]Sheet1!$C$2:$C$190,[1]Sheet1!$A$2:$A$190,$A32,[1]Sheet1!$B$2:$B$190,$B32))))</f>
        <v>2</v>
      </c>
      <c r="J32" s="37">
        <f t="shared" si="0"/>
        <v>0</v>
      </c>
      <c r="K32" s="36" t="str">
        <f t="shared" si="1"/>
        <v>MATCH</v>
      </c>
      <c r="L32" s="38" t="str">
        <f>IF($A32="","",IF(COUNTIFS([1]Sheet1!$D$2:$D$190,$A32&amp;"|"&amp;$B32)&gt;1,"Item listed twice in count sheet","")&amp;IF(AND(ISNUMBER($I32),$H32&lt;0)," ; system closing is negative — check entries",""))</f>
        <v/>
      </c>
    </row>
    <row r="33" spans="1:12" x14ac:dyDescent="0.3">
      <c r="A33" s="35" t="str">
        <f>'29-AUGUST-2026'!A26</f>
        <v>Blanched celery KYLIAN RZ</v>
      </c>
      <c r="B33" s="36">
        <f>'29-AUGUST-2026'!B26</f>
        <v>1000</v>
      </c>
      <c r="C33" s="36" t="str">
        <f>'29-AUGUST-2026'!C26</f>
        <v>SEED</v>
      </c>
      <c r="D33" s="37">
        <f>'29-AUGUST-2026'!E26</f>
        <v>10</v>
      </c>
      <c r="E33" s="37">
        <f>'29-AUGUST-2026'!H26</f>
        <v>0</v>
      </c>
      <c r="F33" s="37">
        <f>'29-AUGUST-2026'!K26</f>
        <v>0</v>
      </c>
      <c r="G33" s="37">
        <f>'29-AUGUST-2026'!N26</f>
        <v>0</v>
      </c>
      <c r="H33" s="37">
        <f>'29-AUGUST-2026'!Y26</f>
        <v>10</v>
      </c>
      <c r="I33" s="37">
        <f>IF($A33="","",IF(COUNTIFS([1]Sheet1!$A$2:$A$190,$A33,[1]Sheet1!$B$2:$B$190,$B33)=0,"NOT IN COUNT",IF(COUNTIFS([1]Sheet1!$A$2:$A$190,$A33,[1]Sheet1!$B$2:$B$190,$B33,[1]Sheet1!$C$2:$C$190,"&gt;=0")=0,"NOT COUNTED",SUMIFS([1]Sheet1!$C$2:$C$190,[1]Sheet1!$A$2:$A$190,$A33,[1]Sheet1!$B$2:$B$190,$B33))))</f>
        <v>10</v>
      </c>
      <c r="J33" s="37">
        <f t="shared" si="0"/>
        <v>0</v>
      </c>
      <c r="K33" s="36" t="str">
        <f t="shared" si="1"/>
        <v>MATCH</v>
      </c>
      <c r="L33" s="38" t="str">
        <f>IF($A33="","",IF(COUNTIFS([1]Sheet1!$D$2:$D$190,$A33&amp;"|"&amp;$B33)&gt;1,"Item listed twice in count sheet","")&amp;IF(AND(ISNUMBER($I33),$H33&lt;0)," ; system closing is negative — check entries",""))</f>
        <v/>
      </c>
    </row>
    <row r="34" spans="1:12" x14ac:dyDescent="0.3">
      <c r="A34" s="35" t="str">
        <f>'29-AUGUST-2026'!A27</f>
        <v>Bravura</v>
      </c>
      <c r="B34" s="36">
        <f>'29-AUGUST-2026'!B27</f>
        <v>100</v>
      </c>
      <c r="C34" s="36" t="str">
        <f>'29-AUGUST-2026'!C27</f>
        <v>SEED</v>
      </c>
      <c r="D34" s="37">
        <f>'29-AUGUST-2026'!E27</f>
        <v>9</v>
      </c>
      <c r="E34" s="37">
        <f>'29-AUGUST-2026'!H27</f>
        <v>0</v>
      </c>
      <c r="F34" s="37">
        <f>'29-AUGUST-2026'!K27</f>
        <v>0</v>
      </c>
      <c r="G34" s="37">
        <f>'29-AUGUST-2026'!N27</f>
        <v>0</v>
      </c>
      <c r="H34" s="37">
        <f>'29-AUGUST-2026'!Y27</f>
        <v>9</v>
      </c>
      <c r="I34" s="37" t="str">
        <f>IF($A34="","",IF(COUNTIFS([1]Sheet1!$A$2:$A$190,$A34,[1]Sheet1!$B$2:$B$190,$B34)=0,"NOT IN COUNT",IF(COUNTIFS([1]Sheet1!$A$2:$A$190,$A34,[1]Sheet1!$B$2:$B$190,$B34,[1]Sheet1!$C$2:$C$190,"&gt;=0")=0,"NOT COUNTED",SUMIFS([1]Sheet1!$C$2:$C$190,[1]Sheet1!$A$2:$A$190,$A34,[1]Sheet1!$B$2:$B$190,$B34))))</f>
        <v>NOT IN COUNT</v>
      </c>
      <c r="J34" s="37" t="str">
        <f t="shared" si="0"/>
        <v/>
      </c>
      <c r="K34" s="36" t="str">
        <f t="shared" si="1"/>
        <v>NOT IN COUNT</v>
      </c>
      <c r="L34" s="38" t="str">
        <f>IF($A34="","",IF(COUNTIFS([1]Sheet1!$D$2:$D$190,$A34&amp;"|"&amp;$B34)&gt;1,"Item listed twice in count sheet","")&amp;IF(AND(ISNUMBER($I34),$H34&lt;0)," ; system closing is negative — check entries",""))</f>
        <v/>
      </c>
    </row>
    <row r="35" spans="1:12" x14ac:dyDescent="0.3">
      <c r="A35" s="35" t="str">
        <f>'29-AUGUST-2026'!A28</f>
        <v>Broccoli TAHOE RZ F3</v>
      </c>
      <c r="B35" s="36">
        <f>'29-AUGUST-2026'!B28</f>
        <v>1000</v>
      </c>
      <c r="C35" s="36" t="str">
        <f>'29-AUGUST-2026'!C28</f>
        <v>SEED</v>
      </c>
      <c r="D35" s="37">
        <f>'29-AUGUST-2026'!E28</f>
        <v>34</v>
      </c>
      <c r="E35" s="37">
        <f>'29-AUGUST-2026'!H28</f>
        <v>5</v>
      </c>
      <c r="F35" s="37">
        <f>'29-AUGUST-2026'!K28</f>
        <v>2</v>
      </c>
      <c r="G35" s="37">
        <f>'29-AUGUST-2026'!N28</f>
        <v>0</v>
      </c>
      <c r="H35" s="37">
        <f>'29-AUGUST-2026'!Y28</f>
        <v>31</v>
      </c>
      <c r="I35" s="37">
        <f>IF($A35="","",IF(COUNTIFS([1]Sheet1!$A$2:$A$190,$A35,[1]Sheet1!$B$2:$B$190,$B35)=0,"NOT IN COUNT",IF(COUNTIFS([1]Sheet1!$A$2:$A$190,$A35,[1]Sheet1!$B$2:$B$190,$B35,[1]Sheet1!$C$2:$C$190,"&gt;=0")=0,"NOT COUNTED",SUMIFS([1]Sheet1!$C$2:$C$190,[1]Sheet1!$A$2:$A$190,$A35,[1]Sheet1!$B$2:$B$190,$B35))))</f>
        <v>31</v>
      </c>
      <c r="J35" s="37">
        <f t="shared" si="0"/>
        <v>0</v>
      </c>
      <c r="K35" s="36" t="str">
        <f t="shared" si="1"/>
        <v>MATCH</v>
      </c>
      <c r="L35" s="38" t="str">
        <f>IF($A35="","",IF(COUNTIFS([1]Sheet1!$D$2:$D$190,$A35&amp;"|"&amp;$B35)&gt;1,"Item listed twice in count sheet","")&amp;IF(AND(ISNUMBER($I35),$H35&lt;0)," ; system closing is negative — check entries",""))</f>
        <v/>
      </c>
    </row>
    <row r="36" spans="1:12" x14ac:dyDescent="0.3">
      <c r="A36" s="35" t="str">
        <f>'29-AUGUST-2026'!A29</f>
        <v>Caribbean Gold</v>
      </c>
      <c r="B36" s="36">
        <f>'29-AUGUST-2026'!B29</f>
        <v>100</v>
      </c>
      <c r="C36" s="36" t="str">
        <f>'29-AUGUST-2026'!C29</f>
        <v>SEED</v>
      </c>
      <c r="D36" s="37">
        <f>'29-AUGUST-2026'!E29</f>
        <v>6</v>
      </c>
      <c r="E36" s="37">
        <f>'29-AUGUST-2026'!H29</f>
        <v>0</v>
      </c>
      <c r="F36" s="37">
        <f>'29-AUGUST-2026'!K29</f>
        <v>0</v>
      </c>
      <c r="G36" s="37">
        <f>'29-AUGUST-2026'!N29</f>
        <v>0</v>
      </c>
      <c r="H36" s="37">
        <f>'29-AUGUST-2026'!Y29</f>
        <v>1</v>
      </c>
      <c r="I36" s="37">
        <f>IF($A36="","",IF(COUNTIFS([1]Sheet1!$A$2:$A$190,$A36,[1]Sheet1!$B$2:$B$190,$B36)=0,"NOT IN COUNT",IF(COUNTIFS([1]Sheet1!$A$2:$A$190,$A36,[1]Sheet1!$B$2:$B$190,$B36,[1]Sheet1!$C$2:$C$190,"&gt;=0")=0,"NOT COUNTED",SUMIFS([1]Sheet1!$C$2:$C$190,[1]Sheet1!$A$2:$A$190,$A36,[1]Sheet1!$B$2:$B$190,$B36))))</f>
        <v>1</v>
      </c>
      <c r="J36" s="37">
        <f t="shared" si="0"/>
        <v>0</v>
      </c>
      <c r="K36" s="36" t="str">
        <f t="shared" si="1"/>
        <v>MATCH</v>
      </c>
      <c r="L36" s="38" t="str">
        <f>IF($A36="","",IF(COUNTIFS([1]Sheet1!$D$2:$D$190,$A36&amp;"|"&amp;$B36)&gt;1,"Item listed twice in count sheet","")&amp;IF(AND(ISNUMBER($I36),$H36&lt;0)," ; system closing is negative — check entries",""))</f>
        <v/>
      </c>
    </row>
    <row r="37" spans="1:12" x14ac:dyDescent="0.3">
      <c r="A37" s="35" t="str">
        <f>'29-AUGUST-2026'!A30</f>
        <v>Cartegeneous</v>
      </c>
      <c r="B37" s="36">
        <f>'29-AUGUST-2026'!B30</f>
        <v>1000</v>
      </c>
      <c r="C37" s="36">
        <f>'29-AUGUST-2026'!C30</f>
        <v>0</v>
      </c>
      <c r="D37" s="37">
        <f>'29-AUGUST-2026'!E30</f>
        <v>0</v>
      </c>
      <c r="E37" s="37">
        <f>'29-AUGUST-2026'!H30</f>
        <v>0</v>
      </c>
      <c r="F37" s="37">
        <f>'29-AUGUST-2026'!K30</f>
        <v>0</v>
      </c>
      <c r="G37" s="37">
        <f>'29-AUGUST-2026'!N30</f>
        <v>0</v>
      </c>
      <c r="H37" s="37">
        <f>'29-AUGUST-2026'!Y30</f>
        <v>0</v>
      </c>
      <c r="I37" s="37" t="str">
        <f>IF($A37="","",IF(COUNTIFS([1]Sheet1!$A$2:$A$190,$A37,[1]Sheet1!$B$2:$B$190,$B37)=0,"NOT IN COUNT",IF(COUNTIFS([1]Sheet1!$A$2:$A$190,$A37,[1]Sheet1!$B$2:$B$190,$B37,[1]Sheet1!$C$2:$C$190,"&gt;=0")=0,"NOT COUNTED",SUMIFS([1]Sheet1!$C$2:$C$190,[1]Sheet1!$A$2:$A$190,$A37,[1]Sheet1!$B$2:$B$190,$B37))))</f>
        <v>NOT IN COUNT</v>
      </c>
      <c r="J37" s="37" t="str">
        <f t="shared" si="0"/>
        <v/>
      </c>
      <c r="K37" s="36" t="str">
        <f t="shared" si="1"/>
        <v>NOT IN COUNT</v>
      </c>
      <c r="L37" s="38" t="str">
        <f>IF($A37="","",IF(COUNTIFS([1]Sheet1!$D$2:$D$190,$A37&amp;"|"&amp;$B37)&gt;1,"Item listed twice in count sheet","")&amp;IF(AND(ISNUMBER($I37),$H37&lt;0)," ; system closing is negative — check entries",""))</f>
        <v/>
      </c>
    </row>
    <row r="38" spans="1:12" x14ac:dyDescent="0.3">
      <c r="A38" s="35" t="str">
        <f>'29-AUGUST-2026'!A31</f>
        <v>Cauliflower CASPER RZ F1</v>
      </c>
      <c r="B38" s="36">
        <f>'29-AUGUST-2026'!B31</f>
        <v>1000</v>
      </c>
      <c r="C38" s="36" t="str">
        <f>'29-AUGUST-2026'!C31</f>
        <v>SEED</v>
      </c>
      <c r="D38" s="37">
        <f>'29-AUGUST-2026'!E31</f>
        <v>21</v>
      </c>
      <c r="E38" s="37">
        <f>'29-AUGUST-2026'!H31</f>
        <v>3</v>
      </c>
      <c r="F38" s="37">
        <f>'29-AUGUST-2026'!K31</f>
        <v>2</v>
      </c>
      <c r="G38" s="37">
        <f>'29-AUGUST-2026'!N31</f>
        <v>0</v>
      </c>
      <c r="H38" s="37">
        <f>'29-AUGUST-2026'!Y31</f>
        <v>17</v>
      </c>
      <c r="I38" s="37">
        <f>IF($A38="","",IF(COUNTIFS([1]Sheet1!$A$2:$A$190,$A38,[1]Sheet1!$B$2:$B$190,$B38)=0,"NOT IN COUNT",IF(COUNTIFS([1]Sheet1!$A$2:$A$190,$A38,[1]Sheet1!$B$2:$B$190,$B38,[1]Sheet1!$C$2:$C$190,"&gt;=0")=0,"NOT COUNTED",SUMIFS([1]Sheet1!$C$2:$C$190,[1]Sheet1!$A$2:$A$190,$A38,[1]Sheet1!$B$2:$B$190,$B38))))</f>
        <v>17</v>
      </c>
      <c r="J38" s="37">
        <f t="shared" si="0"/>
        <v>0</v>
      </c>
      <c r="K38" s="36" t="str">
        <f t="shared" si="1"/>
        <v>MATCH</v>
      </c>
      <c r="L38" s="38" t="str">
        <f>IF($A38="","",IF(COUNTIFS([1]Sheet1!$D$2:$D$190,$A38&amp;"|"&amp;$B38)&gt;1,"Item listed twice in count sheet","")&amp;IF(AND(ISNUMBER($I38),$H38&lt;0)," ; system closing is negative — check entries",""))</f>
        <v/>
      </c>
    </row>
    <row r="39" spans="1:12" x14ac:dyDescent="0.3">
      <c r="A39" s="35" t="str">
        <f>'29-AUGUST-2026'!A32</f>
        <v>Cauliflower CASPER RZ F4</v>
      </c>
      <c r="B39" s="36">
        <f>'29-AUGUST-2026'!B32</f>
        <v>1000</v>
      </c>
      <c r="C39" s="36" t="str">
        <f>'29-AUGUST-2026'!C32</f>
        <v>SEED</v>
      </c>
      <c r="D39" s="37">
        <f>'29-AUGUST-2026'!E32</f>
        <v>3</v>
      </c>
      <c r="E39" s="37">
        <f>'29-AUGUST-2026'!H32</f>
        <v>0</v>
      </c>
      <c r="F39" s="37">
        <f>'29-AUGUST-2026'!K32</f>
        <v>0</v>
      </c>
      <c r="G39" s="37">
        <f>'29-AUGUST-2026'!N32</f>
        <v>0</v>
      </c>
      <c r="H39" s="37">
        <f>'29-AUGUST-2026'!Y32</f>
        <v>3</v>
      </c>
      <c r="I39" s="37" t="str">
        <f>IF($A39="","",IF(COUNTIFS([1]Sheet1!$A$2:$A$190,$A39,[1]Sheet1!$B$2:$B$190,$B39)=0,"NOT IN COUNT",IF(COUNTIFS([1]Sheet1!$A$2:$A$190,$A39,[1]Sheet1!$B$2:$B$190,$B39,[1]Sheet1!$C$2:$C$190,"&gt;=0")=0,"NOT COUNTED",SUMIFS([1]Sheet1!$C$2:$C$190,[1]Sheet1!$A$2:$A$190,$A39,[1]Sheet1!$B$2:$B$190,$B39))))</f>
        <v>NOT IN COUNT</v>
      </c>
      <c r="J39" s="37" t="str">
        <f t="shared" si="0"/>
        <v/>
      </c>
      <c r="K39" s="36" t="str">
        <f t="shared" si="1"/>
        <v>NOT IN COUNT</v>
      </c>
      <c r="L39" s="38" t="str">
        <f>IF($A39="","",IF(COUNTIFS([1]Sheet1!$D$2:$D$190,$A39&amp;"|"&amp;$B39)&gt;1,"Item listed twice in count sheet","")&amp;IF(AND(ISNUMBER($I39),$H39&lt;0)," ; system closing is negative — check entries",""))</f>
        <v/>
      </c>
    </row>
    <row r="40" spans="1:12" x14ac:dyDescent="0.3">
      <c r="A40" s="35" t="str">
        <f>'29-AUGUST-2026'!A33</f>
        <v>Cauliflower MONEERA RZ F4</v>
      </c>
      <c r="B40" s="36">
        <f>'29-AUGUST-2026'!B33</f>
        <v>1000</v>
      </c>
      <c r="C40" s="36" t="str">
        <f>'29-AUGUST-2026'!C33</f>
        <v>SEED</v>
      </c>
      <c r="D40" s="37">
        <f>'29-AUGUST-2026'!E33</f>
        <v>2</v>
      </c>
      <c r="E40" s="37">
        <f>'29-AUGUST-2026'!H33</f>
        <v>0</v>
      </c>
      <c r="F40" s="37">
        <f>'29-AUGUST-2026'!K33</f>
        <v>0</v>
      </c>
      <c r="G40" s="37">
        <f>'29-AUGUST-2026'!N33</f>
        <v>0</v>
      </c>
      <c r="H40" s="37">
        <f>'29-AUGUST-2026'!Y33</f>
        <v>2</v>
      </c>
      <c r="I40" s="37">
        <f>IF($A40="","",IF(COUNTIFS([1]Sheet1!$A$2:$A$190,$A40,[1]Sheet1!$B$2:$B$190,$B40)=0,"NOT IN COUNT",IF(COUNTIFS([1]Sheet1!$A$2:$A$190,$A40,[1]Sheet1!$B$2:$B$190,$B40,[1]Sheet1!$C$2:$C$190,"&gt;=0")=0,"NOT COUNTED",SUMIFS([1]Sheet1!$C$2:$C$190,[1]Sheet1!$A$2:$A$190,$A40,[1]Sheet1!$B$2:$B$190,$B40))))</f>
        <v>2</v>
      </c>
      <c r="J40" s="37">
        <f t="shared" si="0"/>
        <v>0</v>
      </c>
      <c r="K40" s="36" t="str">
        <f t="shared" si="1"/>
        <v>MATCH</v>
      </c>
      <c r="L40" s="38" t="str">
        <f>IF($A40="","",IF(COUNTIFS([1]Sheet1!$D$2:$D$190,$A40&amp;"|"&amp;$B40)&gt;1,"Item listed twice in count sheet","")&amp;IF(AND(ISNUMBER($I40),$H40&lt;0)," ; system closing is negative — check entries",""))</f>
        <v/>
      </c>
    </row>
    <row r="41" spans="1:12" x14ac:dyDescent="0.3">
      <c r="A41" s="35" t="str">
        <f>'29-AUGUST-2026'!A34</f>
        <v>Cos lettuce MAXIMUS RZ</v>
      </c>
      <c r="B41" s="36">
        <f>'29-AUGUST-2026'!B34</f>
        <v>1000</v>
      </c>
      <c r="C41" s="36" t="str">
        <f>'29-AUGUST-2026'!C34</f>
        <v>SEED</v>
      </c>
      <c r="D41" s="37">
        <f>'29-AUGUST-2026'!E34</f>
        <v>0</v>
      </c>
      <c r="E41" s="37">
        <f>'29-AUGUST-2026'!H34</f>
        <v>0</v>
      </c>
      <c r="F41" s="37">
        <f>'29-AUGUST-2026'!K34</f>
        <v>0</v>
      </c>
      <c r="G41" s="37">
        <f>'29-AUGUST-2026'!N34</f>
        <v>0</v>
      </c>
      <c r="H41" s="37">
        <f>'29-AUGUST-2026'!Y34</f>
        <v>0</v>
      </c>
      <c r="I41" s="37">
        <f>IF($A41="","",IF(COUNTIFS([1]Sheet1!$A$2:$A$190,$A41,[1]Sheet1!$B$2:$B$190,$B41)=0,"NOT IN COUNT",IF(COUNTIFS([1]Sheet1!$A$2:$A$190,$A41,[1]Sheet1!$B$2:$B$190,$B41,[1]Sheet1!$C$2:$C$190,"&gt;=0")=0,"NOT COUNTED",SUMIFS([1]Sheet1!$C$2:$C$190,[1]Sheet1!$A$2:$A$190,$A41,[1]Sheet1!$B$2:$B$190,$B41))))</f>
        <v>0</v>
      </c>
      <c r="J41" s="37">
        <f t="shared" si="0"/>
        <v>0</v>
      </c>
      <c r="K41" s="36" t="str">
        <f t="shared" si="1"/>
        <v>MATCH</v>
      </c>
      <c r="L41" s="38" t="str">
        <f>IF($A41="","",IF(COUNTIFS([1]Sheet1!$D$2:$D$190,$A41&amp;"|"&amp;$B41)&gt;1,"Item listed twice in count sheet","")&amp;IF(AND(ISNUMBER($I41),$H41&lt;0)," ; system closing is negative — check entries",""))</f>
        <v/>
      </c>
    </row>
    <row r="42" spans="1:12" x14ac:dyDescent="0.3">
      <c r="A42" s="35" t="str">
        <f>'29-AUGUST-2026'!A35</f>
        <v>Cucumber LARINO RZ F1</v>
      </c>
      <c r="B42" s="36">
        <f>'29-AUGUST-2026'!B35</f>
        <v>100</v>
      </c>
      <c r="C42" s="36" t="str">
        <f>'29-AUGUST-2026'!C35</f>
        <v>SEED</v>
      </c>
      <c r="D42" s="37">
        <f>'29-AUGUST-2026'!E35</f>
        <v>5</v>
      </c>
      <c r="E42" s="37">
        <f>'29-AUGUST-2026'!H35</f>
        <v>0</v>
      </c>
      <c r="F42" s="37">
        <f>'29-AUGUST-2026'!K35</f>
        <v>0</v>
      </c>
      <c r="G42" s="37">
        <f>'29-AUGUST-2026'!N35</f>
        <v>0</v>
      </c>
      <c r="H42" s="37">
        <f>'29-AUGUST-2026'!Y35</f>
        <v>5</v>
      </c>
      <c r="I42" s="37">
        <f>IF($A42="","",IF(COUNTIFS([1]Sheet1!$A$2:$A$190,$A42,[1]Sheet1!$B$2:$B$190,$B42)=0,"NOT IN COUNT",IF(COUNTIFS([1]Sheet1!$A$2:$A$190,$A42,[1]Sheet1!$B$2:$B$190,$B42,[1]Sheet1!$C$2:$C$190,"&gt;=0")=0,"NOT COUNTED",SUMIFS([1]Sheet1!$C$2:$C$190,[1]Sheet1!$A$2:$A$190,$A42,[1]Sheet1!$B$2:$B$190,$B42))))</f>
        <v>5</v>
      </c>
      <c r="J42" s="37">
        <f t="shared" si="0"/>
        <v>0</v>
      </c>
      <c r="K42" s="36" t="str">
        <f t="shared" si="1"/>
        <v>MATCH</v>
      </c>
      <c r="L42" s="38" t="str">
        <f>IF($A42="","",IF(COUNTIFS([1]Sheet1!$D$2:$D$190,$A42&amp;"|"&amp;$B42)&gt;1,"Item listed twice in count sheet","")&amp;IF(AND(ISNUMBER($I42),$H42&lt;0)," ; system closing is negative — check entries",""))</f>
        <v/>
      </c>
    </row>
    <row r="43" spans="1:12" x14ac:dyDescent="0.3">
      <c r="A43" s="35" t="str">
        <f>'29-AUGUST-2026'!A36</f>
        <v>DRIP KIT DK500-G</v>
      </c>
      <c r="B43" s="36">
        <f>'29-AUGUST-2026'!B36</f>
        <v>0</v>
      </c>
      <c r="C43" s="36" t="str">
        <f>'29-AUGUST-2026'!C36</f>
        <v>IRRIGATION</v>
      </c>
      <c r="D43" s="37">
        <f>'29-AUGUST-2026'!E36</f>
        <v>2</v>
      </c>
      <c r="E43" s="37">
        <f>'29-AUGUST-2026'!H36</f>
        <v>0</v>
      </c>
      <c r="F43" s="37">
        <f>'29-AUGUST-2026'!K36</f>
        <v>0</v>
      </c>
      <c r="G43" s="37">
        <f>'29-AUGUST-2026'!N36</f>
        <v>0</v>
      </c>
      <c r="H43" s="37">
        <f>'29-AUGUST-2026'!Y36</f>
        <v>2</v>
      </c>
      <c r="I43" s="37">
        <f>IF($A43="","",IF(COUNTIFS([1]Sheet1!$A$2:$A$190,$A43,[1]Sheet1!$B$2:$B$190,$B43)=0,"NOT IN COUNT",IF(COUNTIFS([1]Sheet1!$A$2:$A$190,$A43,[1]Sheet1!$B$2:$B$190,$B43,[1]Sheet1!$C$2:$C$190,"&gt;=0")=0,"NOT COUNTED",SUMIFS([1]Sheet1!$C$2:$C$190,[1]Sheet1!$A$2:$A$190,$A43,[1]Sheet1!$B$2:$B$190,$B43))))</f>
        <v>2</v>
      </c>
      <c r="J43" s="37">
        <f t="shared" si="0"/>
        <v>0</v>
      </c>
      <c r="K43" s="36" t="str">
        <f t="shared" si="1"/>
        <v>MATCH</v>
      </c>
      <c r="L43" s="38" t="str">
        <f>IF($A43="","",IF(COUNTIFS([1]Sheet1!$D$2:$D$190,$A43&amp;"|"&amp;$B43)&gt;1,"Item listed twice in count sheet","")&amp;IF(AND(ISNUMBER($I43),$H43&lt;0)," ; system closing is negative — check entries",""))</f>
        <v/>
      </c>
    </row>
    <row r="44" spans="1:12" x14ac:dyDescent="0.3">
      <c r="A44" s="35" t="str">
        <f>'29-AUGUST-2026'!A37</f>
        <v>Fennel BOELLI</v>
      </c>
      <c r="B44" s="36">
        <f>'29-AUGUST-2026'!B37</f>
        <v>1000</v>
      </c>
      <c r="C44" s="36" t="str">
        <f>'29-AUGUST-2026'!C37</f>
        <v>SEED</v>
      </c>
      <c r="D44" s="37">
        <f>'29-AUGUST-2026'!E37</f>
        <v>1</v>
      </c>
      <c r="E44" s="37">
        <f>'29-AUGUST-2026'!H37</f>
        <v>0</v>
      </c>
      <c r="F44" s="37">
        <f>'29-AUGUST-2026'!K37</f>
        <v>0</v>
      </c>
      <c r="G44" s="37">
        <f>'29-AUGUST-2026'!N37</f>
        <v>0</v>
      </c>
      <c r="H44" s="37">
        <f>'29-AUGUST-2026'!Y37</f>
        <v>1</v>
      </c>
      <c r="I44" s="37">
        <f>IF($A44="","",IF(COUNTIFS([1]Sheet1!$A$2:$A$190,$A44,[1]Sheet1!$B$2:$B$190,$B44)=0,"NOT IN COUNT",IF(COUNTIFS([1]Sheet1!$A$2:$A$190,$A44,[1]Sheet1!$B$2:$B$190,$B44,[1]Sheet1!$C$2:$C$190,"&gt;=0")=0,"NOT COUNTED",SUMIFS([1]Sheet1!$C$2:$C$190,[1]Sheet1!$A$2:$A$190,$A44,[1]Sheet1!$B$2:$B$190,$B44))))</f>
        <v>1</v>
      </c>
      <c r="J44" s="37">
        <f t="shared" si="0"/>
        <v>0</v>
      </c>
      <c r="K44" s="36" t="str">
        <f t="shared" si="1"/>
        <v>MATCH</v>
      </c>
      <c r="L44" s="38" t="str">
        <f>IF($A44="","",IF(COUNTIFS([1]Sheet1!$D$2:$D$190,$A44&amp;"|"&amp;$B44)&gt;1,"Item listed twice in count sheet","")&amp;IF(AND(ISNUMBER($I44),$H44&lt;0)," ; system closing is negative — check entries",""))</f>
        <v/>
      </c>
    </row>
    <row r="45" spans="1:12" x14ac:dyDescent="0.3">
      <c r="A45" s="35" t="str">
        <f>'29-AUGUST-2026'!A38</f>
        <v>GREEN HOUSE</v>
      </c>
      <c r="B45" s="36" t="str">
        <f>'29-AUGUST-2026'!B38</f>
        <v>NOT COMPLETE</v>
      </c>
      <c r="C45" s="36" t="str">
        <f>'29-AUGUST-2026'!C38</f>
        <v>GREEN HOUSE</v>
      </c>
      <c r="D45" s="37">
        <f>'29-AUGUST-2026'!E38</f>
        <v>1</v>
      </c>
      <c r="E45" s="37">
        <f>'29-AUGUST-2026'!H38</f>
        <v>0</v>
      </c>
      <c r="F45" s="37">
        <f>'29-AUGUST-2026'!K38</f>
        <v>0</v>
      </c>
      <c r="G45" s="37">
        <f>'29-AUGUST-2026'!N38</f>
        <v>0</v>
      </c>
      <c r="H45" s="37">
        <f>'29-AUGUST-2026'!Y38</f>
        <v>1</v>
      </c>
      <c r="I45" s="37">
        <f>IF($A45="","",IF(COUNTIFS([1]Sheet1!$A$2:$A$190,$A45,[1]Sheet1!$B$2:$B$190,$B45)=0,"NOT IN COUNT",IF(COUNTIFS([1]Sheet1!$A$2:$A$190,$A45,[1]Sheet1!$B$2:$B$190,$B45,[1]Sheet1!$C$2:$C$190,"&gt;=0")=0,"NOT COUNTED",SUMIFS([1]Sheet1!$C$2:$C$190,[1]Sheet1!$A$2:$A$190,$A45,[1]Sheet1!$B$2:$B$190,$B45))))</f>
        <v>1</v>
      </c>
      <c r="J45" s="37">
        <f t="shared" si="0"/>
        <v>0</v>
      </c>
      <c r="K45" s="36" t="str">
        <f t="shared" si="1"/>
        <v>MATCH</v>
      </c>
      <c r="L45" s="38" t="str">
        <f>IF($A45="","",IF(COUNTIFS([1]Sheet1!$D$2:$D$190,$A45&amp;"|"&amp;$B45)&gt;1,"Item listed twice in count sheet","")&amp;IF(AND(ISNUMBER($I45),$H45&lt;0)," ; system closing is negative — check entries",""))</f>
        <v/>
      </c>
    </row>
    <row r="46" spans="1:12" x14ac:dyDescent="0.3">
      <c r="A46" s="35" t="str">
        <f>'29-AUGUST-2026'!A39</f>
        <v>Horiver Blue</v>
      </c>
      <c r="B46" s="36">
        <f>'29-AUGUST-2026'!B39</f>
        <v>0</v>
      </c>
      <c r="C46" s="36" t="str">
        <f>'29-AUGUST-2026'!C39</f>
        <v>IPM</v>
      </c>
      <c r="D46" s="37">
        <f>'29-AUGUST-2026'!E39</f>
        <v>107</v>
      </c>
      <c r="E46" s="37">
        <f>'29-AUGUST-2026'!H39</f>
        <v>0</v>
      </c>
      <c r="F46" s="37">
        <f>'29-AUGUST-2026'!K39</f>
        <v>0</v>
      </c>
      <c r="G46" s="37">
        <f>'29-AUGUST-2026'!N39</f>
        <v>0</v>
      </c>
      <c r="H46" s="37">
        <f>'29-AUGUST-2026'!Y39</f>
        <v>108</v>
      </c>
      <c r="I46" s="37">
        <f>IF($A46="","",IF(COUNTIFS([1]Sheet1!$A$2:$A$190,$A46,[1]Sheet1!$B$2:$B$190,$B46)=0,"NOT IN COUNT",IF(COUNTIFS([1]Sheet1!$A$2:$A$190,$A46,[1]Sheet1!$B$2:$B$190,$B46,[1]Sheet1!$C$2:$C$190,"&gt;=0")=0,"NOT COUNTED",SUMIFS([1]Sheet1!$C$2:$C$190,[1]Sheet1!$A$2:$A$190,$A46,[1]Sheet1!$B$2:$B$190,$B46))))</f>
        <v>108</v>
      </c>
      <c r="J46" s="37">
        <f t="shared" si="0"/>
        <v>0</v>
      </c>
      <c r="K46" s="36" t="str">
        <f t="shared" si="1"/>
        <v>MATCH</v>
      </c>
      <c r="L46" s="38" t="str">
        <f>IF($A46="","",IF(COUNTIFS([1]Sheet1!$D$2:$D$190,$A46&amp;"|"&amp;$B46)&gt;1,"Item listed twice in count sheet","")&amp;IF(AND(ISNUMBER($I46),$H46&lt;0)," ; system closing is negative — check entries",""))</f>
        <v/>
      </c>
    </row>
    <row r="47" spans="1:12" x14ac:dyDescent="0.3">
      <c r="A47" s="35" t="str">
        <f>'29-AUGUST-2026'!A40</f>
        <v>Horiver Yellow</v>
      </c>
      <c r="B47" s="36">
        <f>'29-AUGUST-2026'!B40</f>
        <v>0</v>
      </c>
      <c r="C47" s="36" t="str">
        <f>'29-AUGUST-2026'!C40</f>
        <v>IPM</v>
      </c>
      <c r="D47" s="37">
        <f>'29-AUGUST-2026'!E40</f>
        <v>44</v>
      </c>
      <c r="E47" s="37">
        <f>'29-AUGUST-2026'!H40</f>
        <v>0</v>
      </c>
      <c r="F47" s="37">
        <f>'29-AUGUST-2026'!K40</f>
        <v>0</v>
      </c>
      <c r="G47" s="37">
        <f>'29-AUGUST-2026'!N40</f>
        <v>0</v>
      </c>
      <c r="H47" s="37">
        <f>'29-AUGUST-2026'!Y40</f>
        <v>45</v>
      </c>
      <c r="I47" s="37">
        <f>IF($A47="","",IF(COUNTIFS([1]Sheet1!$A$2:$A$190,$A47,[1]Sheet1!$B$2:$B$190,$B47)=0,"NOT IN COUNT",IF(COUNTIFS([1]Sheet1!$A$2:$A$190,$A47,[1]Sheet1!$B$2:$B$190,$B47,[1]Sheet1!$C$2:$C$190,"&gt;=0")=0,"NOT COUNTED",SUMIFS([1]Sheet1!$C$2:$C$190,[1]Sheet1!$A$2:$A$190,$A47,[1]Sheet1!$B$2:$B$190,$B47))))</f>
        <v>45</v>
      </c>
      <c r="J47" s="37">
        <f t="shared" si="0"/>
        <v>0</v>
      </c>
      <c r="K47" s="36" t="str">
        <f t="shared" si="1"/>
        <v>MATCH</v>
      </c>
      <c r="L47" s="38" t="str">
        <f>IF($A47="","",IF(COUNTIFS([1]Sheet1!$D$2:$D$190,$A47&amp;"|"&amp;$B47)&gt;1,"Item listed twice in count sheet","")&amp;IF(AND(ISNUMBER($I47),$H47&lt;0)," ; system closing is negative — check entries",""))</f>
        <v/>
      </c>
    </row>
    <row r="48" spans="1:12" x14ac:dyDescent="0.3">
      <c r="A48" s="35" t="str">
        <f>'29-AUGUST-2026'!A41</f>
        <v>Hot pepper HABIB RZ F1</v>
      </c>
      <c r="B48" s="36">
        <f>'29-AUGUST-2026'!B41</f>
        <v>100</v>
      </c>
      <c r="C48" s="36" t="str">
        <f>'29-AUGUST-2026'!C41</f>
        <v>SEED</v>
      </c>
      <c r="D48" s="37">
        <f>'29-AUGUST-2026'!E41</f>
        <v>113</v>
      </c>
      <c r="E48" s="37">
        <f>'29-AUGUST-2026'!H41</f>
        <v>0</v>
      </c>
      <c r="F48" s="37">
        <f>'29-AUGUST-2026'!K41</f>
        <v>0</v>
      </c>
      <c r="G48" s="37">
        <f>'29-AUGUST-2026'!N41</f>
        <v>0</v>
      </c>
      <c r="H48" s="37">
        <f>'29-AUGUST-2026'!Y41</f>
        <v>113</v>
      </c>
      <c r="I48" s="37">
        <f>IF($A48="","",IF(COUNTIFS([1]Sheet1!$A$2:$A$190,$A48,[1]Sheet1!$B$2:$B$190,$B48)=0,"NOT IN COUNT",IF(COUNTIFS([1]Sheet1!$A$2:$A$190,$A48,[1]Sheet1!$B$2:$B$190,$B48,[1]Sheet1!$C$2:$C$190,"&gt;=0")=0,"NOT COUNTED",SUMIFS([1]Sheet1!$C$2:$C$190,[1]Sheet1!$A$2:$A$190,$A48,[1]Sheet1!$B$2:$B$190,$B48))))</f>
        <v>113</v>
      </c>
      <c r="J48" s="37">
        <f t="shared" si="0"/>
        <v>0</v>
      </c>
      <c r="K48" s="36" t="str">
        <f t="shared" si="1"/>
        <v>MATCH</v>
      </c>
      <c r="L48" s="38" t="str">
        <f>IF($A48="","",IF(COUNTIFS([1]Sheet1!$D$2:$D$190,$A48&amp;"|"&amp;$B48)&gt;1,"Item listed twice in count sheet","")&amp;IF(AND(ISNUMBER($I48),$H48&lt;0)," ; system closing is negative — check entries",""))</f>
        <v/>
      </c>
    </row>
    <row r="49" spans="1:12" x14ac:dyDescent="0.3">
      <c r="A49" s="35" t="str">
        <f>'29-AUGUST-2026'!A42</f>
        <v>Hot pepper MEXTIZO RZ F3</v>
      </c>
      <c r="B49" s="36">
        <f>'29-AUGUST-2026'!B42</f>
        <v>500</v>
      </c>
      <c r="C49" s="36" t="str">
        <f>'29-AUGUST-2026'!C42</f>
        <v>SEED</v>
      </c>
      <c r="D49" s="37">
        <f>'29-AUGUST-2026'!E42</f>
        <v>6</v>
      </c>
      <c r="E49" s="37">
        <f>'29-AUGUST-2026'!H42</f>
        <v>0</v>
      </c>
      <c r="F49" s="37">
        <f>'29-AUGUST-2026'!K42</f>
        <v>0</v>
      </c>
      <c r="G49" s="37">
        <f>'29-AUGUST-2026'!N42</f>
        <v>0</v>
      </c>
      <c r="H49" s="37">
        <f>'29-AUGUST-2026'!Y42</f>
        <v>6</v>
      </c>
      <c r="I49" s="37">
        <f>IF($A49="","",IF(COUNTIFS([1]Sheet1!$A$2:$A$190,$A49,[1]Sheet1!$B$2:$B$190,$B49)=0,"NOT IN COUNT",IF(COUNTIFS([1]Sheet1!$A$2:$A$190,$A49,[1]Sheet1!$B$2:$B$190,$B49,[1]Sheet1!$C$2:$C$190,"&gt;=0")=0,"NOT COUNTED",SUMIFS([1]Sheet1!$C$2:$C$190,[1]Sheet1!$A$2:$A$190,$A49,[1]Sheet1!$B$2:$B$190,$B49))))</f>
        <v>6</v>
      </c>
      <c r="J49" s="37">
        <f t="shared" si="0"/>
        <v>0</v>
      </c>
      <c r="K49" s="36" t="str">
        <f t="shared" si="1"/>
        <v>MATCH</v>
      </c>
      <c r="L49" s="38" t="str">
        <f>IF($A49="","",IF(COUNTIFS([1]Sheet1!$D$2:$D$190,$A49&amp;"|"&amp;$B49)&gt;1,"Item listed twice in count sheet","")&amp;IF(AND(ISNUMBER($I49),$H49&lt;0)," ; system closing is negative — check entries",""))</f>
        <v/>
      </c>
    </row>
    <row r="50" spans="1:12" x14ac:dyDescent="0.3">
      <c r="A50" s="35" t="str">
        <f>'29-AUGUST-2026'!A43</f>
        <v>Hot pepper MEXTIZO RZ F4</v>
      </c>
      <c r="B50" s="36">
        <f>'29-AUGUST-2026'!B43</f>
        <v>100</v>
      </c>
      <c r="C50" s="36" t="str">
        <f>'29-AUGUST-2026'!C43</f>
        <v>SEED</v>
      </c>
      <c r="D50" s="37">
        <f>'29-AUGUST-2026'!E43</f>
        <v>100</v>
      </c>
      <c r="E50" s="37">
        <f>'29-AUGUST-2026'!H43</f>
        <v>1</v>
      </c>
      <c r="F50" s="37">
        <f>'29-AUGUST-2026'!K43</f>
        <v>1</v>
      </c>
      <c r="G50" s="37">
        <f>'29-AUGUST-2026'!N43</f>
        <v>0</v>
      </c>
      <c r="H50" s="37">
        <f>'29-AUGUST-2026'!Y43</f>
        <v>98</v>
      </c>
      <c r="I50" s="37">
        <f>IF($A50="","",IF(COUNTIFS([1]Sheet1!$A$2:$A$190,$A50,[1]Sheet1!$B$2:$B$190,$B50)=0,"NOT IN COUNT",IF(COUNTIFS([1]Sheet1!$A$2:$A$190,$A50,[1]Sheet1!$B$2:$B$190,$B50,[1]Sheet1!$C$2:$C$190,"&gt;=0")=0,"NOT COUNTED",SUMIFS([1]Sheet1!$C$2:$C$190,[1]Sheet1!$A$2:$A$190,$A50,[1]Sheet1!$B$2:$B$190,$B50))))</f>
        <v>98</v>
      </c>
      <c r="J50" s="37">
        <f t="shared" si="0"/>
        <v>0</v>
      </c>
      <c r="K50" s="36" t="str">
        <f t="shared" si="1"/>
        <v>MATCH</v>
      </c>
      <c r="L50" s="38" t="str">
        <f>IF($A50="","",IF(COUNTIFS([1]Sheet1!$D$2:$D$190,$A50&amp;"|"&amp;$B50)&gt;1,"Item listed twice in count sheet","")&amp;IF(AND(ISNUMBER($I50),$H50&lt;0)," ; system closing is negative — check entries",""))</f>
        <v/>
      </c>
    </row>
    <row r="51" spans="1:12" x14ac:dyDescent="0.3">
      <c r="A51" s="35" t="str">
        <f>'29-AUGUST-2026'!A44</f>
        <v>Iceberg lettuce Bruma RZ</v>
      </c>
      <c r="B51" s="36">
        <f>'29-AUGUST-2026'!B44</f>
        <v>1000</v>
      </c>
      <c r="C51" s="36" t="str">
        <f>'29-AUGUST-2026'!C44</f>
        <v>SEED</v>
      </c>
      <c r="D51" s="37">
        <f>'29-AUGUST-2026'!E44</f>
        <v>0</v>
      </c>
      <c r="E51" s="37">
        <f>'29-AUGUST-2026'!H44</f>
        <v>0</v>
      </c>
      <c r="F51" s="37">
        <f>'29-AUGUST-2026'!K44</f>
        <v>0</v>
      </c>
      <c r="G51" s="37">
        <f>'29-AUGUST-2026'!N44</f>
        <v>0</v>
      </c>
      <c r="H51" s="37">
        <f>'29-AUGUST-2026'!Y44</f>
        <v>0</v>
      </c>
      <c r="I51" s="37" t="str">
        <f>IF($A51="","",IF(COUNTIFS([1]Sheet1!$A$2:$A$190,$A51,[1]Sheet1!$B$2:$B$190,$B51)=0,"NOT IN COUNT",IF(COUNTIFS([1]Sheet1!$A$2:$A$190,$A51,[1]Sheet1!$B$2:$B$190,$B51,[1]Sheet1!$C$2:$C$190,"&gt;=0")=0,"NOT COUNTED",SUMIFS([1]Sheet1!$C$2:$C$190,[1]Sheet1!$A$2:$A$190,$A51,[1]Sheet1!$B$2:$B$190,$B51))))</f>
        <v>NOT COUNTED</v>
      </c>
      <c r="J51" s="37" t="str">
        <f t="shared" si="0"/>
        <v/>
      </c>
      <c r="K51" s="36" t="str">
        <f t="shared" si="1"/>
        <v>NOT COUNTED</v>
      </c>
      <c r="L51" s="38" t="str">
        <f>IF($A51="","",IF(COUNTIFS([1]Sheet1!$D$2:$D$190,$A51&amp;"|"&amp;$B51)&gt;1,"Item listed twice in count sheet","")&amp;IF(AND(ISNUMBER($I51),$H51&lt;0)," ; system closing is negative — check entries",""))</f>
        <v/>
      </c>
    </row>
    <row r="52" spans="1:12" x14ac:dyDescent="0.3">
      <c r="A52" s="35" t="str">
        <f>'29-AUGUST-2026'!A45</f>
        <v>Kohl Rabi Eder RZ F2</v>
      </c>
      <c r="B52" s="36">
        <f>'29-AUGUST-2026'!B45</f>
        <v>1000</v>
      </c>
      <c r="C52" s="36" t="str">
        <f>'29-AUGUST-2026'!C45</f>
        <v>SEED</v>
      </c>
      <c r="D52" s="37">
        <f>'29-AUGUST-2026'!E45</f>
        <v>4</v>
      </c>
      <c r="E52" s="37">
        <f>'29-AUGUST-2026'!H45</f>
        <v>0</v>
      </c>
      <c r="F52" s="37">
        <f>'29-AUGUST-2026'!K45</f>
        <v>0</v>
      </c>
      <c r="G52" s="37">
        <f>'29-AUGUST-2026'!N45</f>
        <v>0</v>
      </c>
      <c r="H52" s="37">
        <f>'29-AUGUST-2026'!Y45</f>
        <v>4</v>
      </c>
      <c r="I52" s="37">
        <f>IF($A52="","",IF(COUNTIFS([1]Sheet1!$A$2:$A$190,$A52,[1]Sheet1!$B$2:$B$190,$B52)=0,"NOT IN COUNT",IF(COUNTIFS([1]Sheet1!$A$2:$A$190,$A52,[1]Sheet1!$B$2:$B$190,$B52,[1]Sheet1!$C$2:$C$190,"&gt;=0")=0,"NOT COUNTED",SUMIFS([1]Sheet1!$C$2:$C$190,[1]Sheet1!$A$2:$A$190,$A52,[1]Sheet1!$B$2:$B$190,$B52))))</f>
        <v>4</v>
      </c>
      <c r="J52" s="37">
        <f t="shared" si="0"/>
        <v>0</v>
      </c>
      <c r="K52" s="36" t="str">
        <f t="shared" si="1"/>
        <v>MATCH</v>
      </c>
      <c r="L52" s="38" t="str">
        <f>IF($A52="","",IF(COUNTIFS([1]Sheet1!$D$2:$D$190,$A52&amp;"|"&amp;$B52)&gt;1,"Item listed twice in count sheet","")&amp;IF(AND(ISNUMBER($I52),$H52&lt;0)," ; system closing is negative — check entries",""))</f>
        <v/>
      </c>
    </row>
    <row r="53" spans="1:12" x14ac:dyDescent="0.3">
      <c r="A53" s="35" t="str">
        <f>'29-AUGUST-2026'!A46</f>
        <v>Kohl Rabi Ukza RZ F1</v>
      </c>
      <c r="B53" s="36">
        <f>'29-AUGUST-2026'!B46</f>
        <v>100</v>
      </c>
      <c r="C53" s="36" t="str">
        <f>'29-AUGUST-2026'!C46</f>
        <v>SEED</v>
      </c>
      <c r="D53" s="37">
        <f>'29-AUGUST-2026'!E46</f>
        <v>1</v>
      </c>
      <c r="E53" s="37">
        <f>'29-AUGUST-2026'!H46</f>
        <v>0</v>
      </c>
      <c r="F53" s="37">
        <f>'29-AUGUST-2026'!K46</f>
        <v>0</v>
      </c>
      <c r="G53" s="37">
        <f>'29-AUGUST-2026'!N46</f>
        <v>0</v>
      </c>
      <c r="H53" s="37">
        <f>'29-AUGUST-2026'!Y46</f>
        <v>1</v>
      </c>
      <c r="I53" s="37">
        <f>IF($A53="","",IF(COUNTIFS([1]Sheet1!$A$2:$A$190,$A53,[1]Sheet1!$B$2:$B$190,$B53)=0,"NOT IN COUNT",IF(COUNTIFS([1]Sheet1!$A$2:$A$190,$A53,[1]Sheet1!$B$2:$B$190,$B53,[1]Sheet1!$C$2:$C$190,"&gt;=0")=0,"NOT COUNTED",SUMIFS([1]Sheet1!$C$2:$C$190,[1]Sheet1!$A$2:$A$190,$A53,[1]Sheet1!$B$2:$B$190,$B53))))</f>
        <v>1</v>
      </c>
      <c r="J53" s="37">
        <f t="shared" si="0"/>
        <v>0</v>
      </c>
      <c r="K53" s="36" t="str">
        <f t="shared" si="1"/>
        <v>MATCH</v>
      </c>
      <c r="L53" s="38" t="str">
        <f>IF($A53="","",IF(COUNTIFS([1]Sheet1!$D$2:$D$190,$A53&amp;"|"&amp;$B53)&gt;1,"Item listed twice in count sheet","")&amp;IF(AND(ISNUMBER($I53),$H53&lt;0)," ; system closing is negative — check entries",""))</f>
        <v/>
      </c>
    </row>
    <row r="54" spans="1:12" x14ac:dyDescent="0.3">
      <c r="A54" s="35" t="str">
        <f>'29-AUGUST-2026'!A47</f>
        <v>Leaf lettuce CONCORDE RZ</v>
      </c>
      <c r="B54" s="36">
        <f>'29-AUGUST-2026'!B47</f>
        <v>1000</v>
      </c>
      <c r="C54" s="36" t="str">
        <f>'29-AUGUST-2026'!C47</f>
        <v>SEED</v>
      </c>
      <c r="D54" s="37">
        <f>'29-AUGUST-2026'!E47</f>
        <v>28</v>
      </c>
      <c r="E54" s="37">
        <f>'29-AUGUST-2026'!H47</f>
        <v>0</v>
      </c>
      <c r="F54" s="37">
        <f>'29-AUGUST-2026'!K47</f>
        <v>4</v>
      </c>
      <c r="G54" s="37">
        <f>'29-AUGUST-2026'!N47</f>
        <v>0</v>
      </c>
      <c r="H54" s="37">
        <f>'29-AUGUST-2026'!Y47</f>
        <v>26</v>
      </c>
      <c r="I54" s="37">
        <f>IF($A54="","",IF(COUNTIFS([1]Sheet1!$A$2:$A$190,$A54,[1]Sheet1!$B$2:$B$190,$B54)=0,"NOT IN COUNT",IF(COUNTIFS([1]Sheet1!$A$2:$A$190,$A54,[1]Sheet1!$B$2:$B$190,$B54,[1]Sheet1!$C$2:$C$190,"&gt;=0")=0,"NOT COUNTED",SUMIFS([1]Sheet1!$C$2:$C$190,[1]Sheet1!$A$2:$A$190,$A54,[1]Sheet1!$B$2:$B$190,$B54))))</f>
        <v>26</v>
      </c>
      <c r="J54" s="37">
        <f t="shared" si="0"/>
        <v>0</v>
      </c>
      <c r="K54" s="36" t="str">
        <f t="shared" si="1"/>
        <v>MATCH</v>
      </c>
      <c r="L54" s="38" t="str">
        <f>IF($A54="","",IF(COUNTIFS([1]Sheet1!$D$2:$D$190,$A54&amp;"|"&amp;$B54)&gt;1,"Item listed twice in count sheet","")&amp;IF(AND(ISNUMBER($I54),$H54&lt;0)," ; system closing is negative — check entries",""))</f>
        <v/>
      </c>
    </row>
    <row r="55" spans="1:12" x14ac:dyDescent="0.3">
      <c r="A55" s="35" t="str">
        <f>'29-AUGUST-2026'!A48</f>
        <v>LENARA</v>
      </c>
      <c r="B55" s="36">
        <f>'29-AUGUST-2026'!B48</f>
        <v>250</v>
      </c>
      <c r="C55" s="36" t="str">
        <f>'29-AUGUST-2026'!C48</f>
        <v>SEED</v>
      </c>
      <c r="D55" s="37">
        <f>'29-AUGUST-2026'!E48</f>
        <v>1</v>
      </c>
      <c r="E55" s="37">
        <f>'29-AUGUST-2026'!H48</f>
        <v>0</v>
      </c>
      <c r="F55" s="37">
        <f>'29-AUGUST-2026'!K48</f>
        <v>0</v>
      </c>
      <c r="G55" s="37">
        <f>'29-AUGUST-2026'!N48</f>
        <v>0</v>
      </c>
      <c r="H55" s="37">
        <f>'29-AUGUST-2026'!Y48</f>
        <v>1</v>
      </c>
      <c r="I55" s="37" t="str">
        <f>IF($A55="","",IF(COUNTIFS([1]Sheet1!$A$2:$A$190,$A55,[1]Sheet1!$B$2:$B$190,$B55)=0,"NOT IN COUNT",IF(COUNTIFS([1]Sheet1!$A$2:$A$190,$A55,[1]Sheet1!$B$2:$B$190,$B55,[1]Sheet1!$C$2:$C$190,"&gt;=0")=0,"NOT COUNTED",SUMIFS([1]Sheet1!$C$2:$C$190,[1]Sheet1!$A$2:$A$190,$A55,[1]Sheet1!$B$2:$B$190,$B55))))</f>
        <v>NOT IN COUNT</v>
      </c>
      <c r="J55" s="37" t="str">
        <f t="shared" si="0"/>
        <v/>
      </c>
      <c r="K55" s="36" t="str">
        <f t="shared" si="1"/>
        <v>NOT IN COUNT</v>
      </c>
      <c r="L55" s="38" t="str">
        <f>IF($A55="","",IF(COUNTIFS([1]Sheet1!$D$2:$D$190,$A55&amp;"|"&amp;$B55)&gt;1,"Item listed twice in count sheet","")&amp;IF(AND(ISNUMBER($I55),$H55&lt;0)," ; system closing is negative — check entries",""))</f>
        <v/>
      </c>
    </row>
    <row r="56" spans="1:12" x14ac:dyDescent="0.3">
      <c r="A56" s="35" t="str">
        <f>'29-AUGUST-2026'!A49</f>
        <v>Long cucumber BOLOGNA RZ F1</v>
      </c>
      <c r="B56" s="36">
        <f>'29-AUGUST-2026'!B49</f>
        <v>100</v>
      </c>
      <c r="C56" s="36" t="str">
        <f>'29-AUGUST-2026'!C49</f>
        <v>SEED</v>
      </c>
      <c r="D56" s="37">
        <f>'29-AUGUST-2026'!E49</f>
        <v>56</v>
      </c>
      <c r="E56" s="37">
        <f>'29-AUGUST-2026'!H49</f>
        <v>0</v>
      </c>
      <c r="F56" s="37">
        <f>'29-AUGUST-2026'!K49</f>
        <v>0</v>
      </c>
      <c r="G56" s="37">
        <f>'29-AUGUST-2026'!N49</f>
        <v>0</v>
      </c>
      <c r="H56" s="37">
        <f>'29-AUGUST-2026'!Y49</f>
        <v>57</v>
      </c>
      <c r="I56" s="37">
        <f>IF($A56="","",IF(COUNTIFS([1]Sheet1!$A$2:$A$190,$A56,[1]Sheet1!$B$2:$B$190,$B56)=0,"NOT IN COUNT",IF(COUNTIFS([1]Sheet1!$A$2:$A$190,$A56,[1]Sheet1!$B$2:$B$190,$B56,[1]Sheet1!$C$2:$C$190,"&gt;=0")=0,"NOT COUNTED",SUMIFS([1]Sheet1!$C$2:$C$190,[1]Sheet1!$A$2:$A$190,$A56,[1]Sheet1!$B$2:$B$190,$B56))))</f>
        <v>57</v>
      </c>
      <c r="J56" s="37">
        <f t="shared" si="0"/>
        <v>0</v>
      </c>
      <c r="K56" s="36" t="str">
        <f t="shared" si="1"/>
        <v>MATCH</v>
      </c>
      <c r="L56" s="38" t="str">
        <f>IF($A56="","",IF(COUNTIFS([1]Sheet1!$D$2:$D$190,$A56&amp;"|"&amp;$B56)&gt;1,"Item listed twice in count sheet","")&amp;IF(AND(ISNUMBER($I56),$H56&lt;0)," ; system closing is negative — check entries",""))</f>
        <v/>
      </c>
    </row>
    <row r="57" spans="1:12" x14ac:dyDescent="0.3">
      <c r="A57" s="35" t="str">
        <f>'29-AUGUST-2026'!A50</f>
        <v>Melon ALPES RZ F1</v>
      </c>
      <c r="B57" s="36">
        <f>'29-AUGUST-2026'!B50</f>
        <v>100</v>
      </c>
      <c r="C57" s="36" t="str">
        <f>'29-AUGUST-2026'!C50</f>
        <v>SEED</v>
      </c>
      <c r="D57" s="37">
        <f>'29-AUGUST-2026'!E50</f>
        <v>27</v>
      </c>
      <c r="E57" s="37">
        <f>'29-AUGUST-2026'!H50</f>
        <v>0</v>
      </c>
      <c r="F57" s="37">
        <f>'29-AUGUST-2026'!K50</f>
        <v>0</v>
      </c>
      <c r="G57" s="37">
        <f>'29-AUGUST-2026'!N50</f>
        <v>0</v>
      </c>
      <c r="H57" s="37">
        <f>'29-AUGUST-2026'!Y50</f>
        <v>29</v>
      </c>
      <c r="I57" s="37">
        <f>IF($A57="","",IF(COUNTIFS([1]Sheet1!$A$2:$A$190,$A57,[1]Sheet1!$B$2:$B$190,$B57)=0,"NOT IN COUNT",IF(COUNTIFS([1]Sheet1!$A$2:$A$190,$A57,[1]Sheet1!$B$2:$B$190,$B57,[1]Sheet1!$C$2:$C$190,"&gt;=0")=0,"NOT COUNTED",SUMIFS([1]Sheet1!$C$2:$C$190,[1]Sheet1!$A$2:$A$190,$A57,[1]Sheet1!$B$2:$B$190,$B57))))</f>
        <v>29</v>
      </c>
      <c r="J57" s="37">
        <f t="shared" si="0"/>
        <v>0</v>
      </c>
      <c r="K57" s="36" t="str">
        <f t="shared" si="1"/>
        <v>MATCH</v>
      </c>
      <c r="L57" s="38" t="str">
        <f>IF($A57="","",IF(COUNTIFS([1]Sheet1!$D$2:$D$190,$A57&amp;"|"&amp;$B57)&gt;1,"Item listed twice in count sheet","")&amp;IF(AND(ISNUMBER($I57),$H57&lt;0)," ; system closing is negative — check entries",""))</f>
        <v/>
      </c>
    </row>
    <row r="58" spans="1:12" x14ac:dyDescent="0.3">
      <c r="A58" s="35" t="str">
        <f>'29-AUGUST-2026'!A51</f>
        <v>Melon CARIBBEAN GOLD RZ F6</v>
      </c>
      <c r="B58" s="36">
        <f>'29-AUGUST-2026'!B51</f>
        <v>100</v>
      </c>
      <c r="C58" s="36" t="str">
        <f>'29-AUGUST-2026'!C51</f>
        <v>SEED</v>
      </c>
      <c r="D58" s="37">
        <f>'29-AUGUST-2026'!E51</f>
        <v>99</v>
      </c>
      <c r="E58" s="37">
        <f>'29-AUGUST-2026'!H51</f>
        <v>0</v>
      </c>
      <c r="F58" s="37">
        <f>'29-AUGUST-2026'!K51</f>
        <v>1</v>
      </c>
      <c r="G58" s="37">
        <f>'29-AUGUST-2026'!N51</f>
        <v>0</v>
      </c>
      <c r="H58" s="37">
        <f>'29-AUGUST-2026'!Y51</f>
        <v>94</v>
      </c>
      <c r="I58" s="37">
        <f>IF($A58="","",IF(COUNTIFS([1]Sheet1!$A$2:$A$190,$A58,[1]Sheet1!$B$2:$B$190,$B58)=0,"NOT IN COUNT",IF(COUNTIFS([1]Sheet1!$A$2:$A$190,$A58,[1]Sheet1!$B$2:$B$190,$B58,[1]Sheet1!$C$2:$C$190,"&gt;=0")=0,"NOT COUNTED",SUMIFS([1]Sheet1!$C$2:$C$190,[1]Sheet1!$A$2:$A$190,$A58,[1]Sheet1!$B$2:$B$190,$B58))))</f>
        <v>94</v>
      </c>
      <c r="J58" s="37">
        <f t="shared" si="0"/>
        <v>0</v>
      </c>
      <c r="K58" s="36" t="str">
        <f t="shared" si="1"/>
        <v>MATCH</v>
      </c>
      <c r="L58" s="38" t="str">
        <f>IF($A58="","",IF(COUNTIFS([1]Sheet1!$D$2:$D$190,$A58&amp;"|"&amp;$B58)&gt;1,"Item listed twice in count sheet","")&amp;IF(AND(ISNUMBER($I58),$H58&lt;0)," ; system closing is negative — check entries",""))</f>
        <v/>
      </c>
    </row>
    <row r="59" spans="1:12" x14ac:dyDescent="0.3">
      <c r="A59" s="35" t="str">
        <f>'29-AUGUST-2026'!A52</f>
        <v>Melon CARIBBEAN KING RZ F2</v>
      </c>
      <c r="B59" s="36">
        <f>'29-AUGUST-2026'!B52</f>
        <v>100</v>
      </c>
      <c r="C59" s="36" t="str">
        <f>'29-AUGUST-2026'!C52</f>
        <v>SEED</v>
      </c>
      <c r="D59" s="37">
        <f>'29-AUGUST-2026'!E52</f>
        <v>116</v>
      </c>
      <c r="E59" s="37">
        <f>'29-AUGUST-2026'!H52</f>
        <v>0</v>
      </c>
      <c r="F59" s="37">
        <f>'29-AUGUST-2026'!K52</f>
        <v>0</v>
      </c>
      <c r="G59" s="37">
        <f>'29-AUGUST-2026'!N52</f>
        <v>0</v>
      </c>
      <c r="H59" s="37">
        <f>'29-AUGUST-2026'!Y52</f>
        <v>126</v>
      </c>
      <c r="I59" s="37">
        <f>IF($A59="","",IF(COUNTIFS([1]Sheet1!$A$2:$A$190,$A59,[1]Sheet1!$B$2:$B$190,$B59)=0,"NOT IN COUNT",IF(COUNTIFS([1]Sheet1!$A$2:$A$190,$A59,[1]Sheet1!$B$2:$B$190,$B59,[1]Sheet1!$C$2:$C$190,"&gt;=0")=0,"NOT COUNTED",SUMIFS([1]Sheet1!$C$2:$C$190,[1]Sheet1!$A$2:$A$190,$A59,[1]Sheet1!$B$2:$B$190,$B59))))</f>
        <v>126</v>
      </c>
      <c r="J59" s="37">
        <f t="shared" si="0"/>
        <v>0</v>
      </c>
      <c r="K59" s="36" t="str">
        <f t="shared" si="1"/>
        <v>MATCH</v>
      </c>
      <c r="L59" s="38" t="str">
        <f>IF($A59="","",IF(COUNTIFS([1]Sheet1!$D$2:$D$190,$A59&amp;"|"&amp;$B59)&gt;1,"Item listed twice in count sheet","")&amp;IF(AND(ISNUMBER($I59),$H59&lt;0)," ; system closing is negative — check entries",""))</f>
        <v/>
      </c>
    </row>
    <row r="60" spans="1:12" x14ac:dyDescent="0.3">
      <c r="A60" s="35" t="str">
        <f>'29-AUGUST-2026'!A53</f>
        <v>Melon GLADIAL RZ F1</v>
      </c>
      <c r="B60" s="36">
        <f>'29-AUGUST-2026'!B53</f>
        <v>100</v>
      </c>
      <c r="C60" s="36" t="str">
        <f>'29-AUGUST-2026'!C53</f>
        <v>SEED</v>
      </c>
      <c r="D60" s="37">
        <f>'29-AUGUST-2026'!E53</f>
        <v>167</v>
      </c>
      <c r="E60" s="37">
        <f>'29-AUGUST-2026'!H53</f>
        <v>0</v>
      </c>
      <c r="F60" s="37">
        <f>'29-AUGUST-2026'!K53</f>
        <v>151</v>
      </c>
      <c r="G60" s="37">
        <f>'29-AUGUST-2026'!N53</f>
        <v>0</v>
      </c>
      <c r="H60" s="37">
        <f>'29-AUGUST-2026'!Y53</f>
        <v>8</v>
      </c>
      <c r="I60" s="37">
        <f>IF($A60="","",IF(COUNTIFS([1]Sheet1!$A$2:$A$190,$A60,[1]Sheet1!$B$2:$B$190,$B60)=0,"NOT IN COUNT",IF(COUNTIFS([1]Sheet1!$A$2:$A$190,$A60,[1]Sheet1!$B$2:$B$190,$B60,[1]Sheet1!$C$2:$C$190,"&gt;=0")=0,"NOT COUNTED",SUMIFS([1]Sheet1!$C$2:$C$190,[1]Sheet1!$A$2:$A$190,$A60,[1]Sheet1!$B$2:$B$190,$B60))))</f>
        <v>8</v>
      </c>
      <c r="J60" s="37">
        <f t="shared" si="0"/>
        <v>0</v>
      </c>
      <c r="K60" s="36" t="str">
        <f t="shared" si="1"/>
        <v>MATCH</v>
      </c>
      <c r="L60" s="38" t="str">
        <f>IF($A60="","",IF(COUNTIFS([1]Sheet1!$D$2:$D$190,$A60&amp;"|"&amp;$B60)&gt;1,"Item listed twice in count sheet","")&amp;IF(AND(ISNUMBER($I60),$H60&lt;0)," ; system closing is negative — check entries",""))</f>
        <v/>
      </c>
    </row>
    <row r="61" spans="1:12" x14ac:dyDescent="0.3">
      <c r="A61" s="35" t="str">
        <f>'29-AUGUST-2026'!A54</f>
        <v>Melon GLADIAL RZ F16</v>
      </c>
      <c r="B61" s="36">
        <f>'29-AUGUST-2026'!B54</f>
        <v>1000</v>
      </c>
      <c r="C61" s="36" t="str">
        <f>'29-AUGUST-2026'!C54</f>
        <v>SEED</v>
      </c>
      <c r="D61" s="37">
        <f>'29-AUGUST-2026'!E54</f>
        <v>0</v>
      </c>
      <c r="E61" s="37">
        <f>'29-AUGUST-2026'!H54</f>
        <v>0</v>
      </c>
      <c r="F61" s="37">
        <f>'29-AUGUST-2026'!K54</f>
        <v>0</v>
      </c>
      <c r="G61" s="37">
        <f>'29-AUGUST-2026'!N54</f>
        <v>0</v>
      </c>
      <c r="H61" s="37">
        <f>'29-AUGUST-2026'!Y54</f>
        <v>0</v>
      </c>
      <c r="I61" s="37" t="str">
        <f>IF($A61="","",IF(COUNTIFS([1]Sheet1!$A$2:$A$190,$A61,[1]Sheet1!$B$2:$B$190,$B61)=0,"NOT IN COUNT",IF(COUNTIFS([1]Sheet1!$A$2:$A$190,$A61,[1]Sheet1!$B$2:$B$190,$B61,[1]Sheet1!$C$2:$C$190,"&gt;=0")=0,"NOT COUNTED",SUMIFS([1]Sheet1!$C$2:$C$190,[1]Sheet1!$A$2:$A$190,$A61,[1]Sheet1!$B$2:$B$190,$B61))))</f>
        <v>NOT COUNTED</v>
      </c>
      <c r="J61" s="37" t="str">
        <f t="shared" si="0"/>
        <v/>
      </c>
      <c r="K61" s="36" t="str">
        <f t="shared" si="1"/>
        <v>NOT COUNTED</v>
      </c>
      <c r="L61" s="38" t="str">
        <f>IF($A61="","",IF(COUNTIFS([1]Sheet1!$D$2:$D$190,$A61&amp;"|"&amp;$B61)&gt;1,"Item listed twice in count sheet","")&amp;IF(AND(ISNUMBER($I61),$H61&lt;0)," ; system closing is negative — check entries",""))</f>
        <v/>
      </c>
    </row>
    <row r="62" spans="1:12" x14ac:dyDescent="0.3">
      <c r="A62" s="35" t="str">
        <f>'29-AUGUST-2026'!A55</f>
        <v>Melon GLADIAL RZ F17</v>
      </c>
      <c r="B62" s="36">
        <f>'29-AUGUST-2026'!B55</f>
        <v>500</v>
      </c>
      <c r="C62" s="36" t="str">
        <f>'29-AUGUST-2026'!C55</f>
        <v>SEED</v>
      </c>
      <c r="D62" s="37">
        <f>'29-AUGUST-2026'!E55</f>
        <v>0</v>
      </c>
      <c r="E62" s="37">
        <f>'29-AUGUST-2026'!H55</f>
        <v>0</v>
      </c>
      <c r="F62" s="37">
        <f>'29-AUGUST-2026'!K55</f>
        <v>0</v>
      </c>
      <c r="G62" s="37">
        <f>'29-AUGUST-2026'!N55</f>
        <v>0</v>
      </c>
      <c r="H62" s="37">
        <f>'29-AUGUST-2026'!Y55</f>
        <v>0</v>
      </c>
      <c r="I62" s="37" t="str">
        <f>IF($A62="","",IF(COUNTIFS([1]Sheet1!$A$2:$A$190,$A62,[1]Sheet1!$B$2:$B$190,$B62)=0,"NOT IN COUNT",IF(COUNTIFS([1]Sheet1!$A$2:$A$190,$A62,[1]Sheet1!$B$2:$B$190,$B62,[1]Sheet1!$C$2:$C$190,"&gt;=0")=0,"NOT COUNTED",SUMIFS([1]Sheet1!$C$2:$C$190,[1]Sheet1!$A$2:$A$190,$A62,[1]Sheet1!$B$2:$B$190,$B62))))</f>
        <v>NOT COUNTED</v>
      </c>
      <c r="J62" s="37" t="str">
        <f t="shared" si="0"/>
        <v/>
      </c>
      <c r="K62" s="36" t="str">
        <f t="shared" si="1"/>
        <v>NOT COUNTED</v>
      </c>
      <c r="L62" s="38" t="str">
        <f>IF($A62="","",IF(COUNTIFS([1]Sheet1!$D$2:$D$190,$A62&amp;"|"&amp;$B62)&gt;1,"Item listed twice in count sheet","")&amp;IF(AND(ISNUMBER($I62),$H62&lt;0)," ; system closing is negative — check entries",""))</f>
        <v/>
      </c>
    </row>
    <row r="63" spans="1:12" x14ac:dyDescent="0.3">
      <c r="A63" s="35" t="str">
        <f>'29-AUGUST-2026'!A56</f>
        <v>Morgan</v>
      </c>
      <c r="B63" s="36">
        <f>'29-AUGUST-2026'!B56</f>
        <v>100</v>
      </c>
      <c r="C63" s="36" t="str">
        <f>'29-AUGUST-2026'!C56</f>
        <v>SEED</v>
      </c>
      <c r="D63" s="37">
        <f>'29-AUGUST-2026'!E56</f>
        <v>94</v>
      </c>
      <c r="E63" s="37">
        <f>'29-AUGUST-2026'!H56</f>
        <v>0</v>
      </c>
      <c r="F63" s="37">
        <f>'29-AUGUST-2026'!K56</f>
        <v>0</v>
      </c>
      <c r="G63" s="37">
        <f>'29-AUGUST-2026'!N56</f>
        <v>0</v>
      </c>
      <c r="H63" s="37">
        <f>'29-AUGUST-2026'!Y56</f>
        <v>117</v>
      </c>
      <c r="I63" s="37">
        <f>IF($A63="","",IF(COUNTIFS([1]Sheet1!$A$2:$A$190,$A63,[1]Sheet1!$B$2:$B$190,$B63)=0,"NOT IN COUNT",IF(COUNTIFS([1]Sheet1!$A$2:$A$190,$A63,[1]Sheet1!$B$2:$B$190,$B63,[1]Sheet1!$C$2:$C$190,"&gt;=0")=0,"NOT COUNTED",SUMIFS([1]Sheet1!$C$2:$C$190,[1]Sheet1!$A$2:$A$190,$A63,[1]Sheet1!$B$2:$B$190,$B63))))</f>
        <v>117</v>
      </c>
      <c r="J63" s="37">
        <f t="shared" si="0"/>
        <v>0</v>
      </c>
      <c r="K63" s="36" t="str">
        <f t="shared" si="1"/>
        <v>MATCH</v>
      </c>
      <c r="L63" s="38" t="str">
        <f>IF($A63="","",IF(COUNTIFS([1]Sheet1!$D$2:$D$190,$A63&amp;"|"&amp;$B63)&gt;1,"Item listed twice in count sheet","")&amp;IF(AND(ISNUMBER($I63),$H63&lt;0)," ; system closing is negative — check entries",""))</f>
        <v/>
      </c>
    </row>
    <row r="64" spans="1:12" x14ac:dyDescent="0.3">
      <c r="A64" s="35" t="str">
        <f>'29-AUGUST-2026'!A57</f>
        <v>Oak leaf lettuce KRISTINE RZ</v>
      </c>
      <c r="B64" s="36">
        <f>'29-AUGUST-2026'!B57</f>
        <v>1000</v>
      </c>
      <c r="C64" s="36" t="str">
        <f>'29-AUGUST-2026'!C57</f>
        <v>SEED</v>
      </c>
      <c r="D64" s="37">
        <f>'29-AUGUST-2026'!E57</f>
        <v>20</v>
      </c>
      <c r="E64" s="37">
        <f>'29-AUGUST-2026'!H57</f>
        <v>0</v>
      </c>
      <c r="F64" s="37">
        <f>'29-AUGUST-2026'!K57</f>
        <v>0</v>
      </c>
      <c r="G64" s="37">
        <f>'29-AUGUST-2026'!N57</f>
        <v>0</v>
      </c>
      <c r="H64" s="37">
        <f>'29-AUGUST-2026'!Y57</f>
        <v>20</v>
      </c>
      <c r="I64" s="37">
        <f>IF($A64="","",IF(COUNTIFS([1]Sheet1!$A$2:$A$190,$A64,[1]Sheet1!$B$2:$B$190,$B64)=0,"NOT IN COUNT",IF(COUNTIFS([1]Sheet1!$A$2:$A$190,$A64,[1]Sheet1!$B$2:$B$190,$B64,[1]Sheet1!$C$2:$C$190,"&gt;=0")=0,"NOT COUNTED",SUMIFS([1]Sheet1!$C$2:$C$190,[1]Sheet1!$A$2:$A$190,$A64,[1]Sheet1!$B$2:$B$190,$B64))))</f>
        <v>20</v>
      </c>
      <c r="J64" s="37">
        <f t="shared" si="0"/>
        <v>0</v>
      </c>
      <c r="K64" s="36" t="str">
        <f t="shared" si="1"/>
        <v>MATCH</v>
      </c>
      <c r="L64" s="38" t="str">
        <f>IF($A64="","",IF(COUNTIFS([1]Sheet1!$D$2:$D$190,$A64&amp;"|"&amp;$B64)&gt;1,"Item listed twice in count sheet","")&amp;IF(AND(ISNUMBER($I64),$H64&lt;0)," ; system closing is negative — check entries",""))</f>
        <v/>
      </c>
    </row>
    <row r="65" spans="1:12" x14ac:dyDescent="0.3">
      <c r="A65" s="35" t="str">
        <f>'29-AUGUST-2026'!A58</f>
        <v>Oak leaf lettuce MONDAI RZ</v>
      </c>
      <c r="B65" s="36">
        <f>'29-AUGUST-2026'!B58</f>
        <v>1000</v>
      </c>
      <c r="C65" s="36" t="str">
        <f>'29-AUGUST-2026'!C58</f>
        <v>SEED</v>
      </c>
      <c r="D65" s="37">
        <f>'29-AUGUST-2026'!E58</f>
        <v>0</v>
      </c>
      <c r="E65" s="37">
        <f>'29-AUGUST-2026'!H58</f>
        <v>0</v>
      </c>
      <c r="F65" s="37">
        <f>'29-AUGUST-2026'!K58</f>
        <v>0</v>
      </c>
      <c r="G65" s="37">
        <f>'29-AUGUST-2026'!N58</f>
        <v>0</v>
      </c>
      <c r="H65" s="37">
        <f>'29-AUGUST-2026'!Y58</f>
        <v>0</v>
      </c>
      <c r="I65" s="37" t="str">
        <f>IF($A65="","",IF(COUNTIFS([1]Sheet1!$A$2:$A$190,$A65,[1]Sheet1!$B$2:$B$190,$B65)=0,"NOT IN COUNT",IF(COUNTIFS([1]Sheet1!$A$2:$A$190,$A65,[1]Sheet1!$B$2:$B$190,$B65,[1]Sheet1!$C$2:$C$190,"&gt;=0")=0,"NOT COUNTED",SUMIFS([1]Sheet1!$C$2:$C$190,[1]Sheet1!$A$2:$A$190,$A65,[1]Sheet1!$B$2:$B$190,$B65))))</f>
        <v>NOT COUNTED</v>
      </c>
      <c r="J65" s="37" t="str">
        <f t="shared" si="0"/>
        <v/>
      </c>
      <c r="K65" s="36" t="str">
        <f t="shared" si="1"/>
        <v>NOT COUNTED</v>
      </c>
      <c r="L65" s="38" t="str">
        <f>IF($A65="","",IF(COUNTIFS([1]Sheet1!$D$2:$D$190,$A65&amp;"|"&amp;$B65)&gt;1,"Item listed twice in count sheet","")&amp;IF(AND(ISNUMBER($I65),$H65&lt;0)," ; system closing is negative — check entries",""))</f>
        <v/>
      </c>
    </row>
    <row r="66" spans="1:12" x14ac:dyDescent="0.3">
      <c r="A66" s="35" t="str">
        <f>'29-AUGUST-2026'!A59</f>
        <v>PEATMOSS</v>
      </c>
      <c r="B66" s="36" t="str">
        <f>'29-AUGUST-2026'!B59</f>
        <v>45KG</v>
      </c>
      <c r="C66" s="36" t="str">
        <f>'29-AUGUST-2026'!C59</f>
        <v>PEAT</v>
      </c>
      <c r="D66" s="37">
        <f>'29-AUGUST-2026'!E59</f>
        <v>550</v>
      </c>
      <c r="E66" s="37">
        <f>'29-AUGUST-2026'!H59</f>
        <v>6</v>
      </c>
      <c r="F66" s="37">
        <f>'29-AUGUST-2026'!K59</f>
        <v>102</v>
      </c>
      <c r="G66" s="37">
        <f>'29-AUGUST-2026'!N59</f>
        <v>0</v>
      </c>
      <c r="H66" s="37">
        <f>'29-AUGUST-2026'!Y59</f>
        <v>442</v>
      </c>
      <c r="I66" s="37">
        <f>IF($A66="","",IF(COUNTIFS([1]Sheet1!$A$2:$A$190,$A66,[1]Sheet1!$B$2:$B$190,$B66)=0,"NOT IN COUNT",IF(COUNTIFS([1]Sheet1!$A$2:$A$190,$A66,[1]Sheet1!$B$2:$B$190,$B66,[1]Sheet1!$C$2:$C$190,"&gt;=0")=0,"NOT COUNTED",SUMIFS([1]Sheet1!$C$2:$C$190,[1]Sheet1!$A$2:$A$190,$A66,[1]Sheet1!$B$2:$B$190,$B66))))</f>
        <v>442</v>
      </c>
      <c r="J66" s="37">
        <f t="shared" si="0"/>
        <v>0</v>
      </c>
      <c r="K66" s="36" t="str">
        <f t="shared" si="1"/>
        <v>MATCH</v>
      </c>
      <c r="L66" s="38" t="str">
        <f>IF($A66="","",IF(COUNTIFS([1]Sheet1!$D$2:$D$190,$A66&amp;"|"&amp;$B66)&gt;1,"Item listed twice in count sheet","")&amp;IF(AND(ISNUMBER($I66),$H66&lt;0)," ; system closing is negative — check entries",""))</f>
        <v/>
      </c>
    </row>
    <row r="67" spans="1:12" x14ac:dyDescent="0.3">
      <c r="A67" s="35" t="str">
        <f>'29-AUGUST-2026'!A60</f>
        <v>Red cabbage - redma</v>
      </c>
      <c r="B67" s="36">
        <f>'29-AUGUST-2026'!B60</f>
        <v>1000</v>
      </c>
      <c r="C67" s="36" t="str">
        <f>'29-AUGUST-2026'!C60</f>
        <v>SEED</v>
      </c>
      <c r="D67" s="37">
        <f>'29-AUGUST-2026'!E60</f>
        <v>13</v>
      </c>
      <c r="E67" s="37">
        <f>'29-AUGUST-2026'!H60</f>
        <v>0</v>
      </c>
      <c r="F67" s="37">
        <f>'29-AUGUST-2026'!K60</f>
        <v>1</v>
      </c>
      <c r="G67" s="37">
        <f>'29-AUGUST-2026'!N60</f>
        <v>0</v>
      </c>
      <c r="H67" s="37">
        <f>'29-AUGUST-2026'!Y60</f>
        <v>13</v>
      </c>
      <c r="I67" s="37">
        <f>IF($A67="","",IF(COUNTIFS([1]Sheet1!$A$2:$A$190,$A67,[1]Sheet1!$B$2:$B$190,$B67)=0,"NOT IN COUNT",IF(COUNTIFS([1]Sheet1!$A$2:$A$190,$A67,[1]Sheet1!$B$2:$B$190,$B67,[1]Sheet1!$C$2:$C$190,"&gt;=0")=0,"NOT COUNTED",SUMIFS([1]Sheet1!$C$2:$C$190,[1]Sheet1!$A$2:$A$190,$A67,[1]Sheet1!$B$2:$B$190,$B67))))</f>
        <v>13</v>
      </c>
      <c r="J67" s="37">
        <f t="shared" si="0"/>
        <v>0</v>
      </c>
      <c r="K67" s="36" t="str">
        <f t="shared" si="1"/>
        <v>MATCH</v>
      </c>
      <c r="L67" s="38" t="str">
        <f>IF($A67="","",IF(COUNTIFS([1]Sheet1!$D$2:$D$190,$A67&amp;"|"&amp;$B67)&gt;1,"Item listed twice in count sheet","")&amp;IF(AND(ISNUMBER($I67),$H67&lt;0)," ; system closing is negative — check entries",""))</f>
        <v/>
      </c>
    </row>
    <row r="68" spans="1:12" x14ac:dyDescent="0.3">
      <c r="A68" s="35" t="str">
        <f>'29-AUGUST-2026'!A61</f>
        <v>Slicer cucumber MYDAS RZ F1</v>
      </c>
      <c r="B68" s="36">
        <f>'29-AUGUST-2026'!B61</f>
        <v>100</v>
      </c>
      <c r="C68" s="36" t="str">
        <f>'29-AUGUST-2026'!C61</f>
        <v>SEED</v>
      </c>
      <c r="D68" s="37">
        <f>'29-AUGUST-2026'!E61</f>
        <v>3803</v>
      </c>
      <c r="E68" s="37">
        <f>'29-AUGUST-2026'!H61</f>
        <v>141</v>
      </c>
      <c r="F68" s="37">
        <f>'29-AUGUST-2026'!K61</f>
        <v>42</v>
      </c>
      <c r="G68" s="37">
        <f>'29-AUGUST-2026'!N61</f>
        <v>0</v>
      </c>
      <c r="H68" s="37">
        <f>'29-AUGUST-2026'!Y61</f>
        <v>3665</v>
      </c>
      <c r="I68" s="37">
        <f>IF($A68="","",IF(COUNTIFS([1]Sheet1!$A$2:$A$190,$A68,[1]Sheet1!$B$2:$B$190,$B68)=0,"NOT IN COUNT",IF(COUNTIFS([1]Sheet1!$A$2:$A$190,$A68,[1]Sheet1!$B$2:$B$190,$B68,[1]Sheet1!$C$2:$C$190,"&gt;=0")=0,"NOT COUNTED",SUMIFS([1]Sheet1!$C$2:$C$190,[1]Sheet1!$A$2:$A$190,$A68,[1]Sheet1!$B$2:$B$190,$B68))))</f>
        <v>3665</v>
      </c>
      <c r="J68" s="37">
        <f t="shared" si="0"/>
        <v>0</v>
      </c>
      <c r="K68" s="36" t="str">
        <f t="shared" si="1"/>
        <v>MATCH</v>
      </c>
      <c r="L68" s="38" t="str">
        <f>IF($A68="","",IF(COUNTIFS([1]Sheet1!$D$2:$D$190,$A68&amp;"|"&amp;$B68)&gt;1,"Item listed twice in count sheet","")&amp;IF(AND(ISNUMBER($I68),$H68&lt;0)," ; system closing is negative — check entries",""))</f>
        <v/>
      </c>
    </row>
    <row r="69" spans="1:12" x14ac:dyDescent="0.3">
      <c r="A69" s="35" t="str">
        <f>'29-AUGUST-2026'!A62</f>
        <v>Slicer cucumber MYDAS RZ F1</v>
      </c>
      <c r="B69" s="36">
        <f>'29-AUGUST-2026'!B62</f>
        <v>500</v>
      </c>
      <c r="C69" s="36" t="str">
        <f>'29-AUGUST-2026'!C62</f>
        <v>SEED</v>
      </c>
      <c r="D69" s="37">
        <f>'29-AUGUST-2026'!E62</f>
        <v>1</v>
      </c>
      <c r="E69" s="37">
        <f>'29-AUGUST-2026'!H62</f>
        <v>0</v>
      </c>
      <c r="F69" s="37">
        <f>'29-AUGUST-2026'!K62</f>
        <v>1</v>
      </c>
      <c r="G69" s="37">
        <f>'29-AUGUST-2026'!N62</f>
        <v>0</v>
      </c>
      <c r="H69" s="37">
        <f>'29-AUGUST-2026'!Y62</f>
        <v>0</v>
      </c>
      <c r="I69" s="37" t="str">
        <f>IF($A69="","",IF(COUNTIFS([1]Sheet1!$A$2:$A$190,$A69,[1]Sheet1!$B$2:$B$190,$B69)=0,"NOT IN COUNT",IF(COUNTIFS([1]Sheet1!$A$2:$A$190,$A69,[1]Sheet1!$B$2:$B$190,$B69,[1]Sheet1!$C$2:$C$190,"&gt;=0")=0,"NOT COUNTED",SUMIFS([1]Sheet1!$C$2:$C$190,[1]Sheet1!$A$2:$A$190,$A69,[1]Sheet1!$B$2:$B$190,$B69))))</f>
        <v>NOT COUNTED</v>
      </c>
      <c r="J69" s="37" t="str">
        <f t="shared" si="0"/>
        <v/>
      </c>
      <c r="K69" s="36" t="str">
        <f t="shared" si="1"/>
        <v>NOT COUNTED</v>
      </c>
      <c r="L69" s="38" t="str">
        <f>IF($A69="","",IF(COUNTIFS([1]Sheet1!$D$2:$D$190,$A69&amp;"|"&amp;$B69)&gt;1,"Item listed twice in count sheet","")&amp;IF(AND(ISNUMBER($I69),$H69&lt;0)," ; system closing is negative — check entries",""))</f>
        <v/>
      </c>
    </row>
    <row r="70" spans="1:12" x14ac:dyDescent="0.3">
      <c r="A70" s="35" t="str">
        <f>'29-AUGUST-2026'!A63</f>
        <v>Sondela</v>
      </c>
      <c r="B70" s="36">
        <f>'29-AUGUST-2026'!B63</f>
        <v>1000</v>
      </c>
      <c r="C70" s="36">
        <f>'29-AUGUST-2026'!C63</f>
        <v>0</v>
      </c>
      <c r="D70" s="37">
        <f>'29-AUGUST-2026'!E63</f>
        <v>0</v>
      </c>
      <c r="E70" s="37">
        <f>'29-AUGUST-2026'!H63</f>
        <v>0</v>
      </c>
      <c r="F70" s="37">
        <f>'29-AUGUST-2026'!K63</f>
        <v>0</v>
      </c>
      <c r="G70" s="37">
        <f>'29-AUGUST-2026'!N63</f>
        <v>0</v>
      </c>
      <c r="H70" s="37">
        <f>'29-AUGUST-2026'!Y63</f>
        <v>0</v>
      </c>
      <c r="I70" s="37" t="str">
        <f>IF($A70="","",IF(COUNTIFS([1]Sheet1!$A$2:$A$190,$A70,[1]Sheet1!$B$2:$B$190,$B70)=0,"NOT IN COUNT",IF(COUNTIFS([1]Sheet1!$A$2:$A$190,$A70,[1]Sheet1!$B$2:$B$190,$B70,[1]Sheet1!$C$2:$C$190,"&gt;=0")=0,"NOT COUNTED",SUMIFS([1]Sheet1!$C$2:$C$190,[1]Sheet1!$A$2:$A$190,$A70,[1]Sheet1!$B$2:$B$190,$B70))))</f>
        <v>NOT IN COUNT</v>
      </c>
      <c r="J70" s="37" t="str">
        <f t="shared" si="0"/>
        <v/>
      </c>
      <c r="K70" s="36" t="str">
        <f t="shared" si="1"/>
        <v>NOT IN COUNT</v>
      </c>
      <c r="L70" s="38" t="str">
        <f>IF($A70="","",IF(COUNTIFS([1]Sheet1!$D$2:$D$190,$A70&amp;"|"&amp;$B70)&gt;1,"Item listed twice in count sheet","")&amp;IF(AND(ISNUMBER($I70),$H70&lt;0)," ; system closing is negative — check entries",""))</f>
        <v/>
      </c>
    </row>
    <row r="71" spans="1:12" x14ac:dyDescent="0.3">
      <c r="A71" s="35" t="str">
        <f>'29-AUGUST-2026'!A64</f>
        <v>Sweet pepper ILANGA RZ F9</v>
      </c>
      <c r="B71" s="36">
        <f>'29-AUGUST-2026'!B64</f>
        <v>100</v>
      </c>
      <c r="C71" s="36" t="str">
        <f>'29-AUGUST-2026'!C64</f>
        <v>SEED</v>
      </c>
      <c r="D71" s="37">
        <f>'29-AUGUST-2026'!E64</f>
        <v>216</v>
      </c>
      <c r="E71" s="37">
        <f>'29-AUGUST-2026'!H64</f>
        <v>44</v>
      </c>
      <c r="F71" s="37">
        <f>'29-AUGUST-2026'!K64</f>
        <v>9</v>
      </c>
      <c r="G71" s="37">
        <f>'29-AUGUST-2026'!N64</f>
        <v>0</v>
      </c>
      <c r="H71" s="37">
        <f>'29-AUGUST-2026'!Y64</f>
        <v>165</v>
      </c>
      <c r="I71" s="37">
        <f>IF($A71="","",IF(COUNTIFS([1]Sheet1!$A$2:$A$190,$A71,[1]Sheet1!$B$2:$B$190,$B71)=0,"NOT IN COUNT",IF(COUNTIFS([1]Sheet1!$A$2:$A$190,$A71,[1]Sheet1!$B$2:$B$190,$B71,[1]Sheet1!$C$2:$C$190,"&gt;=0")=0,"NOT COUNTED",SUMIFS([1]Sheet1!$C$2:$C$190,[1]Sheet1!$A$2:$A$190,$A71,[1]Sheet1!$B$2:$B$190,$B71))))</f>
        <v>165</v>
      </c>
      <c r="J71" s="37">
        <f t="shared" si="0"/>
        <v>0</v>
      </c>
      <c r="K71" s="36" t="str">
        <f t="shared" si="1"/>
        <v>MATCH</v>
      </c>
      <c r="L71" s="38" t="str">
        <f>IF($A71="","",IF(COUNTIFS([1]Sheet1!$D$2:$D$190,$A71&amp;"|"&amp;$B71)&gt;1,"Item listed twice in count sheet","")&amp;IF(AND(ISNUMBER($I71),$H71&lt;0)," ; system closing is negative — check entries",""))</f>
        <v/>
      </c>
    </row>
    <row r="72" spans="1:12" x14ac:dyDescent="0.3">
      <c r="A72" s="35" t="str">
        <f>'29-AUGUST-2026'!A65</f>
        <v>Sweet pepper MASSILIA RZ F6</v>
      </c>
      <c r="B72" s="36">
        <f>'29-AUGUST-2026'!B65</f>
        <v>100</v>
      </c>
      <c r="C72" s="36" t="str">
        <f>'29-AUGUST-2026'!C65</f>
        <v>SEED</v>
      </c>
      <c r="D72" s="37">
        <f>'29-AUGUST-2026'!E65</f>
        <v>0</v>
      </c>
      <c r="E72" s="37">
        <f>'29-AUGUST-2026'!H65</f>
        <v>0</v>
      </c>
      <c r="F72" s="37">
        <f>'29-AUGUST-2026'!K65</f>
        <v>0</v>
      </c>
      <c r="G72" s="37">
        <f>'29-AUGUST-2026'!N65</f>
        <v>0</v>
      </c>
      <c r="H72" s="37">
        <f>'29-AUGUST-2026'!Y65</f>
        <v>0</v>
      </c>
      <c r="I72" s="37" t="str">
        <f>IF($A72="","",IF(COUNTIFS([1]Sheet1!$A$2:$A$190,$A72,[1]Sheet1!$B$2:$B$190,$B72)=0,"NOT IN COUNT",IF(COUNTIFS([1]Sheet1!$A$2:$A$190,$A72,[1]Sheet1!$B$2:$B$190,$B72,[1]Sheet1!$C$2:$C$190,"&gt;=0")=0,"NOT COUNTED",SUMIFS([1]Sheet1!$C$2:$C$190,[1]Sheet1!$A$2:$A$190,$A72,[1]Sheet1!$B$2:$B$190,$B72))))</f>
        <v>NOT COUNTED</v>
      </c>
      <c r="J72" s="37" t="str">
        <f t="shared" si="0"/>
        <v/>
      </c>
      <c r="K72" s="36" t="str">
        <f t="shared" si="1"/>
        <v>NOT COUNTED</v>
      </c>
      <c r="L72" s="38" t="str">
        <f>IF($A72="","",IF(COUNTIFS([1]Sheet1!$D$2:$D$190,$A72&amp;"|"&amp;$B72)&gt;1,"Item listed twice in count sheet","")&amp;IF(AND(ISNUMBER($I72),$H72&lt;0)," ; system closing is negative — check entries",""))</f>
        <v/>
      </c>
    </row>
    <row r="73" spans="1:12" x14ac:dyDescent="0.3">
      <c r="A73" s="35" t="str">
        <f>'29-AUGUST-2026'!A66</f>
        <v>Sweet pepper PASARELLA RZ F8</v>
      </c>
      <c r="B73" s="36">
        <f>'29-AUGUST-2026'!B66</f>
        <v>100</v>
      </c>
      <c r="C73" s="36" t="str">
        <f>'29-AUGUST-2026'!C66</f>
        <v>SEED</v>
      </c>
      <c r="D73" s="37">
        <f>'29-AUGUST-2026'!E66</f>
        <v>-54</v>
      </c>
      <c r="E73" s="37">
        <f>'29-AUGUST-2026'!H66</f>
        <v>0</v>
      </c>
      <c r="F73" s="37">
        <f>'29-AUGUST-2026'!K66</f>
        <v>0</v>
      </c>
      <c r="G73" s="37">
        <f>'29-AUGUST-2026'!N66</f>
        <v>0</v>
      </c>
      <c r="H73" s="37">
        <f>'29-AUGUST-2026'!Y66</f>
        <v>-54</v>
      </c>
      <c r="I73" s="37" t="str">
        <f>IF($A73="","",IF(COUNTIFS([1]Sheet1!$A$2:$A$190,$A73,[1]Sheet1!$B$2:$B$190,$B73)=0,"NOT IN COUNT",IF(COUNTIFS([1]Sheet1!$A$2:$A$190,$A73,[1]Sheet1!$B$2:$B$190,$B73,[1]Sheet1!$C$2:$C$190,"&gt;=0")=0,"NOT COUNTED",SUMIFS([1]Sheet1!$C$2:$C$190,[1]Sheet1!$A$2:$A$190,$A73,[1]Sheet1!$B$2:$B$190,$B73))))</f>
        <v>NOT COUNTED</v>
      </c>
      <c r="J73" s="37" t="str">
        <f t="shared" si="0"/>
        <v/>
      </c>
      <c r="K73" s="36" t="str">
        <f t="shared" si="1"/>
        <v>NOT COUNTED</v>
      </c>
      <c r="L73" s="38" t="str">
        <f>IF($A73="","",IF(COUNTIFS([1]Sheet1!$D$2:$D$190,$A73&amp;"|"&amp;$B73)&gt;1,"Item listed twice in count sheet","")&amp;IF(AND(ISNUMBER($I73),$H73&lt;0)," ; system closing is negative — check entries",""))</f>
        <v/>
      </c>
    </row>
    <row r="74" spans="1:12" x14ac:dyDescent="0.3">
      <c r="A74" s="35" t="str">
        <f>'29-AUGUST-2026'!A67</f>
        <v>Sweet pepper RED JET RZ F8</v>
      </c>
      <c r="B74" s="36">
        <f>'29-AUGUST-2026'!B67</f>
        <v>500</v>
      </c>
      <c r="C74" s="36" t="str">
        <f>'29-AUGUST-2026'!C67</f>
        <v>SEED</v>
      </c>
      <c r="D74" s="37">
        <f>'29-AUGUST-2026'!E67</f>
        <v>0</v>
      </c>
      <c r="E74" s="37">
        <f>'29-AUGUST-2026'!H67</f>
        <v>0</v>
      </c>
      <c r="F74" s="37">
        <f>'29-AUGUST-2026'!K67</f>
        <v>0</v>
      </c>
      <c r="G74" s="37">
        <f>'29-AUGUST-2026'!N67</f>
        <v>0</v>
      </c>
      <c r="H74" s="37">
        <f>'29-AUGUST-2026'!Y67</f>
        <v>0</v>
      </c>
      <c r="I74" s="37" t="str">
        <f>IF($A74="","",IF(COUNTIFS([1]Sheet1!$A$2:$A$190,$A74,[1]Sheet1!$B$2:$B$190,$B74)=0,"NOT IN COUNT",IF(COUNTIFS([1]Sheet1!$A$2:$A$190,$A74,[1]Sheet1!$B$2:$B$190,$B74,[1]Sheet1!$C$2:$C$190,"&gt;=0")=0,"NOT COUNTED",SUMIFS([1]Sheet1!$C$2:$C$190,[1]Sheet1!$A$2:$A$190,$A74,[1]Sheet1!$B$2:$B$190,$B74))))</f>
        <v>NOT COUNTED</v>
      </c>
      <c r="J74" s="37" t="str">
        <f t="shared" si="0"/>
        <v/>
      </c>
      <c r="K74" s="36" t="str">
        <f t="shared" si="1"/>
        <v>NOT COUNTED</v>
      </c>
      <c r="L74" s="38" t="str">
        <f>IF($A74="","",IF(COUNTIFS([1]Sheet1!$D$2:$D$190,$A74&amp;"|"&amp;$B74)&gt;1,"Item listed twice in count sheet","")&amp;IF(AND(ISNUMBER($I74),$H74&lt;0)," ; system closing is negative — check entries",""))</f>
        <v/>
      </c>
    </row>
    <row r="75" spans="1:12" x14ac:dyDescent="0.3">
      <c r="A75" s="35" t="str">
        <f>'29-AUGUST-2026'!A68</f>
        <v>Sweet pepper RED JET RZ F9</v>
      </c>
      <c r="B75" s="36">
        <f>'29-AUGUST-2026'!B68</f>
        <v>100</v>
      </c>
      <c r="C75" s="36" t="str">
        <f>'29-AUGUST-2026'!C68</f>
        <v>SEED</v>
      </c>
      <c r="D75" s="37">
        <f>'29-AUGUST-2026'!E68</f>
        <v>156</v>
      </c>
      <c r="E75" s="37">
        <f>'29-AUGUST-2026'!H68</f>
        <v>23</v>
      </c>
      <c r="F75" s="37">
        <f>'29-AUGUST-2026'!K68</f>
        <v>14</v>
      </c>
      <c r="G75" s="37">
        <f>'29-AUGUST-2026'!N68</f>
        <v>0</v>
      </c>
      <c r="H75" s="37">
        <f>'29-AUGUST-2026'!Y68</f>
        <v>149</v>
      </c>
      <c r="I75" s="37">
        <f>IF($A75="","",IF(COUNTIFS([1]Sheet1!$A$2:$A$190,$A75,[1]Sheet1!$B$2:$B$190,$B75)=0,"NOT IN COUNT",IF(COUNTIFS([1]Sheet1!$A$2:$A$190,$A75,[1]Sheet1!$B$2:$B$190,$B75,[1]Sheet1!$C$2:$C$190,"&gt;=0")=0,"NOT COUNTED",SUMIFS([1]Sheet1!$C$2:$C$190,[1]Sheet1!$A$2:$A$190,$A75,[1]Sheet1!$B$2:$B$190,$B75))))</f>
        <v>149</v>
      </c>
      <c r="J75" s="37">
        <f t="shared" ref="J75:J136" si="2">IF(ISNUMBER($I75),$I75-$H75,"")</f>
        <v>0</v>
      </c>
      <c r="K75" s="36" t="str">
        <f t="shared" ref="K75:K136" si="3">IF($A75="","",IF(NOT(ISNUMBER($I75)),$I75,IF($J75=0,"MATCH",IF($J75&lt;0,"DEFICIT","EXCESS"))))</f>
        <v>MATCH</v>
      </c>
      <c r="L75" s="38" t="str">
        <f>IF($A75="","",IF(COUNTIFS([1]Sheet1!$D$2:$D$190,$A75&amp;"|"&amp;$B75)&gt;1,"Item listed twice in count sheet","")&amp;IF(AND(ISNUMBER($I75),$H75&lt;0)," ; system closing is negative — check entries",""))</f>
        <v/>
      </c>
    </row>
    <row r="76" spans="1:12" x14ac:dyDescent="0.3">
      <c r="A76" s="35" t="str">
        <f>'29-AUGUST-2026'!A69</f>
        <v>Sweet pepper Reggaeton</v>
      </c>
      <c r="B76" s="36">
        <f>'29-AUGUST-2026'!B69</f>
        <v>100</v>
      </c>
      <c r="C76" s="36" t="str">
        <f>'29-AUGUST-2026'!C69</f>
        <v>SEED</v>
      </c>
      <c r="D76" s="37">
        <f>'29-AUGUST-2026'!E69</f>
        <v>24</v>
      </c>
      <c r="E76" s="37">
        <f>'29-AUGUST-2026'!H69</f>
        <v>0</v>
      </c>
      <c r="F76" s="37">
        <f>'29-AUGUST-2026'!K69</f>
        <v>25</v>
      </c>
      <c r="G76" s="37">
        <f>'29-AUGUST-2026'!N69</f>
        <v>0</v>
      </c>
      <c r="H76" s="37">
        <f>'29-AUGUST-2026'!Y69</f>
        <v>8</v>
      </c>
      <c r="I76" s="37">
        <f>IF($A76="","",IF(COUNTIFS([1]Sheet1!$A$2:$A$190,$A76,[1]Sheet1!$B$2:$B$190,$B76)=0,"NOT IN COUNT",IF(COUNTIFS([1]Sheet1!$A$2:$A$190,$A76,[1]Sheet1!$B$2:$B$190,$B76,[1]Sheet1!$C$2:$C$190,"&gt;=0")=0,"NOT COUNTED",SUMIFS([1]Sheet1!$C$2:$C$190,[1]Sheet1!$A$2:$A$190,$A76,[1]Sheet1!$B$2:$B$190,$B76))))</f>
        <v>8</v>
      </c>
      <c r="J76" s="37">
        <f t="shared" si="2"/>
        <v>0</v>
      </c>
      <c r="K76" s="36" t="str">
        <f t="shared" si="3"/>
        <v>MATCH</v>
      </c>
      <c r="L76" s="38" t="str">
        <f>IF($A76="","",IF(COUNTIFS([1]Sheet1!$D$2:$D$190,$A76&amp;"|"&amp;$B76)&gt;1,"Item listed twice in count sheet","")&amp;IF(AND(ISNUMBER($I76),$H76&lt;0)," ; system closing is negative — check entries",""))</f>
        <v/>
      </c>
    </row>
    <row r="77" spans="1:12" x14ac:dyDescent="0.3">
      <c r="A77" s="35" t="str">
        <f>'29-AUGUST-2026'!A70</f>
        <v>Sweet pepper Snack Triora</v>
      </c>
      <c r="B77" s="36">
        <f>'29-AUGUST-2026'!B70</f>
        <v>100</v>
      </c>
      <c r="C77" s="36" t="str">
        <f>'29-AUGUST-2026'!C70</f>
        <v>SEED</v>
      </c>
      <c r="D77" s="37">
        <f>'29-AUGUST-2026'!E70</f>
        <v>13</v>
      </c>
      <c r="E77" s="37">
        <f>'29-AUGUST-2026'!H70</f>
        <v>0</v>
      </c>
      <c r="F77" s="37">
        <f>'29-AUGUST-2026'!K70</f>
        <v>0</v>
      </c>
      <c r="G77" s="37">
        <f>'29-AUGUST-2026'!N70</f>
        <v>0</v>
      </c>
      <c r="H77" s="37">
        <f>'29-AUGUST-2026'!Y70</f>
        <v>13</v>
      </c>
      <c r="I77" s="37">
        <f>IF($A77="","",IF(COUNTIFS([1]Sheet1!$A$2:$A$190,$A77,[1]Sheet1!$B$2:$B$190,$B77)=0,"NOT IN COUNT",IF(COUNTIFS([1]Sheet1!$A$2:$A$190,$A77,[1]Sheet1!$B$2:$B$190,$B77,[1]Sheet1!$C$2:$C$190,"&gt;=0")=0,"NOT COUNTED",SUMIFS([1]Sheet1!$C$2:$C$190,[1]Sheet1!$A$2:$A$190,$A77,[1]Sheet1!$B$2:$B$190,$B77))))</f>
        <v>13</v>
      </c>
      <c r="J77" s="37">
        <f t="shared" si="2"/>
        <v>0</v>
      </c>
      <c r="K77" s="36" t="str">
        <f t="shared" si="3"/>
        <v>MATCH</v>
      </c>
      <c r="L77" s="38" t="str">
        <f>IF($A77="","",IF(COUNTIFS([1]Sheet1!$D$2:$D$190,$A77&amp;"|"&amp;$B77)&gt;1,"Item listed twice in count sheet","")&amp;IF(AND(ISNUMBER($I77),$H77&lt;0)," ; system closing is negative — check entries",""))</f>
        <v/>
      </c>
    </row>
    <row r="78" spans="1:12" x14ac:dyDescent="0.3">
      <c r="A78" s="35" t="str">
        <f>'29-AUGUST-2026'!A71</f>
        <v>Sweet pepper Snack Triyello</v>
      </c>
      <c r="B78" s="36">
        <f>'29-AUGUST-2026'!B71</f>
        <v>100</v>
      </c>
      <c r="C78" s="36" t="str">
        <f>'29-AUGUST-2026'!C71</f>
        <v>SEED</v>
      </c>
      <c r="D78" s="37">
        <f>'29-AUGUST-2026'!E71</f>
        <v>13</v>
      </c>
      <c r="E78" s="37">
        <f>'29-AUGUST-2026'!H71</f>
        <v>0</v>
      </c>
      <c r="F78" s="37">
        <f>'29-AUGUST-2026'!K71</f>
        <v>0</v>
      </c>
      <c r="G78" s="37">
        <f>'29-AUGUST-2026'!N71</f>
        <v>0</v>
      </c>
      <c r="H78" s="37">
        <f>'29-AUGUST-2026'!Y71</f>
        <v>13</v>
      </c>
      <c r="I78" s="37">
        <f>IF($A78="","",IF(COUNTIFS([1]Sheet1!$A$2:$A$190,$A78,[1]Sheet1!$B$2:$B$190,$B78)=0,"NOT IN COUNT",IF(COUNTIFS([1]Sheet1!$A$2:$A$190,$A78,[1]Sheet1!$B$2:$B$190,$B78,[1]Sheet1!$C$2:$C$190,"&gt;=0")=0,"NOT COUNTED",SUMIFS([1]Sheet1!$C$2:$C$190,[1]Sheet1!$A$2:$A$190,$A78,[1]Sheet1!$B$2:$B$190,$B78))))</f>
        <v>13</v>
      </c>
      <c r="J78" s="37">
        <f t="shared" si="2"/>
        <v>0</v>
      </c>
      <c r="K78" s="36" t="str">
        <f t="shared" si="3"/>
        <v>MATCH</v>
      </c>
      <c r="L78" s="38" t="str">
        <f>IF($A78="","",IF(COUNTIFS([1]Sheet1!$D$2:$D$190,$A78&amp;"|"&amp;$B78)&gt;1,"Item listed twice in count sheet","")&amp;IF(AND(ISNUMBER($I78),$H78&lt;0)," ; system closing is negative — check entries",""))</f>
        <v/>
      </c>
    </row>
    <row r="79" spans="1:12" x14ac:dyDescent="0.3">
      <c r="A79" s="35" t="str">
        <f>'29-AUGUST-2026'!A72</f>
        <v>Swisschard charsano</v>
      </c>
      <c r="B79" s="36">
        <f>'29-AUGUST-2026'!B72</f>
        <v>10000</v>
      </c>
      <c r="C79" s="36" t="str">
        <f>'29-AUGUST-2026'!C72</f>
        <v>SEED</v>
      </c>
      <c r="D79" s="37">
        <f>'29-AUGUST-2026'!E72</f>
        <v>1</v>
      </c>
      <c r="E79" s="37">
        <f>'29-AUGUST-2026'!H72</f>
        <v>0</v>
      </c>
      <c r="F79" s="37">
        <f>'29-AUGUST-2026'!K72</f>
        <v>0</v>
      </c>
      <c r="G79" s="37">
        <f>'29-AUGUST-2026'!N72</f>
        <v>0</v>
      </c>
      <c r="H79" s="37">
        <f>'29-AUGUST-2026'!Y72</f>
        <v>1</v>
      </c>
      <c r="I79" s="37" t="str">
        <f>IF($A79="","",IF(COUNTIFS([1]Sheet1!$A$2:$A$190,$A79,[1]Sheet1!$B$2:$B$190,$B79)=0,"NOT IN COUNT",IF(COUNTIFS([1]Sheet1!$A$2:$A$190,$A79,[1]Sheet1!$B$2:$B$190,$B79,[1]Sheet1!$C$2:$C$190,"&gt;=0")=0,"NOT COUNTED",SUMIFS([1]Sheet1!$C$2:$C$190,[1]Sheet1!$A$2:$A$190,$A79,[1]Sheet1!$B$2:$B$190,$B79))))</f>
        <v>NOT IN COUNT</v>
      </c>
      <c r="J79" s="37" t="str">
        <f t="shared" si="2"/>
        <v/>
      </c>
      <c r="K79" s="36" t="str">
        <f t="shared" si="3"/>
        <v>NOT IN COUNT</v>
      </c>
      <c r="L79" s="38" t="str">
        <f>IF($A79="","",IF(COUNTIFS([1]Sheet1!$D$2:$D$190,$A79&amp;"|"&amp;$B79)&gt;1,"Item listed twice in count sheet","")&amp;IF(AND(ISNUMBER($I79),$H79&lt;0)," ; system closing is negative — check entries",""))</f>
        <v/>
      </c>
    </row>
    <row r="80" spans="1:12" x14ac:dyDescent="0.3">
      <c r="A80" s="35" t="str">
        <f>'29-AUGUST-2026'!A73</f>
        <v>Tomato Amburana</v>
      </c>
      <c r="B80" s="36">
        <f>'29-AUGUST-2026'!B73</f>
        <v>100</v>
      </c>
      <c r="C80" s="36" t="str">
        <f>'29-AUGUST-2026'!C73</f>
        <v>SEED</v>
      </c>
      <c r="D80" s="37">
        <f>'29-AUGUST-2026'!E73</f>
        <v>128</v>
      </c>
      <c r="E80" s="37">
        <f>'29-AUGUST-2026'!H73</f>
        <v>0</v>
      </c>
      <c r="F80" s="37">
        <f>'29-AUGUST-2026'!K73</f>
        <v>1</v>
      </c>
      <c r="G80" s="37">
        <f>'29-AUGUST-2026'!N73</f>
        <v>0</v>
      </c>
      <c r="H80" s="37">
        <f>'29-AUGUST-2026'!Y73</f>
        <v>127</v>
      </c>
      <c r="I80" s="37">
        <f>IF($A80="","",IF(COUNTIFS([1]Sheet1!$A$2:$A$190,$A80,[1]Sheet1!$B$2:$B$190,$B80)=0,"NOT IN COUNT",IF(COUNTIFS([1]Sheet1!$A$2:$A$190,$A80,[1]Sheet1!$B$2:$B$190,$B80,[1]Sheet1!$C$2:$C$190,"&gt;=0")=0,"NOT COUNTED",SUMIFS([1]Sheet1!$C$2:$C$190,[1]Sheet1!$A$2:$A$190,$A80,[1]Sheet1!$B$2:$B$190,$B80))))</f>
        <v>127</v>
      </c>
      <c r="J80" s="37">
        <f t="shared" si="2"/>
        <v>0</v>
      </c>
      <c r="K80" s="36" t="str">
        <f t="shared" si="3"/>
        <v>MATCH</v>
      </c>
      <c r="L80" s="38" t="str">
        <f>IF($A80="","",IF(COUNTIFS([1]Sheet1!$D$2:$D$190,$A80&amp;"|"&amp;$B80)&gt;1,"Item listed twice in count sheet","")&amp;IF(AND(ISNUMBER($I80),$H80&lt;0)," ; system closing is negative — check entries",""))</f>
        <v/>
      </c>
    </row>
    <row r="81" spans="1:12" x14ac:dyDescent="0.3">
      <c r="A81" s="35" t="str">
        <f>'29-AUGUST-2026'!A74</f>
        <v>Tomato FORTESA RZ F4</v>
      </c>
      <c r="B81" s="36">
        <f>'29-AUGUST-2026'!B74</f>
        <v>100</v>
      </c>
      <c r="C81" s="36" t="str">
        <f>'29-AUGUST-2026'!C74</f>
        <v>SEED</v>
      </c>
      <c r="D81" s="37">
        <f>'29-AUGUST-2026'!E74</f>
        <v>11</v>
      </c>
      <c r="E81" s="37">
        <f>'29-AUGUST-2026'!H74</f>
        <v>0</v>
      </c>
      <c r="F81" s="37">
        <f>'29-AUGUST-2026'!K74</f>
        <v>8</v>
      </c>
      <c r="G81" s="37">
        <f>'29-AUGUST-2026'!N74</f>
        <v>0</v>
      </c>
      <c r="H81" s="37">
        <f>'29-AUGUST-2026'!Y74</f>
        <v>5</v>
      </c>
      <c r="I81" s="37">
        <f>IF($A81="","",IF(COUNTIFS([1]Sheet1!$A$2:$A$190,$A81,[1]Sheet1!$B$2:$B$190,$B81)=0,"NOT IN COUNT",IF(COUNTIFS([1]Sheet1!$A$2:$A$190,$A81,[1]Sheet1!$B$2:$B$190,$B81,[1]Sheet1!$C$2:$C$190,"&gt;=0")=0,"NOT COUNTED",SUMIFS([1]Sheet1!$C$2:$C$190,[1]Sheet1!$A$2:$A$190,$A81,[1]Sheet1!$B$2:$B$190,$B81))))</f>
        <v>5</v>
      </c>
      <c r="J81" s="37">
        <f t="shared" si="2"/>
        <v>0</v>
      </c>
      <c r="K81" s="36" t="str">
        <f t="shared" si="3"/>
        <v>MATCH</v>
      </c>
      <c r="L81" s="38" t="str">
        <f>IF($A81="","",IF(COUNTIFS([1]Sheet1!$D$2:$D$190,$A81&amp;"|"&amp;$B81)&gt;1,"Item listed twice in count sheet","")&amp;IF(AND(ISNUMBER($I81),$H81&lt;0)," ; system closing is negative — check entries",""))</f>
        <v/>
      </c>
    </row>
    <row r="82" spans="1:12" x14ac:dyDescent="0.3">
      <c r="A82" s="35" t="str">
        <f>'29-AUGUST-2026'!A75</f>
        <v>Tomato GAMHAR RZ F7</v>
      </c>
      <c r="B82" s="36">
        <f>'29-AUGUST-2026'!B75</f>
        <v>100</v>
      </c>
      <c r="C82" s="36" t="str">
        <f>'29-AUGUST-2026'!C75</f>
        <v>SEED</v>
      </c>
      <c r="D82" s="37">
        <f>'29-AUGUST-2026'!E75</f>
        <v>522</v>
      </c>
      <c r="E82" s="37">
        <f>'29-AUGUST-2026'!H75</f>
        <v>0</v>
      </c>
      <c r="F82" s="37">
        <f>'29-AUGUST-2026'!K75</f>
        <v>0</v>
      </c>
      <c r="G82" s="37">
        <f>'29-AUGUST-2026'!N75</f>
        <v>0</v>
      </c>
      <c r="H82" s="37">
        <f>'29-AUGUST-2026'!Y75</f>
        <v>513</v>
      </c>
      <c r="I82" s="37">
        <f>IF($A82="","",IF(COUNTIFS([1]Sheet1!$A$2:$A$190,$A82,[1]Sheet1!$B$2:$B$190,$B82)=0,"NOT IN COUNT",IF(COUNTIFS([1]Sheet1!$A$2:$A$190,$A82,[1]Sheet1!$B$2:$B$190,$B82,[1]Sheet1!$C$2:$C$190,"&gt;=0")=0,"NOT COUNTED",SUMIFS([1]Sheet1!$C$2:$C$190,[1]Sheet1!$A$2:$A$190,$A82,[1]Sheet1!$B$2:$B$190,$B82))))</f>
        <v>513</v>
      </c>
      <c r="J82" s="37">
        <f t="shared" si="2"/>
        <v>0</v>
      </c>
      <c r="K82" s="36" t="str">
        <f t="shared" si="3"/>
        <v>MATCH</v>
      </c>
      <c r="L82" s="38" t="str">
        <f>IF($A82="","",IF(COUNTIFS([1]Sheet1!$D$2:$D$190,$A82&amp;"|"&amp;$B82)&gt;1,"Item listed twice in count sheet","")&amp;IF(AND(ISNUMBER($I82),$H82&lt;0)," ; system closing is negative — check entries",""))</f>
        <v/>
      </c>
    </row>
    <row r="83" spans="1:12" x14ac:dyDescent="0.3">
      <c r="A83" s="35" t="str">
        <f>'29-AUGUST-2026'!A76</f>
        <v>Tomato GAMHAR RZ F7</v>
      </c>
      <c r="B83" s="36">
        <f>'29-AUGUST-2026'!B76</f>
        <v>1000</v>
      </c>
      <c r="C83" s="36" t="str">
        <f>'29-AUGUST-2026'!C76</f>
        <v>SEED</v>
      </c>
      <c r="D83" s="37">
        <f>'29-AUGUST-2026'!E76</f>
        <v>481</v>
      </c>
      <c r="E83" s="37">
        <f>'29-AUGUST-2026'!H76</f>
        <v>0</v>
      </c>
      <c r="F83" s="37">
        <f>'29-AUGUST-2026'!K76</f>
        <v>20</v>
      </c>
      <c r="G83" s="37">
        <f>'29-AUGUST-2026'!N76</f>
        <v>0</v>
      </c>
      <c r="H83" s="37">
        <f>'29-AUGUST-2026'!Y76</f>
        <v>460</v>
      </c>
      <c r="I83" s="37">
        <f>IF($A83="","",IF(COUNTIFS([1]Sheet1!$A$2:$A$190,$A83,[1]Sheet1!$B$2:$B$190,$B83)=0,"NOT IN COUNT",IF(COUNTIFS([1]Sheet1!$A$2:$A$190,$A83,[1]Sheet1!$B$2:$B$190,$B83,[1]Sheet1!$C$2:$C$190,"&gt;=0")=0,"NOT COUNTED",SUMIFS([1]Sheet1!$C$2:$C$190,[1]Sheet1!$A$2:$A$190,$A83,[1]Sheet1!$B$2:$B$190,$B83))))</f>
        <v>460</v>
      </c>
      <c r="J83" s="37">
        <f t="shared" si="2"/>
        <v>0</v>
      </c>
      <c r="K83" s="36" t="str">
        <f t="shared" si="3"/>
        <v>MATCH</v>
      </c>
      <c r="L83" s="38" t="str">
        <f>IF($A83="","",IF(COUNTIFS([1]Sheet1!$D$2:$D$190,$A83&amp;"|"&amp;$B83)&gt;1,"Item listed twice in count sheet","")&amp;IF(AND(ISNUMBER($I83),$H83&lt;0)," ; system closing is negative — check entries",""))</f>
        <v/>
      </c>
    </row>
    <row r="84" spans="1:12" x14ac:dyDescent="0.3">
      <c r="A84" s="35" t="str">
        <f>'29-AUGUST-2026'!A77</f>
        <v>Tomato GAMHAR RZ F7</v>
      </c>
      <c r="B84" s="36">
        <f>'29-AUGUST-2026'!B77</f>
        <v>500</v>
      </c>
      <c r="C84" s="36" t="str">
        <f>'29-AUGUST-2026'!C77</f>
        <v>SEED</v>
      </c>
      <c r="D84" s="37">
        <f>'29-AUGUST-2026'!E77</f>
        <v>110</v>
      </c>
      <c r="E84" s="37">
        <f>'29-AUGUST-2026'!H77</f>
        <v>0</v>
      </c>
      <c r="F84" s="37">
        <f>'29-AUGUST-2026'!K77</f>
        <v>0</v>
      </c>
      <c r="G84" s="37">
        <f>'29-AUGUST-2026'!N77</f>
        <v>0</v>
      </c>
      <c r="H84" s="37">
        <f>'29-AUGUST-2026'!Y77</f>
        <v>110</v>
      </c>
      <c r="I84" s="37">
        <f>IF($A84="","",IF(COUNTIFS([1]Sheet1!$A$2:$A$190,$A84,[1]Sheet1!$B$2:$B$190,$B84)=0,"NOT IN COUNT",IF(COUNTIFS([1]Sheet1!$A$2:$A$190,$A84,[1]Sheet1!$B$2:$B$190,$B84,[1]Sheet1!$C$2:$C$190,"&gt;=0")=0,"NOT COUNTED",SUMIFS([1]Sheet1!$C$2:$C$190,[1]Sheet1!$A$2:$A$190,$A84,[1]Sheet1!$B$2:$B$190,$B84))))</f>
        <v>110</v>
      </c>
      <c r="J84" s="37">
        <f t="shared" si="2"/>
        <v>0</v>
      </c>
      <c r="K84" s="36" t="str">
        <f t="shared" si="3"/>
        <v>MATCH</v>
      </c>
      <c r="L84" s="38" t="str">
        <f>IF($A84="","",IF(COUNTIFS([1]Sheet1!$D$2:$D$190,$A84&amp;"|"&amp;$B84)&gt;1,"Item listed twice in count sheet","")&amp;IF(AND(ISNUMBER($I84),$H84&lt;0)," ; system closing is negative — check entries",""))</f>
        <v/>
      </c>
    </row>
    <row r="85" spans="1:12" x14ac:dyDescent="0.3">
      <c r="A85" s="35" t="str">
        <f>'29-AUGUST-2026'!A78</f>
        <v>Tomato JARRAH RZ F2</v>
      </c>
      <c r="B85" s="36">
        <f>'29-AUGUST-2026'!B78</f>
        <v>1000</v>
      </c>
      <c r="C85" s="36" t="str">
        <f>'29-AUGUST-2026'!C78</f>
        <v>SEED</v>
      </c>
      <c r="D85" s="37">
        <f>'29-AUGUST-2026'!E78</f>
        <v>23</v>
      </c>
      <c r="E85" s="37">
        <f>'29-AUGUST-2026'!H78</f>
        <v>0</v>
      </c>
      <c r="F85" s="37">
        <f>'29-AUGUST-2026'!K78</f>
        <v>0</v>
      </c>
      <c r="G85" s="37">
        <f>'29-AUGUST-2026'!N78</f>
        <v>0</v>
      </c>
      <c r="H85" s="37">
        <f>'29-AUGUST-2026'!Y78</f>
        <v>1360</v>
      </c>
      <c r="I85" s="37">
        <f>IF($A85="","",IF(COUNTIFS([1]Sheet1!$A$2:$A$190,$A85,[1]Sheet1!$B$2:$B$190,$B85)=0,"NOT IN COUNT",IF(COUNTIFS([1]Sheet1!$A$2:$A$190,$A85,[1]Sheet1!$B$2:$B$190,$B85,[1]Sheet1!$C$2:$C$190,"&gt;=0")=0,"NOT COUNTED",SUMIFS([1]Sheet1!$C$2:$C$190,[1]Sheet1!$A$2:$A$190,$A85,[1]Sheet1!$B$2:$B$190,$B85))))</f>
        <v>1360</v>
      </c>
      <c r="J85" s="37">
        <f t="shared" si="2"/>
        <v>0</v>
      </c>
      <c r="K85" s="36" t="str">
        <f t="shared" si="3"/>
        <v>MATCH</v>
      </c>
      <c r="L85" s="38" t="str">
        <f>IF($A85="","",IF(COUNTIFS([1]Sheet1!$D$2:$D$190,$A85&amp;"|"&amp;$B85)&gt;1,"Item listed twice in count sheet","")&amp;IF(AND(ISNUMBER($I85),$H85&lt;0)," ; system closing is negative — check entries",""))</f>
        <v/>
      </c>
    </row>
    <row r="86" spans="1:12" x14ac:dyDescent="0.3">
      <c r="A86" s="35" t="str">
        <f>'29-AUGUST-2026'!A79</f>
        <v>Tomato JARRAH RZ F3</v>
      </c>
      <c r="B86" s="36">
        <f>'29-AUGUST-2026'!B79</f>
        <v>100</v>
      </c>
      <c r="C86" s="36" t="str">
        <f>'29-AUGUST-2026'!C79</f>
        <v>SEED</v>
      </c>
      <c r="D86" s="37">
        <f>'29-AUGUST-2026'!E79</f>
        <v>363</v>
      </c>
      <c r="E86" s="37">
        <f>'29-AUGUST-2026'!H79</f>
        <v>0</v>
      </c>
      <c r="F86" s="37">
        <f>'29-AUGUST-2026'!K79</f>
        <v>0</v>
      </c>
      <c r="G86" s="37">
        <f>'29-AUGUST-2026'!N79</f>
        <v>0</v>
      </c>
      <c r="H86" s="37">
        <f>'29-AUGUST-2026'!Y79</f>
        <v>5604</v>
      </c>
      <c r="I86" s="37">
        <f>IF($A86="","",IF(COUNTIFS([1]Sheet1!$A$2:$A$190,$A86,[1]Sheet1!$B$2:$B$190,$B86)=0,"NOT IN COUNT",IF(COUNTIFS([1]Sheet1!$A$2:$A$190,$A86,[1]Sheet1!$B$2:$B$190,$B86,[1]Sheet1!$C$2:$C$190,"&gt;=0")=0,"NOT COUNTED",SUMIFS([1]Sheet1!$C$2:$C$190,[1]Sheet1!$A$2:$A$190,$A86,[1]Sheet1!$B$2:$B$190,$B86))))</f>
        <v>5604</v>
      </c>
      <c r="J86" s="37">
        <f t="shared" si="2"/>
        <v>0</v>
      </c>
      <c r="K86" s="36" t="str">
        <f t="shared" si="3"/>
        <v>MATCH</v>
      </c>
      <c r="L86" s="38" t="str">
        <f>IF($A86="","",IF(COUNTIFS([1]Sheet1!$D$2:$D$190,$A86&amp;"|"&amp;$B86)&gt;1,"Item listed twice in count sheet","")&amp;IF(AND(ISNUMBER($I86),$H86&lt;0)," ; system closing is negative — check entries",""))</f>
        <v/>
      </c>
    </row>
    <row r="87" spans="1:12" x14ac:dyDescent="0.3">
      <c r="A87" s="35" t="str">
        <f>'29-AUGUST-2026'!A80</f>
        <v>Tomato MONTEAZUL RZ F3</v>
      </c>
      <c r="B87" s="36">
        <f>'29-AUGUST-2026'!B80</f>
        <v>100</v>
      </c>
      <c r="C87" s="36" t="str">
        <f>'29-AUGUST-2026'!C80</f>
        <v>SEED</v>
      </c>
      <c r="D87" s="37">
        <f>'29-AUGUST-2026'!E80</f>
        <v>0</v>
      </c>
      <c r="E87" s="37">
        <f>'29-AUGUST-2026'!H80</f>
        <v>0</v>
      </c>
      <c r="F87" s="37">
        <f>'29-AUGUST-2026'!K80</f>
        <v>0</v>
      </c>
      <c r="G87" s="37">
        <f>'29-AUGUST-2026'!N80</f>
        <v>0</v>
      </c>
      <c r="H87" s="37">
        <f>'29-AUGUST-2026'!Y80</f>
        <v>0</v>
      </c>
      <c r="I87" s="37" t="str">
        <f>IF($A87="","",IF(COUNTIFS([1]Sheet1!$A$2:$A$190,$A87,[1]Sheet1!$B$2:$B$190,$B87)=0,"NOT IN COUNT",IF(COUNTIFS([1]Sheet1!$A$2:$A$190,$A87,[1]Sheet1!$B$2:$B$190,$B87,[1]Sheet1!$C$2:$C$190,"&gt;=0")=0,"NOT COUNTED",SUMIFS([1]Sheet1!$C$2:$C$190,[1]Sheet1!$A$2:$A$190,$A87,[1]Sheet1!$B$2:$B$190,$B87))))</f>
        <v>NOT COUNTED</v>
      </c>
      <c r="J87" s="37" t="str">
        <f t="shared" si="2"/>
        <v/>
      </c>
      <c r="K87" s="36" t="str">
        <f t="shared" si="3"/>
        <v>NOT COUNTED</v>
      </c>
      <c r="L87" s="38" t="str">
        <f>IF($A87="","",IF(COUNTIFS([1]Sheet1!$D$2:$D$190,$A87&amp;"|"&amp;$B87)&gt;1,"Item listed twice in count sheet","")&amp;IF(AND(ISNUMBER($I87),$H87&lt;0)," ; system closing is negative — check entries",""))</f>
        <v/>
      </c>
    </row>
    <row r="88" spans="1:12" x14ac:dyDescent="0.3">
      <c r="A88" s="35" t="str">
        <f>'29-AUGUST-2026'!A81</f>
        <v>Tomato PRIMARINO RZ F6</v>
      </c>
      <c r="B88" s="36">
        <f>'29-AUGUST-2026'!B81</f>
        <v>100</v>
      </c>
      <c r="C88" s="36" t="str">
        <f>'29-AUGUST-2026'!C81</f>
        <v>SEED</v>
      </c>
      <c r="D88" s="37">
        <f>'29-AUGUST-2026'!E81</f>
        <v>22</v>
      </c>
      <c r="E88" s="37">
        <f>'29-AUGUST-2026'!H81</f>
        <v>0</v>
      </c>
      <c r="F88" s="37">
        <f>'29-AUGUST-2026'!K81</f>
        <v>0</v>
      </c>
      <c r="G88" s="37">
        <f>'29-AUGUST-2026'!N81</f>
        <v>0</v>
      </c>
      <c r="H88" s="37">
        <f>'29-AUGUST-2026'!Y81</f>
        <v>22</v>
      </c>
      <c r="I88" s="37">
        <f>IF($A88="","",IF(COUNTIFS([1]Sheet1!$A$2:$A$190,$A88,[1]Sheet1!$B$2:$B$190,$B88)=0,"NOT IN COUNT",IF(COUNTIFS([1]Sheet1!$A$2:$A$190,$A88,[1]Sheet1!$B$2:$B$190,$B88,[1]Sheet1!$C$2:$C$190,"&gt;=0")=0,"NOT COUNTED",SUMIFS([1]Sheet1!$C$2:$C$190,[1]Sheet1!$A$2:$A$190,$A88,[1]Sheet1!$B$2:$B$190,$B88))))</f>
        <v>22</v>
      </c>
      <c r="J88" s="37">
        <f t="shared" si="2"/>
        <v>0</v>
      </c>
      <c r="K88" s="36" t="str">
        <f t="shared" si="3"/>
        <v>MATCH</v>
      </c>
      <c r="L88" s="38" t="str">
        <f>IF($A88="","",IF(COUNTIFS([1]Sheet1!$D$2:$D$190,$A88&amp;"|"&amp;$B88)&gt;1,"Item listed twice in count sheet","")&amp;IF(AND(ISNUMBER($I88),$H88&lt;0)," ; system closing is negative — check entries",""))</f>
        <v/>
      </c>
    </row>
    <row r="89" spans="1:12" x14ac:dyDescent="0.3">
      <c r="A89" s="35" t="str">
        <f>'29-AUGUST-2026'!A82</f>
        <v>Tomato UWEZO RZ F4</v>
      </c>
      <c r="B89" s="36">
        <f>'29-AUGUST-2026'!B82</f>
        <v>100</v>
      </c>
      <c r="C89" s="36" t="str">
        <f>'29-AUGUST-2026'!C82</f>
        <v>SEED</v>
      </c>
      <c r="D89" s="37">
        <f>'29-AUGUST-2026'!E82</f>
        <v>252</v>
      </c>
      <c r="E89" s="37">
        <f>'29-AUGUST-2026'!H82</f>
        <v>0</v>
      </c>
      <c r="F89" s="37">
        <f>'29-AUGUST-2026'!K82</f>
        <v>8</v>
      </c>
      <c r="G89" s="37">
        <f>'29-AUGUST-2026'!N82</f>
        <v>0</v>
      </c>
      <c r="H89" s="37">
        <f>'29-AUGUST-2026'!Y82</f>
        <v>244</v>
      </c>
      <c r="I89" s="37">
        <f>IF($A89="","",IF(COUNTIFS([1]Sheet1!$A$2:$A$190,$A89,[1]Sheet1!$B$2:$B$190,$B89)=0,"NOT IN COUNT",IF(COUNTIFS([1]Sheet1!$A$2:$A$190,$A89,[1]Sheet1!$B$2:$B$190,$B89,[1]Sheet1!$C$2:$C$190,"&gt;=0")=0,"NOT COUNTED",SUMIFS([1]Sheet1!$C$2:$C$190,[1]Sheet1!$A$2:$A$190,$A89,[1]Sheet1!$B$2:$B$190,$B89))))</f>
        <v>244</v>
      </c>
      <c r="J89" s="37">
        <f t="shared" si="2"/>
        <v>0</v>
      </c>
      <c r="K89" s="36" t="str">
        <f t="shared" si="3"/>
        <v>MATCH</v>
      </c>
      <c r="L89" s="38" t="str">
        <f>IF($A89="","",IF(COUNTIFS([1]Sheet1!$D$2:$D$190,$A89&amp;"|"&amp;$B89)&gt;1,"Item listed twice in count sheet","")&amp;IF(AND(ISNUMBER($I89),$H89&lt;0)," ; system closing is negative — check entries",""))</f>
        <v/>
      </c>
    </row>
    <row r="90" spans="1:12" x14ac:dyDescent="0.3">
      <c r="A90" s="35" t="str">
        <f>'29-AUGUST-2026'!A83</f>
        <v>Tomato VALOURO RZ F1</v>
      </c>
      <c r="B90" s="36">
        <f>'29-AUGUST-2026'!B83</f>
        <v>100</v>
      </c>
      <c r="C90" s="36" t="str">
        <f>'29-AUGUST-2026'!C83</f>
        <v>SEED</v>
      </c>
      <c r="D90" s="37">
        <f>'29-AUGUST-2026'!E83</f>
        <v>32</v>
      </c>
      <c r="E90" s="37">
        <f>'29-AUGUST-2026'!H83</f>
        <v>0</v>
      </c>
      <c r="F90" s="37">
        <f>'29-AUGUST-2026'!K83</f>
        <v>0</v>
      </c>
      <c r="G90" s="37">
        <f>'29-AUGUST-2026'!N83</f>
        <v>0</v>
      </c>
      <c r="H90" s="37">
        <f>'29-AUGUST-2026'!Y83</f>
        <v>28</v>
      </c>
      <c r="I90" s="37">
        <f>IF($A90="","",IF(COUNTIFS([1]Sheet1!$A$2:$A$190,$A90,[1]Sheet1!$B$2:$B$190,$B90)=0,"NOT IN COUNT",IF(COUNTIFS([1]Sheet1!$A$2:$A$190,$A90,[1]Sheet1!$B$2:$B$190,$B90,[1]Sheet1!$C$2:$C$190,"&gt;=0")=0,"NOT COUNTED",SUMIFS([1]Sheet1!$C$2:$C$190,[1]Sheet1!$A$2:$A$190,$A90,[1]Sheet1!$B$2:$B$190,$B90))))</f>
        <v>28</v>
      </c>
      <c r="J90" s="37">
        <f t="shared" si="2"/>
        <v>0</v>
      </c>
      <c r="K90" s="36" t="str">
        <f t="shared" si="3"/>
        <v>MATCH</v>
      </c>
      <c r="L90" s="38" t="str">
        <f>IF($A90="","",IF(COUNTIFS([1]Sheet1!$D$2:$D$190,$A90&amp;"|"&amp;$B90)&gt;1,"Item listed twice in count sheet","")&amp;IF(AND(ISNUMBER($I90),$H90&lt;0)," ; system closing is negative — check entries",""))</f>
        <v/>
      </c>
    </row>
    <row r="91" spans="1:12" x14ac:dyDescent="0.3">
      <c r="A91" s="35" t="str">
        <f>'29-AUGUST-2026'!A84</f>
        <v>Trianum</v>
      </c>
      <c r="B91" s="36" t="str">
        <f>'29-AUGUST-2026'!B84</f>
        <v>500g</v>
      </c>
      <c r="C91" s="36" t="str">
        <f>'29-AUGUST-2026'!C84</f>
        <v>SEED</v>
      </c>
      <c r="D91" s="37">
        <f>'29-AUGUST-2026'!E84</f>
        <v>0</v>
      </c>
      <c r="E91" s="37">
        <f>'29-AUGUST-2026'!H84</f>
        <v>0</v>
      </c>
      <c r="F91" s="37">
        <f>'29-AUGUST-2026'!K84</f>
        <v>0</v>
      </c>
      <c r="G91" s="37">
        <f>'29-AUGUST-2026'!N84</f>
        <v>0</v>
      </c>
      <c r="H91" s="37">
        <f>'29-AUGUST-2026'!Y84</f>
        <v>0</v>
      </c>
      <c r="I91" s="37" t="str">
        <f>IF($A91="","",IF(COUNTIFS([1]Sheet1!$A$2:$A$190,$A91,[1]Sheet1!$B$2:$B$190,$B91)=0,"NOT IN COUNT",IF(COUNTIFS([1]Sheet1!$A$2:$A$190,$A91,[1]Sheet1!$B$2:$B$190,$B91,[1]Sheet1!$C$2:$C$190,"&gt;=0")=0,"NOT COUNTED",SUMIFS([1]Sheet1!$C$2:$C$190,[1]Sheet1!$A$2:$A$190,$A91,[1]Sheet1!$B$2:$B$190,$B91))))</f>
        <v>NOT COUNTED</v>
      </c>
      <c r="J91" s="37" t="str">
        <f t="shared" si="2"/>
        <v/>
      </c>
      <c r="K91" s="36" t="str">
        <f t="shared" si="3"/>
        <v>NOT COUNTED</v>
      </c>
      <c r="L91" s="38" t="str">
        <f>IF($A91="","",IF(COUNTIFS([1]Sheet1!$D$2:$D$190,$A91&amp;"|"&amp;$B91)&gt;1,"Item listed twice in count sheet","")&amp;IF(AND(ISNUMBER($I91),$H91&lt;0)," ; system closing is negative — check entries",""))</f>
        <v/>
      </c>
    </row>
    <row r="92" spans="1:12" x14ac:dyDescent="0.3">
      <c r="A92" s="35" t="str">
        <f>'29-AUGUST-2026'!A85</f>
        <v>Tropical Sunshine</v>
      </c>
      <c r="B92" s="36">
        <f>'29-AUGUST-2026'!B85</f>
        <v>100</v>
      </c>
      <c r="C92" s="36" t="str">
        <f>'29-AUGUST-2026'!C85</f>
        <v>SEED</v>
      </c>
      <c r="D92" s="37">
        <f>'29-AUGUST-2026'!E85</f>
        <v>81</v>
      </c>
      <c r="E92" s="37">
        <f>'29-AUGUST-2026'!H85</f>
        <v>0</v>
      </c>
      <c r="F92" s="37">
        <f>'29-AUGUST-2026'!K85</f>
        <v>0</v>
      </c>
      <c r="G92" s="37">
        <f>'29-AUGUST-2026'!N85</f>
        <v>0</v>
      </c>
      <c r="H92" s="37">
        <f>'29-AUGUST-2026'!Y85</f>
        <v>70</v>
      </c>
      <c r="I92" s="37">
        <f>IF($A92="","",IF(COUNTIFS([1]Sheet1!$A$2:$A$190,$A92,[1]Sheet1!$B$2:$B$190,$B92)=0,"NOT IN COUNT",IF(COUNTIFS([1]Sheet1!$A$2:$A$190,$A92,[1]Sheet1!$B$2:$B$190,$B92,[1]Sheet1!$C$2:$C$190,"&gt;=0")=0,"NOT COUNTED",SUMIFS([1]Sheet1!$C$2:$C$190,[1]Sheet1!$A$2:$A$190,$A92,[1]Sheet1!$B$2:$B$190,$B92))))</f>
        <v>70</v>
      </c>
      <c r="J92" s="37">
        <f t="shared" si="2"/>
        <v>0</v>
      </c>
      <c r="K92" s="36" t="str">
        <f t="shared" si="3"/>
        <v>MATCH</v>
      </c>
      <c r="L92" s="38" t="str">
        <f>IF($A92="","",IF(COUNTIFS([1]Sheet1!$D$2:$D$190,$A92&amp;"|"&amp;$B92)&gt;1,"Item listed twice in count sheet","")&amp;IF(AND(ISNUMBER($I92),$H92&lt;0)," ; system closing is negative — check entries",""))</f>
        <v/>
      </c>
    </row>
    <row r="93" spans="1:12" x14ac:dyDescent="0.3">
      <c r="A93" s="35" t="str">
        <f>'29-AUGUST-2026'!A86</f>
        <v>White cabbage TOUGHMA RZ F3</v>
      </c>
      <c r="B93" s="36">
        <f>'29-AUGUST-2026'!B86</f>
        <v>1000</v>
      </c>
      <c r="C93" s="36" t="str">
        <f>'29-AUGUST-2026'!C86</f>
        <v>SEED</v>
      </c>
      <c r="D93" s="37">
        <f>'29-AUGUST-2026'!E86</f>
        <v>12</v>
      </c>
      <c r="E93" s="37">
        <f>'29-AUGUST-2026'!H86</f>
        <v>0</v>
      </c>
      <c r="F93" s="37">
        <f>'29-AUGUST-2026'!K86</f>
        <v>0</v>
      </c>
      <c r="G93" s="37">
        <f>'29-AUGUST-2026'!N86</f>
        <v>0</v>
      </c>
      <c r="H93" s="37">
        <f>'29-AUGUST-2026'!Y86</f>
        <v>13</v>
      </c>
      <c r="I93" s="37">
        <f>IF($A93="","",IF(COUNTIFS([1]Sheet1!$A$2:$A$190,$A93,[1]Sheet1!$B$2:$B$190,$B93)=0,"NOT IN COUNT",IF(COUNTIFS([1]Sheet1!$A$2:$A$190,$A93,[1]Sheet1!$B$2:$B$190,$B93,[1]Sheet1!$C$2:$C$190,"&gt;=0")=0,"NOT COUNTED",SUMIFS([1]Sheet1!$C$2:$C$190,[1]Sheet1!$A$2:$A$190,$A93,[1]Sheet1!$B$2:$B$190,$B93))))</f>
        <v>13</v>
      </c>
      <c r="J93" s="37">
        <f t="shared" si="2"/>
        <v>0</v>
      </c>
      <c r="K93" s="36" t="str">
        <f t="shared" si="3"/>
        <v>MATCH</v>
      </c>
      <c r="L93" s="38" t="str">
        <f>IF($A93="","",IF(COUNTIFS([1]Sheet1!$D$2:$D$190,$A93&amp;"|"&amp;$B93)&gt;1,"Item listed twice in count sheet","")&amp;IF(AND(ISNUMBER($I93),$H93&lt;0)," ; system closing is negative — check entries",""))</f>
        <v/>
      </c>
    </row>
    <row r="94" spans="1:12" x14ac:dyDescent="0.3">
      <c r="A94" s="35" t="str">
        <f>'29-AUGUST-2026'!A87</f>
        <v>White cabbage-Bluesma</v>
      </c>
      <c r="B94" s="36">
        <f>'29-AUGUST-2026'!B87</f>
        <v>1000</v>
      </c>
      <c r="C94" s="36" t="str">
        <f>'29-AUGUST-2026'!C87</f>
        <v>SEED</v>
      </c>
      <c r="D94" s="37">
        <f>'29-AUGUST-2026'!E87</f>
        <v>1</v>
      </c>
      <c r="E94" s="37">
        <f>'29-AUGUST-2026'!H87</f>
        <v>0</v>
      </c>
      <c r="F94" s="37">
        <f>'29-AUGUST-2026'!K87</f>
        <v>0</v>
      </c>
      <c r="G94" s="37">
        <f>'29-AUGUST-2026'!N87</f>
        <v>0</v>
      </c>
      <c r="H94" s="37">
        <f>'29-AUGUST-2026'!Y87</f>
        <v>1</v>
      </c>
      <c r="I94" s="37">
        <f>IF($A94="","",IF(COUNTIFS([1]Sheet1!$A$2:$A$190,$A94,[1]Sheet1!$B$2:$B$190,$B94)=0,"NOT IN COUNT",IF(COUNTIFS([1]Sheet1!$A$2:$A$190,$A94,[1]Sheet1!$B$2:$B$190,$B94,[1]Sheet1!$C$2:$C$190,"&gt;=0")=0,"NOT COUNTED",SUMIFS([1]Sheet1!$C$2:$C$190,[1]Sheet1!$A$2:$A$190,$A94,[1]Sheet1!$B$2:$B$190,$B94))))</f>
        <v>1</v>
      </c>
      <c r="J94" s="37">
        <f t="shared" si="2"/>
        <v>0</v>
      </c>
      <c r="K94" s="36" t="str">
        <f t="shared" si="3"/>
        <v>MATCH</v>
      </c>
      <c r="L94" s="38" t="str">
        <f>IF($A94="","",IF(COUNTIFS([1]Sheet1!$D$2:$D$190,$A94&amp;"|"&amp;$B94)&gt;1,"Item listed twice in count sheet","")&amp;IF(AND(ISNUMBER($I94),$H94&lt;0)," ; system closing is negative — check entries",""))</f>
        <v/>
      </c>
    </row>
    <row r="95" spans="1:12" x14ac:dyDescent="0.3">
      <c r="A95" s="35" t="str">
        <f>'29-AUGUST-2026'!A88</f>
        <v>White cabbage-Swingma</v>
      </c>
      <c r="B95" s="36">
        <f>'29-AUGUST-2026'!B88</f>
        <v>1000</v>
      </c>
      <c r="C95" s="36" t="str">
        <f>'29-AUGUST-2026'!C88</f>
        <v>SEED</v>
      </c>
      <c r="D95" s="37">
        <f>'29-AUGUST-2026'!E88</f>
        <v>4</v>
      </c>
      <c r="E95" s="37">
        <f>'29-AUGUST-2026'!H88</f>
        <v>0</v>
      </c>
      <c r="F95" s="37">
        <f>'29-AUGUST-2026'!K88</f>
        <v>0</v>
      </c>
      <c r="G95" s="37">
        <f>'29-AUGUST-2026'!N88</f>
        <v>0</v>
      </c>
      <c r="H95" s="37">
        <f>'29-AUGUST-2026'!Y88</f>
        <v>3</v>
      </c>
      <c r="I95" s="37">
        <f>IF($A95="","",IF(COUNTIFS([1]Sheet1!$A$2:$A$190,$A95,[1]Sheet1!$B$2:$B$190,$B95)=0,"NOT IN COUNT",IF(COUNTIFS([1]Sheet1!$A$2:$A$190,$A95,[1]Sheet1!$B$2:$B$190,$B95,[1]Sheet1!$C$2:$C$190,"&gt;=0")=0,"NOT COUNTED",SUMIFS([1]Sheet1!$C$2:$C$190,[1]Sheet1!$A$2:$A$190,$A95,[1]Sheet1!$B$2:$B$190,$B95))))</f>
        <v>3</v>
      </c>
      <c r="J95" s="37">
        <f t="shared" si="2"/>
        <v>0</v>
      </c>
      <c r="K95" s="36" t="str">
        <f t="shared" si="3"/>
        <v>MATCH</v>
      </c>
      <c r="L95" s="38" t="str">
        <f>IF($A95="","",IF(COUNTIFS([1]Sheet1!$D$2:$D$190,$A95&amp;"|"&amp;$B95)&gt;1,"Item listed twice in count sheet","")&amp;IF(AND(ISNUMBER($I95),$H95&lt;0)," ; system closing is negative — check entries",""))</f>
        <v/>
      </c>
    </row>
    <row r="96" spans="1:12" x14ac:dyDescent="0.3">
      <c r="A96" s="35" t="str">
        <f>'29-AUGUST-2026'!A89</f>
        <v>White cabbage-TACOMA</v>
      </c>
      <c r="B96" s="36">
        <f>'29-AUGUST-2026'!B89</f>
        <v>1000</v>
      </c>
      <c r="C96" s="36" t="str">
        <f>'29-AUGUST-2026'!C89</f>
        <v>SEED</v>
      </c>
      <c r="D96" s="37">
        <f>'29-AUGUST-2026'!E89</f>
        <v>0</v>
      </c>
      <c r="E96" s="37">
        <f>'29-AUGUST-2026'!H89</f>
        <v>0</v>
      </c>
      <c r="F96" s="37">
        <f>'29-AUGUST-2026'!K89</f>
        <v>0</v>
      </c>
      <c r="G96" s="37">
        <f>'29-AUGUST-2026'!N89</f>
        <v>0</v>
      </c>
      <c r="H96" s="37">
        <f>'29-AUGUST-2026'!Y89</f>
        <v>2</v>
      </c>
      <c r="I96" s="37">
        <f>IF($A96="","",IF(COUNTIFS([1]Sheet1!$A$2:$A$190,$A96,[1]Sheet1!$B$2:$B$190,$B96)=0,"NOT IN COUNT",IF(COUNTIFS([1]Sheet1!$A$2:$A$190,$A96,[1]Sheet1!$B$2:$B$190,$B96,[1]Sheet1!$C$2:$C$190,"&gt;=0")=0,"NOT COUNTED",SUMIFS([1]Sheet1!$C$2:$C$190,[1]Sheet1!$A$2:$A$190,$A96,[1]Sheet1!$B$2:$B$190,$B96))))</f>
        <v>2</v>
      </c>
      <c r="J96" s="37">
        <f t="shared" si="2"/>
        <v>0</v>
      </c>
      <c r="K96" s="36" t="str">
        <f t="shared" si="3"/>
        <v>MATCH</v>
      </c>
      <c r="L96" s="38" t="str">
        <f>IF($A96="","",IF(COUNTIFS([1]Sheet1!$D$2:$D$190,$A96&amp;"|"&amp;$B96)&gt;1,"Item listed twice in count sheet","")&amp;IF(AND(ISNUMBER($I96),$H96&lt;0)," ; system closing is negative — check entries",""))</f>
        <v/>
      </c>
    </row>
    <row r="97" spans="1:12" x14ac:dyDescent="0.3">
      <c r="A97" s="35" t="str">
        <f>'29-AUGUST-2026'!A90</f>
        <v>White cabbage-TACOMA</v>
      </c>
      <c r="B97" s="36">
        <f>'29-AUGUST-2026'!B90</f>
        <v>2500</v>
      </c>
      <c r="C97" s="36" t="str">
        <f>'29-AUGUST-2026'!C90</f>
        <v>SEED</v>
      </c>
      <c r="D97" s="37">
        <f>'29-AUGUST-2026'!E90</f>
        <v>0</v>
      </c>
      <c r="E97" s="37">
        <f>'29-AUGUST-2026'!H90</f>
        <v>0</v>
      </c>
      <c r="F97" s="37">
        <f>'29-AUGUST-2026'!K90</f>
        <v>0</v>
      </c>
      <c r="G97" s="37">
        <f>'29-AUGUST-2026'!N90</f>
        <v>0</v>
      </c>
      <c r="H97" s="37">
        <f>'29-AUGUST-2026'!Y90</f>
        <v>0</v>
      </c>
      <c r="I97" s="37" t="str">
        <f>IF($A97="","",IF(COUNTIFS([1]Sheet1!$A$2:$A$190,$A97,[1]Sheet1!$B$2:$B$190,$B97)=0,"NOT IN COUNT",IF(COUNTIFS([1]Sheet1!$A$2:$A$190,$A97,[1]Sheet1!$B$2:$B$190,$B97,[1]Sheet1!$C$2:$C$190,"&gt;=0")=0,"NOT COUNTED",SUMIFS([1]Sheet1!$C$2:$C$190,[1]Sheet1!$A$2:$A$190,$A97,[1]Sheet1!$B$2:$B$190,$B97))))</f>
        <v>NOT IN COUNT</v>
      </c>
      <c r="J97" s="37" t="str">
        <f t="shared" si="2"/>
        <v/>
      </c>
      <c r="K97" s="36" t="str">
        <f t="shared" si="3"/>
        <v>NOT IN COUNT</v>
      </c>
      <c r="L97" s="38" t="str">
        <f>IF($A97="","",IF(COUNTIFS([1]Sheet1!$D$2:$D$190,$A97&amp;"|"&amp;$B97)&gt;1,"Item listed twice in count sheet","")&amp;IF(AND(ISNUMBER($I97),$H97&lt;0)," ; system closing is negative — check entries",""))</f>
        <v/>
      </c>
    </row>
    <row r="98" spans="1:12" x14ac:dyDescent="0.3">
      <c r="A98" s="35" t="str">
        <f>'29-AUGUST-2026'!A91</f>
        <v>White cabbage-Twistma</v>
      </c>
      <c r="B98" s="36">
        <f>'29-AUGUST-2026'!B91</f>
        <v>100</v>
      </c>
      <c r="C98" s="36" t="str">
        <f>'29-AUGUST-2026'!C91</f>
        <v>SEED</v>
      </c>
      <c r="D98" s="37">
        <f>'29-AUGUST-2026'!E91</f>
        <v>38</v>
      </c>
      <c r="E98" s="37">
        <f>'29-AUGUST-2026'!H91</f>
        <v>0</v>
      </c>
      <c r="F98" s="37">
        <f>'29-AUGUST-2026'!K91</f>
        <v>0</v>
      </c>
      <c r="G98" s="37">
        <f>'29-AUGUST-2026'!N91</f>
        <v>0</v>
      </c>
      <c r="H98" s="37">
        <f>'29-AUGUST-2026'!Y91</f>
        <v>38</v>
      </c>
      <c r="I98" s="37" t="str">
        <f>IF($A98="","",IF(COUNTIFS([1]Sheet1!$A$2:$A$190,$A98,[1]Sheet1!$B$2:$B$190,$B98)=0,"NOT IN COUNT",IF(COUNTIFS([1]Sheet1!$A$2:$A$190,$A98,[1]Sheet1!$B$2:$B$190,$B98,[1]Sheet1!$C$2:$C$190,"&gt;=0")=0,"NOT COUNTED",SUMIFS([1]Sheet1!$C$2:$C$190,[1]Sheet1!$A$2:$A$190,$A98,[1]Sheet1!$B$2:$B$190,$B98))))</f>
        <v>NOT IN COUNT</v>
      </c>
      <c r="J98" s="37" t="str">
        <f t="shared" si="2"/>
        <v/>
      </c>
      <c r="K98" s="36" t="str">
        <f t="shared" si="3"/>
        <v>NOT IN COUNT</v>
      </c>
      <c r="L98" s="38" t="str">
        <f>IF($A98="","",IF(COUNTIFS([1]Sheet1!$D$2:$D$190,$A98&amp;"|"&amp;$B98)&gt;1,"Item listed twice in count sheet","")&amp;IF(AND(ISNUMBER($I98),$H98&lt;0)," ; system closing is negative — check entries",""))</f>
        <v/>
      </c>
    </row>
    <row r="99" spans="1:12" x14ac:dyDescent="0.3">
      <c r="A99" s="35" t="str">
        <f>'29-AUGUST-2026'!A92</f>
        <v>White cabbage-Twistma</v>
      </c>
      <c r="B99" s="36">
        <f>'29-AUGUST-2026'!B92</f>
        <v>1000</v>
      </c>
      <c r="C99" s="36" t="str">
        <f>'29-AUGUST-2026'!C92</f>
        <v>SEED</v>
      </c>
      <c r="D99" s="37">
        <f>'29-AUGUST-2026'!E92</f>
        <v>14</v>
      </c>
      <c r="E99" s="37">
        <f>'29-AUGUST-2026'!H92</f>
        <v>0</v>
      </c>
      <c r="F99" s="37">
        <f>'29-AUGUST-2026'!K92</f>
        <v>2</v>
      </c>
      <c r="G99" s="37">
        <f>'29-AUGUST-2026'!N92</f>
        <v>0</v>
      </c>
      <c r="H99" s="37">
        <f>'29-AUGUST-2026'!Y92</f>
        <v>18</v>
      </c>
      <c r="I99" s="37">
        <f>IF($A99="","",IF(COUNTIFS([1]Sheet1!$A$2:$A$190,$A99,[1]Sheet1!$B$2:$B$190,$B99)=0,"NOT IN COUNT",IF(COUNTIFS([1]Sheet1!$A$2:$A$190,$A99,[1]Sheet1!$B$2:$B$190,$B99,[1]Sheet1!$C$2:$C$190,"&gt;=0")=0,"NOT COUNTED",SUMIFS([1]Sheet1!$C$2:$C$190,[1]Sheet1!$A$2:$A$190,$A99,[1]Sheet1!$B$2:$B$190,$B99))))</f>
        <v>18</v>
      </c>
      <c r="J99" s="37">
        <f t="shared" si="2"/>
        <v>0</v>
      </c>
      <c r="K99" s="36" t="str">
        <f t="shared" si="3"/>
        <v>MATCH</v>
      </c>
      <c r="L99" s="38" t="str">
        <f>IF($A99="","",IF(COUNTIFS([1]Sheet1!$D$2:$D$190,$A99&amp;"|"&amp;$B99)&gt;1,"Item listed twice in count sheet","")&amp;IF(AND(ISNUMBER($I99),$H99&lt;0)," ; system closing is negative — check entries",""))</f>
        <v/>
      </c>
    </row>
    <row r="100" spans="1:12" x14ac:dyDescent="0.3">
      <c r="A100" s="35" t="str">
        <f>'29-AUGUST-2026'!A93</f>
        <v>Zarnadi</v>
      </c>
      <c r="B100" s="36">
        <f>'29-AUGUST-2026'!B93</f>
        <v>100000</v>
      </c>
      <c r="C100" s="36">
        <f>'29-AUGUST-2026'!C93</f>
        <v>0</v>
      </c>
      <c r="D100" s="37">
        <f>'29-AUGUST-2026'!E93</f>
        <v>0</v>
      </c>
      <c r="E100" s="37">
        <f>'29-AUGUST-2026'!H93</f>
        <v>0</v>
      </c>
      <c r="F100" s="37">
        <f>'29-AUGUST-2026'!K93</f>
        <v>0</v>
      </c>
      <c r="G100" s="37">
        <f>'29-AUGUST-2026'!N93</f>
        <v>0</v>
      </c>
      <c r="H100" s="37">
        <f>'29-AUGUST-2026'!Y93</f>
        <v>0</v>
      </c>
      <c r="I100" s="37" t="str">
        <f>IF($A100="","",IF(COUNTIFS([1]Sheet1!$A$2:$A$190,$A100,[1]Sheet1!$B$2:$B$190,$B100)=0,"NOT IN COUNT",IF(COUNTIFS([1]Sheet1!$A$2:$A$190,$A100,[1]Sheet1!$B$2:$B$190,$B100,[1]Sheet1!$C$2:$C$190,"&gt;=0")=0,"NOT COUNTED",SUMIFS([1]Sheet1!$C$2:$C$190,[1]Sheet1!$A$2:$A$190,$A100,[1]Sheet1!$B$2:$B$190,$B100))))</f>
        <v>NOT IN COUNT</v>
      </c>
      <c r="J100" s="37" t="str">
        <f t="shared" si="2"/>
        <v/>
      </c>
      <c r="K100" s="36" t="str">
        <f t="shared" si="3"/>
        <v>NOT IN COUNT</v>
      </c>
      <c r="L100" s="38" t="str">
        <f>IF($A100="","",IF(COUNTIFS([1]Sheet1!$D$2:$D$190,$A100&amp;"|"&amp;$B100)&gt;1,"Item listed twice in count sheet","")&amp;IF(AND(ISNUMBER($I100),$H100&lt;0)," ; system closing is negative — check entries",""))</f>
        <v/>
      </c>
    </row>
    <row r="101" spans="1:12" x14ac:dyDescent="0.3">
      <c r="A101" s="35" t="str">
        <f>'29-AUGUST-2026'!A94</f>
        <v>Afadja</v>
      </c>
      <c r="B101" s="36">
        <f>'29-AUGUST-2026'!B94</f>
        <v>500</v>
      </c>
      <c r="C101" s="36" t="str">
        <f>'29-AUGUST-2026'!C94</f>
        <v>SEED</v>
      </c>
      <c r="D101" s="37">
        <f>'29-AUGUST-2026'!E94</f>
        <v>-2</v>
      </c>
      <c r="E101" s="37">
        <f>'29-AUGUST-2026'!H94</f>
        <v>0</v>
      </c>
      <c r="F101" s="37">
        <f>'29-AUGUST-2026'!K94</f>
        <v>0</v>
      </c>
      <c r="G101" s="37">
        <f>'29-AUGUST-2026'!N94</f>
        <v>0</v>
      </c>
      <c r="H101" s="37">
        <f>'29-AUGUST-2026'!Y94</f>
        <v>0</v>
      </c>
      <c r="I101" s="37">
        <f>IF($A101="","",IF(COUNTIFS([1]Sheet1!$A$2:$A$190,$A101,[1]Sheet1!$B$2:$B$190,$B101)=0,"NOT IN COUNT",IF(COUNTIFS([1]Sheet1!$A$2:$A$190,$A101,[1]Sheet1!$B$2:$B$190,$B101,[1]Sheet1!$C$2:$C$190,"&gt;=0")=0,"NOT COUNTED",SUMIFS([1]Sheet1!$C$2:$C$190,[1]Sheet1!$A$2:$A$190,$A101,[1]Sheet1!$B$2:$B$190,$B101))))</f>
        <v>0</v>
      </c>
      <c r="J101" s="37">
        <f t="shared" si="2"/>
        <v>0</v>
      </c>
      <c r="K101" s="36" t="str">
        <f t="shared" si="3"/>
        <v>MATCH</v>
      </c>
      <c r="L101" s="38" t="str">
        <f>IF($A101="","",IF(COUNTIFS([1]Sheet1!$D$2:$D$190,$A101&amp;"|"&amp;$B101)&gt;1,"Item listed twice in count sheet","")&amp;IF(AND(ISNUMBER($I101),$H101&lt;0)," ; system closing is negative — check entries",""))</f>
        <v/>
      </c>
    </row>
    <row r="102" spans="1:12" x14ac:dyDescent="0.3">
      <c r="A102" s="35" t="str">
        <f>'29-AUGUST-2026'!A95</f>
        <v>amburana</v>
      </c>
      <c r="B102" s="36">
        <f>'29-AUGUST-2026'!B95</f>
        <v>100</v>
      </c>
      <c r="C102" s="36" t="str">
        <f>'29-AUGUST-2026'!C95</f>
        <v>SEED</v>
      </c>
      <c r="D102" s="37">
        <f>'29-AUGUST-2026'!E95</f>
        <v>18</v>
      </c>
      <c r="E102" s="37">
        <f>'29-AUGUST-2026'!H95</f>
        <v>0</v>
      </c>
      <c r="F102" s="37">
        <f>'29-AUGUST-2026'!K95</f>
        <v>0</v>
      </c>
      <c r="G102" s="37">
        <f>'29-AUGUST-2026'!N95</f>
        <v>0</v>
      </c>
      <c r="H102" s="37">
        <f>'29-AUGUST-2026'!Y95</f>
        <v>18</v>
      </c>
      <c r="I102" s="37">
        <f>IF($A102="","",IF(COUNTIFS([1]Sheet1!$A$2:$A$190,$A102,[1]Sheet1!$B$2:$B$190,$B102)=0,"NOT IN COUNT",IF(COUNTIFS([1]Sheet1!$A$2:$A$190,$A102,[1]Sheet1!$B$2:$B$190,$B102,[1]Sheet1!$C$2:$C$190,"&gt;=0")=0,"NOT COUNTED",SUMIFS([1]Sheet1!$C$2:$C$190,[1]Sheet1!$A$2:$A$190,$A102,[1]Sheet1!$B$2:$B$190,$B102))))</f>
        <v>18</v>
      </c>
      <c r="J102" s="37">
        <f t="shared" si="2"/>
        <v>0</v>
      </c>
      <c r="K102" s="36" t="str">
        <f t="shared" si="3"/>
        <v>MATCH</v>
      </c>
      <c r="L102" s="38" t="str">
        <f>IF($A102="","",IF(COUNTIFS([1]Sheet1!$D$2:$D$190,$A102&amp;"|"&amp;$B102)&gt;1,"Item listed twice in count sheet","")&amp;IF(AND(ISNUMBER($I102),$H102&lt;0)," ; system closing is negative — check entries",""))</f>
        <v/>
      </c>
    </row>
    <row r="103" spans="1:12" x14ac:dyDescent="0.3">
      <c r="A103" s="35" t="str">
        <f>'29-AUGUST-2026'!A96</f>
        <v>amburana</v>
      </c>
      <c r="B103" s="36">
        <f>'29-AUGUST-2026'!B96</f>
        <v>500</v>
      </c>
      <c r="C103" s="36" t="str">
        <f>'29-AUGUST-2026'!C96</f>
        <v>SEED</v>
      </c>
      <c r="D103" s="37">
        <f>'29-AUGUST-2026'!E96</f>
        <v>-4</v>
      </c>
      <c r="E103" s="37">
        <f>'29-AUGUST-2026'!H96</f>
        <v>0</v>
      </c>
      <c r="F103" s="37">
        <f>'29-AUGUST-2026'!K96</f>
        <v>0</v>
      </c>
      <c r="G103" s="37">
        <f>'29-AUGUST-2026'!N96</f>
        <v>0</v>
      </c>
      <c r="H103" s="37">
        <f>'29-AUGUST-2026'!Y96</f>
        <v>1</v>
      </c>
      <c r="I103" s="37">
        <f>IF($A103="","",IF(COUNTIFS([1]Sheet1!$A$2:$A$190,$A103,[1]Sheet1!$B$2:$B$190,$B103)=0,"NOT IN COUNT",IF(COUNTIFS([1]Sheet1!$A$2:$A$190,$A103,[1]Sheet1!$B$2:$B$190,$B103,[1]Sheet1!$C$2:$C$190,"&gt;=0")=0,"NOT COUNTED",SUMIFS([1]Sheet1!$C$2:$C$190,[1]Sheet1!$A$2:$A$190,$A103,[1]Sheet1!$B$2:$B$190,$B103))))</f>
        <v>1</v>
      </c>
      <c r="J103" s="37">
        <f t="shared" si="2"/>
        <v>0</v>
      </c>
      <c r="K103" s="36" t="str">
        <f t="shared" si="3"/>
        <v>MATCH</v>
      </c>
      <c r="L103" s="38" t="str">
        <f>IF($A103="","",IF(COUNTIFS([1]Sheet1!$D$2:$D$190,$A103&amp;"|"&amp;$B103)&gt;1,"Item listed twice in count sheet","")&amp;IF(AND(ISNUMBER($I103),$H103&lt;0)," ; system closing is negative — check entries",""))</f>
        <v/>
      </c>
    </row>
    <row r="104" spans="1:12" x14ac:dyDescent="0.3">
      <c r="A104" s="35" t="str">
        <f>'29-AUGUST-2026'!A97</f>
        <v>benue</v>
      </c>
      <c r="B104" s="36">
        <f>'29-AUGUST-2026'!B97</f>
        <v>100</v>
      </c>
      <c r="C104" s="36" t="str">
        <f>'29-AUGUST-2026'!C97</f>
        <v>SEED</v>
      </c>
      <c r="D104" s="37">
        <f>'29-AUGUST-2026'!E97</f>
        <v>2</v>
      </c>
      <c r="E104" s="37">
        <f>'29-AUGUST-2026'!H97</f>
        <v>0</v>
      </c>
      <c r="F104" s="37">
        <f>'29-AUGUST-2026'!K97</f>
        <v>0</v>
      </c>
      <c r="G104" s="37">
        <f>'29-AUGUST-2026'!N97</f>
        <v>0</v>
      </c>
      <c r="H104" s="37">
        <f>'29-AUGUST-2026'!Y97</f>
        <v>1</v>
      </c>
      <c r="I104" s="37">
        <f>IF($A104="","",IF(COUNTIFS([1]Sheet1!$A$2:$A$190,$A104,[1]Sheet1!$B$2:$B$190,$B104)=0,"NOT IN COUNT",IF(COUNTIFS([1]Sheet1!$A$2:$A$190,$A104,[1]Sheet1!$B$2:$B$190,$B104,[1]Sheet1!$C$2:$C$190,"&gt;=0")=0,"NOT COUNTED",SUMIFS([1]Sheet1!$C$2:$C$190,[1]Sheet1!$A$2:$A$190,$A104,[1]Sheet1!$B$2:$B$190,$B104))))</f>
        <v>1</v>
      </c>
      <c r="J104" s="37">
        <f t="shared" si="2"/>
        <v>0</v>
      </c>
      <c r="K104" s="36" t="str">
        <f t="shared" si="3"/>
        <v>MATCH</v>
      </c>
      <c r="L104" s="38" t="str">
        <f>IF($A104="","",IF(COUNTIFS([1]Sheet1!$D$2:$D$190,$A104&amp;"|"&amp;$B104)&gt;1,"Item listed twice in count sheet","")&amp;IF(AND(ISNUMBER($I104),$H104&lt;0)," ; system closing is negative — check entries",""))</f>
        <v/>
      </c>
    </row>
    <row r="105" spans="1:12" x14ac:dyDescent="0.3">
      <c r="A105" s="35" t="str">
        <f>'29-AUGUST-2026'!A98</f>
        <v>Bologna</v>
      </c>
      <c r="B105" s="36">
        <f>'29-AUGUST-2026'!B98</f>
        <v>100</v>
      </c>
      <c r="C105" s="36" t="str">
        <f>'29-AUGUST-2026'!C98</f>
        <v>SEED</v>
      </c>
      <c r="D105" s="37">
        <f>'29-AUGUST-2026'!E98</f>
        <v>1</v>
      </c>
      <c r="E105" s="37">
        <f>'29-AUGUST-2026'!H98</f>
        <v>0</v>
      </c>
      <c r="F105" s="37">
        <f>'29-AUGUST-2026'!K98</f>
        <v>0</v>
      </c>
      <c r="G105" s="37">
        <f>'29-AUGUST-2026'!N98</f>
        <v>0</v>
      </c>
      <c r="H105" s="37">
        <f>'29-AUGUST-2026'!Y98</f>
        <v>0</v>
      </c>
      <c r="I105" s="37">
        <f>IF($A105="","",IF(COUNTIFS([1]Sheet1!$A$2:$A$190,$A105,[1]Sheet1!$B$2:$B$190,$B105)=0,"NOT IN COUNT",IF(COUNTIFS([1]Sheet1!$A$2:$A$190,$A105,[1]Sheet1!$B$2:$B$190,$B105,[1]Sheet1!$C$2:$C$190,"&gt;=0")=0,"NOT COUNTED",SUMIFS([1]Sheet1!$C$2:$C$190,[1]Sheet1!$A$2:$A$190,$A105,[1]Sheet1!$B$2:$B$190,$B105))))</f>
        <v>0</v>
      </c>
      <c r="J105" s="37">
        <f t="shared" si="2"/>
        <v>0</v>
      </c>
      <c r="K105" s="36" t="str">
        <f t="shared" si="3"/>
        <v>MATCH</v>
      </c>
      <c r="L105" s="38" t="str">
        <f>IF($A105="","",IF(COUNTIFS([1]Sheet1!$D$2:$D$190,$A105&amp;"|"&amp;$B105)&gt;1,"Item listed twice in count sheet","")&amp;IF(AND(ISNUMBER($I105),$H105&lt;0)," ; system closing is negative — check entries",""))</f>
        <v/>
      </c>
    </row>
    <row r="106" spans="1:12" x14ac:dyDescent="0.3">
      <c r="A106" s="35" t="str">
        <f>'29-AUGUST-2026'!A99</f>
        <v>Brigitte</v>
      </c>
      <c r="B106" s="36">
        <f>'29-AUGUST-2026'!B99</f>
        <v>100</v>
      </c>
      <c r="C106" s="36" t="str">
        <f>'29-AUGUST-2026'!C99</f>
        <v>SEED</v>
      </c>
      <c r="D106" s="37">
        <f>'29-AUGUST-2026'!E99</f>
        <v>10</v>
      </c>
      <c r="E106" s="37">
        <f>'29-AUGUST-2026'!H99</f>
        <v>0</v>
      </c>
      <c r="F106" s="37">
        <f>'29-AUGUST-2026'!K99</f>
        <v>0</v>
      </c>
      <c r="G106" s="37">
        <f>'29-AUGUST-2026'!N99</f>
        <v>0</v>
      </c>
      <c r="H106" s="37">
        <f>'29-AUGUST-2026'!Y99</f>
        <v>9</v>
      </c>
      <c r="I106" s="37">
        <f>IF($A106="","",IF(COUNTIFS([1]Sheet1!$A$2:$A$190,$A106,[1]Sheet1!$B$2:$B$190,$B106)=0,"NOT IN COUNT",IF(COUNTIFS([1]Sheet1!$A$2:$A$190,$A106,[1]Sheet1!$B$2:$B$190,$B106,[1]Sheet1!$C$2:$C$190,"&gt;=0")=0,"NOT COUNTED",SUMIFS([1]Sheet1!$C$2:$C$190,[1]Sheet1!$A$2:$A$190,$A106,[1]Sheet1!$B$2:$B$190,$B106))))</f>
        <v>9</v>
      </c>
      <c r="J106" s="37">
        <f t="shared" si="2"/>
        <v>0</v>
      </c>
      <c r="K106" s="36" t="str">
        <f t="shared" si="3"/>
        <v>MATCH</v>
      </c>
      <c r="L106" s="38" t="str">
        <f>IF($A106="","",IF(COUNTIFS([1]Sheet1!$D$2:$D$190,$A106&amp;"|"&amp;$B106)&gt;1,"Item listed twice in count sheet","")&amp;IF(AND(ISNUMBER($I106),$H106&lt;0)," ; system closing is negative — check entries",""))</f>
        <v/>
      </c>
    </row>
    <row r="107" spans="1:12" x14ac:dyDescent="0.3">
      <c r="A107" s="35" t="str">
        <f>'29-AUGUST-2026'!A100</f>
        <v>Caribbean king</v>
      </c>
      <c r="B107" s="36">
        <f>'29-AUGUST-2026'!B100</f>
        <v>100</v>
      </c>
      <c r="C107" s="36" t="str">
        <f>'29-AUGUST-2026'!C100</f>
        <v>SEED</v>
      </c>
      <c r="D107" s="37">
        <f>'29-AUGUST-2026'!E100</f>
        <v>1</v>
      </c>
      <c r="E107" s="37">
        <f>'29-AUGUST-2026'!H100</f>
        <v>0</v>
      </c>
      <c r="F107" s="37">
        <f>'29-AUGUST-2026'!K100</f>
        <v>0</v>
      </c>
      <c r="G107" s="37">
        <f>'29-AUGUST-2026'!N100</f>
        <v>0</v>
      </c>
      <c r="H107" s="37">
        <f>'29-AUGUST-2026'!Y100</f>
        <v>1</v>
      </c>
      <c r="I107" s="37">
        <f>IF($A107="","",IF(COUNTIFS([1]Sheet1!$A$2:$A$190,$A107,[1]Sheet1!$B$2:$B$190,$B107)=0,"NOT IN COUNT",IF(COUNTIFS([1]Sheet1!$A$2:$A$190,$A107,[1]Sheet1!$B$2:$B$190,$B107,[1]Sheet1!$C$2:$C$190,"&gt;=0")=0,"NOT COUNTED",SUMIFS([1]Sheet1!$C$2:$C$190,[1]Sheet1!$A$2:$A$190,$A107,[1]Sheet1!$B$2:$B$190,$B107))))</f>
        <v>1</v>
      </c>
      <c r="J107" s="37">
        <f t="shared" si="2"/>
        <v>0</v>
      </c>
      <c r="K107" s="36" t="str">
        <f t="shared" si="3"/>
        <v>MATCH</v>
      </c>
      <c r="L107" s="38" t="str">
        <f>IF($A107="","",IF(COUNTIFS([1]Sheet1!$D$2:$D$190,$A107&amp;"|"&amp;$B107)&gt;1,"Item listed twice in count sheet","")&amp;IF(AND(ISNUMBER($I107),$H107&lt;0)," ; system closing is negative — check entries",""))</f>
        <v/>
      </c>
    </row>
    <row r="108" spans="1:12" x14ac:dyDescent="0.3">
      <c r="A108" s="35" t="str">
        <f>'29-AUGUST-2026'!A101</f>
        <v>concorde</v>
      </c>
      <c r="B108" s="36">
        <f>'29-AUGUST-2026'!B101</f>
        <v>5000</v>
      </c>
      <c r="C108" s="36" t="str">
        <f>'29-AUGUST-2026'!C101</f>
        <v>SEED</v>
      </c>
      <c r="D108" s="37">
        <f>'29-AUGUST-2026'!E101</f>
        <v>1</v>
      </c>
      <c r="E108" s="37">
        <f>'29-AUGUST-2026'!H101</f>
        <v>0</v>
      </c>
      <c r="F108" s="37">
        <f>'29-AUGUST-2026'!K101</f>
        <v>0</v>
      </c>
      <c r="G108" s="37">
        <f>'29-AUGUST-2026'!N101</f>
        <v>0</v>
      </c>
      <c r="H108" s="37">
        <f>'29-AUGUST-2026'!Y101</f>
        <v>1</v>
      </c>
      <c r="I108" s="37" t="str">
        <f>IF($A108="","",IF(COUNTIFS([1]Sheet1!$A$2:$A$190,$A108,[1]Sheet1!$B$2:$B$190,$B108)=0,"NOT IN COUNT",IF(COUNTIFS([1]Sheet1!$A$2:$A$190,$A108,[1]Sheet1!$B$2:$B$190,$B108,[1]Sheet1!$C$2:$C$190,"&gt;=0")=0,"NOT COUNTED",SUMIFS([1]Sheet1!$C$2:$C$190,[1]Sheet1!$A$2:$A$190,$A108,[1]Sheet1!$B$2:$B$190,$B108))))</f>
        <v>NOT COUNTED</v>
      </c>
      <c r="J108" s="37" t="str">
        <f t="shared" si="2"/>
        <v/>
      </c>
      <c r="K108" s="36" t="str">
        <f t="shared" si="3"/>
        <v>NOT COUNTED</v>
      </c>
      <c r="L108" s="38" t="str">
        <f>IF($A108="","",IF(COUNTIFS([1]Sheet1!$D$2:$D$190,$A108&amp;"|"&amp;$B108)&gt;1,"Item listed twice in count sheet","")&amp;IF(AND(ISNUMBER($I108),$H108&lt;0)," ; system closing is negative — check entries",""))</f>
        <v/>
      </c>
    </row>
    <row r="109" spans="1:12" x14ac:dyDescent="0.3">
      <c r="A109" s="35" t="str">
        <f>'29-AUGUST-2026'!A102</f>
        <v>fantastic</v>
      </c>
      <c r="B109" s="36">
        <f>'29-AUGUST-2026'!B102</f>
        <v>100</v>
      </c>
      <c r="C109" s="36" t="str">
        <f>'29-AUGUST-2026'!C102</f>
        <v>SEED</v>
      </c>
      <c r="D109" s="37">
        <f>'29-AUGUST-2026'!E102</f>
        <v>4</v>
      </c>
      <c r="E109" s="37">
        <f>'29-AUGUST-2026'!H102</f>
        <v>0</v>
      </c>
      <c r="F109" s="37">
        <f>'29-AUGUST-2026'!K102</f>
        <v>0</v>
      </c>
      <c r="G109" s="37">
        <f>'29-AUGUST-2026'!N102</f>
        <v>0</v>
      </c>
      <c r="H109" s="37">
        <f>'29-AUGUST-2026'!Y102</f>
        <v>2</v>
      </c>
      <c r="I109" s="37">
        <f>IF($A109="","",IF(COUNTIFS([1]Sheet1!$A$2:$A$190,$A109,[1]Sheet1!$B$2:$B$190,$B109)=0,"NOT IN COUNT",IF(COUNTIFS([1]Sheet1!$A$2:$A$190,$A109,[1]Sheet1!$B$2:$B$190,$B109,[1]Sheet1!$C$2:$C$190,"&gt;=0")=0,"NOT COUNTED",SUMIFS([1]Sheet1!$C$2:$C$190,[1]Sheet1!$A$2:$A$190,$A109,[1]Sheet1!$B$2:$B$190,$B109))))</f>
        <v>2</v>
      </c>
      <c r="J109" s="37">
        <f t="shared" si="2"/>
        <v>0</v>
      </c>
      <c r="K109" s="36" t="str">
        <f t="shared" si="3"/>
        <v>MATCH</v>
      </c>
      <c r="L109" s="38" t="str">
        <f>IF($A109="","",IF(COUNTIFS([1]Sheet1!$D$2:$D$190,$A109&amp;"|"&amp;$B109)&gt;1,"Item listed twice in count sheet","")&amp;IF(AND(ISNUMBER($I109),$H109&lt;0)," ; system closing is negative — check entries",""))</f>
        <v/>
      </c>
    </row>
    <row r="110" spans="1:12" x14ac:dyDescent="0.3">
      <c r="A110" s="35" t="str">
        <f>'29-AUGUST-2026'!A103</f>
        <v>Gamhar</v>
      </c>
      <c r="B110" s="36">
        <f>'29-AUGUST-2026'!B103</f>
        <v>100</v>
      </c>
      <c r="C110" s="36" t="str">
        <f>'29-AUGUST-2026'!C103</f>
        <v>SEED</v>
      </c>
      <c r="D110" s="37">
        <f>'29-AUGUST-2026'!E103</f>
        <v>10</v>
      </c>
      <c r="E110" s="37">
        <f>'29-AUGUST-2026'!H103</f>
        <v>0</v>
      </c>
      <c r="F110" s="37">
        <f>'29-AUGUST-2026'!K103</f>
        <v>0</v>
      </c>
      <c r="G110" s="37">
        <f>'29-AUGUST-2026'!N103</f>
        <v>0</v>
      </c>
      <c r="H110" s="37">
        <f>'29-AUGUST-2026'!Y103</f>
        <v>7</v>
      </c>
      <c r="I110" s="37">
        <f>IF($A110="","",IF(COUNTIFS([1]Sheet1!$A$2:$A$190,$A110,[1]Sheet1!$B$2:$B$190,$B110)=0,"NOT IN COUNT",IF(COUNTIFS([1]Sheet1!$A$2:$A$190,$A110,[1]Sheet1!$B$2:$B$190,$B110,[1]Sheet1!$C$2:$C$190,"&gt;=0")=0,"NOT COUNTED",SUMIFS([1]Sheet1!$C$2:$C$190,[1]Sheet1!$A$2:$A$190,$A110,[1]Sheet1!$B$2:$B$190,$B110))))</f>
        <v>7</v>
      </c>
      <c r="J110" s="37">
        <f t="shared" si="2"/>
        <v>0</v>
      </c>
      <c r="K110" s="36" t="str">
        <f t="shared" si="3"/>
        <v>MATCH</v>
      </c>
      <c r="L110" s="38" t="str">
        <f>IF($A110="","",IF(COUNTIFS([1]Sheet1!$D$2:$D$190,$A110&amp;"|"&amp;$B110)&gt;1,"Item listed twice in count sheet","")&amp;IF(AND(ISNUMBER($I110),$H110&lt;0)," ; system closing is negative — check entries",""))</f>
        <v/>
      </c>
    </row>
    <row r="111" spans="1:12" x14ac:dyDescent="0.3">
      <c r="A111" s="35" t="str">
        <f>'29-AUGUST-2026'!A104</f>
        <v>Gladial</v>
      </c>
      <c r="B111" s="36">
        <f>'29-AUGUST-2026'!B104</f>
        <v>100</v>
      </c>
      <c r="C111" s="36" t="str">
        <f>'29-AUGUST-2026'!C104</f>
        <v>SEED</v>
      </c>
      <c r="D111" s="37">
        <f>'29-AUGUST-2026'!E104</f>
        <v>2</v>
      </c>
      <c r="E111" s="37">
        <f>'29-AUGUST-2026'!H104</f>
        <v>0</v>
      </c>
      <c r="F111" s="37">
        <f>'29-AUGUST-2026'!K104</f>
        <v>0</v>
      </c>
      <c r="G111" s="37">
        <f>'29-AUGUST-2026'!N104</f>
        <v>0</v>
      </c>
      <c r="H111" s="37">
        <f>'29-AUGUST-2026'!Y104</f>
        <v>2</v>
      </c>
      <c r="I111" s="37">
        <f>IF($A111="","",IF(COUNTIFS([1]Sheet1!$A$2:$A$190,$A111,[1]Sheet1!$B$2:$B$190,$B111)=0,"NOT IN COUNT",IF(COUNTIFS([1]Sheet1!$A$2:$A$190,$A111,[1]Sheet1!$B$2:$B$190,$B111,[1]Sheet1!$C$2:$C$190,"&gt;=0")=0,"NOT COUNTED",SUMIFS([1]Sheet1!$C$2:$C$190,[1]Sheet1!$A$2:$A$190,$A111,[1]Sheet1!$B$2:$B$190,$B111))))</f>
        <v>2</v>
      </c>
      <c r="J111" s="37">
        <f t="shared" si="2"/>
        <v>0</v>
      </c>
      <c r="K111" s="36" t="str">
        <f t="shared" si="3"/>
        <v>MATCH</v>
      </c>
      <c r="L111" s="38" t="str">
        <f>IF($A111="","",IF(COUNTIFS([1]Sheet1!$D$2:$D$190,$A111&amp;"|"&amp;$B111)&gt;1,"Item listed twice in count sheet","")&amp;IF(AND(ISNUMBER($I111),$H111&lt;0)," ; system closing is negative — check entries",""))</f>
        <v/>
      </c>
    </row>
    <row r="112" spans="1:12" x14ac:dyDescent="0.3">
      <c r="A112" s="35" t="str">
        <f>'29-AUGUST-2026'!A105</f>
        <v>Ilanga</v>
      </c>
      <c r="B112" s="36">
        <f>'29-AUGUST-2026'!B105</f>
        <v>100</v>
      </c>
      <c r="C112" s="36" t="str">
        <f>'29-AUGUST-2026'!C105</f>
        <v>SEED</v>
      </c>
      <c r="D112" s="37">
        <f>'29-AUGUST-2026'!E105</f>
        <v>3</v>
      </c>
      <c r="E112" s="37">
        <f>'29-AUGUST-2026'!H105</f>
        <v>0</v>
      </c>
      <c r="F112" s="37">
        <f>'29-AUGUST-2026'!K105</f>
        <v>0</v>
      </c>
      <c r="G112" s="37">
        <f>'29-AUGUST-2026'!N105</f>
        <v>0</v>
      </c>
      <c r="H112" s="37">
        <f>'29-AUGUST-2026'!Y105</f>
        <v>3</v>
      </c>
      <c r="I112" s="37">
        <f>IF($A112="","",IF(COUNTIFS([1]Sheet1!$A$2:$A$190,$A112,[1]Sheet1!$B$2:$B$190,$B112)=0,"NOT IN COUNT",IF(COUNTIFS([1]Sheet1!$A$2:$A$190,$A112,[1]Sheet1!$B$2:$B$190,$B112,[1]Sheet1!$C$2:$C$190,"&gt;=0")=0,"NOT COUNTED",SUMIFS([1]Sheet1!$C$2:$C$190,[1]Sheet1!$A$2:$A$190,$A112,[1]Sheet1!$B$2:$B$190,$B112))))</f>
        <v>3</v>
      </c>
      <c r="J112" s="37">
        <f t="shared" si="2"/>
        <v>0</v>
      </c>
      <c r="K112" s="36" t="str">
        <f t="shared" si="3"/>
        <v>MATCH</v>
      </c>
      <c r="L112" s="38" t="str">
        <f>IF($A112="","",IF(COUNTIFS([1]Sheet1!$D$2:$D$190,$A112&amp;"|"&amp;$B112)&gt;1,"Item listed twice in count sheet","")&amp;IF(AND(ISNUMBER($I112),$H112&lt;0)," ; system closing is negative — check entries",""))</f>
        <v/>
      </c>
    </row>
    <row r="113" spans="1:12" x14ac:dyDescent="0.3">
      <c r="A113" s="35" t="str">
        <f>'29-AUGUST-2026'!A106</f>
        <v>Jarrah</v>
      </c>
      <c r="B113" s="36">
        <f>'29-AUGUST-2026'!B106</f>
        <v>100</v>
      </c>
      <c r="C113" s="36" t="str">
        <f>'29-AUGUST-2026'!C106</f>
        <v>SEED</v>
      </c>
      <c r="D113" s="37">
        <f>'29-AUGUST-2026'!E106</f>
        <v>4</v>
      </c>
      <c r="E113" s="37">
        <f>'29-AUGUST-2026'!H106</f>
        <v>0</v>
      </c>
      <c r="F113" s="37">
        <f>'29-AUGUST-2026'!K106</f>
        <v>0</v>
      </c>
      <c r="G113" s="37">
        <f>'29-AUGUST-2026'!N106</f>
        <v>0</v>
      </c>
      <c r="H113" s="37">
        <f>'29-AUGUST-2026'!Y106</f>
        <v>4</v>
      </c>
      <c r="I113" s="37">
        <f>IF($A113="","",IF(COUNTIFS([1]Sheet1!$A$2:$A$190,$A113,[1]Sheet1!$B$2:$B$190,$B113)=0,"NOT IN COUNT",IF(COUNTIFS([1]Sheet1!$A$2:$A$190,$A113,[1]Sheet1!$B$2:$B$190,$B113,[1]Sheet1!$C$2:$C$190,"&gt;=0")=0,"NOT COUNTED",SUMIFS([1]Sheet1!$C$2:$C$190,[1]Sheet1!$A$2:$A$190,$A113,[1]Sheet1!$B$2:$B$190,$B113))))</f>
        <v>4</v>
      </c>
      <c r="J113" s="37">
        <f t="shared" si="2"/>
        <v>0</v>
      </c>
      <c r="K113" s="36" t="str">
        <f t="shared" si="3"/>
        <v>MATCH</v>
      </c>
      <c r="L113" s="38" t="str">
        <f>IF($A113="","",IF(COUNTIFS([1]Sheet1!$D$2:$D$190,$A113&amp;"|"&amp;$B113)&gt;1,"Item listed twice in count sheet","")&amp;IF(AND(ISNUMBER($I113),$H113&lt;0)," ; system closing is negative — check entries",""))</f>
        <v/>
      </c>
    </row>
    <row r="114" spans="1:12" x14ac:dyDescent="0.3">
      <c r="A114" s="35" t="str">
        <f>'29-AUGUST-2026'!A107</f>
        <v>Jarrah</v>
      </c>
      <c r="B114" s="36">
        <f>'29-AUGUST-2026'!B107</f>
        <v>1000</v>
      </c>
      <c r="C114" s="36" t="str">
        <f>'29-AUGUST-2026'!C107</f>
        <v>SEED</v>
      </c>
      <c r="D114" s="37">
        <f>'29-AUGUST-2026'!E107</f>
        <v>1</v>
      </c>
      <c r="E114" s="37">
        <f>'29-AUGUST-2026'!H107</f>
        <v>0</v>
      </c>
      <c r="F114" s="37">
        <f>'29-AUGUST-2026'!K107</f>
        <v>0</v>
      </c>
      <c r="G114" s="37">
        <f>'29-AUGUST-2026'!N107</f>
        <v>0</v>
      </c>
      <c r="H114" s="37">
        <f>'29-AUGUST-2026'!Y107</f>
        <v>1</v>
      </c>
      <c r="I114" s="37">
        <f>IF($A114="","",IF(COUNTIFS([1]Sheet1!$A$2:$A$190,$A114,[1]Sheet1!$B$2:$B$190,$B114)=0,"NOT IN COUNT",IF(COUNTIFS([1]Sheet1!$A$2:$A$190,$A114,[1]Sheet1!$B$2:$B$190,$B114,[1]Sheet1!$C$2:$C$190,"&gt;=0")=0,"NOT COUNTED",SUMIFS([1]Sheet1!$C$2:$C$190,[1]Sheet1!$A$2:$A$190,$A114,[1]Sheet1!$B$2:$B$190,$B114))))</f>
        <v>1</v>
      </c>
      <c r="J114" s="37">
        <f t="shared" si="2"/>
        <v>0</v>
      </c>
      <c r="K114" s="36" t="str">
        <f t="shared" si="3"/>
        <v>MATCH</v>
      </c>
      <c r="L114" s="38" t="str">
        <f>IF($A114="","",IF(COUNTIFS([1]Sheet1!$D$2:$D$190,$A114&amp;"|"&amp;$B114)&gt;1,"Item listed twice in count sheet","")&amp;IF(AND(ISNUMBER($I114),$H114&lt;0)," ; system closing is negative — check entries",""))</f>
        <v/>
      </c>
    </row>
    <row r="115" spans="1:12" x14ac:dyDescent="0.3">
      <c r="A115" s="35" t="str">
        <f>'29-AUGUST-2026'!A108</f>
        <v>Kazinga</v>
      </c>
      <c r="B115" s="36">
        <f>'29-AUGUST-2026'!B108</f>
        <v>100</v>
      </c>
      <c r="C115" s="36" t="str">
        <f>'29-AUGUST-2026'!C108</f>
        <v>SEED</v>
      </c>
      <c r="D115" s="37">
        <f>'29-AUGUST-2026'!E108</f>
        <v>-12</v>
      </c>
      <c r="E115" s="37">
        <f>'29-AUGUST-2026'!H108</f>
        <v>0</v>
      </c>
      <c r="F115" s="37">
        <f>'29-AUGUST-2026'!K108</f>
        <v>0</v>
      </c>
      <c r="G115" s="37">
        <f>'29-AUGUST-2026'!N108</f>
        <v>0</v>
      </c>
      <c r="H115" s="37">
        <f>'29-AUGUST-2026'!Y108</f>
        <v>1</v>
      </c>
      <c r="I115" s="37">
        <f>IF($A115="","",IF(COUNTIFS([1]Sheet1!$A$2:$A$190,$A115,[1]Sheet1!$B$2:$B$190,$B115)=0,"NOT IN COUNT",IF(COUNTIFS([1]Sheet1!$A$2:$A$190,$A115,[1]Sheet1!$B$2:$B$190,$B115,[1]Sheet1!$C$2:$C$190,"&gt;=0")=0,"NOT COUNTED",SUMIFS([1]Sheet1!$C$2:$C$190,[1]Sheet1!$A$2:$A$190,$A115,[1]Sheet1!$B$2:$B$190,$B115))))</f>
        <v>1</v>
      </c>
      <c r="J115" s="37">
        <f t="shared" si="2"/>
        <v>0</v>
      </c>
      <c r="K115" s="36" t="str">
        <f t="shared" si="3"/>
        <v>MATCH</v>
      </c>
      <c r="L115" s="38" t="str">
        <f>IF($A115="","",IF(COUNTIFS([1]Sheet1!$D$2:$D$190,$A115&amp;"|"&amp;$B115)&gt;1,"Item listed twice in count sheet","")&amp;IF(AND(ISNUMBER($I115),$H115&lt;0)," ; system closing is negative — check entries",""))</f>
        <v/>
      </c>
    </row>
    <row r="116" spans="1:12" x14ac:dyDescent="0.3">
      <c r="A116" s="35" t="str">
        <f>'29-AUGUST-2026'!A109</f>
        <v>kristine</v>
      </c>
      <c r="B116" s="36">
        <f>'29-AUGUST-2026'!B109</f>
        <v>1000</v>
      </c>
      <c r="C116" s="36" t="str">
        <f>'29-AUGUST-2026'!C109</f>
        <v>SEED</v>
      </c>
      <c r="D116" s="37">
        <f>'29-AUGUST-2026'!E109</f>
        <v>1</v>
      </c>
      <c r="E116" s="37">
        <f>'29-AUGUST-2026'!H109</f>
        <v>0</v>
      </c>
      <c r="F116" s="37">
        <f>'29-AUGUST-2026'!K109</f>
        <v>0</v>
      </c>
      <c r="G116" s="37">
        <f>'29-AUGUST-2026'!N109</f>
        <v>0</v>
      </c>
      <c r="H116" s="37">
        <f>'29-AUGUST-2026'!Y109</f>
        <v>1</v>
      </c>
      <c r="I116" s="37">
        <f>IF($A116="","",IF(COUNTIFS([1]Sheet1!$A$2:$A$190,$A116,[1]Sheet1!$B$2:$B$190,$B116)=0,"NOT IN COUNT",IF(COUNTIFS([1]Sheet1!$A$2:$A$190,$A116,[1]Sheet1!$B$2:$B$190,$B116,[1]Sheet1!$C$2:$C$190,"&gt;=0")=0,"NOT COUNTED",SUMIFS([1]Sheet1!$C$2:$C$190,[1]Sheet1!$A$2:$A$190,$A116,[1]Sheet1!$B$2:$B$190,$B116))))</f>
        <v>1</v>
      </c>
      <c r="J116" s="37">
        <f t="shared" si="2"/>
        <v>0</v>
      </c>
      <c r="K116" s="36" t="str">
        <f t="shared" si="3"/>
        <v>MATCH</v>
      </c>
      <c r="L116" s="38" t="str">
        <f>IF($A116="","",IF(COUNTIFS([1]Sheet1!$D$2:$D$190,$A116&amp;"|"&amp;$B116)&gt;1,"Item listed twice in count sheet","")&amp;IF(AND(ISNUMBER($I116),$H116&lt;0)," ; system closing is negative — check entries",""))</f>
        <v/>
      </c>
    </row>
    <row r="117" spans="1:12" x14ac:dyDescent="0.3">
      <c r="A117" s="35" t="str">
        <f>'29-AUGUST-2026'!A110</f>
        <v>leirre</v>
      </c>
      <c r="B117" s="36">
        <f>'29-AUGUST-2026'!B110</f>
        <v>100</v>
      </c>
      <c r="C117" s="36" t="str">
        <f>'29-AUGUST-2026'!C110</f>
        <v>SEED</v>
      </c>
      <c r="D117" s="37">
        <f>'29-AUGUST-2026'!E110</f>
        <v>2</v>
      </c>
      <c r="E117" s="37">
        <f>'29-AUGUST-2026'!H110</f>
        <v>0</v>
      </c>
      <c r="F117" s="37">
        <f>'29-AUGUST-2026'!K110</f>
        <v>0</v>
      </c>
      <c r="G117" s="37">
        <f>'29-AUGUST-2026'!N110</f>
        <v>0</v>
      </c>
      <c r="H117" s="37">
        <f>'29-AUGUST-2026'!Y110</f>
        <v>2</v>
      </c>
      <c r="I117" s="37" t="str">
        <f>IF($A117="","",IF(COUNTIFS([1]Sheet1!$A$2:$A$190,$A117,[1]Sheet1!$B$2:$B$190,$B117)=0,"NOT IN COUNT",IF(COUNTIFS([1]Sheet1!$A$2:$A$190,$A117,[1]Sheet1!$B$2:$B$190,$B117,[1]Sheet1!$C$2:$C$190,"&gt;=0")=0,"NOT COUNTED",SUMIFS([1]Sheet1!$C$2:$C$190,[1]Sheet1!$A$2:$A$190,$A117,[1]Sheet1!$B$2:$B$190,$B117))))</f>
        <v>NOT IN COUNT</v>
      </c>
      <c r="J117" s="37" t="str">
        <f t="shared" si="2"/>
        <v/>
      </c>
      <c r="K117" s="36" t="str">
        <f t="shared" si="3"/>
        <v>NOT IN COUNT</v>
      </c>
      <c r="L117" s="38" t="str">
        <f>IF($A117="","",IF(COUNTIFS([1]Sheet1!$D$2:$D$190,$A117&amp;"|"&amp;$B117)&gt;1,"Item listed twice in count sheet","")&amp;IF(AND(ISNUMBER($I117),$H117&lt;0)," ; system closing is negative — check entries",""))</f>
        <v/>
      </c>
    </row>
    <row r="118" spans="1:12" x14ac:dyDescent="0.3">
      <c r="A118" s="35" t="str">
        <f>'29-AUGUST-2026'!A111</f>
        <v>Limpopo</v>
      </c>
      <c r="B118" s="36">
        <f>'29-AUGUST-2026'!B111</f>
        <v>500</v>
      </c>
      <c r="C118" s="36" t="str">
        <f>'29-AUGUST-2026'!C111</f>
        <v>SEED</v>
      </c>
      <c r="D118" s="37">
        <f>'29-AUGUST-2026'!E111</f>
        <v>1</v>
      </c>
      <c r="E118" s="37">
        <f>'29-AUGUST-2026'!H111</f>
        <v>0</v>
      </c>
      <c r="F118" s="37">
        <f>'29-AUGUST-2026'!K111</f>
        <v>0</v>
      </c>
      <c r="G118" s="37">
        <f>'29-AUGUST-2026'!N111</f>
        <v>0</v>
      </c>
      <c r="H118" s="37">
        <f>'29-AUGUST-2026'!Y111</f>
        <v>1</v>
      </c>
      <c r="I118" s="37">
        <f>IF($A118="","",IF(COUNTIFS([1]Sheet1!$A$2:$A$190,$A118,[1]Sheet1!$B$2:$B$190,$B118)=0,"NOT IN COUNT",IF(COUNTIFS([1]Sheet1!$A$2:$A$190,$A118,[1]Sheet1!$B$2:$B$190,$B118,[1]Sheet1!$C$2:$C$190,"&gt;=0")=0,"NOT COUNTED",SUMIFS([1]Sheet1!$C$2:$C$190,[1]Sheet1!$A$2:$A$190,$A118,[1]Sheet1!$B$2:$B$190,$B118))))</f>
        <v>1</v>
      </c>
      <c r="J118" s="37">
        <f t="shared" si="2"/>
        <v>0</v>
      </c>
      <c r="K118" s="36" t="str">
        <f t="shared" si="3"/>
        <v>MATCH</v>
      </c>
      <c r="L118" s="38" t="str">
        <f>IF($A118="","",IF(COUNTIFS([1]Sheet1!$D$2:$D$190,$A118&amp;"|"&amp;$B118)&gt;1,"Item listed twice in count sheet","")&amp;IF(AND(ISNUMBER($I118),$H118&lt;0)," ; system closing is negative — check entries",""))</f>
        <v/>
      </c>
    </row>
    <row r="119" spans="1:12" x14ac:dyDescent="0.3">
      <c r="A119" s="35" t="str">
        <f>'29-AUGUST-2026'!A112</f>
        <v>Mawenzili</v>
      </c>
      <c r="B119" s="36">
        <f>'29-AUGUST-2026'!B112</f>
        <v>100</v>
      </c>
      <c r="C119" s="36" t="str">
        <f>'29-AUGUST-2026'!C112</f>
        <v>SEED</v>
      </c>
      <c r="D119" s="37">
        <f>'29-AUGUST-2026'!E112</f>
        <v>2</v>
      </c>
      <c r="E119" s="37">
        <f>'29-AUGUST-2026'!H112</f>
        <v>0</v>
      </c>
      <c r="F119" s="37">
        <f>'29-AUGUST-2026'!K112</f>
        <v>0</v>
      </c>
      <c r="G119" s="37">
        <f>'29-AUGUST-2026'!N112</f>
        <v>0</v>
      </c>
      <c r="H119" s="37">
        <f>'29-AUGUST-2026'!Y112</f>
        <v>0</v>
      </c>
      <c r="I119" s="37">
        <f>IF($A119="","",IF(COUNTIFS([1]Sheet1!$A$2:$A$190,$A119,[1]Sheet1!$B$2:$B$190,$B119)=0,"NOT IN COUNT",IF(COUNTIFS([1]Sheet1!$A$2:$A$190,$A119,[1]Sheet1!$B$2:$B$190,$B119,[1]Sheet1!$C$2:$C$190,"&gt;=0")=0,"NOT COUNTED",SUMIFS([1]Sheet1!$C$2:$C$190,[1]Sheet1!$A$2:$A$190,$A119,[1]Sheet1!$B$2:$B$190,$B119))))</f>
        <v>0</v>
      </c>
      <c r="J119" s="37">
        <f t="shared" si="2"/>
        <v>0</v>
      </c>
      <c r="K119" s="36" t="str">
        <f t="shared" si="3"/>
        <v>MATCH</v>
      </c>
      <c r="L119" s="38" t="str">
        <f>IF($A119="","",IF(COUNTIFS([1]Sheet1!$D$2:$D$190,$A119&amp;"|"&amp;$B119)&gt;1,"Item listed twice in count sheet","")&amp;IF(AND(ISNUMBER($I119),$H119&lt;0)," ; system closing is negative — check entries",""))</f>
        <v/>
      </c>
    </row>
    <row r="120" spans="1:12" x14ac:dyDescent="0.3">
      <c r="A120" s="35" t="str">
        <f>'29-AUGUST-2026'!A113</f>
        <v>Pasarella</v>
      </c>
      <c r="B120" s="36">
        <f>'29-AUGUST-2026'!B113</f>
        <v>100</v>
      </c>
      <c r="C120" s="36" t="str">
        <f>'29-AUGUST-2026'!C113</f>
        <v>SEED</v>
      </c>
      <c r="D120" s="37">
        <f>'29-AUGUST-2026'!E113</f>
        <v>4</v>
      </c>
      <c r="E120" s="37">
        <f>'29-AUGUST-2026'!H113</f>
        <v>0</v>
      </c>
      <c r="F120" s="37">
        <f>'29-AUGUST-2026'!K113</f>
        <v>0</v>
      </c>
      <c r="G120" s="37">
        <f>'29-AUGUST-2026'!N113</f>
        <v>0</v>
      </c>
      <c r="H120" s="37">
        <f>'29-AUGUST-2026'!Y113</f>
        <v>1</v>
      </c>
      <c r="I120" s="37">
        <f>IF($A120="","",IF(COUNTIFS([1]Sheet1!$A$2:$A$190,$A120,[1]Sheet1!$B$2:$B$190,$B120)=0,"NOT IN COUNT",IF(COUNTIFS([1]Sheet1!$A$2:$A$190,$A120,[1]Sheet1!$B$2:$B$190,$B120,[1]Sheet1!$C$2:$C$190,"&gt;=0")=0,"NOT COUNTED",SUMIFS([1]Sheet1!$C$2:$C$190,[1]Sheet1!$A$2:$A$190,$A120,[1]Sheet1!$B$2:$B$190,$B120))))</f>
        <v>1</v>
      </c>
      <c r="J120" s="37">
        <f t="shared" si="2"/>
        <v>0</v>
      </c>
      <c r="K120" s="36" t="str">
        <f t="shared" si="3"/>
        <v>MATCH</v>
      </c>
      <c r="L120" s="38" t="str">
        <f>IF($A120="","",IF(COUNTIFS([1]Sheet1!$D$2:$D$190,$A120&amp;"|"&amp;$B120)&gt;1,"Item listed twice in count sheet","")&amp;IF(AND(ISNUMBER($I120),$H120&lt;0)," ; system closing is negative — check entries",""))</f>
        <v/>
      </c>
    </row>
    <row r="121" spans="1:12" x14ac:dyDescent="0.3">
      <c r="A121" s="35" t="str">
        <f>'29-AUGUST-2026'!A114</f>
        <v>Primarino</v>
      </c>
      <c r="B121" s="36">
        <f>'29-AUGUST-2026'!B114</f>
        <v>100</v>
      </c>
      <c r="C121" s="36" t="str">
        <f>'29-AUGUST-2026'!C114</f>
        <v>SEED</v>
      </c>
      <c r="D121" s="37">
        <f>'29-AUGUST-2026'!E114</f>
        <v>7</v>
      </c>
      <c r="E121" s="37">
        <f>'29-AUGUST-2026'!H114</f>
        <v>0</v>
      </c>
      <c r="F121" s="37">
        <f>'29-AUGUST-2026'!K114</f>
        <v>0</v>
      </c>
      <c r="G121" s="37">
        <f>'29-AUGUST-2026'!N114</f>
        <v>0</v>
      </c>
      <c r="H121" s="37">
        <f>'29-AUGUST-2026'!Y114</f>
        <v>4</v>
      </c>
      <c r="I121" s="37">
        <f>IF($A121="","",IF(COUNTIFS([1]Sheet1!$A$2:$A$190,$A121,[1]Sheet1!$B$2:$B$190,$B121)=0,"NOT IN COUNT",IF(COUNTIFS([1]Sheet1!$A$2:$A$190,$A121,[1]Sheet1!$B$2:$B$190,$B121,[1]Sheet1!$C$2:$C$190,"&gt;=0")=0,"NOT COUNTED",SUMIFS([1]Sheet1!$C$2:$C$190,[1]Sheet1!$A$2:$A$190,$A121,[1]Sheet1!$B$2:$B$190,$B121))))</f>
        <v>4</v>
      </c>
      <c r="J121" s="37">
        <f t="shared" si="2"/>
        <v>0</v>
      </c>
      <c r="K121" s="36" t="str">
        <f t="shared" si="3"/>
        <v>MATCH</v>
      </c>
      <c r="L121" s="38" t="str">
        <f>IF($A121="","",IF(COUNTIFS([1]Sheet1!$D$2:$D$190,$A121&amp;"|"&amp;$B121)&gt;1,"Item listed twice in count sheet","")&amp;IF(AND(ISNUMBER($I121),$H121&lt;0)," ; system closing is negative — check entries",""))</f>
        <v/>
      </c>
    </row>
    <row r="122" spans="1:12" x14ac:dyDescent="0.3">
      <c r="A122" s="35" t="str">
        <f>'29-AUGUST-2026'!A115</f>
        <v>Reggaeton</v>
      </c>
      <c r="B122" s="36">
        <f>'29-AUGUST-2026'!B115</f>
        <v>100</v>
      </c>
      <c r="C122" s="36" t="str">
        <f>'29-AUGUST-2026'!C115</f>
        <v>SEED</v>
      </c>
      <c r="D122" s="37">
        <f>'29-AUGUST-2026'!E115</f>
        <v>4</v>
      </c>
      <c r="E122" s="37">
        <f>'29-AUGUST-2026'!H115</f>
        <v>0</v>
      </c>
      <c r="F122" s="37">
        <f>'29-AUGUST-2026'!K115</f>
        <v>0</v>
      </c>
      <c r="G122" s="37">
        <f>'29-AUGUST-2026'!N115</f>
        <v>0</v>
      </c>
      <c r="H122" s="37">
        <f>'29-AUGUST-2026'!Y115</f>
        <v>2</v>
      </c>
      <c r="I122" s="37">
        <f>IF($A122="","",IF(COUNTIFS([1]Sheet1!$A$2:$A$190,$A122,[1]Sheet1!$B$2:$B$190,$B122)=0,"NOT IN COUNT",IF(COUNTIFS([1]Sheet1!$A$2:$A$190,$A122,[1]Sheet1!$B$2:$B$190,$B122,[1]Sheet1!$C$2:$C$190,"&gt;=0")=0,"NOT COUNTED",SUMIFS([1]Sheet1!$C$2:$C$190,[1]Sheet1!$A$2:$A$190,$A122,[1]Sheet1!$B$2:$B$190,$B122))))</f>
        <v>2</v>
      </c>
      <c r="J122" s="37">
        <f t="shared" si="2"/>
        <v>0</v>
      </c>
      <c r="K122" s="36" t="str">
        <f t="shared" si="3"/>
        <v>MATCH</v>
      </c>
      <c r="L122" s="38" t="str">
        <f>IF($A122="","",IF(COUNTIFS([1]Sheet1!$D$2:$D$190,$A122&amp;"|"&amp;$B122)&gt;1,"Item listed twice in count sheet","")&amp;IF(AND(ISNUMBER($I122),$H122&lt;0)," ; system closing is negative — check entries",""))</f>
        <v/>
      </c>
    </row>
    <row r="123" spans="1:12" x14ac:dyDescent="0.3">
      <c r="A123" s="35" t="str">
        <f>'29-AUGUST-2026'!A116</f>
        <v>romietto</v>
      </c>
      <c r="B123" s="36">
        <f>'29-AUGUST-2026'!B116</f>
        <v>100</v>
      </c>
      <c r="C123" s="36" t="str">
        <f>'29-AUGUST-2026'!C116</f>
        <v>SEED</v>
      </c>
      <c r="D123" s="37">
        <f>'29-AUGUST-2026'!E116</f>
        <v>3</v>
      </c>
      <c r="E123" s="37">
        <f>'29-AUGUST-2026'!H116</f>
        <v>0</v>
      </c>
      <c r="F123" s="37">
        <f>'29-AUGUST-2026'!K116</f>
        <v>0</v>
      </c>
      <c r="G123" s="37">
        <f>'29-AUGUST-2026'!N116</f>
        <v>0</v>
      </c>
      <c r="H123" s="37">
        <f>'29-AUGUST-2026'!Y116</f>
        <v>3</v>
      </c>
      <c r="I123" s="37">
        <f>IF($A123="","",IF(COUNTIFS([1]Sheet1!$A$2:$A$190,$A123,[1]Sheet1!$B$2:$B$190,$B123)=0,"NOT IN COUNT",IF(COUNTIFS([1]Sheet1!$A$2:$A$190,$A123,[1]Sheet1!$B$2:$B$190,$B123,[1]Sheet1!$C$2:$C$190,"&gt;=0")=0,"NOT COUNTED",SUMIFS([1]Sheet1!$C$2:$C$190,[1]Sheet1!$A$2:$A$190,$A123,[1]Sheet1!$B$2:$B$190,$B123))))</f>
        <v>3</v>
      </c>
      <c r="J123" s="37">
        <f t="shared" si="2"/>
        <v>0</v>
      </c>
      <c r="K123" s="36" t="str">
        <f t="shared" si="3"/>
        <v>MATCH</v>
      </c>
      <c r="L123" s="38" t="str">
        <f>IF($A123="","",IF(COUNTIFS([1]Sheet1!$D$2:$D$190,$A123&amp;"|"&amp;$B123)&gt;1,"Item listed twice in count sheet","")&amp;IF(AND(ISNUMBER($I123),$H123&lt;0)," ; system closing is negative — check entries",""))</f>
        <v/>
      </c>
    </row>
    <row r="124" spans="1:12" x14ac:dyDescent="0.3">
      <c r="A124" s="35" t="str">
        <f>'29-AUGUST-2026'!A117</f>
        <v>Shelter</v>
      </c>
      <c r="B124" s="36">
        <f>'29-AUGUST-2026'!B117</f>
        <v>100</v>
      </c>
      <c r="C124" s="36" t="str">
        <f>'29-AUGUST-2026'!C117</f>
        <v>SEED</v>
      </c>
      <c r="D124" s="37">
        <f>'29-AUGUST-2026'!E117</f>
        <v>4</v>
      </c>
      <c r="E124" s="37">
        <f>'29-AUGUST-2026'!H117</f>
        <v>0</v>
      </c>
      <c r="F124" s="37">
        <f>'29-AUGUST-2026'!K117</f>
        <v>0</v>
      </c>
      <c r="G124" s="37">
        <f>'29-AUGUST-2026'!N117</f>
        <v>0</v>
      </c>
      <c r="H124" s="37">
        <f>'29-AUGUST-2026'!Y117</f>
        <v>3</v>
      </c>
      <c r="I124" s="37">
        <f>IF($A124="","",IF(COUNTIFS([1]Sheet1!$A$2:$A$190,$A124,[1]Sheet1!$B$2:$B$190,$B124)=0,"NOT IN COUNT",IF(COUNTIFS([1]Sheet1!$A$2:$A$190,$A124,[1]Sheet1!$B$2:$B$190,$B124,[1]Sheet1!$C$2:$C$190,"&gt;=0")=0,"NOT COUNTED",SUMIFS([1]Sheet1!$C$2:$C$190,[1]Sheet1!$A$2:$A$190,$A124,[1]Sheet1!$B$2:$B$190,$B124))))</f>
        <v>3</v>
      </c>
      <c r="J124" s="37">
        <f t="shared" si="2"/>
        <v>0</v>
      </c>
      <c r="K124" s="36" t="str">
        <f t="shared" si="3"/>
        <v>MATCH</v>
      </c>
      <c r="L124" s="38" t="str">
        <f>IF($A124="","",IF(COUNTIFS([1]Sheet1!$D$2:$D$190,$A124&amp;"|"&amp;$B124)&gt;1,"Item listed twice in count sheet","")&amp;IF(AND(ISNUMBER($I124),$H124&lt;0)," ; system closing is negative — check entries",""))</f>
        <v/>
      </c>
    </row>
    <row r="125" spans="1:12" x14ac:dyDescent="0.3">
      <c r="A125" s="35" t="str">
        <f>'29-AUGUST-2026'!A118</f>
        <v>sondela</v>
      </c>
      <c r="B125" s="36">
        <f>'29-AUGUST-2026'!B118</f>
        <v>100</v>
      </c>
      <c r="C125" s="36" t="str">
        <f>'29-AUGUST-2026'!C118</f>
        <v>SEED</v>
      </c>
      <c r="D125" s="37">
        <f>'29-AUGUST-2026'!E118</f>
        <v>1</v>
      </c>
      <c r="E125" s="37">
        <f>'29-AUGUST-2026'!H118</f>
        <v>0</v>
      </c>
      <c r="F125" s="37">
        <f>'29-AUGUST-2026'!K118</f>
        <v>0</v>
      </c>
      <c r="G125" s="37">
        <f>'29-AUGUST-2026'!N118</f>
        <v>0</v>
      </c>
      <c r="H125" s="37">
        <f>'29-AUGUST-2026'!Y118</f>
        <v>2</v>
      </c>
      <c r="I125" s="37">
        <f>IF($A125="","",IF(COUNTIFS([1]Sheet1!$A$2:$A$190,$A125,[1]Sheet1!$B$2:$B$190,$B125)=0,"NOT IN COUNT",IF(COUNTIFS([1]Sheet1!$A$2:$A$190,$A125,[1]Sheet1!$B$2:$B$190,$B125,[1]Sheet1!$C$2:$C$190,"&gt;=0")=0,"NOT COUNTED",SUMIFS([1]Sheet1!$C$2:$C$190,[1]Sheet1!$A$2:$A$190,$A125,[1]Sheet1!$B$2:$B$190,$B125))))</f>
        <v>2</v>
      </c>
      <c r="J125" s="37">
        <f t="shared" si="2"/>
        <v>0</v>
      </c>
      <c r="K125" s="36" t="str">
        <f t="shared" si="3"/>
        <v>MATCH</v>
      </c>
      <c r="L125" s="38" t="str">
        <f>IF($A125="","",IF(COUNTIFS([1]Sheet1!$D$2:$D$190,$A125&amp;"|"&amp;$B125)&gt;1,"Item listed twice in count sheet","")&amp;IF(AND(ISNUMBER($I125),$H125&lt;0)," ; system closing is negative — check entries",""))</f>
        <v/>
      </c>
    </row>
    <row r="126" spans="1:12" x14ac:dyDescent="0.3">
      <c r="A126" s="35" t="str">
        <f>'29-AUGUST-2026'!A119</f>
        <v>Tacoma</v>
      </c>
      <c r="B126" s="36">
        <f>'29-AUGUST-2026'!B119</f>
        <v>1000</v>
      </c>
      <c r="C126" s="36" t="str">
        <f>'29-AUGUST-2026'!C119</f>
        <v>SEED</v>
      </c>
      <c r="D126" s="37">
        <f>'29-AUGUST-2026'!E119</f>
        <v>5</v>
      </c>
      <c r="E126" s="37">
        <f>'29-AUGUST-2026'!H119</f>
        <v>0</v>
      </c>
      <c r="F126" s="37">
        <f>'29-AUGUST-2026'!K119</f>
        <v>0</v>
      </c>
      <c r="G126" s="37">
        <f>'29-AUGUST-2026'!N119</f>
        <v>0</v>
      </c>
      <c r="H126" s="37">
        <f>'29-AUGUST-2026'!Y119</f>
        <v>1</v>
      </c>
      <c r="I126" s="37">
        <f>IF($A126="","",IF(COUNTIFS([1]Sheet1!$A$2:$A$190,$A126,[1]Sheet1!$B$2:$B$190,$B126)=0,"NOT IN COUNT",IF(COUNTIFS([1]Sheet1!$A$2:$A$190,$A126,[1]Sheet1!$B$2:$B$190,$B126,[1]Sheet1!$C$2:$C$190,"&gt;=0")=0,"NOT COUNTED",SUMIFS([1]Sheet1!$C$2:$C$190,[1]Sheet1!$A$2:$A$190,$A126,[1]Sheet1!$B$2:$B$190,$B126))))</f>
        <v>1</v>
      </c>
      <c r="J126" s="37">
        <f t="shared" si="2"/>
        <v>0</v>
      </c>
      <c r="K126" s="36" t="str">
        <f t="shared" si="3"/>
        <v>MATCH</v>
      </c>
      <c r="L126" s="38" t="str">
        <f>IF($A126="","",IF(COUNTIFS([1]Sheet1!$D$2:$D$190,$A126&amp;"|"&amp;$B126)&gt;1,"Item listed twice in count sheet","")&amp;IF(AND(ISNUMBER($I126),$H126&lt;0)," ; system closing is negative — check entries",""))</f>
        <v/>
      </c>
    </row>
    <row r="127" spans="1:12" x14ac:dyDescent="0.3">
      <c r="A127" s="35" t="str">
        <f>'29-AUGUST-2026'!A120</f>
        <v>Tahoe</v>
      </c>
      <c r="B127" s="36">
        <f>'29-AUGUST-2026'!B120</f>
        <v>1000</v>
      </c>
      <c r="C127" s="36" t="str">
        <f>'29-AUGUST-2026'!C120</f>
        <v>SEED</v>
      </c>
      <c r="D127" s="37">
        <f>'29-AUGUST-2026'!E120</f>
        <v>-6</v>
      </c>
      <c r="E127" s="37">
        <f>'29-AUGUST-2026'!H120</f>
        <v>0</v>
      </c>
      <c r="F127" s="37">
        <f>'29-AUGUST-2026'!K120</f>
        <v>0</v>
      </c>
      <c r="G127" s="37">
        <f>'29-AUGUST-2026'!N120</f>
        <v>0</v>
      </c>
      <c r="H127" s="37">
        <f>'29-AUGUST-2026'!Y120</f>
        <v>2</v>
      </c>
      <c r="I127" s="37">
        <f>IF($A127="","",IF(COUNTIFS([1]Sheet1!$A$2:$A$190,$A127,[1]Sheet1!$B$2:$B$190,$B127)=0,"NOT IN COUNT",IF(COUNTIFS([1]Sheet1!$A$2:$A$190,$A127,[1]Sheet1!$B$2:$B$190,$B127,[1]Sheet1!$C$2:$C$190,"&gt;=0")=0,"NOT COUNTED",SUMIFS([1]Sheet1!$C$2:$C$190,[1]Sheet1!$A$2:$A$190,$A127,[1]Sheet1!$B$2:$B$190,$B127))))</f>
        <v>2</v>
      </c>
      <c r="J127" s="37">
        <f t="shared" si="2"/>
        <v>0</v>
      </c>
      <c r="K127" s="36" t="str">
        <f t="shared" si="3"/>
        <v>MATCH</v>
      </c>
      <c r="L127" s="38" t="str">
        <f>IF($A127="","",IF(COUNTIFS([1]Sheet1!$D$2:$D$190,$A127&amp;"|"&amp;$B127)&gt;1,"Item listed twice in count sheet","")&amp;IF(AND(ISNUMBER($I127),$H127&lt;0)," ; system closing is negative — check entries",""))</f>
        <v/>
      </c>
    </row>
    <row r="128" spans="1:12" x14ac:dyDescent="0.3">
      <c r="A128" s="35" t="str">
        <f>'29-AUGUST-2026'!A121</f>
        <v>tirsuli</v>
      </c>
      <c r="B128" s="36">
        <f>'29-AUGUST-2026'!B121</f>
        <v>100</v>
      </c>
      <c r="C128" s="36" t="str">
        <f>'29-AUGUST-2026'!C121</f>
        <v>SEED</v>
      </c>
      <c r="D128" s="37">
        <f>'29-AUGUST-2026'!E121</f>
        <v>1</v>
      </c>
      <c r="E128" s="37">
        <f>'29-AUGUST-2026'!H121</f>
        <v>0</v>
      </c>
      <c r="F128" s="37">
        <f>'29-AUGUST-2026'!K121</f>
        <v>0</v>
      </c>
      <c r="G128" s="37">
        <f>'29-AUGUST-2026'!N121</f>
        <v>0</v>
      </c>
      <c r="H128" s="37">
        <f>'29-AUGUST-2026'!Y121</f>
        <v>1</v>
      </c>
      <c r="I128" s="37">
        <f>IF($A128="","",IF(COUNTIFS([1]Sheet1!$A$2:$A$190,$A128,[1]Sheet1!$B$2:$B$190,$B128)=0,"NOT IN COUNT",IF(COUNTIFS([1]Sheet1!$A$2:$A$190,$A128,[1]Sheet1!$B$2:$B$190,$B128,[1]Sheet1!$C$2:$C$190,"&gt;=0")=0,"NOT COUNTED",SUMIFS([1]Sheet1!$C$2:$C$190,[1]Sheet1!$A$2:$A$190,$A128,[1]Sheet1!$B$2:$B$190,$B128))))</f>
        <v>1</v>
      </c>
      <c r="J128" s="37">
        <f t="shared" si="2"/>
        <v>0</v>
      </c>
      <c r="K128" s="36" t="str">
        <f t="shared" si="3"/>
        <v>MATCH</v>
      </c>
      <c r="L128" s="38" t="str">
        <f>IF($A128="","",IF(COUNTIFS([1]Sheet1!$D$2:$D$190,$A128&amp;"|"&amp;$B128)&gt;1,"Item listed twice in count sheet","")&amp;IF(AND(ISNUMBER($I128),$H128&lt;0)," ; system closing is negative — check entries",""))</f>
        <v/>
      </c>
    </row>
    <row r="129" spans="1:12" x14ac:dyDescent="0.3">
      <c r="A129" s="35" t="str">
        <f>'29-AUGUST-2026'!A122</f>
        <v>Toughma</v>
      </c>
      <c r="B129" s="36">
        <f>'29-AUGUST-2026'!B122</f>
        <v>1000</v>
      </c>
      <c r="C129" s="36" t="str">
        <f>'29-AUGUST-2026'!C122</f>
        <v>SEED</v>
      </c>
      <c r="D129" s="37">
        <f>'29-AUGUST-2026'!E122</f>
        <v>5</v>
      </c>
      <c r="E129" s="37">
        <f>'29-AUGUST-2026'!H122</f>
        <v>0</v>
      </c>
      <c r="F129" s="37">
        <f>'29-AUGUST-2026'!K122</f>
        <v>0</v>
      </c>
      <c r="G129" s="37">
        <f>'29-AUGUST-2026'!N122</f>
        <v>0</v>
      </c>
      <c r="H129" s="37">
        <f>'29-AUGUST-2026'!Y122</f>
        <v>4</v>
      </c>
      <c r="I129" s="37">
        <f>IF($A129="","",IF(COUNTIFS([1]Sheet1!$A$2:$A$190,$A129,[1]Sheet1!$B$2:$B$190,$B129)=0,"NOT IN COUNT",IF(COUNTIFS([1]Sheet1!$A$2:$A$190,$A129,[1]Sheet1!$B$2:$B$190,$B129,[1]Sheet1!$C$2:$C$190,"&gt;=0")=0,"NOT COUNTED",SUMIFS([1]Sheet1!$C$2:$C$190,[1]Sheet1!$A$2:$A$190,$A129,[1]Sheet1!$B$2:$B$190,$B129))))</f>
        <v>4</v>
      </c>
      <c r="J129" s="37">
        <f t="shared" si="2"/>
        <v>0</v>
      </c>
      <c r="K129" s="36" t="str">
        <f t="shared" si="3"/>
        <v>MATCH</v>
      </c>
      <c r="L129" s="38" t="str">
        <f>IF($A129="","",IF(COUNTIFS([1]Sheet1!$D$2:$D$190,$A129&amp;"|"&amp;$B129)&gt;1,"Item listed twice in count sheet","")&amp;IF(AND(ISNUMBER($I129),$H129&lt;0)," ; system closing is negative — check entries",""))</f>
        <v/>
      </c>
    </row>
    <row r="130" spans="1:12" x14ac:dyDescent="0.3">
      <c r="A130" s="35" t="str">
        <f>'29-AUGUST-2026'!A123</f>
        <v>trambelinno</v>
      </c>
      <c r="B130" s="36">
        <f>'29-AUGUST-2026'!B123</f>
        <v>100</v>
      </c>
      <c r="C130" s="36" t="str">
        <f>'29-AUGUST-2026'!C123</f>
        <v>SEED</v>
      </c>
      <c r="D130" s="37">
        <f>'29-AUGUST-2026'!E123</f>
        <v>1</v>
      </c>
      <c r="E130" s="37">
        <f>'29-AUGUST-2026'!H123</f>
        <v>0</v>
      </c>
      <c r="F130" s="37">
        <f>'29-AUGUST-2026'!K123</f>
        <v>0</v>
      </c>
      <c r="G130" s="37">
        <f>'29-AUGUST-2026'!N123</f>
        <v>0</v>
      </c>
      <c r="H130" s="37">
        <f>'29-AUGUST-2026'!Y123</f>
        <v>1</v>
      </c>
      <c r="I130" s="37">
        <f>IF($A130="","",IF(COUNTIFS([1]Sheet1!$A$2:$A$190,$A130,[1]Sheet1!$B$2:$B$190,$B130)=0,"NOT IN COUNT",IF(COUNTIFS([1]Sheet1!$A$2:$A$190,$A130,[1]Sheet1!$B$2:$B$190,$B130,[1]Sheet1!$C$2:$C$190,"&gt;=0")=0,"NOT COUNTED",SUMIFS([1]Sheet1!$C$2:$C$190,[1]Sheet1!$A$2:$A$190,$A130,[1]Sheet1!$B$2:$B$190,$B130))))</f>
        <v>1</v>
      </c>
      <c r="J130" s="37">
        <f t="shared" si="2"/>
        <v>0</v>
      </c>
      <c r="K130" s="36" t="str">
        <f t="shared" si="3"/>
        <v>MATCH</v>
      </c>
      <c r="L130" s="38" t="str">
        <f>IF($A130="","",IF(COUNTIFS([1]Sheet1!$D$2:$D$190,$A130&amp;"|"&amp;$B130)&gt;1,"Item listed twice in count sheet","")&amp;IF(AND(ISNUMBER($I130),$H130&lt;0)," ; system closing is negative — check entries",""))</f>
        <v/>
      </c>
    </row>
    <row r="131" spans="1:12" x14ac:dyDescent="0.3">
      <c r="A131" s="35" t="str">
        <f>'29-AUGUST-2026'!A124</f>
        <v>twistma</v>
      </c>
      <c r="B131" s="36">
        <f>'29-AUGUST-2026'!B124</f>
        <v>1000</v>
      </c>
      <c r="C131" s="36" t="str">
        <f>'29-AUGUST-2026'!C124</f>
        <v>SEED</v>
      </c>
      <c r="D131" s="37">
        <f>'29-AUGUST-2026'!E124</f>
        <v>5</v>
      </c>
      <c r="E131" s="37">
        <f>'29-AUGUST-2026'!H124</f>
        <v>0</v>
      </c>
      <c r="F131" s="37">
        <f>'29-AUGUST-2026'!K124</f>
        <v>0</v>
      </c>
      <c r="G131" s="37">
        <f>'29-AUGUST-2026'!N124</f>
        <v>0</v>
      </c>
      <c r="H131" s="37">
        <f>'29-AUGUST-2026'!Y124</f>
        <v>5</v>
      </c>
      <c r="I131" s="37">
        <f>IF($A131="","",IF(COUNTIFS([1]Sheet1!$A$2:$A$190,$A131,[1]Sheet1!$B$2:$B$190,$B131)=0,"NOT IN COUNT",IF(COUNTIFS([1]Sheet1!$A$2:$A$190,$A131,[1]Sheet1!$B$2:$B$190,$B131,[1]Sheet1!$C$2:$C$190,"&gt;=0")=0,"NOT COUNTED",SUMIFS([1]Sheet1!$C$2:$C$190,[1]Sheet1!$A$2:$A$190,$A131,[1]Sheet1!$B$2:$B$190,$B131))))</f>
        <v>5</v>
      </c>
      <c r="J131" s="37">
        <f t="shared" si="2"/>
        <v>0</v>
      </c>
      <c r="K131" s="36" t="str">
        <f t="shared" si="3"/>
        <v>MATCH</v>
      </c>
      <c r="L131" s="38" t="str">
        <f>IF($A131="","",IF(COUNTIFS([1]Sheet1!$D$2:$D$190,$A131&amp;"|"&amp;$B131)&gt;1,"Item listed twice in count sheet","")&amp;IF(AND(ISNUMBER($I131),$H131&lt;0)," ; system closing is negative — check entries",""))</f>
        <v/>
      </c>
    </row>
    <row r="132" spans="1:12" x14ac:dyDescent="0.3">
      <c r="A132" s="35" t="str">
        <f>'29-AUGUST-2026'!A125</f>
        <v>Uwezo</v>
      </c>
      <c r="B132" s="36">
        <f>'29-AUGUST-2026'!B125</f>
        <v>100</v>
      </c>
      <c r="C132" s="36" t="str">
        <f>'29-AUGUST-2026'!C125</f>
        <v>SEED</v>
      </c>
      <c r="D132" s="37">
        <f>'29-AUGUST-2026'!E125</f>
        <v>1</v>
      </c>
      <c r="E132" s="37">
        <f>'29-AUGUST-2026'!H125</f>
        <v>0</v>
      </c>
      <c r="F132" s="37">
        <f>'29-AUGUST-2026'!K125</f>
        <v>0</v>
      </c>
      <c r="G132" s="37">
        <f>'29-AUGUST-2026'!N125</f>
        <v>0</v>
      </c>
      <c r="H132" s="37">
        <f>'29-AUGUST-2026'!Y125</f>
        <v>0</v>
      </c>
      <c r="I132" s="37">
        <f>IF($A132="","",IF(COUNTIFS([1]Sheet1!$A$2:$A$190,$A132,[1]Sheet1!$B$2:$B$190,$B132)=0,"NOT IN COUNT",IF(COUNTIFS([1]Sheet1!$A$2:$A$190,$A132,[1]Sheet1!$B$2:$B$190,$B132,[1]Sheet1!$C$2:$C$190,"&gt;=0")=0,"NOT COUNTED",SUMIFS([1]Sheet1!$C$2:$C$190,[1]Sheet1!$A$2:$A$190,$A132,[1]Sheet1!$B$2:$B$190,$B132))))</f>
        <v>0</v>
      </c>
      <c r="J132" s="37">
        <f t="shared" si="2"/>
        <v>0</v>
      </c>
      <c r="K132" s="36" t="str">
        <f t="shared" si="3"/>
        <v>MATCH</v>
      </c>
      <c r="L132" s="38" t="str">
        <f>IF($A132="","",IF(COUNTIFS([1]Sheet1!$D$2:$D$190,$A132&amp;"|"&amp;$B132)&gt;1,"Item listed twice in count sheet","")&amp;IF(AND(ISNUMBER($I132),$H132&lt;0)," ; system closing is negative — check entries",""))</f>
        <v/>
      </c>
    </row>
    <row r="133" spans="1:12" x14ac:dyDescent="0.3">
      <c r="A133" s="35" t="str">
        <f>'29-AUGUST-2026'!A126</f>
        <v>valerioso</v>
      </c>
      <c r="B133" s="36">
        <f>'29-AUGUST-2026'!B126</f>
        <v>100</v>
      </c>
      <c r="C133" s="36" t="str">
        <f>'29-AUGUST-2026'!C126</f>
        <v>SEED</v>
      </c>
      <c r="D133" s="37">
        <f>'29-AUGUST-2026'!E126</f>
        <v>3</v>
      </c>
      <c r="E133" s="37">
        <f>'29-AUGUST-2026'!H126</f>
        <v>0</v>
      </c>
      <c r="F133" s="37">
        <f>'29-AUGUST-2026'!K126</f>
        <v>0</v>
      </c>
      <c r="G133" s="37">
        <f>'29-AUGUST-2026'!N126</f>
        <v>0</v>
      </c>
      <c r="H133" s="37">
        <f>'29-AUGUST-2026'!Y126</f>
        <v>3</v>
      </c>
      <c r="I133" s="37">
        <f>IF($A133="","",IF(COUNTIFS([1]Sheet1!$A$2:$A$190,$A133,[1]Sheet1!$B$2:$B$190,$B133)=0,"NOT IN COUNT",IF(COUNTIFS([1]Sheet1!$A$2:$A$190,$A133,[1]Sheet1!$B$2:$B$190,$B133,[1]Sheet1!$C$2:$C$190,"&gt;=0")=0,"NOT COUNTED",SUMIFS([1]Sheet1!$C$2:$C$190,[1]Sheet1!$A$2:$A$190,$A133,[1]Sheet1!$B$2:$B$190,$B133))))</f>
        <v>3</v>
      </c>
      <c r="J133" s="37">
        <f t="shared" si="2"/>
        <v>0</v>
      </c>
      <c r="K133" s="36" t="str">
        <f t="shared" si="3"/>
        <v>MATCH</v>
      </c>
      <c r="L133" s="38" t="str">
        <f>IF($A133="","",IF(COUNTIFS([1]Sheet1!$D$2:$D$190,$A133&amp;"|"&amp;$B133)&gt;1,"Item listed twice in count sheet","")&amp;IF(AND(ISNUMBER($I133),$H133&lt;0)," ; system closing is negative — check entries",""))</f>
        <v/>
      </c>
    </row>
    <row r="134" spans="1:12" x14ac:dyDescent="0.3">
      <c r="A134" s="35" t="str">
        <f>'29-AUGUST-2026'!A127</f>
        <v>Zanardi</v>
      </c>
      <c r="B134" s="36">
        <f>'29-AUGUST-2026'!B127</f>
        <v>100000</v>
      </c>
      <c r="C134" s="36" t="str">
        <f>'29-AUGUST-2026'!C127</f>
        <v>SEED</v>
      </c>
      <c r="D134" s="37">
        <f>'29-AUGUST-2026'!E127</f>
        <v>6</v>
      </c>
      <c r="E134" s="37">
        <f>'29-AUGUST-2026'!H127</f>
        <v>0</v>
      </c>
      <c r="F134" s="37">
        <f>'29-AUGUST-2026'!K127</f>
        <v>0</v>
      </c>
      <c r="G134" s="37">
        <f>'29-AUGUST-2026'!N127</f>
        <v>0</v>
      </c>
      <c r="H134" s="37">
        <f>'29-AUGUST-2026'!Y127</f>
        <v>6</v>
      </c>
      <c r="I134" s="37">
        <f>IF($A134="","",IF(COUNTIFS([1]Sheet1!$A$2:$A$190,$A134,[1]Sheet1!$B$2:$B$190,$B134)=0,"NOT IN COUNT",IF(COUNTIFS([1]Sheet1!$A$2:$A$190,$A134,[1]Sheet1!$B$2:$B$190,$B134,[1]Sheet1!$C$2:$C$190,"&gt;=0")=0,"NOT COUNTED",SUMIFS([1]Sheet1!$C$2:$C$190,[1]Sheet1!$A$2:$A$190,$A134,[1]Sheet1!$B$2:$B$190,$B134))))</f>
        <v>6</v>
      </c>
      <c r="J134" s="37">
        <f t="shared" si="2"/>
        <v>0</v>
      </c>
      <c r="K134" s="36" t="str">
        <f t="shared" si="3"/>
        <v>MATCH</v>
      </c>
      <c r="L134" s="38" t="str">
        <f>IF($A134="","",IF(COUNTIFS([1]Sheet1!$D$2:$D$190,$A134&amp;"|"&amp;$B134)&gt;1,"Item listed twice in count sheet","")&amp;IF(AND(ISNUMBER($I134),$H134&lt;0)," ; system closing is negative — check entries",""))</f>
        <v/>
      </c>
    </row>
    <row r="135" spans="1:12" x14ac:dyDescent="0.3">
      <c r="A135" s="35" t="str">
        <f>'29-AUGUST-2026'!A128</f>
        <v>zeppo</v>
      </c>
      <c r="B135" s="36">
        <f>'29-AUGUST-2026'!B128</f>
        <v>25000</v>
      </c>
      <c r="C135" s="36" t="str">
        <f>'29-AUGUST-2026'!C128</f>
        <v>SEED</v>
      </c>
      <c r="D135" s="37">
        <f>'29-AUGUST-2026'!E128</f>
        <v>2</v>
      </c>
      <c r="E135" s="37">
        <f>'29-AUGUST-2026'!H128</f>
        <v>0</v>
      </c>
      <c r="F135" s="37">
        <f>'29-AUGUST-2026'!K128</f>
        <v>0</v>
      </c>
      <c r="G135" s="37">
        <f>'29-AUGUST-2026'!N128</f>
        <v>0</v>
      </c>
      <c r="H135" s="37">
        <f>'29-AUGUST-2026'!Y128</f>
        <v>1</v>
      </c>
      <c r="I135" s="37">
        <f>IF($A135="","",IF(COUNTIFS([1]Sheet1!$A$2:$A$190,$A135,[1]Sheet1!$B$2:$B$190,$B135)=0,"NOT IN COUNT",IF(COUNTIFS([1]Sheet1!$A$2:$A$190,$A135,[1]Sheet1!$B$2:$B$190,$B135,[1]Sheet1!$C$2:$C$190,"&gt;=0")=0,"NOT COUNTED",SUMIFS([1]Sheet1!$C$2:$C$190,[1]Sheet1!$A$2:$A$190,$A135,[1]Sheet1!$B$2:$B$190,$B135))))</f>
        <v>1</v>
      </c>
      <c r="J135" s="37">
        <f t="shared" si="2"/>
        <v>0</v>
      </c>
      <c r="K135" s="36" t="str">
        <f t="shared" si="3"/>
        <v>MATCH</v>
      </c>
      <c r="L135" s="38" t="str">
        <f>IF($A135="","",IF(COUNTIFS([1]Sheet1!$D$2:$D$190,$A135&amp;"|"&amp;$B135)&gt;1,"Item listed twice in count sheet","")&amp;IF(AND(ISNUMBER($I135),$H135&lt;0)," ; system closing is negative — check entries",""))</f>
        <v/>
      </c>
    </row>
    <row r="136" spans="1:12" x14ac:dyDescent="0.3">
      <c r="A136" s="35" t="str">
        <f>'29-AUGUST-2026'!A129</f>
        <v>alaine</v>
      </c>
      <c r="B136" s="36">
        <f>'29-AUGUST-2026'!B129</f>
        <v>1000</v>
      </c>
      <c r="C136" s="36" t="str">
        <f>'29-AUGUST-2026'!C129</f>
        <v>SEED</v>
      </c>
      <c r="D136" s="37">
        <f>'29-AUGUST-2026'!E129</f>
        <v>3</v>
      </c>
      <c r="E136" s="37">
        <f>'29-AUGUST-2026'!H129</f>
        <v>0</v>
      </c>
      <c r="F136" s="37">
        <f>'29-AUGUST-2026'!K129</f>
        <v>0</v>
      </c>
      <c r="G136" s="37">
        <f>'29-AUGUST-2026'!N129</f>
        <v>0</v>
      </c>
      <c r="H136" s="37">
        <f>'29-AUGUST-2026'!Y129</f>
        <v>3</v>
      </c>
      <c r="I136" s="37" t="str">
        <f>IF($A136="","",IF(COUNTIFS([1]Sheet1!$A$2:$A$190,$A136,[1]Sheet1!$B$2:$B$190,$B136)=0,"NOT IN COUNT",IF(COUNTIFS([1]Sheet1!$A$2:$A$190,$A136,[1]Sheet1!$B$2:$B$190,$B136,[1]Sheet1!$C$2:$C$190,"&gt;=0")=0,"NOT COUNTED",SUMIFS([1]Sheet1!$C$2:$C$190,[1]Sheet1!$A$2:$A$190,$A136,[1]Sheet1!$B$2:$B$190,$B136))))</f>
        <v>NOT COUNTED</v>
      </c>
      <c r="J136" s="37" t="str">
        <f t="shared" si="2"/>
        <v/>
      </c>
      <c r="K136" s="36" t="str">
        <f t="shared" si="3"/>
        <v>NOT COUNTED</v>
      </c>
      <c r="L136" s="38" t="str">
        <f>IF($A136="","",IF(COUNTIFS([1]Sheet1!$D$2:$D$190,$A136&amp;"|"&amp;$B136)&gt;1,"Item listed twice in count sheet","")&amp;IF(AND(ISNUMBER($I136),$H136&lt;0)," ; system closing is negative — check entries",""))</f>
        <v/>
      </c>
    </row>
    <row r="137" spans="1:12" x14ac:dyDescent="0.3">
      <c r="A137" s="35" t="str">
        <f>'29-AUGUST-2026'!A130</f>
        <v>Alboreto</v>
      </c>
      <c r="B137" s="36">
        <f>'29-AUGUST-2026'!B130</f>
        <v>100000</v>
      </c>
      <c r="C137" s="36" t="str">
        <f>'29-AUGUST-2026'!C130</f>
        <v>SEED</v>
      </c>
      <c r="D137" s="37">
        <f>'29-AUGUST-2026'!E130</f>
        <v>2</v>
      </c>
      <c r="E137" s="37">
        <f>'29-AUGUST-2026'!H130</f>
        <v>0</v>
      </c>
      <c r="F137" s="37">
        <f>'29-AUGUST-2026'!K130</f>
        <v>0</v>
      </c>
      <c r="G137" s="37">
        <f>'29-AUGUST-2026'!N130</f>
        <v>0</v>
      </c>
      <c r="H137" s="37">
        <f>'29-AUGUST-2026'!Y130</f>
        <v>2</v>
      </c>
      <c r="I137" s="37">
        <f>IF($A137="","",IF(COUNTIFS([1]Sheet1!$A$2:$A$190,$A137,[1]Sheet1!$B$2:$B$190,$B137)=0,"NOT IN COUNT",IF(COUNTIFS([1]Sheet1!$A$2:$A$190,$A137,[1]Sheet1!$B$2:$B$190,$B137,[1]Sheet1!$C$2:$C$190,"&gt;=0")=0,"NOT COUNTED",SUMIFS([1]Sheet1!$C$2:$C$190,[1]Sheet1!$A$2:$A$190,$A137,[1]Sheet1!$B$2:$B$190,$B137))))</f>
        <v>2</v>
      </c>
      <c r="J137" s="37">
        <f t="shared" ref="J137:J200" si="4">IF(ISNUMBER($I137),$I137-$H137,"")</f>
        <v>0</v>
      </c>
      <c r="K137" s="36" t="str">
        <f t="shared" ref="K137:K200" si="5">IF($A137="","",IF(NOT(ISNUMBER($I137)),$I137,IF($J137=0,"MATCH",IF($J137&lt;0,"DEFICIT","EXCESS"))))</f>
        <v>MATCH</v>
      </c>
      <c r="L137" s="38" t="str">
        <f>IF($A137="","",IF(COUNTIFS([1]Sheet1!$D$2:$D$190,$A137&amp;"|"&amp;$B137)&gt;1,"Item listed twice in count sheet","")&amp;IF(AND(ISNUMBER($I137),$H137&lt;0)," ; system closing is negative — check entries",""))</f>
        <v/>
      </c>
    </row>
    <row r="138" spans="1:12" x14ac:dyDescent="0.3">
      <c r="A138" s="35" t="str">
        <f>'29-AUGUST-2026'!A131</f>
        <v>barlach</v>
      </c>
      <c r="B138" s="36">
        <f>'29-AUGUST-2026'!B131</f>
        <v>1000</v>
      </c>
      <c r="C138" s="36" t="str">
        <f>'29-AUGUST-2026'!C131</f>
        <v>SEED</v>
      </c>
      <c r="D138" s="37">
        <f>'29-AUGUST-2026'!E131</f>
        <v>-2</v>
      </c>
      <c r="E138" s="37">
        <f>'29-AUGUST-2026'!H131</f>
        <v>0</v>
      </c>
      <c r="F138" s="37">
        <f>'29-AUGUST-2026'!K131</f>
        <v>0</v>
      </c>
      <c r="G138" s="37">
        <f>'29-AUGUST-2026'!N131</f>
        <v>0</v>
      </c>
      <c r="H138" s="37">
        <f>'29-AUGUST-2026'!Y131</f>
        <v>2</v>
      </c>
      <c r="I138" s="37">
        <f>IF($A138="","",IF(COUNTIFS([1]Sheet1!$A$2:$A$190,$A138,[1]Sheet1!$B$2:$B$190,$B138)=0,"NOT IN COUNT",IF(COUNTIFS([1]Sheet1!$A$2:$A$190,$A138,[1]Sheet1!$B$2:$B$190,$B138,[1]Sheet1!$C$2:$C$190,"&gt;=0")=0,"NOT COUNTED",SUMIFS([1]Sheet1!$C$2:$C$190,[1]Sheet1!$A$2:$A$190,$A138,[1]Sheet1!$B$2:$B$190,$B138))))</f>
        <v>2</v>
      </c>
      <c r="J138" s="37">
        <f t="shared" si="4"/>
        <v>0</v>
      </c>
      <c r="K138" s="36" t="str">
        <f t="shared" si="5"/>
        <v>MATCH</v>
      </c>
      <c r="L138" s="38" t="str">
        <f>IF($A138="","",IF(COUNTIFS([1]Sheet1!$D$2:$D$190,$A138&amp;"|"&amp;$B138)&gt;1,"Item listed twice in count sheet","")&amp;IF(AND(ISNUMBER($I138),$H138&lt;0)," ; system closing is negative — check entries",""))</f>
        <v/>
      </c>
    </row>
    <row r="139" spans="1:12" x14ac:dyDescent="0.3">
      <c r="A139" s="35" t="str">
        <f>'29-AUGUST-2026'!A132</f>
        <v>Barldralla</v>
      </c>
      <c r="B139" s="36">
        <f>'29-AUGUST-2026'!B132</f>
        <v>100</v>
      </c>
      <c r="C139" s="36" t="str">
        <f>'29-AUGUST-2026'!C132</f>
        <v>SEED</v>
      </c>
      <c r="D139" s="37">
        <f>'29-AUGUST-2026'!E132</f>
        <v>6</v>
      </c>
      <c r="E139" s="37">
        <f>'29-AUGUST-2026'!H132</f>
        <v>0</v>
      </c>
      <c r="F139" s="37">
        <f>'29-AUGUST-2026'!K132</f>
        <v>0</v>
      </c>
      <c r="G139" s="37">
        <f>'29-AUGUST-2026'!N132</f>
        <v>0</v>
      </c>
      <c r="H139" s="37">
        <f>'29-AUGUST-2026'!Y132</f>
        <v>6</v>
      </c>
      <c r="I139" s="37">
        <f>IF($A139="","",IF(COUNTIFS([1]Sheet1!$A$2:$A$190,$A139,[1]Sheet1!$B$2:$B$190,$B139)=0,"NOT IN COUNT",IF(COUNTIFS([1]Sheet1!$A$2:$A$190,$A139,[1]Sheet1!$B$2:$B$190,$B139,[1]Sheet1!$C$2:$C$190,"&gt;=0")=0,"NOT COUNTED",SUMIFS([1]Sheet1!$C$2:$C$190,[1]Sheet1!$A$2:$A$190,$A139,[1]Sheet1!$B$2:$B$190,$B139))))</f>
        <v>6</v>
      </c>
      <c r="J139" s="37">
        <f t="shared" si="4"/>
        <v>0</v>
      </c>
      <c r="K139" s="36" t="str">
        <f t="shared" si="5"/>
        <v>MATCH</v>
      </c>
      <c r="L139" s="38" t="str">
        <f>IF($A139="","",IF(COUNTIFS([1]Sheet1!$D$2:$D$190,$A139&amp;"|"&amp;$B139)&gt;1,"Item listed twice in count sheet","")&amp;IF(AND(ISNUMBER($I139),$H139&lt;0)," ; system closing is negative — check entries",""))</f>
        <v/>
      </c>
    </row>
    <row r="140" spans="1:12" x14ac:dyDescent="0.3">
      <c r="A140" s="35" t="str">
        <f>'29-AUGUST-2026'!A133</f>
        <v>Bellaire</v>
      </c>
      <c r="B140" s="36">
        <f>'29-AUGUST-2026'!B133</f>
        <v>1000</v>
      </c>
      <c r="C140" s="36" t="str">
        <f>'29-AUGUST-2026'!C133</f>
        <v>SEED</v>
      </c>
      <c r="D140" s="37">
        <f>'29-AUGUST-2026'!E133</f>
        <v>2</v>
      </c>
      <c r="E140" s="37">
        <f>'29-AUGUST-2026'!H133</f>
        <v>0</v>
      </c>
      <c r="F140" s="37">
        <f>'29-AUGUST-2026'!K133</f>
        <v>0</v>
      </c>
      <c r="G140" s="37">
        <f>'29-AUGUST-2026'!N133</f>
        <v>0</v>
      </c>
      <c r="H140" s="37">
        <f>'29-AUGUST-2026'!Y133</f>
        <v>2</v>
      </c>
      <c r="I140" s="37">
        <f>IF($A140="","",IF(COUNTIFS([1]Sheet1!$A$2:$A$190,$A140,[1]Sheet1!$B$2:$B$190,$B140)=0,"NOT IN COUNT",IF(COUNTIFS([1]Sheet1!$A$2:$A$190,$A140,[1]Sheet1!$B$2:$B$190,$B140,[1]Sheet1!$C$2:$C$190,"&gt;=0")=0,"NOT COUNTED",SUMIFS([1]Sheet1!$C$2:$C$190,[1]Sheet1!$A$2:$A$190,$A140,[1]Sheet1!$B$2:$B$190,$B140))))</f>
        <v>2</v>
      </c>
      <c r="J140" s="37">
        <f t="shared" si="4"/>
        <v>0</v>
      </c>
      <c r="K140" s="36" t="str">
        <f t="shared" si="5"/>
        <v>MATCH</v>
      </c>
      <c r="L140" s="38" t="str">
        <f>IF($A140="","",IF(COUNTIFS([1]Sheet1!$D$2:$D$190,$A140&amp;"|"&amp;$B140)&gt;1,"Item listed twice in count sheet","")&amp;IF(AND(ISNUMBER($I140),$H140&lt;0)," ; system closing is negative — check entries",""))</f>
        <v/>
      </c>
    </row>
    <row r="141" spans="1:12" x14ac:dyDescent="0.3">
      <c r="A141" s="35" t="str">
        <f>'29-AUGUST-2026'!A134</f>
        <v>Boelli</v>
      </c>
      <c r="B141" s="36">
        <f>'29-AUGUST-2026'!B134</f>
        <v>1000</v>
      </c>
      <c r="C141" s="36" t="str">
        <f>'29-AUGUST-2026'!C134</f>
        <v>SEED</v>
      </c>
      <c r="D141" s="37">
        <f>'29-AUGUST-2026'!E134</f>
        <v>5</v>
      </c>
      <c r="E141" s="37">
        <f>'29-AUGUST-2026'!H134</f>
        <v>0</v>
      </c>
      <c r="F141" s="37">
        <f>'29-AUGUST-2026'!K134</f>
        <v>0</v>
      </c>
      <c r="G141" s="37">
        <f>'29-AUGUST-2026'!N134</f>
        <v>0</v>
      </c>
      <c r="H141" s="37">
        <f>'29-AUGUST-2026'!Y134</f>
        <v>5</v>
      </c>
      <c r="I141" s="37">
        <f>IF($A141="","",IF(COUNTIFS([1]Sheet1!$A$2:$A$190,$A141,[1]Sheet1!$B$2:$B$190,$B141)=0,"NOT IN COUNT",IF(COUNTIFS([1]Sheet1!$A$2:$A$190,$A141,[1]Sheet1!$B$2:$B$190,$B141,[1]Sheet1!$C$2:$C$190,"&gt;=0")=0,"NOT COUNTED",SUMIFS([1]Sheet1!$C$2:$C$190,[1]Sheet1!$A$2:$A$190,$A141,[1]Sheet1!$B$2:$B$190,$B141))))</f>
        <v>5</v>
      </c>
      <c r="J141" s="37">
        <f t="shared" si="4"/>
        <v>0</v>
      </c>
      <c r="K141" s="36" t="str">
        <f t="shared" si="5"/>
        <v>MATCH</v>
      </c>
      <c r="L141" s="38" t="str">
        <f>IF($A141="","",IF(COUNTIFS([1]Sheet1!$D$2:$D$190,$A141&amp;"|"&amp;$B141)&gt;1,"Item listed twice in count sheet","")&amp;IF(AND(ISNUMBER($I141),$H141&lt;0)," ; system closing is negative — check entries",""))</f>
        <v/>
      </c>
    </row>
    <row r="142" spans="1:12" x14ac:dyDescent="0.3">
      <c r="A142" s="35" t="str">
        <f>'29-AUGUST-2026'!A135</f>
        <v>Bottas</v>
      </c>
      <c r="B142" s="36">
        <f>'29-AUGUST-2026'!B135</f>
        <v>100000</v>
      </c>
      <c r="C142" s="36" t="str">
        <f>'29-AUGUST-2026'!C135</f>
        <v>SEED</v>
      </c>
      <c r="D142" s="37">
        <f>'29-AUGUST-2026'!E135</f>
        <v>2</v>
      </c>
      <c r="E142" s="37">
        <f>'29-AUGUST-2026'!H135</f>
        <v>0</v>
      </c>
      <c r="F142" s="37">
        <f>'29-AUGUST-2026'!K135</f>
        <v>0</v>
      </c>
      <c r="G142" s="37">
        <f>'29-AUGUST-2026'!N135</f>
        <v>0</v>
      </c>
      <c r="H142" s="37">
        <f>'29-AUGUST-2026'!Y135</f>
        <v>2</v>
      </c>
      <c r="I142" s="37">
        <f>IF($A142="","",IF(COUNTIFS([1]Sheet1!$A$2:$A$190,$A142,[1]Sheet1!$B$2:$B$190,$B142)=0,"NOT IN COUNT",IF(COUNTIFS([1]Sheet1!$A$2:$A$190,$A142,[1]Sheet1!$B$2:$B$190,$B142,[1]Sheet1!$C$2:$C$190,"&gt;=0")=0,"NOT COUNTED",SUMIFS([1]Sheet1!$C$2:$C$190,[1]Sheet1!$A$2:$A$190,$A142,[1]Sheet1!$B$2:$B$190,$B142))))</f>
        <v>2</v>
      </c>
      <c r="J142" s="37">
        <f t="shared" si="4"/>
        <v>0</v>
      </c>
      <c r="K142" s="36" t="str">
        <f t="shared" si="5"/>
        <v>MATCH</v>
      </c>
      <c r="L142" s="38" t="str">
        <f>IF($A142="","",IF(COUNTIFS([1]Sheet1!$D$2:$D$190,$A142&amp;"|"&amp;$B142)&gt;1,"Item listed twice in count sheet","")&amp;IF(AND(ISNUMBER($I142),$H142&lt;0)," ; system closing is negative — check entries",""))</f>
        <v/>
      </c>
    </row>
    <row r="143" spans="1:12" x14ac:dyDescent="0.3">
      <c r="A143" s="35" t="str">
        <f>'29-AUGUST-2026'!A136</f>
        <v>Bourdais</v>
      </c>
      <c r="B143" s="36">
        <f>'29-AUGUST-2026'!B136</f>
        <v>100000</v>
      </c>
      <c r="C143" s="36" t="str">
        <f>'29-AUGUST-2026'!C136</f>
        <v>SEED</v>
      </c>
      <c r="D143" s="37">
        <f>'29-AUGUST-2026'!E136</f>
        <v>1</v>
      </c>
      <c r="E143" s="37">
        <f>'29-AUGUST-2026'!H136</f>
        <v>0</v>
      </c>
      <c r="F143" s="37">
        <f>'29-AUGUST-2026'!K136</f>
        <v>0</v>
      </c>
      <c r="G143" s="37">
        <f>'29-AUGUST-2026'!N136</f>
        <v>0</v>
      </c>
      <c r="H143" s="37">
        <f>'29-AUGUST-2026'!Y136</f>
        <v>1</v>
      </c>
      <c r="I143" s="37">
        <f>IF($A143="","",IF(COUNTIFS([1]Sheet1!$A$2:$A$190,$A143,[1]Sheet1!$B$2:$B$190,$B143)=0,"NOT IN COUNT",IF(COUNTIFS([1]Sheet1!$A$2:$A$190,$A143,[1]Sheet1!$B$2:$B$190,$B143,[1]Sheet1!$C$2:$C$190,"&gt;=0")=0,"NOT COUNTED",SUMIFS([1]Sheet1!$C$2:$C$190,[1]Sheet1!$A$2:$A$190,$A143,[1]Sheet1!$B$2:$B$190,$B143))))</f>
        <v>1</v>
      </c>
      <c r="J143" s="37">
        <f t="shared" si="4"/>
        <v>0</v>
      </c>
      <c r="K143" s="36" t="str">
        <f t="shared" si="5"/>
        <v>MATCH</v>
      </c>
      <c r="L143" s="38" t="str">
        <f>IF($A143="","",IF(COUNTIFS([1]Sheet1!$D$2:$D$190,$A143&amp;"|"&amp;$B143)&gt;1,"Item listed twice in count sheet","")&amp;IF(AND(ISNUMBER($I143),$H143&lt;0)," ; system closing is negative — check entries",""))</f>
        <v/>
      </c>
    </row>
    <row r="144" spans="1:12" x14ac:dyDescent="0.3">
      <c r="A144" s="35" t="str">
        <f>'29-AUGUST-2026'!A137</f>
        <v>Calazina</v>
      </c>
      <c r="B144" s="36">
        <f>'29-AUGUST-2026'!B137</f>
        <v>100</v>
      </c>
      <c r="C144" s="36" t="str">
        <f>'29-AUGUST-2026'!C137</f>
        <v>SEED</v>
      </c>
      <c r="D144" s="37">
        <f>'29-AUGUST-2026'!E137</f>
        <v>2</v>
      </c>
      <c r="E144" s="37">
        <f>'29-AUGUST-2026'!H137</f>
        <v>0</v>
      </c>
      <c r="F144" s="37">
        <f>'29-AUGUST-2026'!K137</f>
        <v>0</v>
      </c>
      <c r="G144" s="37">
        <f>'29-AUGUST-2026'!N137</f>
        <v>0</v>
      </c>
      <c r="H144" s="37">
        <f>'29-AUGUST-2026'!Y137</f>
        <v>4</v>
      </c>
      <c r="I144" s="37">
        <f>IF($A144="","",IF(COUNTIFS([1]Sheet1!$A$2:$A$190,$A144,[1]Sheet1!$B$2:$B$190,$B144)=0,"NOT IN COUNT",IF(COUNTIFS([1]Sheet1!$A$2:$A$190,$A144,[1]Sheet1!$B$2:$B$190,$B144,[1]Sheet1!$C$2:$C$190,"&gt;=0")=0,"NOT COUNTED",SUMIFS([1]Sheet1!$C$2:$C$190,[1]Sheet1!$A$2:$A$190,$A144,[1]Sheet1!$B$2:$B$190,$B144))))</f>
        <v>4</v>
      </c>
      <c r="J144" s="37">
        <f t="shared" si="4"/>
        <v>0</v>
      </c>
      <c r="K144" s="36" t="str">
        <f t="shared" si="5"/>
        <v>MATCH</v>
      </c>
      <c r="L144" s="38" t="str">
        <f>IF($A144="","",IF(COUNTIFS([1]Sheet1!$D$2:$D$190,$A144&amp;"|"&amp;$B144)&gt;1,"Item listed twice in count sheet","")&amp;IF(AND(ISNUMBER($I144),$H144&lt;0)," ; system closing is negative — check entries",""))</f>
        <v/>
      </c>
    </row>
    <row r="145" spans="1:12" x14ac:dyDescent="0.3">
      <c r="A145" s="35" t="str">
        <f>'29-AUGUST-2026'!A138</f>
        <v>Cantrell</v>
      </c>
      <c r="B145" s="36">
        <f>'29-AUGUST-2026'!B138</f>
        <v>100000</v>
      </c>
      <c r="C145" s="36" t="str">
        <f>'29-AUGUST-2026'!C138</f>
        <v>SEED</v>
      </c>
      <c r="D145" s="37">
        <f>'29-AUGUST-2026'!E138</f>
        <v>2</v>
      </c>
      <c r="E145" s="37">
        <f>'29-AUGUST-2026'!H138</f>
        <v>0</v>
      </c>
      <c r="F145" s="37">
        <f>'29-AUGUST-2026'!K138</f>
        <v>0</v>
      </c>
      <c r="G145" s="37">
        <f>'29-AUGUST-2026'!N138</f>
        <v>0</v>
      </c>
      <c r="H145" s="37">
        <f>'29-AUGUST-2026'!Y138</f>
        <v>2</v>
      </c>
      <c r="I145" s="37">
        <f>IF($A145="","",IF(COUNTIFS([1]Sheet1!$A$2:$A$190,$A145,[1]Sheet1!$B$2:$B$190,$B145)=0,"NOT IN COUNT",IF(COUNTIFS([1]Sheet1!$A$2:$A$190,$A145,[1]Sheet1!$B$2:$B$190,$B145,[1]Sheet1!$C$2:$C$190,"&gt;=0")=0,"NOT COUNTED",SUMIFS([1]Sheet1!$C$2:$C$190,[1]Sheet1!$A$2:$A$190,$A145,[1]Sheet1!$B$2:$B$190,$B145))))</f>
        <v>2</v>
      </c>
      <c r="J145" s="37">
        <f t="shared" si="4"/>
        <v>0</v>
      </c>
      <c r="K145" s="36" t="str">
        <f t="shared" si="5"/>
        <v>MATCH</v>
      </c>
      <c r="L145" s="38" t="str">
        <f>IF($A145="","",IF(COUNTIFS([1]Sheet1!$D$2:$D$190,$A145&amp;"|"&amp;$B145)&gt;1,"Item listed twice in count sheet","")&amp;IF(AND(ISNUMBER($I145),$H145&lt;0)," ; system closing is negative — check entries",""))</f>
        <v/>
      </c>
    </row>
    <row r="146" spans="1:12" x14ac:dyDescent="0.3">
      <c r="A146" s="35" t="str">
        <f>'29-AUGUST-2026'!A139</f>
        <v>Chromis</v>
      </c>
      <c r="B146" s="36">
        <f>'29-AUGUST-2026'!B139</f>
        <v>100</v>
      </c>
      <c r="C146" s="36" t="str">
        <f>'29-AUGUST-2026'!C139</f>
        <v>SEED</v>
      </c>
      <c r="D146" s="37">
        <f>'29-AUGUST-2026'!E139</f>
        <v>3</v>
      </c>
      <c r="E146" s="37">
        <f>'29-AUGUST-2026'!H139</f>
        <v>0</v>
      </c>
      <c r="F146" s="37">
        <f>'29-AUGUST-2026'!K139</f>
        <v>0</v>
      </c>
      <c r="G146" s="37">
        <f>'29-AUGUST-2026'!N139</f>
        <v>0</v>
      </c>
      <c r="H146" s="37">
        <f>'29-AUGUST-2026'!Y139</f>
        <v>3</v>
      </c>
      <c r="I146" s="37">
        <f>IF($A146="","",IF(COUNTIFS([1]Sheet1!$A$2:$A$190,$A146,[1]Sheet1!$B$2:$B$190,$B146)=0,"NOT IN COUNT",IF(COUNTIFS([1]Sheet1!$A$2:$A$190,$A146,[1]Sheet1!$B$2:$B$190,$B146,[1]Sheet1!$C$2:$C$190,"&gt;=0")=0,"NOT COUNTED",SUMIFS([1]Sheet1!$C$2:$C$190,[1]Sheet1!$A$2:$A$190,$A146,[1]Sheet1!$B$2:$B$190,$B146))))</f>
        <v>3</v>
      </c>
      <c r="J146" s="37">
        <f t="shared" si="4"/>
        <v>0</v>
      </c>
      <c r="K146" s="36" t="str">
        <f t="shared" si="5"/>
        <v>MATCH</v>
      </c>
      <c r="L146" s="38" t="str">
        <f>IF($A146="","",IF(COUNTIFS([1]Sheet1!$D$2:$D$190,$A146&amp;"|"&amp;$B146)&gt;1,"Item listed twice in count sheet","")&amp;IF(AND(ISNUMBER($I146),$H146&lt;0)," ; system closing is negative — check entries",""))</f>
        <v/>
      </c>
    </row>
    <row r="147" spans="1:12" x14ac:dyDescent="0.3">
      <c r="A147" s="35" t="str">
        <f>'29-AUGUST-2026'!A140</f>
        <v>Codex</v>
      </c>
      <c r="B147" s="36">
        <f>'29-AUGUST-2026'!B140</f>
        <v>1000</v>
      </c>
      <c r="C147" s="36" t="str">
        <f>'29-AUGUST-2026'!C140</f>
        <v>SEED</v>
      </c>
      <c r="D147" s="37">
        <f>'29-AUGUST-2026'!E140</f>
        <v>7</v>
      </c>
      <c r="E147" s="37">
        <f>'29-AUGUST-2026'!H140</f>
        <v>0</v>
      </c>
      <c r="F147" s="37">
        <f>'29-AUGUST-2026'!K140</f>
        <v>0</v>
      </c>
      <c r="G147" s="37">
        <f>'29-AUGUST-2026'!N140</f>
        <v>0</v>
      </c>
      <c r="H147" s="37">
        <f>'29-AUGUST-2026'!Y140</f>
        <v>3</v>
      </c>
      <c r="I147" s="37">
        <f>IF($A147="","",IF(COUNTIFS([1]Sheet1!$A$2:$A$190,$A147,[1]Sheet1!$B$2:$B$190,$B147)=0,"NOT IN COUNT",IF(COUNTIFS([1]Sheet1!$A$2:$A$190,$A147,[1]Sheet1!$B$2:$B$190,$B147,[1]Sheet1!$C$2:$C$190,"&gt;=0")=0,"NOT COUNTED",SUMIFS([1]Sheet1!$C$2:$C$190,[1]Sheet1!$A$2:$A$190,$A147,[1]Sheet1!$B$2:$B$190,$B147))))</f>
        <v>3</v>
      </c>
      <c r="J147" s="37">
        <f t="shared" si="4"/>
        <v>0</v>
      </c>
      <c r="K147" s="36" t="str">
        <f t="shared" si="5"/>
        <v>MATCH</v>
      </c>
      <c r="L147" s="38" t="str">
        <f>IF($A147="","",IF(COUNTIFS([1]Sheet1!$D$2:$D$190,$A147&amp;"|"&amp;$B147)&gt;1,"Item listed twice in count sheet","")&amp;IF(AND(ISNUMBER($I147),$H147&lt;0)," ; system closing is negative — check entries",""))</f>
        <v/>
      </c>
    </row>
    <row r="148" spans="1:12" x14ac:dyDescent="0.3">
      <c r="A148" s="35" t="str">
        <f>'29-AUGUST-2026'!A141</f>
        <v>cook</v>
      </c>
      <c r="B148" s="36">
        <f>'29-AUGUST-2026'!B141</f>
        <v>1000</v>
      </c>
      <c r="C148" s="36" t="str">
        <f>'29-AUGUST-2026'!C141</f>
        <v>SEED</v>
      </c>
      <c r="D148" s="37">
        <f>'29-AUGUST-2026'!E141</f>
        <v>1</v>
      </c>
      <c r="E148" s="37">
        <f>'29-AUGUST-2026'!H141</f>
        <v>0</v>
      </c>
      <c r="F148" s="37">
        <f>'29-AUGUST-2026'!K141</f>
        <v>0</v>
      </c>
      <c r="G148" s="37">
        <f>'29-AUGUST-2026'!N141</f>
        <v>0</v>
      </c>
      <c r="H148" s="37">
        <f>'29-AUGUST-2026'!Y141</f>
        <v>1</v>
      </c>
      <c r="I148" s="37" t="str">
        <f>IF($A148="","",IF(COUNTIFS([1]Sheet1!$A$2:$A$190,$A148,[1]Sheet1!$B$2:$B$190,$B148)=0,"NOT IN COUNT",IF(COUNTIFS([1]Sheet1!$A$2:$A$190,$A148,[1]Sheet1!$B$2:$B$190,$B148,[1]Sheet1!$C$2:$C$190,"&gt;=0")=0,"NOT COUNTED",SUMIFS([1]Sheet1!$C$2:$C$190,[1]Sheet1!$A$2:$A$190,$A148,[1]Sheet1!$B$2:$B$190,$B148))))</f>
        <v>NOT COUNTED</v>
      </c>
      <c r="J148" s="37" t="str">
        <f t="shared" si="4"/>
        <v/>
      </c>
      <c r="K148" s="36" t="str">
        <f t="shared" si="5"/>
        <v>NOT COUNTED</v>
      </c>
      <c r="L148" s="38" t="str">
        <f>IF($A148="","",IF(COUNTIFS([1]Sheet1!$D$2:$D$190,$A148&amp;"|"&amp;$B148)&gt;1,"Item listed twice in count sheet","")&amp;IF(AND(ISNUMBER($I148),$H148&lt;0)," ; system closing is negative — check entries",""))</f>
        <v/>
      </c>
    </row>
    <row r="149" spans="1:12" x14ac:dyDescent="0.3">
      <c r="A149" s="35" t="str">
        <f>'29-AUGUST-2026'!A142</f>
        <v>Coulthard</v>
      </c>
      <c r="B149" s="36">
        <f>'29-AUGUST-2026'!B142</f>
        <v>100000</v>
      </c>
      <c r="C149" s="36" t="str">
        <f>'29-AUGUST-2026'!C142</f>
        <v>SEED</v>
      </c>
      <c r="D149" s="37">
        <f>'29-AUGUST-2026'!E142</f>
        <v>2</v>
      </c>
      <c r="E149" s="37">
        <f>'29-AUGUST-2026'!H142</f>
        <v>0</v>
      </c>
      <c r="F149" s="37">
        <f>'29-AUGUST-2026'!K142</f>
        <v>0</v>
      </c>
      <c r="G149" s="37">
        <f>'29-AUGUST-2026'!N142</f>
        <v>0</v>
      </c>
      <c r="H149" s="37">
        <f>'29-AUGUST-2026'!Y142</f>
        <v>2</v>
      </c>
      <c r="I149" s="37">
        <f>IF($A149="","",IF(COUNTIFS([1]Sheet1!$A$2:$A$190,$A149,[1]Sheet1!$B$2:$B$190,$B149)=0,"NOT IN COUNT",IF(COUNTIFS([1]Sheet1!$A$2:$A$190,$A149,[1]Sheet1!$B$2:$B$190,$B149,[1]Sheet1!$C$2:$C$190,"&gt;=0")=0,"NOT COUNTED",SUMIFS([1]Sheet1!$C$2:$C$190,[1]Sheet1!$A$2:$A$190,$A149,[1]Sheet1!$B$2:$B$190,$B149))))</f>
        <v>2</v>
      </c>
      <c r="J149" s="37">
        <f t="shared" si="4"/>
        <v>0</v>
      </c>
      <c r="K149" s="36" t="str">
        <f t="shared" si="5"/>
        <v>MATCH</v>
      </c>
      <c r="L149" s="38" t="str">
        <f>IF($A149="","",IF(COUNTIFS([1]Sheet1!$D$2:$D$190,$A149&amp;"|"&amp;$B149)&gt;1,"Item listed twice in count sheet","")&amp;IF(AND(ISNUMBER($I149),$H149&lt;0)," ; system closing is negative — check entries",""))</f>
        <v/>
      </c>
    </row>
    <row r="150" spans="1:12" x14ac:dyDescent="0.3">
      <c r="A150" s="35" t="str">
        <f>'29-AUGUST-2026'!A143</f>
        <v>Daywalt</v>
      </c>
      <c r="B150" s="36">
        <f>'29-AUGUST-2026'!B143</f>
        <v>100000</v>
      </c>
      <c r="C150" s="36" t="str">
        <f>'29-AUGUST-2026'!C143</f>
        <v>SEED</v>
      </c>
      <c r="D150" s="37">
        <f>'29-AUGUST-2026'!E143</f>
        <v>5</v>
      </c>
      <c r="E150" s="37">
        <f>'29-AUGUST-2026'!H143</f>
        <v>0</v>
      </c>
      <c r="F150" s="37">
        <f>'29-AUGUST-2026'!K143</f>
        <v>0</v>
      </c>
      <c r="G150" s="37">
        <f>'29-AUGUST-2026'!N143</f>
        <v>0</v>
      </c>
      <c r="H150" s="37">
        <f>'29-AUGUST-2026'!Y143</f>
        <v>5</v>
      </c>
      <c r="I150" s="37">
        <f>IF($A150="","",IF(COUNTIFS([1]Sheet1!$A$2:$A$190,$A150,[1]Sheet1!$B$2:$B$190,$B150)=0,"NOT IN COUNT",IF(COUNTIFS([1]Sheet1!$A$2:$A$190,$A150,[1]Sheet1!$B$2:$B$190,$B150,[1]Sheet1!$C$2:$C$190,"&gt;=0")=0,"NOT COUNTED",SUMIFS([1]Sheet1!$C$2:$C$190,[1]Sheet1!$A$2:$A$190,$A150,[1]Sheet1!$B$2:$B$190,$B150))))</f>
        <v>5</v>
      </c>
      <c r="J150" s="37">
        <f t="shared" si="4"/>
        <v>0</v>
      </c>
      <c r="K150" s="36" t="str">
        <f t="shared" si="5"/>
        <v>MATCH</v>
      </c>
      <c r="L150" s="38" t="str">
        <f>IF($A150="","",IF(COUNTIFS([1]Sheet1!$D$2:$D$190,$A150&amp;"|"&amp;$B150)&gt;1,"Item listed twice in count sheet","")&amp;IF(AND(ISNUMBER($I150),$H150&lt;0)," ; system closing is negative — check entries",""))</f>
        <v/>
      </c>
    </row>
    <row r="151" spans="1:12" x14ac:dyDescent="0.3">
      <c r="A151" s="35" t="str">
        <f>'29-AUGUST-2026'!A144</f>
        <v>Diapson</v>
      </c>
      <c r="B151" s="36">
        <f>'29-AUGUST-2026'!B144</f>
        <v>100</v>
      </c>
      <c r="C151" s="36" t="str">
        <f>'29-AUGUST-2026'!C144</f>
        <v>SEED</v>
      </c>
      <c r="D151" s="37">
        <f>'29-AUGUST-2026'!E144</f>
        <v>3</v>
      </c>
      <c r="E151" s="37">
        <f>'29-AUGUST-2026'!H144</f>
        <v>0</v>
      </c>
      <c r="F151" s="37">
        <f>'29-AUGUST-2026'!K144</f>
        <v>0</v>
      </c>
      <c r="G151" s="37">
        <f>'29-AUGUST-2026'!N144</f>
        <v>0</v>
      </c>
      <c r="H151" s="37">
        <f>'29-AUGUST-2026'!Y144</f>
        <v>3</v>
      </c>
      <c r="I151" s="37">
        <f>IF($A151="","",IF(COUNTIFS([1]Sheet1!$A$2:$A$190,$A151,[1]Sheet1!$B$2:$B$190,$B151)=0,"NOT IN COUNT",IF(COUNTIFS([1]Sheet1!$A$2:$A$190,$A151,[1]Sheet1!$B$2:$B$190,$B151,[1]Sheet1!$C$2:$C$190,"&gt;=0")=0,"NOT COUNTED",SUMIFS([1]Sheet1!$C$2:$C$190,[1]Sheet1!$A$2:$A$190,$A151,[1]Sheet1!$B$2:$B$190,$B151))))</f>
        <v>3</v>
      </c>
      <c r="J151" s="37">
        <f t="shared" si="4"/>
        <v>0</v>
      </c>
      <c r="K151" s="36" t="str">
        <f t="shared" si="5"/>
        <v>MATCH</v>
      </c>
      <c r="L151" s="38" t="str">
        <f>IF($A151="","",IF(COUNTIFS([1]Sheet1!$D$2:$D$190,$A151&amp;"|"&amp;$B151)&gt;1,"Item listed twice in count sheet","")&amp;IF(AND(ISNUMBER($I151),$H151&lt;0)," ; system closing is negative — check entries",""))</f>
        <v/>
      </c>
    </row>
    <row r="152" spans="1:12" x14ac:dyDescent="0.3">
      <c r="A152" s="35" t="str">
        <f>'29-AUGUST-2026'!A145</f>
        <v>Exact</v>
      </c>
      <c r="B152" s="36">
        <f>'29-AUGUST-2026'!B145</f>
        <v>1000</v>
      </c>
      <c r="C152" s="36" t="str">
        <f>'29-AUGUST-2026'!C145</f>
        <v>SEED</v>
      </c>
      <c r="D152" s="37">
        <f>'29-AUGUST-2026'!E145</f>
        <v>3</v>
      </c>
      <c r="E152" s="37">
        <f>'29-AUGUST-2026'!H145</f>
        <v>0</v>
      </c>
      <c r="F152" s="37">
        <f>'29-AUGUST-2026'!K145</f>
        <v>0</v>
      </c>
      <c r="G152" s="37">
        <f>'29-AUGUST-2026'!N145</f>
        <v>0</v>
      </c>
      <c r="H152" s="37">
        <f>'29-AUGUST-2026'!Y145</f>
        <v>3</v>
      </c>
      <c r="I152" s="37">
        <f>IF($A152="","",IF(COUNTIFS([1]Sheet1!$A$2:$A$190,$A152,[1]Sheet1!$B$2:$B$190,$B152)=0,"NOT IN COUNT",IF(COUNTIFS([1]Sheet1!$A$2:$A$190,$A152,[1]Sheet1!$B$2:$B$190,$B152,[1]Sheet1!$C$2:$C$190,"&gt;=0")=0,"NOT COUNTED",SUMIFS([1]Sheet1!$C$2:$C$190,[1]Sheet1!$A$2:$A$190,$A152,[1]Sheet1!$B$2:$B$190,$B152))))</f>
        <v>3</v>
      </c>
      <c r="J152" s="37">
        <f t="shared" si="4"/>
        <v>0</v>
      </c>
      <c r="K152" s="36" t="str">
        <f t="shared" si="5"/>
        <v>MATCH</v>
      </c>
      <c r="L152" s="38" t="str">
        <f>IF($A152="","",IF(COUNTIFS([1]Sheet1!$D$2:$D$190,$A152&amp;"|"&amp;$B152)&gt;1,"Item listed twice in count sheet","")&amp;IF(AND(ISNUMBER($I152),$H152&lt;0)," ; system closing is negative — check entries",""))</f>
        <v/>
      </c>
    </row>
    <row r="153" spans="1:12" x14ac:dyDescent="0.3">
      <c r="A153" s="35" t="str">
        <f>'29-AUGUST-2026'!A146</f>
        <v>excentric</v>
      </c>
      <c r="B153" s="36">
        <f>'29-AUGUST-2026'!B146</f>
        <v>1000</v>
      </c>
      <c r="C153" s="36" t="str">
        <f>'29-AUGUST-2026'!C146</f>
        <v>SEED</v>
      </c>
      <c r="D153" s="37">
        <f>'29-AUGUST-2026'!E146</f>
        <v>2</v>
      </c>
      <c r="E153" s="37">
        <f>'29-AUGUST-2026'!H146</f>
        <v>0</v>
      </c>
      <c r="F153" s="37">
        <f>'29-AUGUST-2026'!K146</f>
        <v>0</v>
      </c>
      <c r="G153" s="37">
        <f>'29-AUGUST-2026'!N146</f>
        <v>0</v>
      </c>
      <c r="H153" s="37">
        <f>'29-AUGUST-2026'!Y146</f>
        <v>2</v>
      </c>
      <c r="I153" s="37" t="str">
        <f>IF($A153="","",IF(COUNTIFS([1]Sheet1!$A$2:$A$190,$A153,[1]Sheet1!$B$2:$B$190,$B153)=0,"NOT IN COUNT",IF(COUNTIFS([1]Sheet1!$A$2:$A$190,$A153,[1]Sheet1!$B$2:$B$190,$B153,[1]Sheet1!$C$2:$C$190,"&gt;=0")=0,"NOT COUNTED",SUMIFS([1]Sheet1!$C$2:$C$190,[1]Sheet1!$A$2:$A$190,$A153,[1]Sheet1!$B$2:$B$190,$B153))))</f>
        <v>NOT COUNTED</v>
      </c>
      <c r="J153" s="37" t="str">
        <f t="shared" si="4"/>
        <v/>
      </c>
      <c r="K153" s="36" t="str">
        <f t="shared" si="5"/>
        <v>NOT COUNTED</v>
      </c>
      <c r="L153" s="38" t="str">
        <f>IF($A153="","",IF(COUNTIFS([1]Sheet1!$D$2:$D$190,$A153&amp;"|"&amp;$B153)&gt;1,"Item listed twice in count sheet","")&amp;IF(AND(ISNUMBER($I153),$H153&lt;0)," ; system closing is negative — check entries",""))</f>
        <v/>
      </c>
    </row>
    <row r="154" spans="1:12" x14ac:dyDescent="0.3">
      <c r="A154" s="35" t="str">
        <f>'29-AUGUST-2026'!A147</f>
        <v>Excurcus</v>
      </c>
      <c r="B154" s="36">
        <f>'29-AUGUST-2026'!B147</f>
        <v>1000</v>
      </c>
      <c r="C154" s="36" t="str">
        <f>'29-AUGUST-2026'!C147</f>
        <v>SEED</v>
      </c>
      <c r="D154" s="37">
        <f>'29-AUGUST-2026'!E147</f>
        <v>4</v>
      </c>
      <c r="E154" s="37">
        <f>'29-AUGUST-2026'!H147</f>
        <v>0</v>
      </c>
      <c r="F154" s="37">
        <f>'29-AUGUST-2026'!K147</f>
        <v>0</v>
      </c>
      <c r="G154" s="37">
        <f>'29-AUGUST-2026'!N147</f>
        <v>0</v>
      </c>
      <c r="H154" s="37">
        <f>'29-AUGUST-2026'!Y147</f>
        <v>4</v>
      </c>
      <c r="I154" s="37">
        <f>IF($A154="","",IF(COUNTIFS([1]Sheet1!$A$2:$A$190,$A154,[1]Sheet1!$B$2:$B$190,$B154)=0,"NOT IN COUNT",IF(COUNTIFS([1]Sheet1!$A$2:$A$190,$A154,[1]Sheet1!$B$2:$B$190,$B154,[1]Sheet1!$C$2:$C$190,"&gt;=0")=0,"NOT COUNTED",SUMIFS([1]Sheet1!$C$2:$C$190,[1]Sheet1!$A$2:$A$190,$A154,[1]Sheet1!$B$2:$B$190,$B154))))</f>
        <v>4</v>
      </c>
      <c r="J154" s="37">
        <f t="shared" si="4"/>
        <v>0</v>
      </c>
      <c r="K154" s="36" t="str">
        <f t="shared" si="5"/>
        <v>MATCH</v>
      </c>
      <c r="L154" s="38" t="str">
        <f>IF($A154="","",IF(COUNTIFS([1]Sheet1!$D$2:$D$190,$A154&amp;"|"&amp;$B154)&gt;1,"Item listed twice in count sheet","")&amp;IF(AND(ISNUMBER($I154),$H154&lt;0)," ; system closing is negative — check entries",""))</f>
        <v/>
      </c>
    </row>
    <row r="155" spans="1:12" x14ac:dyDescent="0.3">
      <c r="A155" s="35" t="str">
        <f>'29-AUGUST-2026'!A148</f>
        <v>Floccus</v>
      </c>
      <c r="B155" s="36">
        <f>'29-AUGUST-2026'!B148</f>
        <v>5000</v>
      </c>
      <c r="C155" s="36" t="str">
        <f>'29-AUGUST-2026'!C148</f>
        <v>SEED</v>
      </c>
      <c r="D155" s="37">
        <f>'29-AUGUST-2026'!E148</f>
        <v>1</v>
      </c>
      <c r="E155" s="37">
        <f>'29-AUGUST-2026'!H148</f>
        <v>0</v>
      </c>
      <c r="F155" s="37">
        <f>'29-AUGUST-2026'!K148</f>
        <v>0</v>
      </c>
      <c r="G155" s="37">
        <f>'29-AUGUST-2026'!N148</f>
        <v>0</v>
      </c>
      <c r="H155" s="37">
        <f>'29-AUGUST-2026'!Y148</f>
        <v>1</v>
      </c>
      <c r="I155" s="37">
        <f>IF($A155="","",IF(COUNTIFS([1]Sheet1!$A$2:$A$190,$A155,[1]Sheet1!$B$2:$B$190,$B155)=0,"NOT IN COUNT",IF(COUNTIFS([1]Sheet1!$A$2:$A$190,$A155,[1]Sheet1!$B$2:$B$190,$B155,[1]Sheet1!$C$2:$C$190,"&gt;=0")=0,"NOT COUNTED",SUMIFS([1]Sheet1!$C$2:$C$190,[1]Sheet1!$A$2:$A$190,$A155,[1]Sheet1!$B$2:$B$190,$B155))))</f>
        <v>1</v>
      </c>
      <c r="J155" s="37">
        <f t="shared" si="4"/>
        <v>0</v>
      </c>
      <c r="K155" s="36" t="str">
        <f t="shared" si="5"/>
        <v>MATCH</v>
      </c>
      <c r="L155" s="38" t="str">
        <f>IF($A155="","",IF(COUNTIFS([1]Sheet1!$D$2:$D$190,$A155&amp;"|"&amp;$B155)&gt;1,"Item listed twice in count sheet","")&amp;IF(AND(ISNUMBER($I155),$H155&lt;0)," ; system closing is negative — check entries",""))</f>
        <v/>
      </c>
    </row>
    <row r="156" spans="1:12" x14ac:dyDescent="0.3">
      <c r="A156" s="35" t="str">
        <f>'29-AUGUST-2026'!A149</f>
        <v>Gibbard</v>
      </c>
      <c r="B156" s="36">
        <f>'29-AUGUST-2026'!B149</f>
        <v>5000</v>
      </c>
      <c r="C156" s="36" t="str">
        <f>'29-AUGUST-2026'!C149</f>
        <v>SEED</v>
      </c>
      <c r="D156" s="37">
        <f>'29-AUGUST-2026'!E149</f>
        <v>3</v>
      </c>
      <c r="E156" s="37">
        <f>'29-AUGUST-2026'!H149</f>
        <v>0</v>
      </c>
      <c r="F156" s="37">
        <f>'29-AUGUST-2026'!K149</f>
        <v>0</v>
      </c>
      <c r="G156" s="37">
        <f>'29-AUGUST-2026'!N149</f>
        <v>0</v>
      </c>
      <c r="H156" s="37">
        <f>'29-AUGUST-2026'!Y149</f>
        <v>3</v>
      </c>
      <c r="I156" s="37">
        <f>IF($A156="","",IF(COUNTIFS([1]Sheet1!$A$2:$A$190,$A156,[1]Sheet1!$B$2:$B$190,$B156)=0,"NOT IN COUNT",IF(COUNTIFS([1]Sheet1!$A$2:$A$190,$A156,[1]Sheet1!$B$2:$B$190,$B156,[1]Sheet1!$C$2:$C$190,"&gt;=0")=0,"NOT COUNTED",SUMIFS([1]Sheet1!$C$2:$C$190,[1]Sheet1!$A$2:$A$190,$A156,[1]Sheet1!$B$2:$B$190,$B156))))</f>
        <v>3</v>
      </c>
      <c r="J156" s="37">
        <f t="shared" si="4"/>
        <v>0</v>
      </c>
      <c r="K156" s="36" t="str">
        <f t="shared" si="5"/>
        <v>MATCH</v>
      </c>
      <c r="L156" s="38" t="str">
        <f>IF($A156="","",IF(COUNTIFS([1]Sheet1!$D$2:$D$190,$A156&amp;"|"&amp;$B156)&gt;1,"Item listed twice in count sheet","")&amp;IF(AND(ISNUMBER($I156),$H156&lt;0)," ; system closing is negative — check entries",""))</f>
        <v/>
      </c>
    </row>
    <row r="157" spans="1:12" x14ac:dyDescent="0.3">
      <c r="A157" s="35" t="str">
        <f>'29-AUGUST-2026'!A150</f>
        <v>Gimli</v>
      </c>
      <c r="B157" s="36">
        <f>'29-AUGUST-2026'!B150</f>
        <v>100</v>
      </c>
      <c r="C157" s="36" t="str">
        <f>'29-AUGUST-2026'!C150</f>
        <v>SEED</v>
      </c>
      <c r="D157" s="37">
        <f>'29-AUGUST-2026'!E150</f>
        <v>-6</v>
      </c>
      <c r="E157" s="37">
        <f>'29-AUGUST-2026'!H150</f>
        <v>0</v>
      </c>
      <c r="F157" s="37">
        <f>'29-AUGUST-2026'!K150</f>
        <v>0</v>
      </c>
      <c r="G157" s="37">
        <f>'29-AUGUST-2026'!N150</f>
        <v>0</v>
      </c>
      <c r="H157" s="37">
        <f>'29-AUGUST-2026'!Y150</f>
        <v>-6</v>
      </c>
      <c r="I157" s="37" t="str">
        <f>IF($A157="","",IF(COUNTIFS([1]Sheet1!$A$2:$A$190,$A157,[1]Sheet1!$B$2:$B$190,$B157)=0,"NOT IN COUNT",IF(COUNTIFS([1]Sheet1!$A$2:$A$190,$A157,[1]Sheet1!$B$2:$B$190,$B157,[1]Sheet1!$C$2:$C$190,"&gt;=0")=0,"NOT COUNTED",SUMIFS([1]Sheet1!$C$2:$C$190,[1]Sheet1!$A$2:$A$190,$A157,[1]Sheet1!$B$2:$B$190,$B157))))</f>
        <v>NOT COUNTED</v>
      </c>
      <c r="J157" s="37" t="str">
        <f t="shared" si="4"/>
        <v/>
      </c>
      <c r="K157" s="36" t="str">
        <f t="shared" si="5"/>
        <v>NOT COUNTED</v>
      </c>
      <c r="L157" s="38" t="str">
        <f>IF($A157="","",IF(COUNTIFS([1]Sheet1!$D$2:$D$190,$A157&amp;"|"&amp;$B157)&gt;1,"Item listed twice in count sheet","")&amp;IF(AND(ISNUMBER($I157),$H157&lt;0)," ; system closing is negative — check entries",""))</f>
        <v/>
      </c>
    </row>
    <row r="158" spans="1:12" x14ac:dyDescent="0.3">
      <c r="A158" s="35" t="str">
        <f>'29-AUGUST-2026'!A151</f>
        <v>Gourami</v>
      </c>
      <c r="B158" s="36">
        <f>'29-AUGUST-2026'!B151</f>
        <v>100</v>
      </c>
      <c r="C158" s="36" t="str">
        <f>'29-AUGUST-2026'!C151</f>
        <v>SEED</v>
      </c>
      <c r="D158" s="37">
        <f>'29-AUGUST-2026'!E151</f>
        <v>5</v>
      </c>
      <c r="E158" s="37">
        <f>'29-AUGUST-2026'!H151</f>
        <v>0</v>
      </c>
      <c r="F158" s="37">
        <f>'29-AUGUST-2026'!K151</f>
        <v>0</v>
      </c>
      <c r="G158" s="37">
        <f>'29-AUGUST-2026'!N151</f>
        <v>0</v>
      </c>
      <c r="H158" s="37">
        <f>'29-AUGUST-2026'!Y151</f>
        <v>5</v>
      </c>
      <c r="I158" s="37">
        <f>IF($A158="","",IF(COUNTIFS([1]Sheet1!$A$2:$A$190,$A158,[1]Sheet1!$B$2:$B$190,$B158)=0,"NOT IN COUNT",IF(COUNTIFS([1]Sheet1!$A$2:$A$190,$A158,[1]Sheet1!$B$2:$B$190,$B158,[1]Sheet1!$C$2:$C$190,"&gt;=0")=0,"NOT COUNTED",SUMIFS([1]Sheet1!$C$2:$C$190,[1]Sheet1!$A$2:$A$190,$A158,[1]Sheet1!$B$2:$B$190,$B158))))</f>
        <v>5</v>
      </c>
      <c r="J158" s="37">
        <f t="shared" si="4"/>
        <v>0</v>
      </c>
      <c r="K158" s="36" t="str">
        <f t="shared" si="5"/>
        <v>MATCH</v>
      </c>
      <c r="L158" s="38" t="str">
        <f>IF($A158="","",IF(COUNTIFS([1]Sheet1!$D$2:$D$190,$A158&amp;"|"&amp;$B158)&gt;1,"Item listed twice in count sheet","")&amp;IF(AND(ISNUMBER($I158),$H158&lt;0)," ; system closing is negative — check entries",""))</f>
        <v/>
      </c>
    </row>
    <row r="159" spans="1:12" x14ac:dyDescent="0.3">
      <c r="A159" s="35" t="str">
        <f>'29-AUGUST-2026'!A152</f>
        <v>grecale</v>
      </c>
      <c r="B159" s="36">
        <f>'29-AUGUST-2026'!B152</f>
        <v>1000</v>
      </c>
      <c r="C159" s="36" t="str">
        <f>'29-AUGUST-2026'!C152</f>
        <v>SEED</v>
      </c>
      <c r="D159" s="37">
        <f>'29-AUGUST-2026'!E152</f>
        <v>2</v>
      </c>
      <c r="E159" s="37">
        <f>'29-AUGUST-2026'!H152</f>
        <v>0</v>
      </c>
      <c r="F159" s="37">
        <f>'29-AUGUST-2026'!K152</f>
        <v>0</v>
      </c>
      <c r="G159" s="37">
        <f>'29-AUGUST-2026'!N152</f>
        <v>0</v>
      </c>
      <c r="H159" s="37">
        <f>'29-AUGUST-2026'!Y152</f>
        <v>2</v>
      </c>
      <c r="I159" s="37" t="str">
        <f>IF($A159="","",IF(COUNTIFS([1]Sheet1!$A$2:$A$190,$A159,[1]Sheet1!$B$2:$B$190,$B159)=0,"NOT IN COUNT",IF(COUNTIFS([1]Sheet1!$A$2:$A$190,$A159,[1]Sheet1!$B$2:$B$190,$B159,[1]Sheet1!$C$2:$C$190,"&gt;=0")=0,"NOT COUNTED",SUMIFS([1]Sheet1!$C$2:$C$190,[1]Sheet1!$A$2:$A$190,$A159,[1]Sheet1!$B$2:$B$190,$B159))))</f>
        <v>NOT COUNTED</v>
      </c>
      <c r="J159" s="37" t="str">
        <f t="shared" si="4"/>
        <v/>
      </c>
      <c r="K159" s="36" t="str">
        <f t="shared" si="5"/>
        <v>NOT COUNTED</v>
      </c>
      <c r="L159" s="38" t="str">
        <f>IF($A159="","",IF(COUNTIFS([1]Sheet1!$D$2:$D$190,$A159&amp;"|"&amp;$B159)&gt;1,"Item listed twice in count sheet","")&amp;IF(AND(ISNUMBER($I159),$H159&lt;0)," ; system closing is negative — check entries",""))</f>
        <v/>
      </c>
    </row>
    <row r="160" spans="1:12" x14ac:dyDescent="0.3">
      <c r="A160" s="35" t="str">
        <f>'29-AUGUST-2026'!A153</f>
        <v>Hazleton</v>
      </c>
      <c r="B160" s="36">
        <f>'29-AUGUST-2026'!B153</f>
        <v>1000</v>
      </c>
      <c r="C160" s="36" t="str">
        <f>'29-AUGUST-2026'!C153</f>
        <v>SEED</v>
      </c>
      <c r="D160" s="37">
        <f>'29-AUGUST-2026'!E153</f>
        <v>4</v>
      </c>
      <c r="E160" s="37">
        <f>'29-AUGUST-2026'!H153</f>
        <v>0</v>
      </c>
      <c r="F160" s="37">
        <f>'29-AUGUST-2026'!K153</f>
        <v>0</v>
      </c>
      <c r="G160" s="37">
        <f>'29-AUGUST-2026'!N153</f>
        <v>0</v>
      </c>
      <c r="H160" s="37">
        <f>'29-AUGUST-2026'!Y153</f>
        <v>2</v>
      </c>
      <c r="I160" s="37">
        <f>IF($A160="","",IF(COUNTIFS([1]Sheet1!$A$2:$A$190,$A160,[1]Sheet1!$B$2:$B$190,$B160)=0,"NOT IN COUNT",IF(COUNTIFS([1]Sheet1!$A$2:$A$190,$A160,[1]Sheet1!$B$2:$B$190,$B160,[1]Sheet1!$C$2:$C$190,"&gt;=0")=0,"NOT COUNTED",SUMIFS([1]Sheet1!$C$2:$C$190,[1]Sheet1!$A$2:$A$190,$A160,[1]Sheet1!$B$2:$B$190,$B160))))</f>
        <v>2</v>
      </c>
      <c r="J160" s="37">
        <f t="shared" si="4"/>
        <v>0</v>
      </c>
      <c r="K160" s="36" t="str">
        <f t="shared" si="5"/>
        <v>MATCH</v>
      </c>
      <c r="L160" s="38" t="str">
        <f>IF($A160="","",IF(COUNTIFS([1]Sheet1!$D$2:$D$190,$A160&amp;"|"&amp;$B160)&gt;1,"Item listed twice in count sheet","")&amp;IF(AND(ISNUMBER($I160),$H160&lt;0)," ; system closing is negative — check entries",""))</f>
        <v/>
      </c>
    </row>
    <row r="161" spans="1:12" x14ac:dyDescent="0.3">
      <c r="A161" s="35" t="str">
        <f>'29-AUGUST-2026'!A154</f>
        <v>Hilbert</v>
      </c>
      <c r="B161" s="36">
        <f>'29-AUGUST-2026'!B154</f>
        <v>1000</v>
      </c>
      <c r="C161" s="36" t="str">
        <f>'29-AUGUST-2026'!C154</f>
        <v>SEED</v>
      </c>
      <c r="D161" s="37">
        <f>'29-AUGUST-2026'!E154</f>
        <v>0</v>
      </c>
      <c r="E161" s="37">
        <f>'29-AUGUST-2026'!H154</f>
        <v>0</v>
      </c>
      <c r="F161" s="37">
        <f>'29-AUGUST-2026'!K154</f>
        <v>0</v>
      </c>
      <c r="G161" s="37">
        <f>'29-AUGUST-2026'!N154</f>
        <v>0</v>
      </c>
      <c r="H161" s="37">
        <f>'29-AUGUST-2026'!Y154</f>
        <v>3</v>
      </c>
      <c r="I161" s="37">
        <f>IF($A161="","",IF(COUNTIFS([1]Sheet1!$A$2:$A$190,$A161,[1]Sheet1!$B$2:$B$190,$B161)=0,"NOT IN COUNT",IF(COUNTIFS([1]Sheet1!$A$2:$A$190,$A161,[1]Sheet1!$B$2:$B$190,$B161,[1]Sheet1!$C$2:$C$190,"&gt;=0")=0,"NOT COUNTED",SUMIFS([1]Sheet1!$C$2:$C$190,[1]Sheet1!$A$2:$A$190,$A161,[1]Sheet1!$B$2:$B$190,$B161))))</f>
        <v>3</v>
      </c>
      <c r="J161" s="37">
        <f t="shared" si="4"/>
        <v>0</v>
      </c>
      <c r="K161" s="36" t="str">
        <f t="shared" si="5"/>
        <v>MATCH</v>
      </c>
      <c r="L161" s="38" t="str">
        <f>IF($A161="","",IF(COUNTIFS([1]Sheet1!$D$2:$D$190,$A161&amp;"|"&amp;$B161)&gt;1,"Item listed twice in count sheet","")&amp;IF(AND(ISNUMBER($I161),$H161&lt;0)," ; system closing is negative — check entries",""))</f>
        <v/>
      </c>
    </row>
    <row r="162" spans="1:12" x14ac:dyDescent="0.3">
      <c r="A162" s="35" t="str">
        <f>'29-AUGUST-2026'!A155</f>
        <v>Jerada</v>
      </c>
      <c r="B162" s="36">
        <f>'29-AUGUST-2026'!B155</f>
        <v>100000</v>
      </c>
      <c r="C162" s="36" t="str">
        <f>'29-AUGUST-2026'!C155</f>
        <v>SEED</v>
      </c>
      <c r="D162" s="37">
        <f>'29-AUGUST-2026'!E155</f>
        <v>1</v>
      </c>
      <c r="E162" s="37">
        <f>'29-AUGUST-2026'!H155</f>
        <v>0</v>
      </c>
      <c r="F162" s="37">
        <f>'29-AUGUST-2026'!K155</f>
        <v>1</v>
      </c>
      <c r="G162" s="37">
        <f>'29-AUGUST-2026'!N155</f>
        <v>0</v>
      </c>
      <c r="H162" s="37">
        <f>'29-AUGUST-2026'!Y155</f>
        <v>1</v>
      </c>
      <c r="I162" s="37">
        <f>IF($A162="","",IF(COUNTIFS([1]Sheet1!$A$2:$A$190,$A162,[1]Sheet1!$B$2:$B$190,$B162)=0,"NOT IN COUNT",IF(COUNTIFS([1]Sheet1!$A$2:$A$190,$A162,[1]Sheet1!$B$2:$B$190,$B162,[1]Sheet1!$C$2:$C$190,"&gt;=0")=0,"NOT COUNTED",SUMIFS([1]Sheet1!$C$2:$C$190,[1]Sheet1!$A$2:$A$190,$A162,[1]Sheet1!$B$2:$B$190,$B162))))</f>
        <v>1</v>
      </c>
      <c r="J162" s="37">
        <f t="shared" si="4"/>
        <v>0</v>
      </c>
      <c r="K162" s="36" t="str">
        <f t="shared" si="5"/>
        <v>MATCH</v>
      </c>
      <c r="L162" s="38" t="str">
        <f>IF($A162="","",IF(COUNTIFS([1]Sheet1!$D$2:$D$190,$A162&amp;"|"&amp;$B162)&gt;1,"Item listed twice in count sheet","")&amp;IF(AND(ISNUMBER($I162),$H162&lt;0)," ; system closing is negative — check entries",""))</f>
        <v/>
      </c>
    </row>
    <row r="163" spans="1:12" x14ac:dyDescent="0.3">
      <c r="A163" s="35" t="str">
        <f>'29-AUGUST-2026'!A156</f>
        <v>Kariba</v>
      </c>
      <c r="B163" s="36">
        <f>'29-AUGUST-2026'!B156</f>
        <v>1000</v>
      </c>
      <c r="C163" s="36" t="str">
        <f>'29-AUGUST-2026'!C156</f>
        <v>SEED</v>
      </c>
      <c r="D163" s="37">
        <f>'29-AUGUST-2026'!E156</f>
        <v>5</v>
      </c>
      <c r="E163" s="37">
        <f>'29-AUGUST-2026'!H156</f>
        <v>0</v>
      </c>
      <c r="F163" s="37">
        <f>'29-AUGUST-2026'!K156</f>
        <v>0</v>
      </c>
      <c r="G163" s="37">
        <f>'29-AUGUST-2026'!N156</f>
        <v>0</v>
      </c>
      <c r="H163" s="37">
        <f>'29-AUGUST-2026'!Y156</f>
        <v>5</v>
      </c>
      <c r="I163" s="37">
        <f>IF($A163="","",IF(COUNTIFS([1]Sheet1!$A$2:$A$190,$A163,[1]Sheet1!$B$2:$B$190,$B163)=0,"NOT IN COUNT",IF(COUNTIFS([1]Sheet1!$A$2:$A$190,$A163,[1]Sheet1!$B$2:$B$190,$B163,[1]Sheet1!$C$2:$C$190,"&gt;=0")=0,"NOT COUNTED",SUMIFS([1]Sheet1!$C$2:$C$190,[1]Sheet1!$A$2:$A$190,$A163,[1]Sheet1!$B$2:$B$190,$B163))))</f>
        <v>5</v>
      </c>
      <c r="J163" s="37">
        <f t="shared" si="4"/>
        <v>0</v>
      </c>
      <c r="K163" s="36" t="str">
        <f t="shared" si="5"/>
        <v>MATCH</v>
      </c>
      <c r="L163" s="38" t="str">
        <f>IF($A163="","",IF(COUNTIFS([1]Sheet1!$D$2:$D$190,$A163&amp;"|"&amp;$B163)&gt;1,"Item listed twice in count sheet","")&amp;IF(AND(ISNUMBER($I163),$H163&lt;0)," ; system closing is negative — check entries",""))</f>
        <v/>
      </c>
    </row>
    <row r="164" spans="1:12" x14ac:dyDescent="0.3">
      <c r="A164" s="35" t="str">
        <f>'29-AUGUST-2026'!A157</f>
        <v>kivu</v>
      </c>
      <c r="B164" s="36">
        <f>'29-AUGUST-2026'!B157</f>
        <v>100</v>
      </c>
      <c r="C164" s="36" t="str">
        <f>'29-AUGUST-2026'!C157</f>
        <v>SEED</v>
      </c>
      <c r="D164" s="37">
        <f>'29-AUGUST-2026'!E157</f>
        <v>8</v>
      </c>
      <c r="E164" s="37">
        <f>'29-AUGUST-2026'!H157</f>
        <v>0</v>
      </c>
      <c r="F164" s="37">
        <f>'29-AUGUST-2026'!K157</f>
        <v>0</v>
      </c>
      <c r="G164" s="37">
        <f>'29-AUGUST-2026'!N157</f>
        <v>0</v>
      </c>
      <c r="H164" s="37">
        <f>'29-AUGUST-2026'!Y157</f>
        <v>8</v>
      </c>
      <c r="I164" s="37">
        <f>IF($A164="","",IF(COUNTIFS([1]Sheet1!$A$2:$A$190,$A164,[1]Sheet1!$B$2:$B$190,$B164)=0,"NOT IN COUNT",IF(COUNTIFS([1]Sheet1!$A$2:$A$190,$A164,[1]Sheet1!$B$2:$B$190,$B164,[1]Sheet1!$C$2:$C$190,"&gt;=0")=0,"NOT COUNTED",SUMIFS([1]Sheet1!$C$2:$C$190,[1]Sheet1!$A$2:$A$190,$A164,[1]Sheet1!$B$2:$B$190,$B164))))</f>
        <v>8</v>
      </c>
      <c r="J164" s="37">
        <f t="shared" si="4"/>
        <v>0</v>
      </c>
      <c r="K164" s="36" t="str">
        <f t="shared" si="5"/>
        <v>MATCH</v>
      </c>
      <c r="L164" s="38" t="str">
        <f>IF($A164="","",IF(COUNTIFS([1]Sheet1!$D$2:$D$190,$A164&amp;"|"&amp;$B164)&gt;1,"Item listed twice in count sheet","")&amp;IF(AND(ISNUMBER($I164),$H164&lt;0)," ; system closing is negative — check entries",""))</f>
        <v/>
      </c>
    </row>
    <row r="165" spans="1:12" x14ac:dyDescent="0.3">
      <c r="A165" s="35" t="str">
        <f>'29-AUGUST-2026'!A158</f>
        <v>Klee</v>
      </c>
      <c r="B165" s="36">
        <f>'29-AUGUST-2026'!B158</f>
        <v>1000</v>
      </c>
      <c r="C165" s="36" t="str">
        <f>'29-AUGUST-2026'!C158</f>
        <v>SEED</v>
      </c>
      <c r="D165" s="37">
        <f>'29-AUGUST-2026'!E158</f>
        <v>7</v>
      </c>
      <c r="E165" s="37">
        <f>'29-AUGUST-2026'!H158</f>
        <v>0</v>
      </c>
      <c r="F165" s="37">
        <f>'29-AUGUST-2026'!K158</f>
        <v>0</v>
      </c>
      <c r="G165" s="37">
        <f>'29-AUGUST-2026'!N158</f>
        <v>0</v>
      </c>
      <c r="H165" s="37">
        <f>'29-AUGUST-2026'!Y158</f>
        <v>7</v>
      </c>
      <c r="I165" s="37">
        <f>IF($A165="","",IF(COUNTIFS([1]Sheet1!$A$2:$A$190,$A165,[1]Sheet1!$B$2:$B$190,$B165)=0,"NOT IN COUNT",IF(COUNTIFS([1]Sheet1!$A$2:$A$190,$A165,[1]Sheet1!$B$2:$B$190,$B165,[1]Sheet1!$C$2:$C$190,"&gt;=0")=0,"NOT COUNTED",SUMIFS([1]Sheet1!$C$2:$C$190,[1]Sheet1!$A$2:$A$190,$A165,[1]Sheet1!$B$2:$B$190,$B165))))</f>
        <v>7</v>
      </c>
      <c r="J165" s="37">
        <f t="shared" si="4"/>
        <v>0</v>
      </c>
      <c r="K165" s="36" t="str">
        <f t="shared" si="5"/>
        <v>MATCH</v>
      </c>
      <c r="L165" s="38" t="str">
        <f>IF($A165="","",IF(COUNTIFS([1]Sheet1!$D$2:$D$190,$A165&amp;"|"&amp;$B165)&gt;1,"Item listed twice in count sheet","")&amp;IF(AND(ISNUMBER($I165),$H165&lt;0)," ; system closing is negative — check entries",""))</f>
        <v/>
      </c>
    </row>
    <row r="166" spans="1:12" x14ac:dyDescent="0.3">
      <c r="A166" s="35" t="str">
        <f>'29-AUGUST-2026'!A159</f>
        <v>lalique</v>
      </c>
      <c r="B166" s="36">
        <f>'29-AUGUST-2026'!B159</f>
        <v>1000</v>
      </c>
      <c r="C166" s="36" t="str">
        <f>'29-AUGUST-2026'!C159</f>
        <v>SEED</v>
      </c>
      <c r="D166" s="37">
        <f>'29-AUGUST-2026'!E159</f>
        <v>1</v>
      </c>
      <c r="E166" s="37">
        <f>'29-AUGUST-2026'!H159</f>
        <v>0</v>
      </c>
      <c r="F166" s="37">
        <f>'29-AUGUST-2026'!K159</f>
        <v>1</v>
      </c>
      <c r="G166" s="37">
        <f>'29-AUGUST-2026'!N159</f>
        <v>0</v>
      </c>
      <c r="H166" s="37">
        <f>'29-AUGUST-2026'!Y159</f>
        <v>0</v>
      </c>
      <c r="I166" s="37">
        <f>IF($A166="","",IF(COUNTIFS([1]Sheet1!$A$2:$A$190,$A166,[1]Sheet1!$B$2:$B$190,$B166)=0,"NOT IN COUNT",IF(COUNTIFS([1]Sheet1!$A$2:$A$190,$A166,[1]Sheet1!$B$2:$B$190,$B166,[1]Sheet1!$C$2:$C$190,"&gt;=0")=0,"NOT COUNTED",SUMIFS([1]Sheet1!$C$2:$C$190,[1]Sheet1!$A$2:$A$190,$A166,[1]Sheet1!$B$2:$B$190,$B166))))</f>
        <v>0</v>
      </c>
      <c r="J166" s="37">
        <f t="shared" si="4"/>
        <v>0</v>
      </c>
      <c r="K166" s="36" t="str">
        <f t="shared" si="5"/>
        <v>MATCH</v>
      </c>
      <c r="L166" s="38" t="str">
        <f>IF($A166="","",IF(COUNTIFS([1]Sheet1!$D$2:$D$190,$A166&amp;"|"&amp;$B166)&gt;1,"Item listed twice in count sheet","")&amp;IF(AND(ISNUMBER($I166),$H166&lt;0)," ; system closing is negative — check entries",""))</f>
        <v/>
      </c>
    </row>
    <row r="167" spans="1:12" x14ac:dyDescent="0.3">
      <c r="A167" s="35" t="str">
        <f>'29-AUGUST-2026'!A160</f>
        <v>Larsson</v>
      </c>
      <c r="B167" s="36">
        <f>'29-AUGUST-2026'!B160</f>
        <v>1000</v>
      </c>
      <c r="C167" s="36" t="str">
        <f>'29-AUGUST-2026'!C160</f>
        <v>SEED</v>
      </c>
      <c r="D167" s="37">
        <f>'29-AUGUST-2026'!E160</f>
        <v>5</v>
      </c>
      <c r="E167" s="37">
        <f>'29-AUGUST-2026'!H160</f>
        <v>0</v>
      </c>
      <c r="F167" s="37">
        <f>'29-AUGUST-2026'!K160</f>
        <v>0</v>
      </c>
      <c r="G167" s="37">
        <f>'29-AUGUST-2026'!N160</f>
        <v>0</v>
      </c>
      <c r="H167" s="37">
        <f>'29-AUGUST-2026'!Y160</f>
        <v>5</v>
      </c>
      <c r="I167" s="37" t="str">
        <f>IF($A167="","",IF(COUNTIFS([1]Sheet1!$A$2:$A$190,$A167,[1]Sheet1!$B$2:$B$190,$B167)=0,"NOT IN COUNT",IF(COUNTIFS([1]Sheet1!$A$2:$A$190,$A167,[1]Sheet1!$B$2:$B$190,$B167,[1]Sheet1!$C$2:$C$190,"&gt;=0")=0,"NOT COUNTED",SUMIFS([1]Sheet1!$C$2:$C$190,[1]Sheet1!$A$2:$A$190,$A167,[1]Sheet1!$B$2:$B$190,$B167))))</f>
        <v>NOT COUNTED</v>
      </c>
      <c r="J167" s="37" t="str">
        <f t="shared" si="4"/>
        <v/>
      </c>
      <c r="K167" s="36" t="str">
        <f t="shared" si="5"/>
        <v>NOT COUNTED</v>
      </c>
      <c r="L167" s="38" t="str">
        <f>IF($A167="","",IF(COUNTIFS([1]Sheet1!$D$2:$D$190,$A167&amp;"|"&amp;$B167)&gt;1,"Item listed twice in count sheet","")&amp;IF(AND(ISNUMBER($I167),$H167&lt;0)," ; system closing is negative — check entries",""))</f>
        <v/>
      </c>
    </row>
    <row r="168" spans="1:12" x14ac:dyDescent="0.3">
      <c r="A168" s="35" t="str">
        <f>'29-AUGUST-2026'!A161</f>
        <v>Lavender</v>
      </c>
      <c r="B168" s="36">
        <f>'29-AUGUST-2026'!B161</f>
        <v>1000</v>
      </c>
      <c r="C168" s="36" t="str">
        <f>'29-AUGUST-2026'!C161</f>
        <v>SEED</v>
      </c>
      <c r="D168" s="37">
        <f>'29-AUGUST-2026'!E161</f>
        <v>0</v>
      </c>
      <c r="E168" s="37">
        <f>'29-AUGUST-2026'!H161</f>
        <v>0</v>
      </c>
      <c r="F168" s="37">
        <f>'29-AUGUST-2026'!K161</f>
        <v>0</v>
      </c>
      <c r="G168" s="37">
        <f>'29-AUGUST-2026'!N161</f>
        <v>0</v>
      </c>
      <c r="H168" s="37">
        <f>'29-AUGUST-2026'!Y161</f>
        <v>0</v>
      </c>
      <c r="I168" s="37" t="str">
        <f>IF($A168="","",IF(COUNTIFS([1]Sheet1!$A$2:$A$190,$A168,[1]Sheet1!$B$2:$B$190,$B168)=0,"NOT IN COUNT",IF(COUNTIFS([1]Sheet1!$A$2:$A$190,$A168,[1]Sheet1!$B$2:$B$190,$B168,[1]Sheet1!$C$2:$C$190,"&gt;=0")=0,"NOT COUNTED",SUMIFS([1]Sheet1!$C$2:$C$190,[1]Sheet1!$A$2:$A$190,$A168,[1]Sheet1!$B$2:$B$190,$B168))))</f>
        <v>NOT COUNTED</v>
      </c>
      <c r="J168" s="37" t="str">
        <f t="shared" si="4"/>
        <v/>
      </c>
      <c r="K168" s="36" t="str">
        <f t="shared" si="5"/>
        <v>NOT COUNTED</v>
      </c>
      <c r="L168" s="38" t="str">
        <f>IF($A168="","",IF(COUNTIFS([1]Sheet1!$D$2:$D$190,$A168&amp;"|"&amp;$B168)&gt;1,"Item listed twice in count sheet","")&amp;IF(AND(ISNUMBER($I168),$H168&lt;0)," ; system closing is negative — check entries",""))</f>
        <v/>
      </c>
    </row>
    <row r="169" spans="1:12" x14ac:dyDescent="0.3">
      <c r="A169" s="35" t="str">
        <f>'29-AUGUST-2026'!A162</f>
        <v>libero</v>
      </c>
      <c r="B169" s="36">
        <f>'29-AUGUST-2026'!B162</f>
        <v>10000</v>
      </c>
      <c r="C169" s="36" t="str">
        <f>'29-AUGUST-2026'!C162</f>
        <v>SEED</v>
      </c>
      <c r="D169" s="37">
        <f>'29-AUGUST-2026'!E162</f>
        <v>1</v>
      </c>
      <c r="E169" s="37">
        <f>'29-AUGUST-2026'!H162</f>
        <v>0</v>
      </c>
      <c r="F169" s="37">
        <f>'29-AUGUST-2026'!K162</f>
        <v>0</v>
      </c>
      <c r="G169" s="37">
        <f>'29-AUGUST-2026'!N162</f>
        <v>0</v>
      </c>
      <c r="H169" s="37">
        <f>'29-AUGUST-2026'!Y162</f>
        <v>1</v>
      </c>
      <c r="I169" s="37" t="str">
        <f>IF($A169="","",IF(COUNTIFS([1]Sheet1!$A$2:$A$190,$A169,[1]Sheet1!$B$2:$B$190,$B169)=0,"NOT IN COUNT",IF(COUNTIFS([1]Sheet1!$A$2:$A$190,$A169,[1]Sheet1!$B$2:$B$190,$B169,[1]Sheet1!$C$2:$C$190,"&gt;=0")=0,"NOT COUNTED",SUMIFS([1]Sheet1!$C$2:$C$190,[1]Sheet1!$A$2:$A$190,$A169,[1]Sheet1!$B$2:$B$190,$B169))))</f>
        <v>NOT COUNTED</v>
      </c>
      <c r="J169" s="37" t="str">
        <f t="shared" si="4"/>
        <v/>
      </c>
      <c r="K169" s="36" t="str">
        <f t="shared" si="5"/>
        <v>NOT COUNTED</v>
      </c>
      <c r="L169" s="38" t="str">
        <f>IF($A169="","",IF(COUNTIFS([1]Sheet1!$D$2:$D$190,$A169&amp;"|"&amp;$B169)&gt;1,"Item listed twice in count sheet","")&amp;IF(AND(ISNUMBER($I169),$H169&lt;0)," ; system closing is negative — check entries",""))</f>
        <v/>
      </c>
    </row>
    <row r="170" spans="1:12" x14ac:dyDescent="0.3">
      <c r="A170" s="35" t="str">
        <f>'29-AUGUST-2026'!A163</f>
        <v>Ligier</v>
      </c>
      <c r="B170" s="36">
        <f>'29-AUGUST-2026'!B163</f>
        <v>100000</v>
      </c>
      <c r="C170" s="36" t="str">
        <f>'29-AUGUST-2026'!C163</f>
        <v>SEED</v>
      </c>
      <c r="D170" s="37">
        <f>'29-AUGUST-2026'!E163</f>
        <v>2</v>
      </c>
      <c r="E170" s="37">
        <f>'29-AUGUST-2026'!H163</f>
        <v>0</v>
      </c>
      <c r="F170" s="37">
        <f>'29-AUGUST-2026'!K163</f>
        <v>0</v>
      </c>
      <c r="G170" s="37">
        <f>'29-AUGUST-2026'!N163</f>
        <v>0</v>
      </c>
      <c r="H170" s="37">
        <f>'29-AUGUST-2026'!Y163</f>
        <v>2</v>
      </c>
      <c r="I170" s="37" t="str">
        <f>IF($A170="","",IF(COUNTIFS([1]Sheet1!$A$2:$A$190,$A170,[1]Sheet1!$B$2:$B$190,$B170)=0,"NOT IN COUNT",IF(COUNTIFS([1]Sheet1!$A$2:$A$190,$A170,[1]Sheet1!$B$2:$B$190,$B170,[1]Sheet1!$C$2:$C$190,"&gt;=0")=0,"NOT COUNTED",SUMIFS([1]Sheet1!$C$2:$C$190,[1]Sheet1!$A$2:$A$190,$A170,[1]Sheet1!$B$2:$B$190,$B170))))</f>
        <v>NOT COUNTED</v>
      </c>
      <c r="J170" s="37" t="str">
        <f t="shared" si="4"/>
        <v/>
      </c>
      <c r="K170" s="36" t="str">
        <f t="shared" si="5"/>
        <v>NOT COUNTED</v>
      </c>
      <c r="L170" s="38" t="str">
        <f>IF($A170="","",IF(COUNTIFS([1]Sheet1!$D$2:$D$190,$A170&amp;"|"&amp;$B170)&gt;1,"Item listed twice in count sheet","")&amp;IF(AND(ISNUMBER($I170),$H170&lt;0)," ; system closing is negative — check entries",""))</f>
        <v/>
      </c>
    </row>
    <row r="171" spans="1:12" x14ac:dyDescent="0.3">
      <c r="A171" s="35" t="str">
        <f>'29-AUGUST-2026'!A164</f>
        <v>Litoral</v>
      </c>
      <c r="B171" s="36">
        <f>'29-AUGUST-2026'!B164</f>
        <v>100</v>
      </c>
      <c r="C171" s="36" t="str">
        <f>'29-AUGUST-2026'!C164</f>
        <v>SEED</v>
      </c>
      <c r="D171" s="37">
        <f>'29-AUGUST-2026'!E164</f>
        <v>0</v>
      </c>
      <c r="E171" s="37">
        <f>'29-AUGUST-2026'!H164</f>
        <v>0</v>
      </c>
      <c r="F171" s="37">
        <f>'29-AUGUST-2026'!K164</f>
        <v>0</v>
      </c>
      <c r="G171" s="37">
        <f>'29-AUGUST-2026'!N164</f>
        <v>0</v>
      </c>
      <c r="H171" s="37">
        <f>'29-AUGUST-2026'!Y164</f>
        <v>0</v>
      </c>
      <c r="I171" s="37" t="str">
        <f>IF($A171="","",IF(COUNTIFS([1]Sheet1!$A$2:$A$190,$A171,[1]Sheet1!$B$2:$B$190,$B171)=0,"NOT IN COUNT",IF(COUNTIFS([1]Sheet1!$A$2:$A$190,$A171,[1]Sheet1!$B$2:$B$190,$B171,[1]Sheet1!$C$2:$C$190,"&gt;=0")=0,"NOT COUNTED",SUMIFS([1]Sheet1!$C$2:$C$190,[1]Sheet1!$A$2:$A$190,$A171,[1]Sheet1!$B$2:$B$190,$B171))))</f>
        <v>NOT COUNTED</v>
      </c>
      <c r="J171" s="37" t="str">
        <f t="shared" si="4"/>
        <v/>
      </c>
      <c r="K171" s="36" t="str">
        <f t="shared" si="5"/>
        <v>NOT COUNTED</v>
      </c>
      <c r="L171" s="38" t="str">
        <f>IF($A171="","",IF(COUNTIFS([1]Sheet1!$D$2:$D$190,$A171&amp;"|"&amp;$B171)&gt;1,"Item listed twice in count sheet","")&amp;IF(AND(ISNUMBER($I171),$H171&lt;0)," ; system closing is negative — check entries",""))</f>
        <v/>
      </c>
    </row>
    <row r="172" spans="1:12" x14ac:dyDescent="0.3">
      <c r="A172" s="35" t="str">
        <f>'29-AUGUST-2026'!A165</f>
        <v>Maggino</v>
      </c>
      <c r="B172" s="36">
        <f>'29-AUGUST-2026'!B165</f>
        <v>100</v>
      </c>
      <c r="C172" s="36" t="str">
        <f>'29-AUGUST-2026'!C165</f>
        <v>SEED</v>
      </c>
      <c r="D172" s="37">
        <f>'29-AUGUST-2026'!E165</f>
        <v>1</v>
      </c>
      <c r="E172" s="37">
        <f>'29-AUGUST-2026'!H165</f>
        <v>0</v>
      </c>
      <c r="F172" s="37">
        <f>'29-AUGUST-2026'!K165</f>
        <v>0</v>
      </c>
      <c r="G172" s="37">
        <f>'29-AUGUST-2026'!N165</f>
        <v>0</v>
      </c>
      <c r="H172" s="37">
        <f>'29-AUGUST-2026'!Y165</f>
        <v>1</v>
      </c>
      <c r="I172" s="37" t="str">
        <f>IF($A172="","",IF(COUNTIFS([1]Sheet1!$A$2:$A$190,$A172,[1]Sheet1!$B$2:$B$190,$B172)=0,"NOT IN COUNT",IF(COUNTIFS([1]Sheet1!$A$2:$A$190,$A172,[1]Sheet1!$B$2:$B$190,$B172,[1]Sheet1!$C$2:$C$190,"&gt;=0")=0,"NOT COUNTED",SUMIFS([1]Sheet1!$C$2:$C$190,[1]Sheet1!$A$2:$A$190,$A172,[1]Sheet1!$B$2:$B$190,$B172))))</f>
        <v>NOT COUNTED</v>
      </c>
      <c r="J172" s="37" t="str">
        <f t="shared" si="4"/>
        <v/>
      </c>
      <c r="K172" s="36" t="str">
        <f t="shared" si="5"/>
        <v>NOT COUNTED</v>
      </c>
      <c r="L172" s="38" t="str">
        <f>IF($A172="","",IF(COUNTIFS([1]Sheet1!$D$2:$D$190,$A172&amp;"|"&amp;$B172)&gt;1,"Item listed twice in count sheet","")&amp;IF(AND(ISNUMBER($I172),$H172&lt;0)," ; system closing is negative — check entries",""))</f>
        <v/>
      </c>
    </row>
    <row r="173" spans="1:12" x14ac:dyDescent="0.3">
      <c r="A173" s="35" t="str">
        <f>'29-AUGUST-2026'!A166</f>
        <v>Matejko</v>
      </c>
      <c r="B173" s="36">
        <f>'29-AUGUST-2026'!B166</f>
        <v>2500</v>
      </c>
      <c r="C173" s="36" t="str">
        <f>'29-AUGUST-2026'!C166</f>
        <v>SEED</v>
      </c>
      <c r="D173" s="37">
        <f>'29-AUGUST-2026'!E166</f>
        <v>-3</v>
      </c>
      <c r="E173" s="37">
        <f>'29-AUGUST-2026'!H166</f>
        <v>0</v>
      </c>
      <c r="F173" s="37">
        <f>'29-AUGUST-2026'!K166</f>
        <v>0</v>
      </c>
      <c r="G173" s="37">
        <f>'29-AUGUST-2026'!N166</f>
        <v>0</v>
      </c>
      <c r="H173" s="37">
        <f>'29-AUGUST-2026'!Y166</f>
        <v>-3</v>
      </c>
      <c r="I173" s="37" t="str">
        <f>IF($A173="","",IF(COUNTIFS([1]Sheet1!$A$2:$A$190,$A173,[1]Sheet1!$B$2:$B$190,$B173)=0,"NOT IN COUNT",IF(COUNTIFS([1]Sheet1!$A$2:$A$190,$A173,[1]Sheet1!$B$2:$B$190,$B173,[1]Sheet1!$C$2:$C$190,"&gt;=0")=0,"NOT COUNTED",SUMIFS([1]Sheet1!$C$2:$C$190,[1]Sheet1!$A$2:$A$190,$A173,[1]Sheet1!$B$2:$B$190,$B173))))</f>
        <v>NOT COUNTED</v>
      </c>
      <c r="J173" s="37" t="str">
        <f t="shared" si="4"/>
        <v/>
      </c>
      <c r="K173" s="36" t="str">
        <f t="shared" si="5"/>
        <v>NOT COUNTED</v>
      </c>
      <c r="L173" s="38" t="str">
        <f>IF($A173="","",IF(COUNTIFS([1]Sheet1!$D$2:$D$190,$A173&amp;"|"&amp;$B173)&gt;1,"Item listed twice in count sheet","")&amp;IF(AND(ISNUMBER($I173),$H173&lt;0)," ; system closing is negative — check entries",""))</f>
        <v/>
      </c>
    </row>
    <row r="174" spans="1:12" x14ac:dyDescent="0.3">
      <c r="A174" s="35" t="str">
        <f>'29-AUGUST-2026'!A167</f>
        <v>Messina</v>
      </c>
      <c r="B174" s="36">
        <f>'29-AUGUST-2026'!B167</f>
        <v>100</v>
      </c>
      <c r="C174" s="36" t="str">
        <f>'29-AUGUST-2026'!C167</f>
        <v>SEED</v>
      </c>
      <c r="D174" s="37">
        <f>'29-AUGUST-2026'!E167</f>
        <v>2</v>
      </c>
      <c r="E174" s="37">
        <f>'29-AUGUST-2026'!H167</f>
        <v>0</v>
      </c>
      <c r="F174" s="37">
        <f>'29-AUGUST-2026'!K167</f>
        <v>0</v>
      </c>
      <c r="G174" s="37">
        <f>'29-AUGUST-2026'!N167</f>
        <v>0</v>
      </c>
      <c r="H174" s="37">
        <f>'29-AUGUST-2026'!Y167</f>
        <v>2</v>
      </c>
      <c r="I174" s="37" t="str">
        <f>IF($A174="","",IF(COUNTIFS([1]Sheet1!$A$2:$A$190,$A174,[1]Sheet1!$B$2:$B$190,$B174)=0,"NOT IN COUNT",IF(COUNTIFS([1]Sheet1!$A$2:$A$190,$A174,[1]Sheet1!$B$2:$B$190,$B174,[1]Sheet1!$C$2:$C$190,"&gt;=0")=0,"NOT COUNTED",SUMIFS([1]Sheet1!$C$2:$C$190,[1]Sheet1!$A$2:$A$190,$A174,[1]Sheet1!$B$2:$B$190,$B174))))</f>
        <v>NOT COUNTED</v>
      </c>
      <c r="J174" s="37" t="str">
        <f t="shared" si="4"/>
        <v/>
      </c>
      <c r="K174" s="36" t="str">
        <f t="shared" si="5"/>
        <v>NOT COUNTED</v>
      </c>
      <c r="L174" s="38" t="str">
        <f>IF($A174="","",IF(COUNTIFS([1]Sheet1!$D$2:$D$190,$A174&amp;"|"&amp;$B174)&gt;1,"Item listed twice in count sheet","")&amp;IF(AND(ISNUMBER($I174),$H174&lt;0)," ; system closing is negative — check entries",""))</f>
        <v/>
      </c>
    </row>
    <row r="175" spans="1:12" x14ac:dyDescent="0.3">
      <c r="A175" s="35" t="str">
        <f>'29-AUGUST-2026'!A168</f>
        <v>Mondial</v>
      </c>
      <c r="B175" s="36">
        <f>'29-AUGUST-2026'!B168</f>
        <v>100000</v>
      </c>
      <c r="C175" s="36" t="str">
        <f>'29-AUGUST-2026'!C168</f>
        <v>SEED</v>
      </c>
      <c r="D175" s="37">
        <f>'29-AUGUST-2026'!E168</f>
        <v>2</v>
      </c>
      <c r="E175" s="37">
        <f>'29-AUGUST-2026'!H168</f>
        <v>0</v>
      </c>
      <c r="F175" s="37">
        <f>'29-AUGUST-2026'!K168</f>
        <v>0</v>
      </c>
      <c r="G175" s="37">
        <f>'29-AUGUST-2026'!N168</f>
        <v>0</v>
      </c>
      <c r="H175" s="37">
        <f>'29-AUGUST-2026'!Y168</f>
        <v>2</v>
      </c>
      <c r="I175" s="37" t="str">
        <f>IF($A175="","",IF(COUNTIFS([1]Sheet1!$A$2:$A$190,$A175,[1]Sheet1!$B$2:$B$190,$B175)=0,"NOT IN COUNT",IF(COUNTIFS([1]Sheet1!$A$2:$A$190,$A175,[1]Sheet1!$B$2:$B$190,$B175,[1]Sheet1!$C$2:$C$190,"&gt;=0")=0,"NOT COUNTED",SUMIFS([1]Sheet1!$C$2:$C$190,[1]Sheet1!$A$2:$A$190,$A175,[1]Sheet1!$B$2:$B$190,$B175))))</f>
        <v>NOT COUNTED</v>
      </c>
      <c r="J175" s="37" t="str">
        <f t="shared" si="4"/>
        <v/>
      </c>
      <c r="K175" s="36" t="str">
        <f t="shared" si="5"/>
        <v>NOT COUNTED</v>
      </c>
      <c r="L175" s="38" t="str">
        <f>IF($A175="","",IF(COUNTIFS([1]Sheet1!$D$2:$D$190,$A175&amp;"|"&amp;$B175)&gt;1,"Item listed twice in count sheet","")&amp;IF(AND(ISNUMBER($I175),$H175&lt;0)," ; system closing is negative — check entries",""))</f>
        <v/>
      </c>
    </row>
    <row r="176" spans="1:12" x14ac:dyDescent="0.3">
      <c r="A176" s="35" t="str">
        <f>'29-AUGUST-2026'!A169</f>
        <v>Mondial</v>
      </c>
      <c r="B176" s="36">
        <f>'29-AUGUST-2026'!B169</f>
        <v>25000</v>
      </c>
      <c r="C176" s="36" t="str">
        <f>'29-AUGUST-2026'!C169</f>
        <v>SEED</v>
      </c>
      <c r="D176" s="37">
        <f>'29-AUGUST-2026'!E169</f>
        <v>-3</v>
      </c>
      <c r="E176" s="37">
        <f>'29-AUGUST-2026'!H169</f>
        <v>0</v>
      </c>
      <c r="F176" s="37">
        <f>'29-AUGUST-2026'!K169</f>
        <v>0</v>
      </c>
      <c r="G176" s="37">
        <f>'29-AUGUST-2026'!N169</f>
        <v>0</v>
      </c>
      <c r="H176" s="37">
        <f>'29-AUGUST-2026'!Y169</f>
        <v>-3</v>
      </c>
      <c r="I176" s="37" t="str">
        <f>IF($A176="","",IF(COUNTIFS([1]Sheet1!$A$2:$A$190,$A176,[1]Sheet1!$B$2:$B$190,$B176)=0,"NOT IN COUNT",IF(COUNTIFS([1]Sheet1!$A$2:$A$190,$A176,[1]Sheet1!$B$2:$B$190,$B176,[1]Sheet1!$C$2:$C$190,"&gt;=0")=0,"NOT COUNTED",SUMIFS([1]Sheet1!$C$2:$C$190,[1]Sheet1!$A$2:$A$190,$A176,[1]Sheet1!$B$2:$B$190,$B176))))</f>
        <v>NOT COUNTED</v>
      </c>
      <c r="J176" s="37" t="str">
        <f t="shared" si="4"/>
        <v/>
      </c>
      <c r="K176" s="36" t="str">
        <f t="shared" si="5"/>
        <v>NOT COUNTED</v>
      </c>
      <c r="L176" s="38" t="str">
        <f>IF($A176="","",IF(COUNTIFS([1]Sheet1!$D$2:$D$190,$A176&amp;"|"&amp;$B176)&gt;1,"Item listed twice in count sheet","")&amp;IF(AND(ISNUMBER($I176),$H176&lt;0)," ; system closing is negative — check entries",""))</f>
        <v/>
      </c>
    </row>
    <row r="177" spans="1:12" x14ac:dyDescent="0.3">
      <c r="A177" s="35" t="str">
        <f>'29-AUGUST-2026'!A170</f>
        <v>Morelia</v>
      </c>
      <c r="B177" s="36">
        <f>'29-AUGUST-2026'!B170</f>
        <v>100000</v>
      </c>
      <c r="C177" s="36" t="str">
        <f>'29-AUGUST-2026'!C170</f>
        <v>SEED</v>
      </c>
      <c r="D177" s="37">
        <f>'29-AUGUST-2026'!E170</f>
        <v>2</v>
      </c>
      <c r="E177" s="37">
        <f>'29-AUGUST-2026'!H170</f>
        <v>0</v>
      </c>
      <c r="F177" s="37">
        <f>'29-AUGUST-2026'!K170</f>
        <v>0</v>
      </c>
      <c r="G177" s="37">
        <f>'29-AUGUST-2026'!N170</f>
        <v>0</v>
      </c>
      <c r="H177" s="37">
        <f>'29-AUGUST-2026'!Y170</f>
        <v>0</v>
      </c>
      <c r="I177" s="37">
        <f>IF($A177="","",IF(COUNTIFS([1]Sheet1!$A$2:$A$190,$A177,[1]Sheet1!$B$2:$B$190,$B177)=0,"NOT IN COUNT",IF(COUNTIFS([1]Sheet1!$A$2:$A$190,$A177,[1]Sheet1!$B$2:$B$190,$B177,[1]Sheet1!$C$2:$C$190,"&gt;=0")=0,"NOT COUNTED",SUMIFS([1]Sheet1!$C$2:$C$190,[1]Sheet1!$A$2:$A$190,$A177,[1]Sheet1!$B$2:$B$190,$B177))))</f>
        <v>0</v>
      </c>
      <c r="J177" s="37">
        <f t="shared" si="4"/>
        <v>0</v>
      </c>
      <c r="K177" s="36" t="str">
        <f t="shared" si="5"/>
        <v>MATCH</v>
      </c>
      <c r="L177" s="38" t="str">
        <f>IF($A177="","",IF(COUNTIFS([1]Sheet1!$D$2:$D$190,$A177&amp;"|"&amp;$B177)&gt;1,"Item listed twice in count sheet","")&amp;IF(AND(ISNUMBER($I177),$H177&lt;0)," ; system closing is negative — check entries",""))</f>
        <v/>
      </c>
    </row>
    <row r="178" spans="1:12" x14ac:dyDescent="0.3">
      <c r="A178" s="35" t="str">
        <f>'29-AUGUST-2026'!A171</f>
        <v>multistar</v>
      </c>
      <c r="B178" s="36">
        <f>'29-AUGUST-2026'!B171</f>
        <v>100</v>
      </c>
      <c r="C178" s="36" t="str">
        <f>'29-AUGUST-2026'!C171</f>
        <v>SEED</v>
      </c>
      <c r="D178" s="37">
        <f>'29-AUGUST-2026'!E171</f>
        <v>1</v>
      </c>
      <c r="E178" s="37">
        <f>'29-AUGUST-2026'!H171</f>
        <v>0</v>
      </c>
      <c r="F178" s="37">
        <f>'29-AUGUST-2026'!K171</f>
        <v>0</v>
      </c>
      <c r="G178" s="37">
        <f>'29-AUGUST-2026'!N171</f>
        <v>0</v>
      </c>
      <c r="H178" s="37">
        <f>'29-AUGUST-2026'!Y171</f>
        <v>1</v>
      </c>
      <c r="I178" s="37" t="str">
        <f>IF($A178="","",IF(COUNTIFS([1]Sheet1!$A$2:$A$190,$A178,[1]Sheet1!$B$2:$B$190,$B178)=0,"NOT IN COUNT",IF(COUNTIFS([1]Sheet1!$A$2:$A$190,$A178,[1]Sheet1!$B$2:$B$190,$B178,[1]Sheet1!$C$2:$C$190,"&gt;=0")=0,"NOT COUNTED",SUMIFS([1]Sheet1!$C$2:$C$190,[1]Sheet1!$A$2:$A$190,$A178,[1]Sheet1!$B$2:$B$190,$B178))))</f>
        <v>NOT COUNTED</v>
      </c>
      <c r="J178" s="37" t="str">
        <f t="shared" si="4"/>
        <v/>
      </c>
      <c r="K178" s="36" t="str">
        <f t="shared" si="5"/>
        <v>NOT COUNTED</v>
      </c>
      <c r="L178" s="38" t="str">
        <f>IF($A178="","",IF(COUNTIFS([1]Sheet1!$D$2:$D$190,$A178&amp;"|"&amp;$B178)&gt;1,"Item listed twice in count sheet","")&amp;IF(AND(ISNUMBER($I178),$H178&lt;0)," ; system closing is negative — check entries",""))</f>
        <v/>
      </c>
    </row>
    <row r="179" spans="1:12" x14ac:dyDescent="0.3">
      <c r="A179" s="35" t="str">
        <f>'29-AUGUST-2026'!A172</f>
        <v>Nanaki</v>
      </c>
      <c r="B179" s="36">
        <f>'29-AUGUST-2026'!B172</f>
        <v>1000</v>
      </c>
      <c r="C179" s="36" t="str">
        <f>'29-AUGUST-2026'!C172</f>
        <v>SEED</v>
      </c>
      <c r="D179" s="37">
        <f>'29-AUGUST-2026'!E172</f>
        <v>2</v>
      </c>
      <c r="E179" s="37">
        <f>'29-AUGUST-2026'!H172</f>
        <v>0</v>
      </c>
      <c r="F179" s="37">
        <f>'29-AUGUST-2026'!K172</f>
        <v>0</v>
      </c>
      <c r="G179" s="37">
        <f>'29-AUGUST-2026'!N172</f>
        <v>0</v>
      </c>
      <c r="H179" s="37">
        <f>'29-AUGUST-2026'!Y172</f>
        <v>2</v>
      </c>
      <c r="I179" s="37" t="str">
        <f>IF($A179="","",IF(COUNTIFS([1]Sheet1!$A$2:$A$190,$A179,[1]Sheet1!$B$2:$B$190,$B179)=0,"NOT IN COUNT",IF(COUNTIFS([1]Sheet1!$A$2:$A$190,$A179,[1]Sheet1!$B$2:$B$190,$B179,[1]Sheet1!$C$2:$C$190,"&gt;=0")=0,"NOT COUNTED",SUMIFS([1]Sheet1!$C$2:$C$190,[1]Sheet1!$A$2:$A$190,$A179,[1]Sheet1!$B$2:$B$190,$B179))))</f>
        <v>NOT COUNTED</v>
      </c>
      <c r="J179" s="37" t="str">
        <f t="shared" si="4"/>
        <v/>
      </c>
      <c r="K179" s="36" t="str">
        <f t="shared" si="5"/>
        <v>NOT COUNTED</v>
      </c>
      <c r="L179" s="38" t="str">
        <f>IF($A179="","",IF(COUNTIFS([1]Sheet1!$D$2:$D$190,$A179&amp;"|"&amp;$B179)&gt;1,"Item listed twice in count sheet","")&amp;IF(AND(ISNUMBER($I179),$H179&lt;0)," ; system closing is negative — check entries",""))</f>
        <v/>
      </c>
    </row>
    <row r="180" spans="1:12" x14ac:dyDescent="0.3">
      <c r="A180" s="35" t="str">
        <f>'29-AUGUST-2026'!A173</f>
        <v>Orange Tarta</v>
      </c>
      <c r="B180" s="36">
        <f>'29-AUGUST-2026'!B173</f>
        <v>100</v>
      </c>
      <c r="C180" s="36" t="str">
        <f>'29-AUGUST-2026'!C173</f>
        <v>SEED</v>
      </c>
      <c r="D180" s="37">
        <f>'29-AUGUST-2026'!E173</f>
        <v>10</v>
      </c>
      <c r="E180" s="37">
        <f>'29-AUGUST-2026'!H173</f>
        <v>0</v>
      </c>
      <c r="F180" s="37">
        <f>'29-AUGUST-2026'!K173</f>
        <v>0</v>
      </c>
      <c r="G180" s="37">
        <f>'29-AUGUST-2026'!N173</f>
        <v>0</v>
      </c>
      <c r="H180" s="37">
        <f>'29-AUGUST-2026'!Y173</f>
        <v>10</v>
      </c>
      <c r="I180" s="37" t="str">
        <f>IF($A180="","",IF(COUNTIFS([1]Sheet1!$A$2:$A$190,$A180,[1]Sheet1!$B$2:$B$190,$B180)=0,"NOT IN COUNT",IF(COUNTIFS([1]Sheet1!$A$2:$A$190,$A180,[1]Sheet1!$B$2:$B$190,$B180,[1]Sheet1!$C$2:$C$190,"&gt;=0")=0,"NOT COUNTED",SUMIFS([1]Sheet1!$C$2:$C$190,[1]Sheet1!$A$2:$A$190,$A180,[1]Sheet1!$B$2:$B$190,$B180))))</f>
        <v>NOT COUNTED</v>
      </c>
      <c r="J180" s="37" t="str">
        <f t="shared" si="4"/>
        <v/>
      </c>
      <c r="K180" s="36" t="str">
        <f t="shared" si="5"/>
        <v>NOT COUNTED</v>
      </c>
      <c r="L180" s="38" t="str">
        <f>IF($A180="","",IF(COUNTIFS([1]Sheet1!$D$2:$D$190,$A180&amp;"|"&amp;$B180)&gt;1,"Item listed twice in count sheet","")&amp;IF(AND(ISNUMBER($I180),$H180&lt;0)," ; system closing is negative — check entries",""))</f>
        <v/>
      </c>
    </row>
    <row r="181" spans="1:12" x14ac:dyDescent="0.3">
      <c r="A181" s="35" t="str">
        <f>'29-AUGUST-2026'!A174</f>
        <v>Palermo river</v>
      </c>
      <c r="B181" s="36">
        <f>'29-AUGUST-2026'!B174</f>
        <v>100</v>
      </c>
      <c r="C181" s="36" t="str">
        <f>'29-AUGUST-2026'!C174</f>
        <v>SEED</v>
      </c>
      <c r="D181" s="37">
        <f>'29-AUGUST-2026'!E174</f>
        <v>4</v>
      </c>
      <c r="E181" s="37">
        <f>'29-AUGUST-2026'!H174</f>
        <v>0</v>
      </c>
      <c r="F181" s="37">
        <f>'29-AUGUST-2026'!K174</f>
        <v>0</v>
      </c>
      <c r="G181" s="37">
        <f>'29-AUGUST-2026'!N174</f>
        <v>0</v>
      </c>
      <c r="H181" s="37">
        <f>'29-AUGUST-2026'!Y174</f>
        <v>10</v>
      </c>
      <c r="I181" s="37">
        <f>IF($A181="","",IF(COUNTIFS([1]Sheet1!$A$2:$A$190,$A181,[1]Sheet1!$B$2:$B$190,$B181)=0,"NOT IN COUNT",IF(COUNTIFS([1]Sheet1!$A$2:$A$190,$A181,[1]Sheet1!$B$2:$B$190,$B181,[1]Sheet1!$C$2:$C$190,"&gt;=0")=0,"NOT COUNTED",SUMIFS([1]Sheet1!$C$2:$C$190,[1]Sheet1!$A$2:$A$190,$A181,[1]Sheet1!$B$2:$B$190,$B181))))</f>
        <v>10</v>
      </c>
      <c r="J181" s="37">
        <f t="shared" si="4"/>
        <v>0</v>
      </c>
      <c r="K181" s="36" t="str">
        <f t="shared" si="5"/>
        <v>MATCH</v>
      </c>
      <c r="L181" s="38" t="str">
        <f>IF($A181="","",IF(COUNTIFS([1]Sheet1!$D$2:$D$190,$A181&amp;"|"&amp;$B181)&gt;1,"Item listed twice in count sheet","")&amp;IF(AND(ISNUMBER($I181),$H181&lt;0)," ; system closing is negative — check entries",""))</f>
        <v/>
      </c>
    </row>
    <row r="182" spans="1:12" x14ac:dyDescent="0.3">
      <c r="A182" s="35" t="str">
        <f>'29-AUGUST-2026'!A175</f>
        <v>Papeletto</v>
      </c>
      <c r="B182" s="36">
        <f>'29-AUGUST-2026'!B175</f>
        <v>100</v>
      </c>
      <c r="C182" s="36" t="str">
        <f>'29-AUGUST-2026'!C175</f>
        <v>SEED</v>
      </c>
      <c r="D182" s="37">
        <f>'29-AUGUST-2026'!E175</f>
        <v>4</v>
      </c>
      <c r="E182" s="37">
        <f>'29-AUGUST-2026'!H175</f>
        <v>0</v>
      </c>
      <c r="F182" s="37">
        <f>'29-AUGUST-2026'!K175</f>
        <v>0</v>
      </c>
      <c r="G182" s="37">
        <f>'29-AUGUST-2026'!N175</f>
        <v>0</v>
      </c>
      <c r="H182" s="37">
        <f>'29-AUGUST-2026'!Y175</f>
        <v>4</v>
      </c>
      <c r="I182" s="37" t="str">
        <f>IF($A182="","",IF(COUNTIFS([1]Sheet1!$A$2:$A$190,$A182,[1]Sheet1!$B$2:$B$190,$B182)=0,"NOT IN COUNT",IF(COUNTIFS([1]Sheet1!$A$2:$A$190,$A182,[1]Sheet1!$B$2:$B$190,$B182,[1]Sheet1!$C$2:$C$190,"&gt;=0")=0,"NOT COUNTED",SUMIFS([1]Sheet1!$C$2:$C$190,[1]Sheet1!$A$2:$A$190,$A182,[1]Sheet1!$B$2:$B$190,$B182))))</f>
        <v>NOT COUNTED</v>
      </c>
      <c r="J182" s="37" t="str">
        <f t="shared" si="4"/>
        <v/>
      </c>
      <c r="K182" s="36" t="str">
        <f t="shared" si="5"/>
        <v>NOT COUNTED</v>
      </c>
      <c r="L182" s="38" t="str">
        <f>IF($A182="","",IF(COUNTIFS([1]Sheet1!$D$2:$D$190,$A182&amp;"|"&amp;$B182)&gt;1,"Item listed twice in count sheet","")&amp;IF(AND(ISNUMBER($I182),$H182&lt;0)," ; system closing is negative — check entries",""))</f>
        <v/>
      </c>
    </row>
    <row r="183" spans="1:12" x14ac:dyDescent="0.3">
      <c r="A183" s="35" t="str">
        <f>'29-AUGUST-2026'!A176</f>
        <v>Piccolima</v>
      </c>
      <c r="B183" s="36">
        <f>'29-AUGUST-2026'!B176</f>
        <v>2500</v>
      </c>
      <c r="C183" s="36" t="str">
        <f>'29-AUGUST-2026'!C176</f>
        <v>SEED</v>
      </c>
      <c r="D183" s="37">
        <f>'29-AUGUST-2026'!E176</f>
        <v>3</v>
      </c>
      <c r="E183" s="37">
        <f>'29-AUGUST-2026'!H176</f>
        <v>0</v>
      </c>
      <c r="F183" s="37">
        <f>'29-AUGUST-2026'!K176</f>
        <v>0</v>
      </c>
      <c r="G183" s="37">
        <f>'29-AUGUST-2026'!N176</f>
        <v>0</v>
      </c>
      <c r="H183" s="37">
        <f>'29-AUGUST-2026'!Y176</f>
        <v>2</v>
      </c>
      <c r="I183" s="37">
        <f>IF($A183="","",IF(COUNTIFS([1]Sheet1!$A$2:$A$190,$A183,[1]Sheet1!$B$2:$B$190,$B183)=0,"NOT IN COUNT",IF(COUNTIFS([1]Sheet1!$A$2:$A$190,$A183,[1]Sheet1!$B$2:$B$190,$B183,[1]Sheet1!$C$2:$C$190,"&gt;=0")=0,"NOT COUNTED",SUMIFS([1]Sheet1!$C$2:$C$190,[1]Sheet1!$A$2:$A$190,$A183,[1]Sheet1!$B$2:$B$190,$B183))))</f>
        <v>2</v>
      </c>
      <c r="J183" s="37">
        <f t="shared" si="4"/>
        <v>0</v>
      </c>
      <c r="K183" s="36" t="str">
        <f t="shared" si="5"/>
        <v>MATCH</v>
      </c>
      <c r="L183" s="38" t="str">
        <f>IF($A183="","",IF(COUNTIFS([1]Sheet1!$D$2:$D$190,$A183&amp;"|"&amp;$B183)&gt;1,"Item listed twice in count sheet","")&amp;IF(AND(ISNUMBER($I183),$H183&lt;0)," ; system closing is negative — check entries",""))</f>
        <v/>
      </c>
    </row>
    <row r="184" spans="1:12" x14ac:dyDescent="0.3">
      <c r="A184" s="35" t="str">
        <f>'29-AUGUST-2026'!A177</f>
        <v>Ponderet</v>
      </c>
      <c r="B184" s="36">
        <f>'29-AUGUST-2026'!B177</f>
        <v>1000</v>
      </c>
      <c r="C184" s="36" t="str">
        <f>'29-AUGUST-2026'!C177</f>
        <v>SEED</v>
      </c>
      <c r="D184" s="37">
        <f>'29-AUGUST-2026'!E177</f>
        <v>2</v>
      </c>
      <c r="E184" s="37">
        <f>'29-AUGUST-2026'!H177</f>
        <v>0</v>
      </c>
      <c r="F184" s="37">
        <f>'29-AUGUST-2026'!K177</f>
        <v>0</v>
      </c>
      <c r="G184" s="37">
        <f>'29-AUGUST-2026'!N177</f>
        <v>0</v>
      </c>
      <c r="H184" s="37">
        <f>'29-AUGUST-2026'!Y177</f>
        <v>2</v>
      </c>
      <c r="I184" s="37" t="str">
        <f>IF($A184="","",IF(COUNTIFS([1]Sheet1!$A$2:$A$190,$A184,[1]Sheet1!$B$2:$B$190,$B184)=0,"NOT IN COUNT",IF(COUNTIFS([1]Sheet1!$A$2:$A$190,$A184,[1]Sheet1!$B$2:$B$190,$B184,[1]Sheet1!$C$2:$C$190,"&gt;=0")=0,"NOT COUNTED",SUMIFS([1]Sheet1!$C$2:$C$190,[1]Sheet1!$A$2:$A$190,$A184,[1]Sheet1!$B$2:$B$190,$B184))))</f>
        <v>NOT COUNTED</v>
      </c>
      <c r="J184" s="37" t="str">
        <f t="shared" si="4"/>
        <v/>
      </c>
      <c r="K184" s="36" t="str">
        <f t="shared" si="5"/>
        <v>NOT COUNTED</v>
      </c>
      <c r="L184" s="38" t="str">
        <f>IF($A184="","",IF(COUNTIFS([1]Sheet1!$D$2:$D$190,$A184&amp;"|"&amp;$B184)&gt;1,"Item listed twice in count sheet","")&amp;IF(AND(ISNUMBER($I184),$H184&lt;0)," ; system closing is negative — check entries",""))</f>
        <v/>
      </c>
    </row>
    <row r="185" spans="1:12" x14ac:dyDescent="0.3">
      <c r="A185" s="35" t="str">
        <f>'29-AUGUST-2026'!A178</f>
        <v>Puntoverde</v>
      </c>
      <c r="B185" s="36">
        <f>'29-AUGUST-2026'!B178</f>
        <v>1000</v>
      </c>
      <c r="C185" s="36" t="str">
        <f>'29-AUGUST-2026'!C178</f>
        <v>SEED</v>
      </c>
      <c r="D185" s="37">
        <f>'29-AUGUST-2026'!E178</f>
        <v>4</v>
      </c>
      <c r="E185" s="37">
        <f>'29-AUGUST-2026'!H178</f>
        <v>0</v>
      </c>
      <c r="F185" s="37">
        <f>'29-AUGUST-2026'!K178</f>
        <v>0</v>
      </c>
      <c r="G185" s="37">
        <f>'29-AUGUST-2026'!N178</f>
        <v>0</v>
      </c>
      <c r="H185" s="37">
        <f>'29-AUGUST-2026'!Y178</f>
        <v>4</v>
      </c>
      <c r="I185" s="37" t="str">
        <f>IF($A185="","",IF(COUNTIFS([1]Sheet1!$A$2:$A$190,$A185,[1]Sheet1!$B$2:$B$190,$B185)=0,"NOT IN COUNT",IF(COUNTIFS([1]Sheet1!$A$2:$A$190,$A185,[1]Sheet1!$B$2:$B$190,$B185,[1]Sheet1!$C$2:$C$190,"&gt;=0")=0,"NOT COUNTED",SUMIFS([1]Sheet1!$C$2:$C$190,[1]Sheet1!$A$2:$A$190,$A185,[1]Sheet1!$B$2:$B$190,$B185))))</f>
        <v>NOT COUNTED</v>
      </c>
      <c r="J185" s="37" t="str">
        <f t="shared" si="4"/>
        <v/>
      </c>
      <c r="K185" s="36" t="str">
        <f t="shared" si="5"/>
        <v>NOT COUNTED</v>
      </c>
      <c r="L185" s="38" t="str">
        <f>IF($A185="","",IF(COUNTIFS([1]Sheet1!$D$2:$D$190,$A185&amp;"|"&amp;$B185)&gt;1,"Item listed twice in count sheet","")&amp;IF(AND(ISNUMBER($I185),$H185&lt;0)," ; system closing is negative — check entries",""))</f>
        <v/>
      </c>
    </row>
    <row r="186" spans="1:12" x14ac:dyDescent="0.3">
      <c r="A186" s="35" t="str">
        <f>'29-AUGUST-2026'!A179</f>
        <v>Rasbora</v>
      </c>
      <c r="B186" s="36">
        <f>'29-AUGUST-2026'!B179</f>
        <v>100</v>
      </c>
      <c r="C186" s="36" t="str">
        <f>'29-AUGUST-2026'!C179</f>
        <v>SEED</v>
      </c>
      <c r="D186" s="37">
        <f>'29-AUGUST-2026'!E179</f>
        <v>2</v>
      </c>
      <c r="E186" s="37">
        <f>'29-AUGUST-2026'!H179</f>
        <v>0</v>
      </c>
      <c r="F186" s="37">
        <f>'29-AUGUST-2026'!K179</f>
        <v>0</v>
      </c>
      <c r="G186" s="37">
        <f>'29-AUGUST-2026'!N179</f>
        <v>0</v>
      </c>
      <c r="H186" s="37">
        <f>'29-AUGUST-2026'!Y179</f>
        <v>2</v>
      </c>
      <c r="I186" s="37" t="str">
        <f>IF($A186="","",IF(COUNTIFS([1]Sheet1!$A$2:$A$190,$A186,[1]Sheet1!$B$2:$B$190,$B186)=0,"NOT IN COUNT",IF(COUNTIFS([1]Sheet1!$A$2:$A$190,$A186,[1]Sheet1!$B$2:$B$190,$B186,[1]Sheet1!$C$2:$C$190,"&gt;=0")=0,"NOT COUNTED",SUMIFS([1]Sheet1!$C$2:$C$190,[1]Sheet1!$A$2:$A$190,$A186,[1]Sheet1!$B$2:$B$190,$B186))))</f>
        <v>NOT COUNTED</v>
      </c>
      <c r="J186" s="37" t="str">
        <f t="shared" si="4"/>
        <v/>
      </c>
      <c r="K186" s="36" t="str">
        <f t="shared" si="5"/>
        <v>NOT COUNTED</v>
      </c>
      <c r="L186" s="38" t="str">
        <f>IF($A186="","",IF(COUNTIFS([1]Sheet1!$D$2:$D$190,$A186&amp;"|"&amp;$B186)&gt;1,"Item listed twice in count sheet","")&amp;IF(AND(ISNUMBER($I186),$H186&lt;0)," ; system closing is negative — check entries",""))</f>
        <v/>
      </c>
    </row>
    <row r="187" spans="1:12" x14ac:dyDescent="0.3">
      <c r="A187" s="35" t="str">
        <f>'29-AUGUST-2026'!A180</f>
        <v>Red Tatin</v>
      </c>
      <c r="B187" s="36" t="str">
        <f>E6</f>
        <v>Not on the 27-Aug count sheet at all</v>
      </c>
      <c r="C187" s="36" t="str">
        <f>'29-AUGUST-2026'!C180</f>
        <v>SEED</v>
      </c>
      <c r="D187" s="37">
        <f>'29-AUGUST-2026'!E180</f>
        <v>6</v>
      </c>
      <c r="E187" s="37">
        <f>'29-AUGUST-2026'!H180</f>
        <v>0</v>
      </c>
      <c r="F187" s="37">
        <f>'29-AUGUST-2026'!K180</f>
        <v>0</v>
      </c>
      <c r="G187" s="37">
        <f>'29-AUGUST-2026'!N180</f>
        <v>0</v>
      </c>
      <c r="H187" s="37">
        <f>'29-AUGUST-2026'!Y180</f>
        <v>6</v>
      </c>
      <c r="I187" s="37" t="str">
        <f>IF($A187="","",IF(COUNTIFS([1]Sheet1!$A$2:$A$190,$A187,[1]Sheet1!$B$2:$B$190,$B187)=0,"NOT IN COUNT",IF(COUNTIFS([1]Sheet1!$A$2:$A$190,$A187,[1]Sheet1!$B$2:$B$190,$B187,[1]Sheet1!$C$2:$C$190,"&gt;=0")=0,"NOT COUNTED",SUMIFS([1]Sheet1!$C$2:$C$190,[1]Sheet1!$A$2:$A$190,$A187,[1]Sheet1!$B$2:$B$190,$B187))))</f>
        <v>NOT IN COUNT</v>
      </c>
      <c r="J187" s="37" t="str">
        <f t="shared" si="4"/>
        <v/>
      </c>
      <c r="K187" s="36" t="str">
        <f t="shared" si="5"/>
        <v>NOT IN COUNT</v>
      </c>
      <c r="L187" s="38" t="str">
        <f>IF($A187="","",IF(COUNTIFS([1]Sheet1!$D$2:$D$190,$A187&amp;"|"&amp;$B187)&gt;1,"Item listed twice in count sheet","")&amp;IF(AND(ISNUMBER($I187),$H187&lt;0)," ; system closing is negative — check entries",""))</f>
        <v/>
      </c>
    </row>
    <row r="188" spans="1:12" x14ac:dyDescent="0.3">
      <c r="A188" s="35" t="str">
        <f>'29-AUGUST-2026'!A181</f>
        <v>Rincon</v>
      </c>
      <c r="B188" s="36">
        <f>'29-AUGUST-2026'!B181</f>
        <v>1000</v>
      </c>
      <c r="C188" s="36" t="str">
        <f>'29-AUGUST-2026'!C181</f>
        <v>SEED</v>
      </c>
      <c r="D188" s="37">
        <f>'29-AUGUST-2026'!E181</f>
        <v>1</v>
      </c>
      <c r="E188" s="37">
        <f>'29-AUGUST-2026'!H181</f>
        <v>0</v>
      </c>
      <c r="F188" s="37">
        <f>'29-AUGUST-2026'!K181</f>
        <v>0</v>
      </c>
      <c r="G188" s="37">
        <f>'29-AUGUST-2026'!N181</f>
        <v>0</v>
      </c>
      <c r="H188" s="37">
        <f>'29-AUGUST-2026'!Y181</f>
        <v>1</v>
      </c>
      <c r="I188" s="37" t="str">
        <f>IF($A188="","",IF(COUNTIFS([1]Sheet1!$A$2:$A$190,$A188,[1]Sheet1!$B$2:$B$190,$B188)=0,"NOT IN COUNT",IF(COUNTIFS([1]Sheet1!$A$2:$A$190,$A188,[1]Sheet1!$B$2:$B$190,$B188,[1]Sheet1!$C$2:$C$190,"&gt;=0")=0,"NOT COUNTED",SUMIFS([1]Sheet1!$C$2:$C$190,[1]Sheet1!$A$2:$A$190,$A188,[1]Sheet1!$B$2:$B$190,$B188))))</f>
        <v>NOT COUNTED</v>
      </c>
      <c r="J188" s="37" t="str">
        <f t="shared" si="4"/>
        <v/>
      </c>
      <c r="K188" s="36" t="str">
        <f t="shared" si="5"/>
        <v>NOT COUNTED</v>
      </c>
      <c r="L188" s="38" t="str">
        <f>IF($A188="","",IF(COUNTIFS([1]Sheet1!$D$2:$D$190,$A188&amp;"|"&amp;$B188)&gt;1,"Item listed twice in count sheet","")&amp;IF(AND(ISNUMBER($I188),$H188&lt;0)," ; system closing is negative — check entries",""))</f>
        <v/>
      </c>
    </row>
    <row r="189" spans="1:12" x14ac:dyDescent="0.3">
      <c r="A189" s="35" t="str">
        <f>'29-AUGUST-2026'!A182</f>
        <v>Rugantino</v>
      </c>
      <c r="B189" s="36">
        <f>'29-AUGUST-2026'!B182</f>
        <v>100</v>
      </c>
      <c r="C189" s="36" t="str">
        <f>'29-AUGUST-2026'!C182</f>
        <v>SEED</v>
      </c>
      <c r="D189" s="37">
        <f>'29-AUGUST-2026'!E182</f>
        <v>0</v>
      </c>
      <c r="E189" s="37">
        <f>'29-AUGUST-2026'!H182</f>
        <v>0</v>
      </c>
      <c r="F189" s="37">
        <f>'29-AUGUST-2026'!K182</f>
        <v>0</v>
      </c>
      <c r="G189" s="37">
        <f>'29-AUGUST-2026'!N182</f>
        <v>0</v>
      </c>
      <c r="H189" s="37">
        <f>'29-AUGUST-2026'!Y182</f>
        <v>0</v>
      </c>
      <c r="I189" s="37" t="str">
        <f>IF($A189="","",IF(COUNTIFS([1]Sheet1!$A$2:$A$190,$A189,[1]Sheet1!$B$2:$B$190,$B189)=0,"NOT IN COUNT",IF(COUNTIFS([1]Sheet1!$A$2:$A$190,$A189,[1]Sheet1!$B$2:$B$190,$B189,[1]Sheet1!$C$2:$C$190,"&gt;=0")=0,"NOT COUNTED",SUMIFS([1]Sheet1!$C$2:$C$190,[1]Sheet1!$A$2:$A$190,$A189,[1]Sheet1!$B$2:$B$190,$B189))))</f>
        <v>NOT COUNTED</v>
      </c>
      <c r="J189" s="37" t="str">
        <f t="shared" si="4"/>
        <v/>
      </c>
      <c r="K189" s="36" t="str">
        <f t="shared" si="5"/>
        <v>NOT COUNTED</v>
      </c>
      <c r="L189" s="38" t="str">
        <f>IF($A189="","",IF(COUNTIFS([1]Sheet1!$D$2:$D$190,$A189&amp;"|"&amp;$B189)&gt;1,"Item listed twice in count sheet","")&amp;IF(AND(ISNUMBER($I189),$H189&lt;0)," ; system closing is negative — check entries",""))</f>
        <v/>
      </c>
    </row>
    <row r="190" spans="1:12" x14ac:dyDescent="0.3">
      <c r="A190" s="35" t="str">
        <f>'29-AUGUST-2026'!A183</f>
        <v>Shinefit</v>
      </c>
      <c r="B190" s="36">
        <f>'29-AUGUST-2026'!B183</f>
        <v>100</v>
      </c>
      <c r="C190" s="36" t="str">
        <f>'29-AUGUST-2026'!C183</f>
        <v>SEED</v>
      </c>
      <c r="D190" s="37">
        <f>'29-AUGUST-2026'!E183</f>
        <v>2</v>
      </c>
      <c r="E190" s="37">
        <f>'29-AUGUST-2026'!H183</f>
        <v>0</v>
      </c>
      <c r="F190" s="37">
        <f>'29-AUGUST-2026'!K183</f>
        <v>0</v>
      </c>
      <c r="G190" s="37">
        <f>'29-AUGUST-2026'!N183</f>
        <v>0</v>
      </c>
      <c r="H190" s="37">
        <f>'29-AUGUST-2026'!Y183</f>
        <v>2</v>
      </c>
      <c r="I190" s="37" t="str">
        <f>IF($A190="","",IF(COUNTIFS([1]Sheet1!$A$2:$A$190,$A190,[1]Sheet1!$B$2:$B$190,$B190)=0,"NOT IN COUNT",IF(COUNTIFS([1]Sheet1!$A$2:$A$190,$A190,[1]Sheet1!$B$2:$B$190,$B190,[1]Sheet1!$C$2:$C$190,"&gt;=0")=0,"NOT COUNTED",SUMIFS([1]Sheet1!$C$2:$C$190,[1]Sheet1!$A$2:$A$190,$A190,[1]Sheet1!$B$2:$B$190,$B190))))</f>
        <v>NOT COUNTED</v>
      </c>
      <c r="J190" s="37" t="str">
        <f t="shared" si="4"/>
        <v/>
      </c>
      <c r="K190" s="36" t="str">
        <f t="shared" si="5"/>
        <v>NOT COUNTED</v>
      </c>
      <c r="L190" s="38" t="str">
        <f>IF($A190="","",IF(COUNTIFS([1]Sheet1!$D$2:$D$190,$A190&amp;"|"&amp;$B190)&gt;1,"Item listed twice in count sheet","")&amp;IF(AND(ISNUMBER($I190),$H190&lt;0)," ; system closing is negative — check entries",""))</f>
        <v/>
      </c>
    </row>
    <row r="191" spans="1:12" x14ac:dyDescent="0.3">
      <c r="A191" s="35" t="str">
        <f>'29-AUGUST-2026'!A184</f>
        <v>sungari</v>
      </c>
      <c r="B191" s="36">
        <f>'29-AUGUST-2026'!B184</f>
        <v>1000</v>
      </c>
      <c r="C191" s="36" t="str">
        <f>'29-AUGUST-2026'!C184</f>
        <v>SEED</v>
      </c>
      <c r="D191" s="37">
        <f>'29-AUGUST-2026'!E184</f>
        <v>2</v>
      </c>
      <c r="E191" s="37">
        <f>'29-AUGUST-2026'!H184</f>
        <v>0</v>
      </c>
      <c r="F191" s="37">
        <f>'29-AUGUST-2026'!K184</f>
        <v>0</v>
      </c>
      <c r="G191" s="37">
        <f>'29-AUGUST-2026'!N184</f>
        <v>0</v>
      </c>
      <c r="H191" s="37">
        <f>'29-AUGUST-2026'!Y184</f>
        <v>2</v>
      </c>
      <c r="I191" s="37" t="str">
        <f>IF($A191="","",IF(COUNTIFS([1]Sheet1!$A$2:$A$190,$A191,[1]Sheet1!$B$2:$B$190,$B191)=0,"NOT IN COUNT",IF(COUNTIFS([1]Sheet1!$A$2:$A$190,$A191,[1]Sheet1!$B$2:$B$190,$B191,[1]Sheet1!$C$2:$C$190,"&gt;=0")=0,"NOT COUNTED",SUMIFS([1]Sheet1!$C$2:$C$190,[1]Sheet1!$A$2:$A$190,$A191,[1]Sheet1!$B$2:$B$190,$B191))))</f>
        <v>NOT COUNTED</v>
      </c>
      <c r="J191" s="37" t="str">
        <f t="shared" si="4"/>
        <v/>
      </c>
      <c r="K191" s="36" t="str">
        <f t="shared" si="5"/>
        <v>NOT COUNTED</v>
      </c>
      <c r="L191" s="38" t="str">
        <f>IF($A191="","",IF(COUNTIFS([1]Sheet1!$D$2:$D$190,$A191&amp;"|"&amp;$B191)&gt;1,"Item listed twice in count sheet","")&amp;IF(AND(ISNUMBER($I191),$H191&lt;0)," ; system closing is negative — check entries",""))</f>
        <v/>
      </c>
    </row>
    <row r="192" spans="1:12" x14ac:dyDescent="0.3">
      <c r="A192" s="35" t="str">
        <f>'29-AUGUST-2026'!A185</f>
        <v>Tejal</v>
      </c>
      <c r="B192" s="36">
        <f>'29-AUGUST-2026'!B185</f>
        <v>1000</v>
      </c>
      <c r="C192" s="36" t="str">
        <f>'29-AUGUST-2026'!C185</f>
        <v>SEED</v>
      </c>
      <c r="D192" s="37">
        <f>'29-AUGUST-2026'!E185</f>
        <v>3</v>
      </c>
      <c r="E192" s="37">
        <f>'29-AUGUST-2026'!H185</f>
        <v>0</v>
      </c>
      <c r="F192" s="37">
        <f>'29-AUGUST-2026'!K185</f>
        <v>0</v>
      </c>
      <c r="G192" s="37">
        <f>'29-AUGUST-2026'!N185</f>
        <v>0</v>
      </c>
      <c r="H192" s="37">
        <f>'29-AUGUST-2026'!Y185</f>
        <v>3</v>
      </c>
      <c r="I192" s="37" t="str">
        <f>IF($A192="","",IF(COUNTIFS([1]Sheet1!$A$2:$A$190,$A192,[1]Sheet1!$B$2:$B$190,$B192)=0,"NOT IN COUNT",IF(COUNTIFS([1]Sheet1!$A$2:$A$190,$A192,[1]Sheet1!$B$2:$B$190,$B192,[1]Sheet1!$C$2:$C$190,"&gt;=0")=0,"NOT COUNTED",SUMIFS([1]Sheet1!$C$2:$C$190,[1]Sheet1!$A$2:$A$190,$A192,[1]Sheet1!$B$2:$B$190,$B192))))</f>
        <v>NOT COUNTED</v>
      </c>
      <c r="J192" s="37" t="str">
        <f t="shared" si="4"/>
        <v/>
      </c>
      <c r="K192" s="36" t="str">
        <f t="shared" si="5"/>
        <v>NOT COUNTED</v>
      </c>
      <c r="L192" s="38" t="str">
        <f>IF($A192="","",IF(COUNTIFS([1]Sheet1!$D$2:$D$190,$A192&amp;"|"&amp;$B192)&gt;1,"Item listed twice in count sheet","")&amp;IF(AND(ISNUMBER($I192),$H192&lt;0)," ; system closing is negative — check entries",""))</f>
        <v>Item listed twice in count sheet</v>
      </c>
    </row>
    <row r="193" spans="1:12" x14ac:dyDescent="0.3">
      <c r="A193" s="35" t="str">
        <f>'29-AUGUST-2026'!A186</f>
        <v>Tendita</v>
      </c>
      <c r="B193" s="36">
        <f>'29-AUGUST-2026'!B186</f>
        <v>1000</v>
      </c>
      <c r="C193" s="36" t="str">
        <f>'29-AUGUST-2026'!C186</f>
        <v>SEED</v>
      </c>
      <c r="D193" s="37">
        <f>'29-AUGUST-2026'!E186</f>
        <v>9</v>
      </c>
      <c r="E193" s="37">
        <f>'29-AUGUST-2026'!H186</f>
        <v>0</v>
      </c>
      <c r="F193" s="37">
        <f>'29-AUGUST-2026'!K186</f>
        <v>0</v>
      </c>
      <c r="G193" s="37">
        <f>'29-AUGUST-2026'!N186</f>
        <v>0</v>
      </c>
      <c r="H193" s="37">
        <f>'29-AUGUST-2026'!Y186</f>
        <v>9</v>
      </c>
      <c r="I193" s="37" t="str">
        <f>IF($A193="","",IF(COUNTIFS([1]Sheet1!$A$2:$A$190,$A193,[1]Sheet1!$B$2:$B$190,$B193)=0,"NOT IN COUNT",IF(COUNTIFS([1]Sheet1!$A$2:$A$190,$A193,[1]Sheet1!$B$2:$B$190,$B193,[1]Sheet1!$C$2:$C$190,"&gt;=0")=0,"NOT COUNTED",SUMIFS([1]Sheet1!$C$2:$C$190,[1]Sheet1!$A$2:$A$190,$A193,[1]Sheet1!$B$2:$B$190,$B193))))</f>
        <v>NOT COUNTED</v>
      </c>
      <c r="J193" s="37" t="str">
        <f t="shared" si="4"/>
        <v/>
      </c>
      <c r="K193" s="36" t="str">
        <f t="shared" si="5"/>
        <v>NOT COUNTED</v>
      </c>
      <c r="L193" s="38" t="str">
        <f>IF($A193="","",IF(COUNTIFS([1]Sheet1!$D$2:$D$190,$A193&amp;"|"&amp;$B193)&gt;1,"Item listed twice in count sheet","")&amp;IF(AND(ISNUMBER($I193),$H193&lt;0)," ; system closing is negative — check entries",""))</f>
        <v/>
      </c>
    </row>
    <row r="194" spans="1:12" x14ac:dyDescent="0.3">
      <c r="A194" s="35" t="str">
        <f>'29-AUGUST-2026'!A187</f>
        <v>Tirsuli</v>
      </c>
      <c r="B194" s="36">
        <f>'29-AUGUST-2026'!B187</f>
        <v>1000</v>
      </c>
      <c r="C194" s="36" t="str">
        <f>'29-AUGUST-2026'!C187</f>
        <v>SEED</v>
      </c>
      <c r="D194" s="37">
        <f>'29-AUGUST-2026'!E187</f>
        <v>3</v>
      </c>
      <c r="E194" s="37">
        <f>'29-AUGUST-2026'!H187</f>
        <v>0</v>
      </c>
      <c r="F194" s="37">
        <f>'29-AUGUST-2026'!K187</f>
        <v>0</v>
      </c>
      <c r="G194" s="37">
        <f>'29-AUGUST-2026'!N187</f>
        <v>0</v>
      </c>
      <c r="H194" s="37">
        <f>'29-AUGUST-2026'!Y187</f>
        <v>3</v>
      </c>
      <c r="I194" s="37" t="str">
        <f>IF($A194="","",IF(COUNTIFS([1]Sheet1!$A$2:$A$190,$A194,[1]Sheet1!$B$2:$B$190,$B194)=0,"NOT IN COUNT",IF(COUNTIFS([1]Sheet1!$A$2:$A$190,$A194,[1]Sheet1!$B$2:$B$190,$B194,[1]Sheet1!$C$2:$C$190,"&gt;=0")=0,"NOT COUNTED",SUMIFS([1]Sheet1!$C$2:$C$190,[1]Sheet1!$A$2:$A$190,$A194,[1]Sheet1!$B$2:$B$190,$B194))))</f>
        <v>NOT COUNTED</v>
      </c>
      <c r="J194" s="37" t="str">
        <f t="shared" si="4"/>
        <v/>
      </c>
      <c r="K194" s="36" t="str">
        <f t="shared" si="5"/>
        <v>NOT COUNTED</v>
      </c>
      <c r="L194" s="38" t="str">
        <f>IF($A194="","",IF(COUNTIFS([1]Sheet1!$D$2:$D$190,$A194&amp;"|"&amp;$B194)&gt;1,"Item listed twice in count sheet","")&amp;IF(AND(ISNUMBER($I194),$H194&lt;0)," ; system closing is negative — check entries",""))</f>
        <v/>
      </c>
    </row>
    <row r="195" spans="1:12" x14ac:dyDescent="0.3">
      <c r="A195" s="35" t="str">
        <f>'29-AUGUST-2026'!A188</f>
        <v>tourbillion</v>
      </c>
      <c r="B195" s="36">
        <f>'29-AUGUST-2026'!B188</f>
        <v>1000</v>
      </c>
      <c r="C195" s="36" t="str">
        <f>'29-AUGUST-2026'!C188</f>
        <v>SEED</v>
      </c>
      <c r="D195" s="37">
        <f>'29-AUGUST-2026'!E188</f>
        <v>2</v>
      </c>
      <c r="E195" s="37">
        <f>'29-AUGUST-2026'!H188</f>
        <v>0</v>
      </c>
      <c r="F195" s="37">
        <f>'29-AUGUST-2026'!K188</f>
        <v>0</v>
      </c>
      <c r="G195" s="37">
        <f>'29-AUGUST-2026'!N188</f>
        <v>0</v>
      </c>
      <c r="H195" s="37">
        <f>'29-AUGUST-2026'!Y188</f>
        <v>1</v>
      </c>
      <c r="I195" s="37">
        <f>IF($A195="","",IF(COUNTIFS([1]Sheet1!$A$2:$A$190,$A195,[1]Sheet1!$B$2:$B$190,$B195)=0,"NOT IN COUNT",IF(COUNTIFS([1]Sheet1!$A$2:$A$190,$A195,[1]Sheet1!$B$2:$B$190,$B195,[1]Sheet1!$C$2:$C$190,"&gt;=0")=0,"NOT COUNTED",SUMIFS([1]Sheet1!$C$2:$C$190,[1]Sheet1!$A$2:$A$190,$A195,[1]Sheet1!$B$2:$B$190,$B195))))</f>
        <v>1</v>
      </c>
      <c r="J195" s="37">
        <f t="shared" si="4"/>
        <v>0</v>
      </c>
      <c r="K195" s="36" t="str">
        <f t="shared" si="5"/>
        <v>MATCH</v>
      </c>
      <c r="L195" s="38" t="str">
        <f>IF($A195="","",IF(COUNTIFS([1]Sheet1!$D$2:$D$190,$A195&amp;"|"&amp;$B195)&gt;1,"Item listed twice in count sheet","")&amp;IF(AND(ISNUMBER($I195),$H195&lt;0)," ; system closing is negative — check entries",""))</f>
        <v/>
      </c>
    </row>
    <row r="196" spans="1:12" x14ac:dyDescent="0.3">
      <c r="A196" s="35" t="str">
        <f>'29-AUGUST-2026'!A189</f>
        <v>Tralex</v>
      </c>
      <c r="B196" s="36">
        <f>'29-AUGUST-2026'!B189</f>
        <v>1000</v>
      </c>
      <c r="C196" s="36" t="str">
        <f>'29-AUGUST-2026'!C189</f>
        <v>SEED</v>
      </c>
      <c r="D196" s="37">
        <f>'29-AUGUST-2026'!E189</f>
        <v>2</v>
      </c>
      <c r="E196" s="37">
        <f>'29-AUGUST-2026'!H189</f>
        <v>0</v>
      </c>
      <c r="F196" s="37">
        <f>'29-AUGUST-2026'!K189</f>
        <v>0</v>
      </c>
      <c r="G196" s="37">
        <f>'29-AUGUST-2026'!N189</f>
        <v>0</v>
      </c>
      <c r="H196" s="37">
        <f>'29-AUGUST-2026'!Y189</f>
        <v>2</v>
      </c>
      <c r="I196" s="37" t="str">
        <f>IF($A196="","",IF(COUNTIFS([1]Sheet1!$A$2:$A$190,$A196,[1]Sheet1!$B$2:$B$190,$B196)=0,"NOT IN COUNT",IF(COUNTIFS([1]Sheet1!$A$2:$A$190,$A196,[1]Sheet1!$B$2:$B$190,$B196,[1]Sheet1!$C$2:$C$190,"&gt;=0")=0,"NOT COUNTED",SUMIFS([1]Sheet1!$C$2:$C$190,[1]Sheet1!$A$2:$A$190,$A196,[1]Sheet1!$B$2:$B$190,$B196))))</f>
        <v>NOT COUNTED</v>
      </c>
      <c r="J196" s="37" t="str">
        <f t="shared" si="4"/>
        <v/>
      </c>
      <c r="K196" s="36" t="str">
        <f t="shared" si="5"/>
        <v>NOT COUNTED</v>
      </c>
      <c r="L196" s="38" t="str">
        <f>IF($A196="","",IF(COUNTIFS([1]Sheet1!$D$2:$D$190,$A196&amp;"|"&amp;$B196)&gt;1,"Item listed twice in count sheet","")&amp;IF(AND(ISNUMBER($I196),$H196&lt;0)," ; system closing is negative — check entries",""))</f>
        <v/>
      </c>
    </row>
    <row r="197" spans="1:12" x14ac:dyDescent="0.3">
      <c r="A197" s="35" t="str">
        <f>'29-AUGUST-2026'!A190</f>
        <v>Trirosso</v>
      </c>
      <c r="B197" s="36">
        <f>'29-AUGUST-2026'!B190</f>
        <v>100</v>
      </c>
      <c r="C197" s="36" t="str">
        <f>'29-AUGUST-2026'!C190</f>
        <v>SEED</v>
      </c>
      <c r="D197" s="37">
        <f>'29-AUGUST-2026'!E190</f>
        <v>2</v>
      </c>
      <c r="E197" s="37">
        <f>'29-AUGUST-2026'!H190</f>
        <v>0</v>
      </c>
      <c r="F197" s="37">
        <f>'29-AUGUST-2026'!K190</f>
        <v>0</v>
      </c>
      <c r="G197" s="37">
        <f>'29-AUGUST-2026'!N190</f>
        <v>0</v>
      </c>
      <c r="H197" s="37">
        <f>'29-AUGUST-2026'!Y190</f>
        <v>2</v>
      </c>
      <c r="I197" s="37" t="str">
        <f>IF($A197="","",IF(COUNTIFS([1]Sheet1!$A$2:$A$190,$A197,[1]Sheet1!$B$2:$B$190,$B197)=0,"NOT IN COUNT",IF(COUNTIFS([1]Sheet1!$A$2:$A$190,$A197,[1]Sheet1!$B$2:$B$190,$B197,[1]Sheet1!$C$2:$C$190,"&gt;=0")=0,"NOT COUNTED",SUMIFS([1]Sheet1!$C$2:$C$190,[1]Sheet1!$A$2:$A$190,$A197,[1]Sheet1!$B$2:$B$190,$B197))))</f>
        <v>NOT COUNTED</v>
      </c>
      <c r="J197" s="37" t="str">
        <f t="shared" si="4"/>
        <v/>
      </c>
      <c r="K197" s="36" t="str">
        <f t="shared" si="5"/>
        <v>NOT COUNTED</v>
      </c>
      <c r="L197" s="38" t="str">
        <f>IF($A197="","",IF(COUNTIFS([1]Sheet1!$D$2:$D$190,$A197&amp;"|"&amp;$B197)&gt;1,"Item listed twice in count sheet","")&amp;IF(AND(ISNUMBER($I197),$H197&lt;0)," ; system closing is negative — check entries",""))</f>
        <v/>
      </c>
    </row>
    <row r="198" spans="1:12" x14ac:dyDescent="0.3">
      <c r="A198" s="35" t="str">
        <f>'29-AUGUST-2026'!A191</f>
        <v>Ty 12 RZ</v>
      </c>
      <c r="B198" s="36">
        <f>'29-AUGUST-2026'!B191</f>
        <v>100</v>
      </c>
      <c r="C198" s="36" t="str">
        <f>'29-AUGUST-2026'!C191</f>
        <v>SEED</v>
      </c>
      <c r="D198" s="37">
        <f>'29-AUGUST-2026'!E191</f>
        <v>3</v>
      </c>
      <c r="E198" s="37">
        <f>'29-AUGUST-2026'!H191</f>
        <v>0</v>
      </c>
      <c r="F198" s="37">
        <f>'29-AUGUST-2026'!K191</f>
        <v>0</v>
      </c>
      <c r="G198" s="37">
        <f>'29-AUGUST-2026'!N191</f>
        <v>0</v>
      </c>
      <c r="H198" s="37">
        <f>'29-AUGUST-2026'!Y191</f>
        <v>3</v>
      </c>
      <c r="I198" s="37" t="str">
        <f>IF($A198="","",IF(COUNTIFS([1]Sheet1!$A$2:$A$190,$A198,[1]Sheet1!$B$2:$B$190,$B198)=0,"NOT IN COUNT",IF(COUNTIFS([1]Sheet1!$A$2:$A$190,$A198,[1]Sheet1!$B$2:$B$190,$B198,[1]Sheet1!$C$2:$C$190,"&gt;=0")=0,"NOT COUNTED",SUMIFS([1]Sheet1!$C$2:$C$190,[1]Sheet1!$A$2:$A$190,$A198,[1]Sheet1!$B$2:$B$190,$B198))))</f>
        <v>NOT COUNTED</v>
      </c>
      <c r="J198" s="37" t="str">
        <f t="shared" si="4"/>
        <v/>
      </c>
      <c r="K198" s="36" t="str">
        <f t="shared" si="5"/>
        <v>NOT COUNTED</v>
      </c>
      <c r="L198" s="38" t="str">
        <f>IF($A198="","",IF(COUNTIFS([1]Sheet1!$D$2:$D$190,$A198&amp;"|"&amp;$B198)&gt;1,"Item listed twice in count sheet","")&amp;IF(AND(ISNUMBER($I198),$H198&lt;0)," ; system closing is negative — check entries",""))</f>
        <v/>
      </c>
    </row>
    <row r="199" spans="1:12" x14ac:dyDescent="0.3">
      <c r="A199" s="35" t="str">
        <f>'29-AUGUST-2026'!A192</f>
        <v>Ukza</v>
      </c>
      <c r="B199" s="36">
        <f>'29-AUGUST-2026'!B192</f>
        <v>1000</v>
      </c>
      <c r="C199" s="36" t="str">
        <f>'29-AUGUST-2026'!C192</f>
        <v>SEED</v>
      </c>
      <c r="D199" s="37">
        <f>'29-AUGUST-2026'!E192</f>
        <v>2</v>
      </c>
      <c r="E199" s="37">
        <f>'29-AUGUST-2026'!H192</f>
        <v>0</v>
      </c>
      <c r="F199" s="37">
        <f>'29-AUGUST-2026'!K192</f>
        <v>0</v>
      </c>
      <c r="G199" s="37">
        <f>'29-AUGUST-2026'!N192</f>
        <v>0</v>
      </c>
      <c r="H199" s="37">
        <f>'29-AUGUST-2026'!Y192</f>
        <v>2</v>
      </c>
      <c r="I199" s="37">
        <f>IF($A199="","",IF(COUNTIFS([1]Sheet1!$A$2:$A$190,$A199,[1]Sheet1!$B$2:$B$190,$B199)=0,"NOT IN COUNT",IF(COUNTIFS([1]Sheet1!$A$2:$A$190,$A199,[1]Sheet1!$B$2:$B$190,$B199,[1]Sheet1!$C$2:$C$190,"&gt;=0")=0,"NOT COUNTED",SUMIFS([1]Sheet1!$C$2:$C$190,[1]Sheet1!$A$2:$A$190,$A199,[1]Sheet1!$B$2:$B$190,$B199))))</f>
        <v>2</v>
      </c>
      <c r="J199" s="37">
        <f t="shared" si="4"/>
        <v>0</v>
      </c>
      <c r="K199" s="36" t="str">
        <f t="shared" si="5"/>
        <v>MATCH</v>
      </c>
      <c r="L199" s="38" t="str">
        <f>IF($A199="","",IF(COUNTIFS([1]Sheet1!$D$2:$D$190,$A199&amp;"|"&amp;$B199)&gt;1,"Item listed twice in count sheet","")&amp;IF(AND(ISNUMBER($I199),$H199&lt;0)," ; system closing is negative — check entries",""))</f>
        <v>Item listed twice in count sheet</v>
      </c>
    </row>
    <row r="200" spans="1:12" x14ac:dyDescent="0.3">
      <c r="A200" s="35" t="str">
        <f>'29-AUGUST-2026'!A193</f>
        <v>Valdivia</v>
      </c>
      <c r="B200" s="36">
        <f>'29-AUGUST-2026'!B193</f>
        <v>100000</v>
      </c>
      <c r="C200" s="36" t="str">
        <f>'29-AUGUST-2026'!C193</f>
        <v>SEED</v>
      </c>
      <c r="D200" s="37">
        <f>'29-AUGUST-2026'!E193</f>
        <v>2</v>
      </c>
      <c r="E200" s="37">
        <f>'29-AUGUST-2026'!H193</f>
        <v>0</v>
      </c>
      <c r="F200" s="37">
        <f>'29-AUGUST-2026'!K193</f>
        <v>0</v>
      </c>
      <c r="G200" s="37">
        <f>'29-AUGUST-2026'!N193</f>
        <v>0</v>
      </c>
      <c r="H200" s="37">
        <f>'29-AUGUST-2026'!Y193</f>
        <v>2</v>
      </c>
      <c r="I200" s="37" t="str">
        <f>IF($A200="","",IF(COUNTIFS([1]Sheet1!$A$2:$A$190,$A200,[1]Sheet1!$B$2:$B$190,$B200)=0,"NOT IN COUNT",IF(COUNTIFS([1]Sheet1!$A$2:$A$190,$A200,[1]Sheet1!$B$2:$B$190,$B200,[1]Sheet1!$C$2:$C$190,"&gt;=0")=0,"NOT COUNTED",SUMIFS([1]Sheet1!$C$2:$C$190,[1]Sheet1!$A$2:$A$190,$A200,[1]Sheet1!$B$2:$B$190,$B200))))</f>
        <v>NOT COUNTED</v>
      </c>
      <c r="J200" s="37" t="str">
        <f t="shared" si="4"/>
        <v/>
      </c>
      <c r="K200" s="36" t="str">
        <f t="shared" si="5"/>
        <v>NOT COUNTED</v>
      </c>
      <c r="L200" s="38" t="str">
        <f>IF($A200="","",IF(COUNTIFS([1]Sheet1!$D$2:$D$190,$A200&amp;"|"&amp;$B200)&gt;1,"Item listed twice in count sheet","")&amp;IF(AND(ISNUMBER($I200),$H200&lt;0)," ; system closing is negative — check entries",""))</f>
        <v/>
      </c>
    </row>
    <row r="201" spans="1:12" x14ac:dyDescent="0.3">
      <c r="A201" s="35" t="str">
        <f>'29-AUGUST-2026'!A194</f>
        <v>vicinity</v>
      </c>
      <c r="B201" s="36">
        <f>'29-AUGUST-2026'!B194</f>
        <v>1000</v>
      </c>
      <c r="C201" s="36" t="str">
        <f>'29-AUGUST-2026'!C194</f>
        <v>SEED</v>
      </c>
      <c r="D201" s="37">
        <f>'29-AUGUST-2026'!E194</f>
        <v>2</v>
      </c>
      <c r="E201" s="37">
        <f>'29-AUGUST-2026'!H194</f>
        <v>0</v>
      </c>
      <c r="F201" s="37">
        <f>'29-AUGUST-2026'!K194</f>
        <v>0</v>
      </c>
      <c r="G201" s="37">
        <f>'29-AUGUST-2026'!N194</f>
        <v>0</v>
      </c>
      <c r="H201" s="37">
        <f>'29-AUGUST-2026'!Y194</f>
        <v>2</v>
      </c>
      <c r="I201" s="37" t="str">
        <f>IF($A201="","",IF(COUNTIFS([1]Sheet1!$A$2:$A$190,$A201,[1]Sheet1!$B$2:$B$190,$B201)=0,"NOT IN COUNT",IF(COUNTIFS([1]Sheet1!$A$2:$A$190,$A201,[1]Sheet1!$B$2:$B$190,$B201,[1]Sheet1!$C$2:$C$190,"&gt;=0")=0,"NOT COUNTED",SUMIFS([1]Sheet1!$C$2:$C$190,[1]Sheet1!$A$2:$A$190,$A201,[1]Sheet1!$B$2:$B$190,$B201))))</f>
        <v>NOT COUNTED</v>
      </c>
      <c r="J201" s="37" t="str">
        <f t="shared" ref="J201:J204" si="6">IF(ISNUMBER($I201),$I201-$H201,"")</f>
        <v/>
      </c>
      <c r="K201" s="36" t="str">
        <f t="shared" ref="K201:K204" si="7">IF($A201="","",IF(NOT(ISNUMBER($I201)),$I201,IF($J201=0,"MATCH",IF($J201&lt;0,"DEFICIT","EXCESS"))))</f>
        <v>NOT COUNTED</v>
      </c>
      <c r="L201" s="38" t="str">
        <f>IF($A201="","",IF(COUNTIFS([1]Sheet1!$D$2:$D$190,$A201&amp;"|"&amp;$B201)&gt;1,"Item listed twice in count sheet","")&amp;IF(AND(ISNUMBER($I201),$H201&lt;0)," ; system closing is negative — check entries",""))</f>
        <v/>
      </c>
    </row>
    <row r="202" spans="1:12" x14ac:dyDescent="0.3">
      <c r="A202" s="35" t="str">
        <f>'29-AUGUST-2026'!A195</f>
        <v>Webber</v>
      </c>
      <c r="B202" s="36">
        <f>'29-AUGUST-2026'!B195</f>
        <v>100000</v>
      </c>
      <c r="C202" s="36" t="str">
        <f>'29-AUGUST-2026'!C195</f>
        <v>SEED</v>
      </c>
      <c r="D202" s="37">
        <f>'29-AUGUST-2026'!E195</f>
        <v>3</v>
      </c>
      <c r="E202" s="37">
        <f>'29-AUGUST-2026'!H195</f>
        <v>0</v>
      </c>
      <c r="F202" s="37">
        <f>'29-AUGUST-2026'!K195</f>
        <v>0</v>
      </c>
      <c r="G202" s="37">
        <f>'29-AUGUST-2026'!N195</f>
        <v>0</v>
      </c>
      <c r="H202" s="37">
        <f>'29-AUGUST-2026'!Y195</f>
        <v>3</v>
      </c>
      <c r="I202" s="37" t="str">
        <f>IF($A202="","",IF(COUNTIFS([1]Sheet1!$A$2:$A$190,$A202,[1]Sheet1!$B$2:$B$190,$B202)=0,"NOT IN COUNT",IF(COUNTIFS([1]Sheet1!$A$2:$A$190,$A202,[1]Sheet1!$B$2:$B$190,$B202,[1]Sheet1!$C$2:$C$190,"&gt;=0")=0,"NOT COUNTED",SUMIFS([1]Sheet1!$C$2:$C$190,[1]Sheet1!$A$2:$A$190,$A202,[1]Sheet1!$B$2:$B$190,$B202))))</f>
        <v>NOT COUNTED</v>
      </c>
      <c r="J202" s="37" t="str">
        <f t="shared" si="6"/>
        <v/>
      </c>
      <c r="K202" s="36" t="str">
        <f t="shared" si="7"/>
        <v>NOT COUNTED</v>
      </c>
      <c r="L202" s="38" t="str">
        <f>IF($A202="","",IF(COUNTIFS([1]Sheet1!$D$2:$D$190,$A202&amp;"|"&amp;$B202)&gt;1,"Item listed twice in count sheet","")&amp;IF(AND(ISNUMBER($I202),$H202&lt;0)," ; system closing is negative — check entries",""))</f>
        <v/>
      </c>
    </row>
    <row r="203" spans="1:12" x14ac:dyDescent="0.3">
      <c r="A203" s="35" t="str">
        <f>'29-AUGUST-2026'!A196</f>
        <v>Woodpeker</v>
      </c>
      <c r="B203" s="36">
        <f>'29-AUGUST-2026'!B196</f>
        <v>25000</v>
      </c>
      <c r="C203" s="36" t="str">
        <f>'29-AUGUST-2026'!C196</f>
        <v>SEED</v>
      </c>
      <c r="D203" s="37">
        <f>'29-AUGUST-2026'!E196</f>
        <v>-6</v>
      </c>
      <c r="E203" s="37">
        <f>'29-AUGUST-2026'!H196</f>
        <v>0</v>
      </c>
      <c r="F203" s="37">
        <f>'29-AUGUST-2026'!K196</f>
        <v>0</v>
      </c>
      <c r="G203" s="37">
        <f>'29-AUGUST-2026'!N196</f>
        <v>0</v>
      </c>
      <c r="H203" s="37">
        <f>'29-AUGUST-2026'!Y196</f>
        <v>-6</v>
      </c>
      <c r="I203" s="37" t="str">
        <f>IF($A203="","",IF(COUNTIFS([1]Sheet1!$A$2:$A$190,$A203,[1]Sheet1!$B$2:$B$190,$B203)=0,"NOT IN COUNT",IF(COUNTIFS([1]Sheet1!$A$2:$A$190,$A203,[1]Sheet1!$B$2:$B$190,$B203,[1]Sheet1!$C$2:$C$190,"&gt;=0")=0,"NOT COUNTED",SUMIFS([1]Sheet1!$C$2:$C$190,[1]Sheet1!$A$2:$A$190,$A203,[1]Sheet1!$B$2:$B$190,$B203))))</f>
        <v>NOT COUNTED</v>
      </c>
      <c r="J203" s="37" t="str">
        <f t="shared" si="6"/>
        <v/>
      </c>
      <c r="K203" s="36" t="str">
        <f t="shared" si="7"/>
        <v>NOT COUNTED</v>
      </c>
      <c r="L203" s="38" t="str">
        <f>IF($A203="","",IF(COUNTIFS([1]Sheet1!$D$2:$D$190,$A203&amp;"|"&amp;$B203)&gt;1,"Item listed twice in count sheet","")&amp;IF(AND(ISNUMBER($I203),$H203&lt;0)," ; system closing is negative — check entries",""))</f>
        <v/>
      </c>
    </row>
    <row r="204" spans="1:12" x14ac:dyDescent="0.3">
      <c r="A204" s="35" t="str">
        <f>'29-AUGUST-2026'!A197</f>
        <v>Yellow zuppa</v>
      </c>
      <c r="B204" s="36">
        <f>'29-AUGUST-2026'!B197</f>
        <v>100</v>
      </c>
      <c r="C204" s="36" t="str">
        <f>'29-AUGUST-2026'!C197</f>
        <v>SEED</v>
      </c>
      <c r="D204" s="37">
        <f>'29-AUGUST-2026'!E197</f>
        <v>6</v>
      </c>
      <c r="E204" s="37">
        <f>'29-AUGUST-2026'!H197</f>
        <v>0</v>
      </c>
      <c r="F204" s="37">
        <f>'29-AUGUST-2026'!K197</f>
        <v>0</v>
      </c>
      <c r="G204" s="37">
        <f>'29-AUGUST-2026'!N197</f>
        <v>0</v>
      </c>
      <c r="H204" s="37">
        <f>'29-AUGUST-2026'!Y197</f>
        <v>6</v>
      </c>
      <c r="I204" s="37" t="str">
        <f>IF($A204="","",IF(COUNTIFS([1]Sheet1!$A$2:$A$190,$A204,[1]Sheet1!$B$2:$B$190,$B204)=0,"NOT IN COUNT",IF(COUNTIFS([1]Sheet1!$A$2:$A$190,$A204,[1]Sheet1!$B$2:$B$190,$B204,[1]Sheet1!$C$2:$C$190,"&gt;=0")=0,"NOT COUNTED",SUMIFS([1]Sheet1!$C$2:$C$190,[1]Sheet1!$A$2:$A$190,$A204,[1]Sheet1!$B$2:$B$190,$B204))))</f>
        <v>NOT COUNTED</v>
      </c>
      <c r="J204" s="37" t="str">
        <f t="shared" si="6"/>
        <v/>
      </c>
      <c r="K204" s="36" t="str">
        <f t="shared" si="7"/>
        <v>NOT COUNTED</v>
      </c>
      <c r="L204" s="38" t="str">
        <f>IF($A204="","",IF(COUNTIFS([1]Sheet1!$D$2:$D$190,$A204&amp;"|"&amp;$B204)&gt;1,"Item listed twice in count sheet","")&amp;IF(AND(ISNUMBER($I204),$H204&lt;0)," ; system closing is negative — check entries",""))</f>
        <v/>
      </c>
    </row>
  </sheetData>
  <mergeCells count="6">
    <mergeCell ref="E7:H7"/>
    <mergeCell ref="A1:L1"/>
    <mergeCell ref="A2:L2"/>
    <mergeCell ref="E4:H4"/>
    <mergeCell ref="E5:H5"/>
    <mergeCell ref="E6:H6"/>
  </mergeCells>
  <conditionalFormatting sqref="A10:L204">
    <cfRule type="expression" dxfId="5" priority="1">
      <formula>$K10="DEFICIT"</formula>
    </cfRule>
    <cfRule type="expression" dxfId="4" priority="2">
      <formula>$K10="EXCESS"</formula>
    </cfRule>
    <cfRule type="expression" dxfId="3" priority="3">
      <formula>OR($K10="NOT COUNTED",$K10="NOT IN COUNT")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F6E2-D72C-4D3E-9B79-656070CE3DA8}">
  <dimension ref="A1:L206"/>
  <sheetViews>
    <sheetView workbookViewId="0">
      <pane ySplit="9" topLeftCell="A10" activePane="bottomLeft" state="frozen"/>
      <selection pane="bottomLeft" sqref="A1:L1"/>
    </sheetView>
  </sheetViews>
  <sheetFormatPr defaultRowHeight="14.4" x14ac:dyDescent="0.3"/>
  <cols>
    <col min="1" max="1" width="45.6640625" customWidth="1"/>
    <col min="2" max="2" width="13" customWidth="1"/>
    <col min="3" max="3" width="15.6640625" customWidth="1"/>
    <col min="4" max="8" width="13" customWidth="1"/>
    <col min="9" max="11" width="16.6640625" customWidth="1"/>
    <col min="12" max="12" width="42.5546875" customWidth="1"/>
  </cols>
  <sheetData>
    <row r="1" spans="1:12" ht="17.399999999999999" x14ac:dyDescent="0.35">
      <c r="A1" s="54" t="s">
        <v>320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x14ac:dyDescent="0.3">
      <c r="A2" s="55" t="s">
        <v>321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x14ac:dyDescent="0.3">
      <c r="A3" s="56" t="s">
        <v>308</v>
      </c>
      <c r="B3" s="57" t="s">
        <v>309</v>
      </c>
      <c r="C3" s="57" t="s">
        <v>310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x14ac:dyDescent="0.3">
      <c r="A4" s="58" t="s">
        <v>311</v>
      </c>
      <c r="B4" s="58">
        <v>195</v>
      </c>
      <c r="C4" s="58"/>
      <c r="D4" s="58"/>
      <c r="E4" s="59" t="s">
        <v>316</v>
      </c>
      <c r="F4" s="59"/>
      <c r="G4" s="59"/>
      <c r="H4" s="59"/>
      <c r="I4" s="31">
        <v>0</v>
      </c>
      <c r="J4" s="58"/>
      <c r="K4" s="58"/>
      <c r="L4" s="58"/>
    </row>
    <row r="5" spans="1:12" x14ac:dyDescent="0.3">
      <c r="A5" s="58" t="s">
        <v>312</v>
      </c>
      <c r="B5" s="58">
        <v>132</v>
      </c>
      <c r="C5" s="58"/>
      <c r="D5" s="58"/>
      <c r="E5" s="59" t="s">
        <v>317</v>
      </c>
      <c r="F5" s="59"/>
      <c r="G5" s="59"/>
      <c r="H5" s="59"/>
      <c r="I5" s="31">
        <v>50</v>
      </c>
      <c r="J5" s="58"/>
      <c r="K5" s="58"/>
      <c r="L5" s="58"/>
    </row>
    <row r="6" spans="1:12" x14ac:dyDescent="0.3">
      <c r="A6" s="58" t="s">
        <v>313</v>
      </c>
      <c r="B6" s="58">
        <v>132</v>
      </c>
      <c r="C6" s="58"/>
      <c r="D6" s="58"/>
      <c r="E6" s="59" t="s">
        <v>318</v>
      </c>
      <c r="F6" s="59"/>
      <c r="G6" s="59"/>
      <c r="H6" s="59"/>
      <c r="I6" s="31">
        <v>13</v>
      </c>
      <c r="J6" s="58"/>
      <c r="K6" s="58"/>
      <c r="L6" s="58"/>
    </row>
    <row r="7" spans="1:12" x14ac:dyDescent="0.3">
      <c r="A7" s="60" t="s">
        <v>314</v>
      </c>
      <c r="B7" s="60">
        <v>0</v>
      </c>
      <c r="C7" s="28">
        <v>0</v>
      </c>
      <c r="D7" s="58"/>
      <c r="E7" s="59" t="s">
        <v>319</v>
      </c>
      <c r="F7" s="59"/>
      <c r="G7" s="59"/>
      <c r="H7" s="59"/>
      <c r="I7" s="31">
        <v>5</v>
      </c>
      <c r="J7" s="58"/>
      <c r="K7" s="58"/>
      <c r="L7" s="58"/>
    </row>
    <row r="8" spans="1:12" x14ac:dyDescent="0.3">
      <c r="A8" s="61" t="s">
        <v>315</v>
      </c>
      <c r="B8" s="61">
        <v>0</v>
      </c>
      <c r="C8" s="30">
        <v>0</v>
      </c>
      <c r="D8" s="58"/>
      <c r="E8" s="58"/>
      <c r="F8" s="58"/>
      <c r="G8" s="58"/>
      <c r="H8" s="58"/>
      <c r="I8" s="58"/>
      <c r="J8" s="58"/>
      <c r="K8" s="58"/>
      <c r="L8" s="58"/>
    </row>
    <row r="9" spans="1:12" ht="57.6" x14ac:dyDescent="0.3">
      <c r="A9" s="62" t="s">
        <v>45</v>
      </c>
      <c r="B9" s="63" t="s">
        <v>46</v>
      </c>
      <c r="C9" s="63" t="s">
        <v>47</v>
      </c>
      <c r="D9" s="63" t="s">
        <v>305</v>
      </c>
      <c r="E9" s="63" t="s">
        <v>257</v>
      </c>
      <c r="F9" s="63" t="s">
        <v>260</v>
      </c>
      <c r="G9" s="63" t="s">
        <v>263</v>
      </c>
      <c r="H9" s="63" t="s">
        <v>306</v>
      </c>
      <c r="I9" s="63" t="s">
        <v>303</v>
      </c>
      <c r="J9" s="63" t="s">
        <v>307</v>
      </c>
      <c r="K9" s="63" t="s">
        <v>51</v>
      </c>
      <c r="L9" s="64" t="s">
        <v>284</v>
      </c>
    </row>
    <row r="10" spans="1:12" x14ac:dyDescent="0.3">
      <c r="A10" s="65" t="s">
        <v>53</v>
      </c>
      <c r="B10" s="66">
        <v>1000</v>
      </c>
      <c r="C10" s="66" t="s">
        <v>54</v>
      </c>
      <c r="D10" s="37">
        <v>1</v>
      </c>
      <c r="E10" s="37">
        <v>0</v>
      </c>
      <c r="F10" s="37">
        <v>0</v>
      </c>
      <c r="G10" s="37">
        <v>0</v>
      </c>
      <c r="H10" s="37">
        <v>1</v>
      </c>
      <c r="I10" s="37" t="s">
        <v>327</v>
      </c>
      <c r="J10" s="37"/>
      <c r="K10" s="66" t="s">
        <v>327</v>
      </c>
      <c r="L10" s="67"/>
    </row>
    <row r="11" spans="1:12" x14ac:dyDescent="0.3">
      <c r="A11" s="65" t="s">
        <v>58</v>
      </c>
      <c r="B11" s="66">
        <v>100</v>
      </c>
      <c r="C11" s="66" t="s">
        <v>54</v>
      </c>
      <c r="D11" s="37">
        <v>1</v>
      </c>
      <c r="E11" s="37">
        <v>12</v>
      </c>
      <c r="F11" s="37">
        <v>60</v>
      </c>
      <c r="G11" s="37">
        <v>71</v>
      </c>
      <c r="H11" s="37">
        <v>0</v>
      </c>
      <c r="I11" s="37">
        <v>0</v>
      </c>
      <c r="J11" s="37">
        <v>0</v>
      </c>
      <c r="K11" s="66" t="s">
        <v>328</v>
      </c>
      <c r="L11" s="67"/>
    </row>
    <row r="12" spans="1:12" x14ac:dyDescent="0.3">
      <c r="A12" s="65" t="s">
        <v>59</v>
      </c>
      <c r="B12" s="66">
        <v>100</v>
      </c>
      <c r="C12" s="66" t="s">
        <v>54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66" t="s">
        <v>328</v>
      </c>
      <c r="L12" s="67"/>
    </row>
    <row r="13" spans="1:12" x14ac:dyDescent="0.3">
      <c r="A13" s="65" t="s">
        <v>60</v>
      </c>
      <c r="B13" s="66">
        <v>100</v>
      </c>
      <c r="C13" s="66" t="s">
        <v>54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66" t="s">
        <v>328</v>
      </c>
      <c r="L13" s="67"/>
    </row>
    <row r="14" spans="1:12" x14ac:dyDescent="0.3">
      <c r="A14" s="65" t="s">
        <v>61</v>
      </c>
      <c r="B14" s="66">
        <v>100</v>
      </c>
      <c r="C14" s="66" t="s">
        <v>54</v>
      </c>
      <c r="D14" s="37">
        <v>5</v>
      </c>
      <c r="E14" s="37">
        <v>0</v>
      </c>
      <c r="F14" s="37">
        <v>0</v>
      </c>
      <c r="G14" s="37">
        <v>0</v>
      </c>
      <c r="H14" s="37">
        <v>5</v>
      </c>
      <c r="I14" s="37">
        <v>5</v>
      </c>
      <c r="J14" s="37">
        <v>0</v>
      </c>
      <c r="K14" s="66" t="s">
        <v>328</v>
      </c>
      <c r="L14" s="67"/>
    </row>
    <row r="15" spans="1:12" x14ac:dyDescent="0.3">
      <c r="A15" s="65" t="s">
        <v>62</v>
      </c>
      <c r="B15" s="66">
        <v>100</v>
      </c>
      <c r="C15" s="66" t="s">
        <v>54</v>
      </c>
      <c r="D15" s="37">
        <v>0</v>
      </c>
      <c r="E15" s="37">
        <v>0</v>
      </c>
      <c r="F15" s="37">
        <v>0</v>
      </c>
      <c r="G15" s="37">
        <v>150</v>
      </c>
      <c r="H15" s="37">
        <v>150</v>
      </c>
      <c r="I15" s="37">
        <v>150</v>
      </c>
      <c r="J15" s="37">
        <v>0</v>
      </c>
      <c r="K15" s="66" t="s">
        <v>328</v>
      </c>
      <c r="L15" s="67"/>
    </row>
    <row r="16" spans="1:12" x14ac:dyDescent="0.3">
      <c r="A16" s="65" t="s">
        <v>62</v>
      </c>
      <c r="B16" s="66">
        <v>500</v>
      </c>
      <c r="C16" s="66" t="s">
        <v>54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66" t="s">
        <v>328</v>
      </c>
      <c r="L16" s="67"/>
    </row>
    <row r="17" spans="1:12" x14ac:dyDescent="0.3">
      <c r="A17" s="65" t="s">
        <v>63</v>
      </c>
      <c r="B17" s="66">
        <v>100</v>
      </c>
      <c r="C17" s="66" t="s">
        <v>54</v>
      </c>
      <c r="D17" s="37">
        <v>330</v>
      </c>
      <c r="E17" s="37">
        <v>0</v>
      </c>
      <c r="F17" s="37">
        <v>7</v>
      </c>
      <c r="G17" s="37">
        <v>0</v>
      </c>
      <c r="H17" s="37">
        <v>330</v>
      </c>
      <c r="I17" s="37">
        <v>330</v>
      </c>
      <c r="J17" s="37">
        <v>0</v>
      </c>
      <c r="K17" s="66" t="s">
        <v>328</v>
      </c>
      <c r="L17" s="67"/>
    </row>
    <row r="18" spans="1:12" x14ac:dyDescent="0.3">
      <c r="A18" s="65" t="s">
        <v>64</v>
      </c>
      <c r="B18" s="66">
        <v>500</v>
      </c>
      <c r="C18" s="66" t="s">
        <v>54</v>
      </c>
      <c r="D18" s="37">
        <v>8</v>
      </c>
      <c r="E18" s="37">
        <v>0</v>
      </c>
      <c r="F18" s="37">
        <v>0</v>
      </c>
      <c r="G18" s="37">
        <v>0</v>
      </c>
      <c r="H18" s="37">
        <v>8</v>
      </c>
      <c r="I18" s="37">
        <v>8</v>
      </c>
      <c r="J18" s="37">
        <v>0</v>
      </c>
      <c r="K18" s="66" t="s">
        <v>328</v>
      </c>
      <c r="L18" s="67"/>
    </row>
    <row r="19" spans="1:12" x14ac:dyDescent="0.3">
      <c r="A19" s="65" t="s">
        <v>65</v>
      </c>
      <c r="B19" s="66">
        <v>100</v>
      </c>
      <c r="C19" s="66" t="s">
        <v>54</v>
      </c>
      <c r="D19" s="37">
        <v>4340</v>
      </c>
      <c r="E19" s="37">
        <v>3</v>
      </c>
      <c r="F19" s="37">
        <v>905</v>
      </c>
      <c r="G19" s="37">
        <v>0</v>
      </c>
      <c r="H19" s="37">
        <v>4325</v>
      </c>
      <c r="I19" s="37">
        <v>4325</v>
      </c>
      <c r="J19" s="37">
        <v>0</v>
      </c>
      <c r="K19" s="66" t="s">
        <v>328</v>
      </c>
      <c r="L19" s="67"/>
    </row>
    <row r="20" spans="1:12" x14ac:dyDescent="0.3">
      <c r="A20" s="65" t="s">
        <v>65</v>
      </c>
      <c r="B20" s="66">
        <v>500</v>
      </c>
      <c r="C20" s="66" t="s">
        <v>54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 t="s">
        <v>304</v>
      </c>
      <c r="J20" s="37"/>
      <c r="K20" s="66" t="s">
        <v>304</v>
      </c>
      <c r="L20" s="67"/>
    </row>
    <row r="21" spans="1:12" x14ac:dyDescent="0.3">
      <c r="A21" s="65" t="s">
        <v>66</v>
      </c>
      <c r="B21" s="66">
        <v>100</v>
      </c>
      <c r="C21" s="66" t="s">
        <v>54</v>
      </c>
      <c r="D21" s="37">
        <v>23</v>
      </c>
      <c r="E21" s="37">
        <v>23</v>
      </c>
      <c r="F21" s="37">
        <v>0</v>
      </c>
      <c r="G21" s="37">
        <v>0</v>
      </c>
      <c r="H21" s="37">
        <v>23</v>
      </c>
      <c r="I21" s="37">
        <v>23</v>
      </c>
      <c r="J21" s="37">
        <v>0</v>
      </c>
      <c r="K21" s="66" t="s">
        <v>328</v>
      </c>
      <c r="L21" s="67"/>
    </row>
    <row r="22" spans="1:12" x14ac:dyDescent="0.3">
      <c r="A22" s="65" t="s">
        <v>66</v>
      </c>
      <c r="B22" s="66">
        <v>1000</v>
      </c>
      <c r="C22" s="66" t="s">
        <v>54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66" t="s">
        <v>328</v>
      </c>
      <c r="L22" s="67"/>
    </row>
    <row r="23" spans="1:12" x14ac:dyDescent="0.3">
      <c r="A23" s="65" t="s">
        <v>70</v>
      </c>
      <c r="B23" s="66">
        <v>1000</v>
      </c>
      <c r="C23" s="66" t="s">
        <v>54</v>
      </c>
      <c r="D23" s="37">
        <v>9</v>
      </c>
      <c r="E23" s="37">
        <v>0</v>
      </c>
      <c r="F23" s="37">
        <v>0</v>
      </c>
      <c r="G23" s="37">
        <v>0</v>
      </c>
      <c r="H23" s="37">
        <v>9</v>
      </c>
      <c r="I23" s="37">
        <v>9</v>
      </c>
      <c r="J23" s="37">
        <v>0</v>
      </c>
      <c r="K23" s="66" t="s">
        <v>328</v>
      </c>
      <c r="L23" s="67" t="s">
        <v>329</v>
      </c>
    </row>
    <row r="24" spans="1:12" x14ac:dyDescent="0.3">
      <c r="A24" s="65" t="s">
        <v>71</v>
      </c>
      <c r="B24" s="66">
        <v>100</v>
      </c>
      <c r="C24" s="66" t="s">
        <v>54</v>
      </c>
      <c r="D24" s="37">
        <v>4</v>
      </c>
      <c r="E24" s="37">
        <v>0</v>
      </c>
      <c r="F24" s="37">
        <v>0</v>
      </c>
      <c r="G24" s="37">
        <v>0</v>
      </c>
      <c r="H24" s="37">
        <v>4</v>
      </c>
      <c r="I24" s="37" t="s">
        <v>327</v>
      </c>
      <c r="J24" s="37"/>
      <c r="K24" s="66" t="s">
        <v>327</v>
      </c>
      <c r="L24" s="67"/>
    </row>
    <row r="25" spans="1:12" x14ac:dyDescent="0.3">
      <c r="A25" s="65" t="s">
        <v>71</v>
      </c>
      <c r="B25" s="66">
        <v>1000</v>
      </c>
      <c r="C25" s="66" t="s">
        <v>54</v>
      </c>
      <c r="D25" s="37">
        <v>8</v>
      </c>
      <c r="E25" s="37">
        <v>0</v>
      </c>
      <c r="F25" s="37">
        <v>0</v>
      </c>
      <c r="G25" s="37">
        <v>0</v>
      </c>
      <c r="H25" s="37">
        <v>8</v>
      </c>
      <c r="I25" s="37">
        <v>8</v>
      </c>
      <c r="J25" s="37">
        <v>0</v>
      </c>
      <c r="K25" s="66" t="s">
        <v>328</v>
      </c>
      <c r="L25" s="67"/>
    </row>
    <row r="26" spans="1:12" x14ac:dyDescent="0.3">
      <c r="A26" s="65" t="s">
        <v>73</v>
      </c>
      <c r="B26" s="66">
        <v>100</v>
      </c>
      <c r="C26" s="66" t="s">
        <v>54</v>
      </c>
      <c r="D26" s="37">
        <v>1</v>
      </c>
      <c r="E26" s="37">
        <v>0</v>
      </c>
      <c r="F26" s="37">
        <v>0</v>
      </c>
      <c r="G26" s="37">
        <v>0</v>
      </c>
      <c r="H26" s="37">
        <v>1</v>
      </c>
      <c r="I26" s="37">
        <v>1</v>
      </c>
      <c r="J26" s="37">
        <v>0</v>
      </c>
      <c r="K26" s="66" t="s">
        <v>328</v>
      </c>
      <c r="L26" s="67"/>
    </row>
    <row r="27" spans="1:12" x14ac:dyDescent="0.3">
      <c r="A27" s="65" t="s">
        <v>74</v>
      </c>
      <c r="B27" s="66">
        <v>100</v>
      </c>
      <c r="C27" s="66" t="s">
        <v>54</v>
      </c>
      <c r="D27" s="37">
        <v>79</v>
      </c>
      <c r="E27" s="37">
        <v>0</v>
      </c>
      <c r="F27" s="37">
        <v>8</v>
      </c>
      <c r="G27" s="37">
        <v>0</v>
      </c>
      <c r="H27" s="37">
        <v>77</v>
      </c>
      <c r="I27" s="37">
        <v>77</v>
      </c>
      <c r="J27" s="37">
        <v>0</v>
      </c>
      <c r="K27" s="66" t="s">
        <v>328</v>
      </c>
      <c r="L27" s="67"/>
    </row>
    <row r="28" spans="1:12" x14ac:dyDescent="0.3">
      <c r="A28" s="65" t="s">
        <v>77</v>
      </c>
      <c r="B28" s="66">
        <v>100</v>
      </c>
      <c r="C28" s="66" t="s">
        <v>54</v>
      </c>
      <c r="D28" s="37">
        <v>0</v>
      </c>
      <c r="E28" s="37">
        <v>0</v>
      </c>
      <c r="F28" s="37">
        <v>0</v>
      </c>
      <c r="G28" s="37">
        <v>0</v>
      </c>
      <c r="H28" s="37">
        <v>0</v>
      </c>
      <c r="I28" s="37" t="s">
        <v>304</v>
      </c>
      <c r="J28" s="37"/>
      <c r="K28" s="66" t="s">
        <v>304</v>
      </c>
      <c r="L28" s="67"/>
    </row>
    <row r="29" spans="1:12" x14ac:dyDescent="0.3">
      <c r="A29" s="65" t="s">
        <v>78</v>
      </c>
      <c r="B29" s="66">
        <v>1000</v>
      </c>
      <c r="C29" s="66" t="s">
        <v>54</v>
      </c>
      <c r="D29" s="37">
        <v>4</v>
      </c>
      <c r="E29" s="37">
        <v>0</v>
      </c>
      <c r="F29" s="37">
        <v>3</v>
      </c>
      <c r="G29" s="37">
        <v>0</v>
      </c>
      <c r="H29" s="37">
        <v>0</v>
      </c>
      <c r="I29" s="37">
        <v>0</v>
      </c>
      <c r="J29" s="37">
        <v>0</v>
      </c>
      <c r="K29" s="66" t="s">
        <v>328</v>
      </c>
      <c r="L29" s="67"/>
    </row>
    <row r="30" spans="1:12" x14ac:dyDescent="0.3">
      <c r="A30" s="65" t="s">
        <v>79</v>
      </c>
      <c r="B30" s="66">
        <v>1000</v>
      </c>
      <c r="C30" s="66" t="s">
        <v>54</v>
      </c>
      <c r="D30" s="37">
        <v>24</v>
      </c>
      <c r="E30" s="37">
        <v>0</v>
      </c>
      <c r="F30" s="37">
        <v>1</v>
      </c>
      <c r="G30" s="37">
        <v>0</v>
      </c>
      <c r="H30" s="37">
        <v>23</v>
      </c>
      <c r="I30" s="37">
        <v>23</v>
      </c>
      <c r="J30" s="37">
        <v>0</v>
      </c>
      <c r="K30" s="66" t="s">
        <v>328</v>
      </c>
      <c r="L30" s="67" t="s">
        <v>322</v>
      </c>
    </row>
    <row r="31" spans="1:12" x14ac:dyDescent="0.3">
      <c r="A31" s="65" t="s">
        <v>80</v>
      </c>
      <c r="B31" s="66">
        <v>25000</v>
      </c>
      <c r="C31" s="66" t="s">
        <v>54</v>
      </c>
      <c r="D31" s="37">
        <v>4</v>
      </c>
      <c r="E31" s="37">
        <v>0</v>
      </c>
      <c r="F31" s="37">
        <v>0</v>
      </c>
      <c r="G31" s="37">
        <v>0</v>
      </c>
      <c r="H31" s="37">
        <v>4</v>
      </c>
      <c r="I31" s="37">
        <v>4</v>
      </c>
      <c r="J31" s="37">
        <v>0</v>
      </c>
      <c r="K31" s="66" t="s">
        <v>328</v>
      </c>
      <c r="L31" s="67"/>
    </row>
    <row r="32" spans="1:12" x14ac:dyDescent="0.3">
      <c r="A32" s="65" t="s">
        <v>81</v>
      </c>
      <c r="B32" s="66">
        <v>25000</v>
      </c>
      <c r="C32" s="66" t="s">
        <v>54</v>
      </c>
      <c r="D32" s="37">
        <v>2</v>
      </c>
      <c r="E32" s="37">
        <v>0</v>
      </c>
      <c r="F32" s="37">
        <v>2</v>
      </c>
      <c r="G32" s="37">
        <v>0</v>
      </c>
      <c r="H32" s="37">
        <v>2</v>
      </c>
      <c r="I32" s="37">
        <v>2</v>
      </c>
      <c r="J32" s="37">
        <v>0</v>
      </c>
      <c r="K32" s="66" t="s">
        <v>328</v>
      </c>
      <c r="L32" s="67"/>
    </row>
    <row r="33" spans="1:12" x14ac:dyDescent="0.3">
      <c r="A33" s="65" t="s">
        <v>84</v>
      </c>
      <c r="B33" s="66">
        <v>1000</v>
      </c>
      <c r="C33" s="66" t="s">
        <v>54</v>
      </c>
      <c r="D33" s="37">
        <v>10</v>
      </c>
      <c r="E33" s="37">
        <v>0</v>
      </c>
      <c r="F33" s="37">
        <v>0</v>
      </c>
      <c r="G33" s="37">
        <v>0</v>
      </c>
      <c r="H33" s="37">
        <v>10</v>
      </c>
      <c r="I33" s="37">
        <v>10</v>
      </c>
      <c r="J33" s="37">
        <v>0</v>
      </c>
      <c r="K33" s="66" t="s">
        <v>328</v>
      </c>
      <c r="L33" s="67"/>
    </row>
    <row r="34" spans="1:12" x14ac:dyDescent="0.3">
      <c r="A34" s="65" t="s">
        <v>89</v>
      </c>
      <c r="B34" s="66">
        <v>100</v>
      </c>
      <c r="C34" s="66" t="s">
        <v>54</v>
      </c>
      <c r="D34" s="37">
        <v>9</v>
      </c>
      <c r="E34" s="37">
        <v>0</v>
      </c>
      <c r="F34" s="37">
        <v>0</v>
      </c>
      <c r="G34" s="37">
        <v>0</v>
      </c>
      <c r="H34" s="37">
        <v>9</v>
      </c>
      <c r="I34" s="37" t="s">
        <v>327</v>
      </c>
      <c r="J34" s="37"/>
      <c r="K34" s="66" t="s">
        <v>327</v>
      </c>
      <c r="L34" s="67"/>
    </row>
    <row r="35" spans="1:12" x14ac:dyDescent="0.3">
      <c r="A35" s="65" t="s">
        <v>91</v>
      </c>
      <c r="B35" s="66">
        <v>1000</v>
      </c>
      <c r="C35" s="66" t="s">
        <v>54</v>
      </c>
      <c r="D35" s="37">
        <v>34</v>
      </c>
      <c r="E35" s="37">
        <v>5</v>
      </c>
      <c r="F35" s="37">
        <v>2</v>
      </c>
      <c r="G35" s="37">
        <v>0</v>
      </c>
      <c r="H35" s="37">
        <v>31</v>
      </c>
      <c r="I35" s="37">
        <v>31</v>
      </c>
      <c r="J35" s="37">
        <v>0</v>
      </c>
      <c r="K35" s="66" t="s">
        <v>328</v>
      </c>
      <c r="L35" s="67"/>
    </row>
    <row r="36" spans="1:12" x14ac:dyDescent="0.3">
      <c r="A36" s="65" t="s">
        <v>94</v>
      </c>
      <c r="B36" s="66">
        <v>100</v>
      </c>
      <c r="C36" s="66" t="s">
        <v>54</v>
      </c>
      <c r="D36" s="37">
        <v>6</v>
      </c>
      <c r="E36" s="37">
        <v>0</v>
      </c>
      <c r="F36" s="37">
        <v>0</v>
      </c>
      <c r="G36" s="37">
        <v>0</v>
      </c>
      <c r="H36" s="37">
        <v>1</v>
      </c>
      <c r="I36" s="37">
        <v>1</v>
      </c>
      <c r="J36" s="37">
        <v>0</v>
      </c>
      <c r="K36" s="66" t="s">
        <v>328</v>
      </c>
      <c r="L36" s="67"/>
    </row>
    <row r="37" spans="1:12" x14ac:dyDescent="0.3">
      <c r="A37" s="65" t="s">
        <v>96</v>
      </c>
      <c r="B37" s="66">
        <v>1000</v>
      </c>
      <c r="C37" s="66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 t="s">
        <v>327</v>
      </c>
      <c r="J37" s="37"/>
      <c r="K37" s="66" t="s">
        <v>327</v>
      </c>
      <c r="L37" s="67"/>
    </row>
    <row r="38" spans="1:12" x14ac:dyDescent="0.3">
      <c r="A38" s="65" t="s">
        <v>97</v>
      </c>
      <c r="B38" s="66">
        <v>1000</v>
      </c>
      <c r="C38" s="66" t="s">
        <v>54</v>
      </c>
      <c r="D38" s="37">
        <v>21</v>
      </c>
      <c r="E38" s="37">
        <v>3</v>
      </c>
      <c r="F38" s="37">
        <v>2</v>
      </c>
      <c r="G38" s="37">
        <v>0</v>
      </c>
      <c r="H38" s="37">
        <v>17</v>
      </c>
      <c r="I38" s="37">
        <v>17</v>
      </c>
      <c r="J38" s="37">
        <v>0</v>
      </c>
      <c r="K38" s="66" t="s">
        <v>328</v>
      </c>
      <c r="L38" s="67"/>
    </row>
    <row r="39" spans="1:12" x14ac:dyDescent="0.3">
      <c r="A39" s="65" t="s">
        <v>98</v>
      </c>
      <c r="B39" s="66">
        <v>1000</v>
      </c>
      <c r="C39" s="66" t="s">
        <v>54</v>
      </c>
      <c r="D39" s="37">
        <v>3</v>
      </c>
      <c r="E39" s="37">
        <v>0</v>
      </c>
      <c r="F39" s="37">
        <v>0</v>
      </c>
      <c r="G39" s="37">
        <v>0</v>
      </c>
      <c r="H39" s="37">
        <v>3</v>
      </c>
      <c r="I39" s="37" t="s">
        <v>327</v>
      </c>
      <c r="J39" s="37"/>
      <c r="K39" s="66" t="s">
        <v>327</v>
      </c>
      <c r="L39" s="67"/>
    </row>
    <row r="40" spans="1:12" x14ac:dyDescent="0.3">
      <c r="A40" s="65" t="s">
        <v>99</v>
      </c>
      <c r="B40" s="66">
        <v>1000</v>
      </c>
      <c r="C40" s="66" t="s">
        <v>54</v>
      </c>
      <c r="D40" s="37">
        <v>2</v>
      </c>
      <c r="E40" s="37">
        <v>0</v>
      </c>
      <c r="F40" s="37">
        <v>0</v>
      </c>
      <c r="G40" s="37">
        <v>0</v>
      </c>
      <c r="H40" s="37">
        <v>2</v>
      </c>
      <c r="I40" s="37">
        <v>2</v>
      </c>
      <c r="J40" s="37">
        <v>0</v>
      </c>
      <c r="K40" s="66" t="s">
        <v>328</v>
      </c>
      <c r="L40" s="67"/>
    </row>
    <row r="41" spans="1:12" x14ac:dyDescent="0.3">
      <c r="A41" s="65" t="s">
        <v>104</v>
      </c>
      <c r="B41" s="66">
        <v>1000</v>
      </c>
      <c r="C41" s="66" t="s">
        <v>54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66" t="s">
        <v>328</v>
      </c>
      <c r="L41" s="67"/>
    </row>
    <row r="42" spans="1:12" x14ac:dyDescent="0.3">
      <c r="A42" s="65" t="s">
        <v>106</v>
      </c>
      <c r="B42" s="66">
        <v>100</v>
      </c>
      <c r="C42" s="66" t="s">
        <v>54</v>
      </c>
      <c r="D42" s="37">
        <v>5</v>
      </c>
      <c r="E42" s="37">
        <v>0</v>
      </c>
      <c r="F42" s="37">
        <v>0</v>
      </c>
      <c r="G42" s="37">
        <v>0</v>
      </c>
      <c r="H42" s="37">
        <v>5</v>
      </c>
      <c r="I42" s="37">
        <v>5</v>
      </c>
      <c r="J42" s="37">
        <v>0</v>
      </c>
      <c r="K42" s="66" t="s">
        <v>328</v>
      </c>
      <c r="L42" s="67"/>
    </row>
    <row r="43" spans="1:12" x14ac:dyDescent="0.3">
      <c r="A43" s="65" t="s">
        <v>109</v>
      </c>
      <c r="B43" s="66">
        <v>0</v>
      </c>
      <c r="C43" s="66" t="s">
        <v>110</v>
      </c>
      <c r="D43" s="37">
        <v>2</v>
      </c>
      <c r="E43" s="37">
        <v>0</v>
      </c>
      <c r="F43" s="37">
        <v>0</v>
      </c>
      <c r="G43" s="37">
        <v>0</v>
      </c>
      <c r="H43" s="37">
        <v>2</v>
      </c>
      <c r="I43" s="37">
        <v>2</v>
      </c>
      <c r="J43" s="37">
        <v>0</v>
      </c>
      <c r="K43" s="66" t="s">
        <v>328</v>
      </c>
      <c r="L43" s="67"/>
    </row>
    <row r="44" spans="1:12" x14ac:dyDescent="0.3">
      <c r="A44" s="65" t="s">
        <v>115</v>
      </c>
      <c r="B44" s="66">
        <v>1000</v>
      </c>
      <c r="C44" s="66" t="s">
        <v>54</v>
      </c>
      <c r="D44" s="37">
        <v>1</v>
      </c>
      <c r="E44" s="37">
        <v>0</v>
      </c>
      <c r="F44" s="37">
        <v>0</v>
      </c>
      <c r="G44" s="37">
        <v>0</v>
      </c>
      <c r="H44" s="37">
        <v>1</v>
      </c>
      <c r="I44" s="37">
        <v>1</v>
      </c>
      <c r="J44" s="37">
        <v>0</v>
      </c>
      <c r="K44" s="66" t="s">
        <v>328</v>
      </c>
      <c r="L44" s="67"/>
    </row>
    <row r="45" spans="1:12" x14ac:dyDescent="0.3">
      <c r="A45" s="65" t="s">
        <v>123</v>
      </c>
      <c r="B45" s="66" t="s">
        <v>124</v>
      </c>
      <c r="C45" s="66" t="s">
        <v>123</v>
      </c>
      <c r="D45" s="37">
        <v>1</v>
      </c>
      <c r="E45" s="37">
        <v>0</v>
      </c>
      <c r="F45" s="37">
        <v>0</v>
      </c>
      <c r="G45" s="37">
        <v>0</v>
      </c>
      <c r="H45" s="37">
        <v>1</v>
      </c>
      <c r="I45" s="37">
        <v>1</v>
      </c>
      <c r="J45" s="37">
        <v>0</v>
      </c>
      <c r="K45" s="66" t="s">
        <v>328</v>
      </c>
      <c r="L45" s="67"/>
    </row>
    <row r="46" spans="1:12" x14ac:dyDescent="0.3">
      <c r="A46" s="65" t="s">
        <v>127</v>
      </c>
      <c r="B46" s="66">
        <v>0</v>
      </c>
      <c r="C46" s="66" t="s">
        <v>128</v>
      </c>
      <c r="D46" s="37">
        <v>107</v>
      </c>
      <c r="E46" s="37">
        <v>0</v>
      </c>
      <c r="F46" s="37">
        <v>0</v>
      </c>
      <c r="G46" s="37">
        <v>0</v>
      </c>
      <c r="H46" s="37">
        <v>108</v>
      </c>
      <c r="I46" s="37">
        <v>108</v>
      </c>
      <c r="J46" s="37">
        <v>0</v>
      </c>
      <c r="K46" s="66" t="s">
        <v>328</v>
      </c>
      <c r="L46" s="67"/>
    </row>
    <row r="47" spans="1:12" x14ac:dyDescent="0.3">
      <c r="A47" s="65" t="s">
        <v>129</v>
      </c>
      <c r="B47" s="66">
        <v>0</v>
      </c>
      <c r="C47" s="66" t="s">
        <v>128</v>
      </c>
      <c r="D47" s="37">
        <v>44</v>
      </c>
      <c r="E47" s="37">
        <v>0</v>
      </c>
      <c r="F47" s="37">
        <v>0</v>
      </c>
      <c r="G47" s="37">
        <v>0</v>
      </c>
      <c r="H47" s="37">
        <v>45</v>
      </c>
      <c r="I47" s="37">
        <v>45</v>
      </c>
      <c r="J47" s="37">
        <v>0</v>
      </c>
      <c r="K47" s="66" t="s">
        <v>328</v>
      </c>
      <c r="L47" s="67"/>
    </row>
    <row r="48" spans="1:12" x14ac:dyDescent="0.3">
      <c r="A48" s="65" t="s">
        <v>130</v>
      </c>
      <c r="B48" s="66">
        <v>100</v>
      </c>
      <c r="C48" s="66" t="s">
        <v>54</v>
      </c>
      <c r="D48" s="37">
        <v>113</v>
      </c>
      <c r="E48" s="37">
        <v>0</v>
      </c>
      <c r="F48" s="37">
        <v>0</v>
      </c>
      <c r="G48" s="37">
        <v>0</v>
      </c>
      <c r="H48" s="37">
        <v>113</v>
      </c>
      <c r="I48" s="37">
        <v>113</v>
      </c>
      <c r="J48" s="37">
        <v>0</v>
      </c>
      <c r="K48" s="66" t="s">
        <v>328</v>
      </c>
      <c r="L48" s="67"/>
    </row>
    <row r="49" spans="1:12" x14ac:dyDescent="0.3">
      <c r="A49" s="65" t="s">
        <v>131</v>
      </c>
      <c r="B49" s="66">
        <v>500</v>
      </c>
      <c r="C49" s="66" t="s">
        <v>54</v>
      </c>
      <c r="D49" s="37">
        <v>6</v>
      </c>
      <c r="E49" s="37">
        <v>0</v>
      </c>
      <c r="F49" s="37">
        <v>0</v>
      </c>
      <c r="G49" s="37">
        <v>0</v>
      </c>
      <c r="H49" s="37">
        <v>6</v>
      </c>
      <c r="I49" s="37">
        <v>6</v>
      </c>
      <c r="J49" s="37">
        <v>0</v>
      </c>
      <c r="K49" s="66" t="s">
        <v>328</v>
      </c>
      <c r="L49" s="67"/>
    </row>
    <row r="50" spans="1:12" x14ac:dyDescent="0.3">
      <c r="A50" s="65" t="s">
        <v>132</v>
      </c>
      <c r="B50" s="66">
        <v>100</v>
      </c>
      <c r="C50" s="66" t="s">
        <v>54</v>
      </c>
      <c r="D50" s="37">
        <v>100</v>
      </c>
      <c r="E50" s="37">
        <v>1</v>
      </c>
      <c r="F50" s="37">
        <v>1</v>
      </c>
      <c r="G50" s="37">
        <v>0</v>
      </c>
      <c r="H50" s="37">
        <v>98</v>
      </c>
      <c r="I50" s="37">
        <v>98</v>
      </c>
      <c r="J50" s="37">
        <v>0</v>
      </c>
      <c r="K50" s="66" t="s">
        <v>328</v>
      </c>
      <c r="L50" s="67"/>
    </row>
    <row r="51" spans="1:12" x14ac:dyDescent="0.3">
      <c r="A51" s="65" t="s">
        <v>133</v>
      </c>
      <c r="B51" s="66">
        <v>1000</v>
      </c>
      <c r="C51" s="66" t="s">
        <v>54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 t="s">
        <v>304</v>
      </c>
      <c r="J51" s="37"/>
      <c r="K51" s="66" t="s">
        <v>304</v>
      </c>
      <c r="L51" s="67"/>
    </row>
    <row r="52" spans="1:12" x14ac:dyDescent="0.3">
      <c r="A52" s="65" t="s">
        <v>141</v>
      </c>
      <c r="B52" s="66">
        <v>1000</v>
      </c>
      <c r="C52" s="66" t="s">
        <v>54</v>
      </c>
      <c r="D52" s="37">
        <v>4</v>
      </c>
      <c r="E52" s="37">
        <v>0</v>
      </c>
      <c r="F52" s="37">
        <v>0</v>
      </c>
      <c r="G52" s="37">
        <v>0</v>
      </c>
      <c r="H52" s="37">
        <v>4</v>
      </c>
      <c r="I52" s="37">
        <v>4</v>
      </c>
      <c r="J52" s="37">
        <v>0</v>
      </c>
      <c r="K52" s="66" t="s">
        <v>328</v>
      </c>
      <c r="L52" s="67"/>
    </row>
    <row r="53" spans="1:12" x14ac:dyDescent="0.3">
      <c r="A53" s="65" t="s">
        <v>142</v>
      </c>
      <c r="B53" s="66">
        <v>100</v>
      </c>
      <c r="C53" s="66" t="s">
        <v>54</v>
      </c>
      <c r="D53" s="37">
        <v>1</v>
      </c>
      <c r="E53" s="37">
        <v>0</v>
      </c>
      <c r="F53" s="37">
        <v>0</v>
      </c>
      <c r="G53" s="37">
        <v>0</v>
      </c>
      <c r="H53" s="37">
        <v>1</v>
      </c>
      <c r="I53" s="37">
        <v>1</v>
      </c>
      <c r="J53" s="37">
        <v>0</v>
      </c>
      <c r="K53" s="66" t="s">
        <v>328</v>
      </c>
      <c r="L53" s="67"/>
    </row>
    <row r="54" spans="1:12" x14ac:dyDescent="0.3">
      <c r="A54" s="65" t="s">
        <v>147</v>
      </c>
      <c r="B54" s="66">
        <v>1000</v>
      </c>
      <c r="C54" s="66" t="s">
        <v>54</v>
      </c>
      <c r="D54" s="37">
        <v>28</v>
      </c>
      <c r="E54" s="37">
        <v>0</v>
      </c>
      <c r="F54" s="37">
        <v>4</v>
      </c>
      <c r="G54" s="37">
        <v>0</v>
      </c>
      <c r="H54" s="37">
        <v>26</v>
      </c>
      <c r="I54" s="37">
        <v>26</v>
      </c>
      <c r="J54" s="37">
        <v>0</v>
      </c>
      <c r="K54" s="66" t="s">
        <v>328</v>
      </c>
      <c r="L54" s="67"/>
    </row>
    <row r="55" spans="1:12" x14ac:dyDescent="0.3">
      <c r="A55" s="65" t="s">
        <v>149</v>
      </c>
      <c r="B55" s="66">
        <v>250</v>
      </c>
      <c r="C55" s="66" t="s">
        <v>54</v>
      </c>
      <c r="D55" s="37">
        <v>1</v>
      </c>
      <c r="E55" s="37">
        <v>0</v>
      </c>
      <c r="F55" s="37">
        <v>0</v>
      </c>
      <c r="G55" s="37">
        <v>0</v>
      </c>
      <c r="H55" s="37">
        <v>1</v>
      </c>
      <c r="I55" s="37" t="s">
        <v>327</v>
      </c>
      <c r="J55" s="37"/>
      <c r="K55" s="66" t="s">
        <v>327</v>
      </c>
      <c r="L55" s="67"/>
    </row>
    <row r="56" spans="1:12" x14ac:dyDescent="0.3">
      <c r="A56" s="65" t="s">
        <v>154</v>
      </c>
      <c r="B56" s="66">
        <v>100</v>
      </c>
      <c r="C56" s="66" t="s">
        <v>54</v>
      </c>
      <c r="D56" s="37">
        <v>56</v>
      </c>
      <c r="E56" s="37">
        <v>0</v>
      </c>
      <c r="F56" s="37">
        <v>0</v>
      </c>
      <c r="G56" s="37">
        <v>0</v>
      </c>
      <c r="H56" s="37">
        <v>57</v>
      </c>
      <c r="I56" s="37">
        <v>57</v>
      </c>
      <c r="J56" s="37">
        <v>0</v>
      </c>
      <c r="K56" s="66" t="s">
        <v>328</v>
      </c>
      <c r="L56" s="67"/>
    </row>
    <row r="57" spans="1:12" x14ac:dyDescent="0.3">
      <c r="A57" s="65" t="s">
        <v>158</v>
      </c>
      <c r="B57" s="66">
        <v>100</v>
      </c>
      <c r="C57" s="66" t="s">
        <v>54</v>
      </c>
      <c r="D57" s="37">
        <v>27</v>
      </c>
      <c r="E57" s="37">
        <v>0</v>
      </c>
      <c r="F57" s="37">
        <v>0</v>
      </c>
      <c r="G57" s="37">
        <v>0</v>
      </c>
      <c r="H57" s="37">
        <v>29</v>
      </c>
      <c r="I57" s="37">
        <v>29</v>
      </c>
      <c r="J57" s="37">
        <v>0</v>
      </c>
      <c r="K57" s="66" t="s">
        <v>328</v>
      </c>
      <c r="L57" s="67"/>
    </row>
    <row r="58" spans="1:12" x14ac:dyDescent="0.3">
      <c r="A58" s="65" t="s">
        <v>159</v>
      </c>
      <c r="B58" s="66">
        <v>100</v>
      </c>
      <c r="C58" s="66" t="s">
        <v>54</v>
      </c>
      <c r="D58" s="37">
        <v>99</v>
      </c>
      <c r="E58" s="37">
        <v>0</v>
      </c>
      <c r="F58" s="37">
        <v>1</v>
      </c>
      <c r="G58" s="37">
        <v>0</v>
      </c>
      <c r="H58" s="37">
        <v>94</v>
      </c>
      <c r="I58" s="37">
        <v>94</v>
      </c>
      <c r="J58" s="37">
        <v>0</v>
      </c>
      <c r="K58" s="66" t="s">
        <v>328</v>
      </c>
      <c r="L58" s="67"/>
    </row>
    <row r="59" spans="1:12" x14ac:dyDescent="0.3">
      <c r="A59" s="65" t="s">
        <v>160</v>
      </c>
      <c r="B59" s="66">
        <v>100</v>
      </c>
      <c r="C59" s="66" t="s">
        <v>54</v>
      </c>
      <c r="D59" s="37">
        <v>116</v>
      </c>
      <c r="E59" s="37">
        <v>0</v>
      </c>
      <c r="F59" s="37">
        <v>0</v>
      </c>
      <c r="G59" s="37">
        <v>0</v>
      </c>
      <c r="H59" s="37">
        <v>126</v>
      </c>
      <c r="I59" s="37">
        <v>126</v>
      </c>
      <c r="J59" s="37">
        <v>0</v>
      </c>
      <c r="K59" s="66" t="s">
        <v>328</v>
      </c>
      <c r="L59" s="67"/>
    </row>
    <row r="60" spans="1:12" x14ac:dyDescent="0.3">
      <c r="A60" s="65" t="s">
        <v>161</v>
      </c>
      <c r="B60" s="66">
        <v>100</v>
      </c>
      <c r="C60" s="66" t="s">
        <v>54</v>
      </c>
      <c r="D60" s="37">
        <v>167</v>
      </c>
      <c r="E60" s="37">
        <v>0</v>
      </c>
      <c r="F60" s="37">
        <v>151</v>
      </c>
      <c r="G60" s="37">
        <v>0</v>
      </c>
      <c r="H60" s="37">
        <v>8</v>
      </c>
      <c r="I60" s="37">
        <v>8</v>
      </c>
      <c r="J60" s="37">
        <v>0</v>
      </c>
      <c r="K60" s="66" t="s">
        <v>328</v>
      </c>
      <c r="L60" s="67"/>
    </row>
    <row r="61" spans="1:12" x14ac:dyDescent="0.3">
      <c r="A61" s="65" t="s">
        <v>162</v>
      </c>
      <c r="B61" s="66">
        <v>1000</v>
      </c>
      <c r="C61" s="66" t="s">
        <v>54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 t="s">
        <v>304</v>
      </c>
      <c r="J61" s="37"/>
      <c r="K61" s="66" t="s">
        <v>304</v>
      </c>
      <c r="L61" s="67"/>
    </row>
    <row r="62" spans="1:12" x14ac:dyDescent="0.3">
      <c r="A62" s="65" t="s">
        <v>163</v>
      </c>
      <c r="B62" s="66">
        <v>500</v>
      </c>
      <c r="C62" s="66" t="s">
        <v>54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 t="s">
        <v>304</v>
      </c>
      <c r="J62" s="37"/>
      <c r="K62" s="66" t="s">
        <v>304</v>
      </c>
      <c r="L62" s="67"/>
    </row>
    <row r="63" spans="1:12" x14ac:dyDescent="0.3">
      <c r="A63" s="65" t="s">
        <v>167</v>
      </c>
      <c r="B63" s="66">
        <v>100</v>
      </c>
      <c r="C63" s="66" t="s">
        <v>54</v>
      </c>
      <c r="D63" s="37">
        <v>94</v>
      </c>
      <c r="E63" s="37">
        <v>0</v>
      </c>
      <c r="F63" s="37">
        <v>0</v>
      </c>
      <c r="G63" s="37">
        <v>0</v>
      </c>
      <c r="H63" s="37">
        <v>117</v>
      </c>
      <c r="I63" s="37">
        <v>117</v>
      </c>
      <c r="J63" s="37">
        <v>0</v>
      </c>
      <c r="K63" s="66" t="s">
        <v>328</v>
      </c>
      <c r="L63" s="67"/>
    </row>
    <row r="64" spans="1:12" x14ac:dyDescent="0.3">
      <c r="A64" s="65" t="s">
        <v>170</v>
      </c>
      <c r="B64" s="66">
        <v>1000</v>
      </c>
      <c r="C64" s="66" t="s">
        <v>54</v>
      </c>
      <c r="D64" s="37">
        <v>20</v>
      </c>
      <c r="E64" s="37">
        <v>0</v>
      </c>
      <c r="F64" s="37">
        <v>0</v>
      </c>
      <c r="G64" s="37">
        <v>0</v>
      </c>
      <c r="H64" s="37">
        <v>20</v>
      </c>
      <c r="I64" s="37">
        <v>20</v>
      </c>
      <c r="J64" s="37">
        <v>0</v>
      </c>
      <c r="K64" s="66" t="s">
        <v>328</v>
      </c>
      <c r="L64" s="67"/>
    </row>
    <row r="65" spans="1:12" x14ac:dyDescent="0.3">
      <c r="A65" s="65" t="s">
        <v>171</v>
      </c>
      <c r="B65" s="66">
        <v>1000</v>
      </c>
      <c r="C65" s="66" t="s">
        <v>54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 t="s">
        <v>304</v>
      </c>
      <c r="J65" s="37"/>
      <c r="K65" s="66" t="s">
        <v>304</v>
      </c>
      <c r="L65" s="67"/>
    </row>
    <row r="66" spans="1:12" x14ac:dyDescent="0.3">
      <c r="A66" s="65" t="s">
        <v>176</v>
      </c>
      <c r="B66" s="66" t="s">
        <v>177</v>
      </c>
      <c r="C66" s="66" t="s">
        <v>178</v>
      </c>
      <c r="D66" s="37">
        <v>550</v>
      </c>
      <c r="E66" s="37">
        <v>6</v>
      </c>
      <c r="F66" s="37">
        <v>102</v>
      </c>
      <c r="G66" s="37">
        <v>0</v>
      </c>
      <c r="H66" s="37">
        <v>442</v>
      </c>
      <c r="I66" s="37">
        <v>442</v>
      </c>
      <c r="J66" s="37">
        <v>0</v>
      </c>
      <c r="K66" s="66" t="s">
        <v>328</v>
      </c>
      <c r="L66" s="67"/>
    </row>
    <row r="67" spans="1:12" x14ac:dyDescent="0.3">
      <c r="A67" s="65" t="s">
        <v>184</v>
      </c>
      <c r="B67" s="66">
        <v>1000</v>
      </c>
      <c r="C67" s="66" t="s">
        <v>54</v>
      </c>
      <c r="D67" s="37">
        <v>13</v>
      </c>
      <c r="E67" s="37">
        <v>0</v>
      </c>
      <c r="F67" s="37">
        <v>1</v>
      </c>
      <c r="G67" s="37">
        <v>0</v>
      </c>
      <c r="H67" s="37">
        <v>13</v>
      </c>
      <c r="I67" s="37">
        <v>13</v>
      </c>
      <c r="J67" s="37">
        <v>0</v>
      </c>
      <c r="K67" s="66" t="s">
        <v>328</v>
      </c>
      <c r="L67" s="67"/>
    </row>
    <row r="68" spans="1:12" x14ac:dyDescent="0.3">
      <c r="A68" s="65" t="s">
        <v>192</v>
      </c>
      <c r="B68" s="66">
        <v>100</v>
      </c>
      <c r="C68" s="66" t="s">
        <v>54</v>
      </c>
      <c r="D68" s="37">
        <v>3803</v>
      </c>
      <c r="E68" s="37">
        <v>141</v>
      </c>
      <c r="F68" s="37">
        <v>42</v>
      </c>
      <c r="G68" s="37">
        <v>0</v>
      </c>
      <c r="H68" s="37">
        <v>3665</v>
      </c>
      <c r="I68" s="37">
        <v>3665</v>
      </c>
      <c r="J68" s="37">
        <v>0</v>
      </c>
      <c r="K68" s="66" t="s">
        <v>328</v>
      </c>
      <c r="L68" s="67"/>
    </row>
    <row r="69" spans="1:12" x14ac:dyDescent="0.3">
      <c r="A69" s="65" t="s">
        <v>192</v>
      </c>
      <c r="B69" s="66">
        <v>500</v>
      </c>
      <c r="C69" s="66" t="s">
        <v>54</v>
      </c>
      <c r="D69" s="37">
        <v>1</v>
      </c>
      <c r="E69" s="37">
        <v>0</v>
      </c>
      <c r="F69" s="37">
        <v>1</v>
      </c>
      <c r="G69" s="37">
        <v>0</v>
      </c>
      <c r="H69" s="37">
        <v>0</v>
      </c>
      <c r="I69" s="37" t="s">
        <v>304</v>
      </c>
      <c r="J69" s="37"/>
      <c r="K69" s="66" t="s">
        <v>304</v>
      </c>
      <c r="L69" s="67"/>
    </row>
    <row r="70" spans="1:12" x14ac:dyDescent="0.3">
      <c r="A70" s="65" t="s">
        <v>194</v>
      </c>
      <c r="B70" s="66">
        <v>1000</v>
      </c>
      <c r="C70" s="66">
        <v>0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 t="s">
        <v>327</v>
      </c>
      <c r="J70" s="37"/>
      <c r="K70" s="66" t="s">
        <v>327</v>
      </c>
      <c r="L70" s="67"/>
    </row>
    <row r="71" spans="1:12" x14ac:dyDescent="0.3">
      <c r="A71" s="65" t="s">
        <v>196</v>
      </c>
      <c r="B71" s="66">
        <v>100</v>
      </c>
      <c r="C71" s="66" t="s">
        <v>54</v>
      </c>
      <c r="D71" s="37">
        <v>216</v>
      </c>
      <c r="E71" s="37">
        <v>44</v>
      </c>
      <c r="F71" s="37">
        <v>9</v>
      </c>
      <c r="G71" s="37">
        <v>0</v>
      </c>
      <c r="H71" s="37">
        <v>165</v>
      </c>
      <c r="I71" s="37">
        <v>165</v>
      </c>
      <c r="J71" s="37">
        <v>0</v>
      </c>
      <c r="K71" s="66" t="s">
        <v>328</v>
      </c>
      <c r="L71" s="67"/>
    </row>
    <row r="72" spans="1:12" x14ac:dyDescent="0.3">
      <c r="A72" s="65" t="s">
        <v>197</v>
      </c>
      <c r="B72" s="66">
        <v>100</v>
      </c>
      <c r="C72" s="66" t="s">
        <v>54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 t="s">
        <v>304</v>
      </c>
      <c r="J72" s="37"/>
      <c r="K72" s="66" t="s">
        <v>304</v>
      </c>
      <c r="L72" s="67"/>
    </row>
    <row r="73" spans="1:12" x14ac:dyDescent="0.3">
      <c r="A73" s="65" t="s">
        <v>198</v>
      </c>
      <c r="B73" s="66">
        <v>100</v>
      </c>
      <c r="C73" s="66" t="s">
        <v>54</v>
      </c>
      <c r="D73" s="37">
        <v>-54</v>
      </c>
      <c r="E73" s="37">
        <v>0</v>
      </c>
      <c r="F73" s="37">
        <v>0</v>
      </c>
      <c r="G73" s="37">
        <v>0</v>
      </c>
      <c r="H73" s="37">
        <v>-54</v>
      </c>
      <c r="I73" s="37" t="s">
        <v>304</v>
      </c>
      <c r="J73" s="37"/>
      <c r="K73" s="66" t="s">
        <v>304</v>
      </c>
      <c r="L73" s="67"/>
    </row>
    <row r="74" spans="1:12" x14ac:dyDescent="0.3">
      <c r="A74" s="65" t="s">
        <v>199</v>
      </c>
      <c r="B74" s="66">
        <v>500</v>
      </c>
      <c r="C74" s="66" t="s">
        <v>54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 t="s">
        <v>304</v>
      </c>
      <c r="J74" s="37"/>
      <c r="K74" s="66" t="s">
        <v>304</v>
      </c>
      <c r="L74" s="67"/>
    </row>
    <row r="75" spans="1:12" x14ac:dyDescent="0.3">
      <c r="A75" s="65" t="s">
        <v>200</v>
      </c>
      <c r="B75" s="66">
        <v>100</v>
      </c>
      <c r="C75" s="66" t="s">
        <v>54</v>
      </c>
      <c r="D75" s="37">
        <v>156</v>
      </c>
      <c r="E75" s="37">
        <v>23</v>
      </c>
      <c r="F75" s="37">
        <v>14</v>
      </c>
      <c r="G75" s="37">
        <v>0</v>
      </c>
      <c r="H75" s="37">
        <v>149</v>
      </c>
      <c r="I75" s="37">
        <v>149</v>
      </c>
      <c r="J75" s="37">
        <v>0</v>
      </c>
      <c r="K75" s="66" t="s">
        <v>328</v>
      </c>
      <c r="L75" s="67"/>
    </row>
    <row r="76" spans="1:12" x14ac:dyDescent="0.3">
      <c r="A76" s="65" t="s">
        <v>201</v>
      </c>
      <c r="B76" s="66">
        <v>100</v>
      </c>
      <c r="C76" s="66" t="s">
        <v>54</v>
      </c>
      <c r="D76" s="37">
        <v>24</v>
      </c>
      <c r="E76" s="37">
        <v>0</v>
      </c>
      <c r="F76" s="37">
        <v>25</v>
      </c>
      <c r="G76" s="37">
        <v>0</v>
      </c>
      <c r="H76" s="37">
        <v>8</v>
      </c>
      <c r="I76" s="37">
        <v>8</v>
      </c>
      <c r="J76" s="37">
        <v>0</v>
      </c>
      <c r="K76" s="66" t="s">
        <v>328</v>
      </c>
      <c r="L76" s="67"/>
    </row>
    <row r="77" spans="1:12" x14ac:dyDescent="0.3">
      <c r="A77" s="65" t="s">
        <v>202</v>
      </c>
      <c r="B77" s="66">
        <v>100</v>
      </c>
      <c r="C77" s="66" t="s">
        <v>54</v>
      </c>
      <c r="D77" s="37">
        <v>13</v>
      </c>
      <c r="E77" s="37">
        <v>0</v>
      </c>
      <c r="F77" s="37">
        <v>0</v>
      </c>
      <c r="G77" s="37">
        <v>0</v>
      </c>
      <c r="H77" s="37">
        <v>13</v>
      </c>
      <c r="I77" s="37">
        <v>13</v>
      </c>
      <c r="J77" s="37">
        <v>0</v>
      </c>
      <c r="K77" s="66" t="s">
        <v>328</v>
      </c>
      <c r="L77" s="67"/>
    </row>
    <row r="78" spans="1:12" x14ac:dyDescent="0.3">
      <c r="A78" s="65" t="s">
        <v>203</v>
      </c>
      <c r="B78" s="66">
        <v>100</v>
      </c>
      <c r="C78" s="66" t="s">
        <v>54</v>
      </c>
      <c r="D78" s="37">
        <v>13</v>
      </c>
      <c r="E78" s="37">
        <v>0</v>
      </c>
      <c r="F78" s="37">
        <v>0</v>
      </c>
      <c r="G78" s="37">
        <v>0</v>
      </c>
      <c r="H78" s="37">
        <v>13</v>
      </c>
      <c r="I78" s="37">
        <v>13</v>
      </c>
      <c r="J78" s="37">
        <v>0</v>
      </c>
      <c r="K78" s="66" t="s">
        <v>328</v>
      </c>
      <c r="L78" s="67"/>
    </row>
    <row r="79" spans="1:12" x14ac:dyDescent="0.3">
      <c r="A79" s="65" t="s">
        <v>204</v>
      </c>
      <c r="B79" s="66">
        <v>10000</v>
      </c>
      <c r="C79" s="66" t="s">
        <v>54</v>
      </c>
      <c r="D79" s="37">
        <v>1</v>
      </c>
      <c r="E79" s="37">
        <v>0</v>
      </c>
      <c r="F79" s="37">
        <v>0</v>
      </c>
      <c r="G79" s="37">
        <v>0</v>
      </c>
      <c r="H79" s="37">
        <v>1</v>
      </c>
      <c r="I79" s="37" t="s">
        <v>327</v>
      </c>
      <c r="J79" s="37"/>
      <c r="K79" s="66" t="s">
        <v>327</v>
      </c>
      <c r="L79" s="67"/>
    </row>
    <row r="80" spans="1:12" x14ac:dyDescent="0.3">
      <c r="A80" s="65" t="s">
        <v>211</v>
      </c>
      <c r="B80" s="66">
        <v>100</v>
      </c>
      <c r="C80" s="66" t="s">
        <v>54</v>
      </c>
      <c r="D80" s="37">
        <v>128</v>
      </c>
      <c r="E80" s="37">
        <v>0</v>
      </c>
      <c r="F80" s="37">
        <v>1</v>
      </c>
      <c r="G80" s="37">
        <v>0</v>
      </c>
      <c r="H80" s="37">
        <v>127</v>
      </c>
      <c r="I80" s="37">
        <v>127</v>
      </c>
      <c r="J80" s="37">
        <v>0</v>
      </c>
      <c r="K80" s="66" t="s">
        <v>328</v>
      </c>
      <c r="L80" s="67"/>
    </row>
    <row r="81" spans="1:12" x14ac:dyDescent="0.3">
      <c r="A81" s="65" t="s">
        <v>212</v>
      </c>
      <c r="B81" s="66">
        <v>100</v>
      </c>
      <c r="C81" s="66" t="s">
        <v>54</v>
      </c>
      <c r="D81" s="37">
        <v>11</v>
      </c>
      <c r="E81" s="37">
        <v>0</v>
      </c>
      <c r="F81" s="37">
        <v>8</v>
      </c>
      <c r="G81" s="37">
        <v>0</v>
      </c>
      <c r="H81" s="37">
        <v>5</v>
      </c>
      <c r="I81" s="37">
        <v>5</v>
      </c>
      <c r="J81" s="37">
        <v>0</v>
      </c>
      <c r="K81" s="66" t="s">
        <v>328</v>
      </c>
      <c r="L81" s="67"/>
    </row>
    <row r="82" spans="1:12" x14ac:dyDescent="0.3">
      <c r="A82" s="65" t="s">
        <v>213</v>
      </c>
      <c r="B82" s="66">
        <v>100</v>
      </c>
      <c r="C82" s="66" t="s">
        <v>54</v>
      </c>
      <c r="D82" s="37">
        <v>522</v>
      </c>
      <c r="E82" s="37">
        <v>0</v>
      </c>
      <c r="F82" s="37">
        <v>0</v>
      </c>
      <c r="G82" s="37">
        <v>0</v>
      </c>
      <c r="H82" s="37">
        <v>513</v>
      </c>
      <c r="I82" s="37">
        <v>513</v>
      </c>
      <c r="J82" s="37">
        <v>0</v>
      </c>
      <c r="K82" s="66" t="s">
        <v>328</v>
      </c>
      <c r="L82" s="67"/>
    </row>
    <row r="83" spans="1:12" x14ac:dyDescent="0.3">
      <c r="A83" s="65" t="s">
        <v>213</v>
      </c>
      <c r="B83" s="66">
        <v>1000</v>
      </c>
      <c r="C83" s="66" t="s">
        <v>54</v>
      </c>
      <c r="D83" s="37">
        <v>481</v>
      </c>
      <c r="E83" s="37">
        <v>0</v>
      </c>
      <c r="F83" s="37">
        <v>20</v>
      </c>
      <c r="G83" s="37">
        <v>0</v>
      </c>
      <c r="H83" s="37">
        <v>460</v>
      </c>
      <c r="I83" s="37">
        <v>460</v>
      </c>
      <c r="J83" s="37">
        <v>0</v>
      </c>
      <c r="K83" s="66" t="s">
        <v>328</v>
      </c>
      <c r="L83" s="67"/>
    </row>
    <row r="84" spans="1:12" x14ac:dyDescent="0.3">
      <c r="A84" s="65" t="s">
        <v>213</v>
      </c>
      <c r="B84" s="66">
        <v>500</v>
      </c>
      <c r="C84" s="66" t="s">
        <v>54</v>
      </c>
      <c r="D84" s="37">
        <v>110</v>
      </c>
      <c r="E84" s="37">
        <v>0</v>
      </c>
      <c r="F84" s="37">
        <v>0</v>
      </c>
      <c r="G84" s="37">
        <v>0</v>
      </c>
      <c r="H84" s="37">
        <v>110</v>
      </c>
      <c r="I84" s="37">
        <v>110</v>
      </c>
      <c r="J84" s="37">
        <v>0</v>
      </c>
      <c r="K84" s="66" t="s">
        <v>328</v>
      </c>
      <c r="L84" s="67"/>
    </row>
    <row r="85" spans="1:12" x14ac:dyDescent="0.3">
      <c r="A85" s="65" t="s">
        <v>214</v>
      </c>
      <c r="B85" s="66">
        <v>1000</v>
      </c>
      <c r="C85" s="66" t="s">
        <v>54</v>
      </c>
      <c r="D85" s="37">
        <v>23</v>
      </c>
      <c r="E85" s="37">
        <v>0</v>
      </c>
      <c r="F85" s="37">
        <v>0</v>
      </c>
      <c r="G85" s="37">
        <v>0</v>
      </c>
      <c r="H85" s="37">
        <v>1360</v>
      </c>
      <c r="I85" s="37">
        <v>1360</v>
      </c>
      <c r="J85" s="37">
        <v>0</v>
      </c>
      <c r="K85" s="66" t="s">
        <v>328</v>
      </c>
      <c r="L85" s="67"/>
    </row>
    <row r="86" spans="1:12" x14ac:dyDescent="0.3">
      <c r="A86" s="65" t="s">
        <v>215</v>
      </c>
      <c r="B86" s="66">
        <v>100</v>
      </c>
      <c r="C86" s="66" t="s">
        <v>54</v>
      </c>
      <c r="D86" s="37">
        <v>363</v>
      </c>
      <c r="E86" s="37">
        <v>0</v>
      </c>
      <c r="F86" s="37">
        <v>0</v>
      </c>
      <c r="G86" s="37">
        <v>0</v>
      </c>
      <c r="H86" s="37">
        <v>5604</v>
      </c>
      <c r="I86" s="37">
        <v>5604</v>
      </c>
      <c r="J86" s="37">
        <v>0</v>
      </c>
      <c r="K86" s="66" t="s">
        <v>328</v>
      </c>
      <c r="L86" s="67"/>
    </row>
    <row r="87" spans="1:12" x14ac:dyDescent="0.3">
      <c r="A87" s="65" t="s">
        <v>216</v>
      </c>
      <c r="B87" s="66">
        <v>100</v>
      </c>
      <c r="C87" s="66" t="s">
        <v>54</v>
      </c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 t="s">
        <v>304</v>
      </c>
      <c r="J87" s="37"/>
      <c r="K87" s="66" t="s">
        <v>304</v>
      </c>
      <c r="L87" s="67"/>
    </row>
    <row r="88" spans="1:12" x14ac:dyDescent="0.3">
      <c r="A88" s="65" t="s">
        <v>217</v>
      </c>
      <c r="B88" s="66">
        <v>100</v>
      </c>
      <c r="C88" s="66" t="s">
        <v>54</v>
      </c>
      <c r="D88" s="37">
        <v>22</v>
      </c>
      <c r="E88" s="37">
        <v>0</v>
      </c>
      <c r="F88" s="37">
        <v>0</v>
      </c>
      <c r="G88" s="37">
        <v>0</v>
      </c>
      <c r="H88" s="37">
        <v>22</v>
      </c>
      <c r="I88" s="37">
        <v>22</v>
      </c>
      <c r="J88" s="37">
        <v>0</v>
      </c>
      <c r="K88" s="66" t="s">
        <v>328</v>
      </c>
      <c r="L88" s="67"/>
    </row>
    <row r="89" spans="1:12" x14ac:dyDescent="0.3">
      <c r="A89" s="65" t="s">
        <v>218</v>
      </c>
      <c r="B89" s="66">
        <v>100</v>
      </c>
      <c r="C89" s="66" t="s">
        <v>54</v>
      </c>
      <c r="D89" s="37">
        <v>252</v>
      </c>
      <c r="E89" s="37">
        <v>0</v>
      </c>
      <c r="F89" s="37">
        <v>8</v>
      </c>
      <c r="G89" s="37">
        <v>0</v>
      </c>
      <c r="H89" s="37">
        <v>244</v>
      </c>
      <c r="I89" s="37">
        <v>244</v>
      </c>
      <c r="J89" s="37">
        <v>0</v>
      </c>
      <c r="K89" s="66" t="s">
        <v>328</v>
      </c>
      <c r="L89" s="67"/>
    </row>
    <row r="90" spans="1:12" x14ac:dyDescent="0.3">
      <c r="A90" s="65" t="s">
        <v>219</v>
      </c>
      <c r="B90" s="66">
        <v>100</v>
      </c>
      <c r="C90" s="66" t="s">
        <v>54</v>
      </c>
      <c r="D90" s="37">
        <v>32</v>
      </c>
      <c r="E90" s="37">
        <v>0</v>
      </c>
      <c r="F90" s="37">
        <v>0</v>
      </c>
      <c r="G90" s="37">
        <v>0</v>
      </c>
      <c r="H90" s="37">
        <v>28</v>
      </c>
      <c r="I90" s="37">
        <v>28</v>
      </c>
      <c r="J90" s="37">
        <v>0</v>
      </c>
      <c r="K90" s="66" t="s">
        <v>328</v>
      </c>
      <c r="L90" s="67"/>
    </row>
    <row r="91" spans="1:12" x14ac:dyDescent="0.3">
      <c r="A91" s="65" t="s">
        <v>224</v>
      </c>
      <c r="B91" s="66" t="s">
        <v>225</v>
      </c>
      <c r="C91" s="66" t="s">
        <v>54</v>
      </c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 t="s">
        <v>304</v>
      </c>
      <c r="J91" s="37"/>
      <c r="K91" s="66" t="s">
        <v>304</v>
      </c>
      <c r="L91" s="67"/>
    </row>
    <row r="92" spans="1:12" x14ac:dyDescent="0.3">
      <c r="A92" s="65" t="s">
        <v>227</v>
      </c>
      <c r="B92" s="66">
        <v>100</v>
      </c>
      <c r="C92" s="66" t="s">
        <v>54</v>
      </c>
      <c r="D92" s="37">
        <v>81</v>
      </c>
      <c r="E92" s="37">
        <v>0</v>
      </c>
      <c r="F92" s="37">
        <v>0</v>
      </c>
      <c r="G92" s="37">
        <v>0</v>
      </c>
      <c r="H92" s="37">
        <v>70</v>
      </c>
      <c r="I92" s="37">
        <v>70</v>
      </c>
      <c r="J92" s="37">
        <v>0</v>
      </c>
      <c r="K92" s="66" t="s">
        <v>328</v>
      </c>
      <c r="L92" s="67"/>
    </row>
    <row r="93" spans="1:12" x14ac:dyDescent="0.3">
      <c r="A93" s="65" t="s">
        <v>236</v>
      </c>
      <c r="B93" s="66">
        <v>1000</v>
      </c>
      <c r="C93" s="66" t="s">
        <v>54</v>
      </c>
      <c r="D93" s="37">
        <v>12</v>
      </c>
      <c r="E93" s="37">
        <v>0</v>
      </c>
      <c r="F93" s="37">
        <v>0</v>
      </c>
      <c r="G93" s="37">
        <v>0</v>
      </c>
      <c r="H93" s="37">
        <v>13</v>
      </c>
      <c r="I93" s="37">
        <v>13</v>
      </c>
      <c r="J93" s="37">
        <v>0</v>
      </c>
      <c r="K93" s="66" t="s">
        <v>328</v>
      </c>
      <c r="L93" s="67"/>
    </row>
    <row r="94" spans="1:12" x14ac:dyDescent="0.3">
      <c r="A94" s="65" t="s">
        <v>237</v>
      </c>
      <c r="B94" s="66">
        <v>1000</v>
      </c>
      <c r="C94" s="66" t="s">
        <v>54</v>
      </c>
      <c r="D94" s="37">
        <v>1</v>
      </c>
      <c r="E94" s="37">
        <v>0</v>
      </c>
      <c r="F94" s="37">
        <v>0</v>
      </c>
      <c r="G94" s="37">
        <v>0</v>
      </c>
      <c r="H94" s="37">
        <v>1</v>
      </c>
      <c r="I94" s="37">
        <v>1</v>
      </c>
      <c r="J94" s="37">
        <v>0</v>
      </c>
      <c r="K94" s="66" t="s">
        <v>328</v>
      </c>
      <c r="L94" s="67"/>
    </row>
    <row r="95" spans="1:12" x14ac:dyDescent="0.3">
      <c r="A95" s="65" t="s">
        <v>238</v>
      </c>
      <c r="B95" s="66">
        <v>1000</v>
      </c>
      <c r="C95" s="66" t="s">
        <v>54</v>
      </c>
      <c r="D95" s="37">
        <v>4</v>
      </c>
      <c r="E95" s="37">
        <v>0</v>
      </c>
      <c r="F95" s="37">
        <v>0</v>
      </c>
      <c r="G95" s="37">
        <v>0</v>
      </c>
      <c r="H95" s="37">
        <v>3</v>
      </c>
      <c r="I95" s="37">
        <v>3</v>
      </c>
      <c r="J95" s="37">
        <v>0</v>
      </c>
      <c r="K95" s="66" t="s">
        <v>328</v>
      </c>
      <c r="L95" s="67"/>
    </row>
    <row r="96" spans="1:12" x14ac:dyDescent="0.3">
      <c r="A96" s="65" t="s">
        <v>239</v>
      </c>
      <c r="B96" s="66">
        <v>1000</v>
      </c>
      <c r="C96" s="66" t="s">
        <v>54</v>
      </c>
      <c r="D96" s="37">
        <v>0</v>
      </c>
      <c r="E96" s="37">
        <v>0</v>
      </c>
      <c r="F96" s="37">
        <v>0</v>
      </c>
      <c r="G96" s="37">
        <v>0</v>
      </c>
      <c r="H96" s="37">
        <v>2</v>
      </c>
      <c r="I96" s="37">
        <v>2</v>
      </c>
      <c r="J96" s="37">
        <v>0</v>
      </c>
      <c r="K96" s="66" t="s">
        <v>328</v>
      </c>
      <c r="L96" s="67"/>
    </row>
    <row r="97" spans="1:12" x14ac:dyDescent="0.3">
      <c r="A97" s="65" t="s">
        <v>239</v>
      </c>
      <c r="B97" s="66">
        <v>2500</v>
      </c>
      <c r="C97" s="66" t="s">
        <v>54</v>
      </c>
      <c r="D97" s="37">
        <v>0</v>
      </c>
      <c r="E97" s="37">
        <v>0</v>
      </c>
      <c r="F97" s="37">
        <v>0</v>
      </c>
      <c r="G97" s="37">
        <v>0</v>
      </c>
      <c r="H97" s="37">
        <v>0</v>
      </c>
      <c r="I97" s="37" t="s">
        <v>327</v>
      </c>
      <c r="J97" s="37"/>
      <c r="K97" s="66" t="s">
        <v>327</v>
      </c>
      <c r="L97" s="67"/>
    </row>
    <row r="98" spans="1:12" x14ac:dyDescent="0.3">
      <c r="A98" s="65" t="s">
        <v>240</v>
      </c>
      <c r="B98" s="66">
        <v>100</v>
      </c>
      <c r="C98" s="66" t="s">
        <v>54</v>
      </c>
      <c r="D98" s="37">
        <v>38</v>
      </c>
      <c r="E98" s="37">
        <v>0</v>
      </c>
      <c r="F98" s="37">
        <v>0</v>
      </c>
      <c r="G98" s="37">
        <v>0</v>
      </c>
      <c r="H98" s="37">
        <v>38</v>
      </c>
      <c r="I98" s="37" t="s">
        <v>327</v>
      </c>
      <c r="J98" s="37"/>
      <c r="K98" s="66" t="s">
        <v>327</v>
      </c>
      <c r="L98" s="67"/>
    </row>
    <row r="99" spans="1:12" x14ac:dyDescent="0.3">
      <c r="A99" s="65" t="s">
        <v>240</v>
      </c>
      <c r="B99" s="66">
        <v>1000</v>
      </c>
      <c r="C99" s="66" t="s">
        <v>54</v>
      </c>
      <c r="D99" s="37">
        <v>14</v>
      </c>
      <c r="E99" s="37">
        <v>0</v>
      </c>
      <c r="F99" s="37">
        <v>2</v>
      </c>
      <c r="G99" s="37">
        <v>0</v>
      </c>
      <c r="H99" s="37">
        <v>18</v>
      </c>
      <c r="I99" s="37">
        <v>18</v>
      </c>
      <c r="J99" s="37">
        <v>0</v>
      </c>
      <c r="K99" s="66" t="s">
        <v>328</v>
      </c>
      <c r="L99" s="67"/>
    </row>
    <row r="100" spans="1:12" x14ac:dyDescent="0.3">
      <c r="A100" s="65" t="s">
        <v>244</v>
      </c>
      <c r="B100" s="66">
        <v>100000</v>
      </c>
      <c r="C100" s="66">
        <v>0</v>
      </c>
      <c r="D100" s="37">
        <v>0</v>
      </c>
      <c r="E100" s="37">
        <v>0</v>
      </c>
      <c r="F100" s="37">
        <v>0</v>
      </c>
      <c r="G100" s="37">
        <v>0</v>
      </c>
      <c r="H100" s="37">
        <v>0</v>
      </c>
      <c r="I100" s="37" t="s">
        <v>327</v>
      </c>
      <c r="J100" s="37"/>
      <c r="K100" s="66" t="s">
        <v>327</v>
      </c>
      <c r="L100" s="67"/>
    </row>
    <row r="101" spans="1:12" x14ac:dyDescent="0.3">
      <c r="A101" s="65" t="s">
        <v>56</v>
      </c>
      <c r="B101" s="66">
        <v>500</v>
      </c>
      <c r="C101" s="66" t="s">
        <v>54</v>
      </c>
      <c r="D101" s="37">
        <v>-2</v>
      </c>
      <c r="E101" s="37">
        <v>0</v>
      </c>
      <c r="F101" s="37">
        <v>0</v>
      </c>
      <c r="G101" s="37">
        <v>0</v>
      </c>
      <c r="H101" s="37">
        <v>0</v>
      </c>
      <c r="I101" s="37">
        <v>0</v>
      </c>
      <c r="J101" s="37">
        <v>0</v>
      </c>
      <c r="K101" s="66" t="s">
        <v>328</v>
      </c>
      <c r="L101" s="67"/>
    </row>
    <row r="102" spans="1:12" x14ac:dyDescent="0.3">
      <c r="A102" s="65" t="s">
        <v>72</v>
      </c>
      <c r="B102" s="66">
        <v>100</v>
      </c>
      <c r="C102" s="66" t="s">
        <v>54</v>
      </c>
      <c r="D102" s="37">
        <v>18</v>
      </c>
      <c r="E102" s="37">
        <v>0</v>
      </c>
      <c r="F102" s="37">
        <v>0</v>
      </c>
      <c r="G102" s="37">
        <v>0</v>
      </c>
      <c r="H102" s="37">
        <v>18</v>
      </c>
      <c r="I102" s="37">
        <v>18</v>
      </c>
      <c r="J102" s="37">
        <v>0</v>
      </c>
      <c r="K102" s="66" t="s">
        <v>328</v>
      </c>
      <c r="L102" s="67"/>
    </row>
    <row r="103" spans="1:12" x14ac:dyDescent="0.3">
      <c r="A103" s="65" t="s">
        <v>72</v>
      </c>
      <c r="B103" s="66">
        <v>500</v>
      </c>
      <c r="C103" s="66" t="s">
        <v>54</v>
      </c>
      <c r="D103" s="37">
        <v>-4</v>
      </c>
      <c r="E103" s="37">
        <v>0</v>
      </c>
      <c r="F103" s="37">
        <v>0</v>
      </c>
      <c r="G103" s="37">
        <v>0</v>
      </c>
      <c r="H103" s="37">
        <v>1</v>
      </c>
      <c r="I103" s="37">
        <v>1</v>
      </c>
      <c r="J103" s="37">
        <v>0</v>
      </c>
      <c r="K103" s="66" t="s">
        <v>328</v>
      </c>
      <c r="L103" s="67"/>
    </row>
    <row r="104" spans="1:12" x14ac:dyDescent="0.3">
      <c r="A104" s="65" t="s">
        <v>83</v>
      </c>
      <c r="B104" s="66">
        <v>100</v>
      </c>
      <c r="C104" s="66" t="s">
        <v>54</v>
      </c>
      <c r="D104" s="37">
        <v>2</v>
      </c>
      <c r="E104" s="37">
        <v>0</v>
      </c>
      <c r="F104" s="37">
        <v>0</v>
      </c>
      <c r="G104" s="37">
        <v>0</v>
      </c>
      <c r="H104" s="37">
        <v>1</v>
      </c>
      <c r="I104" s="37">
        <v>1</v>
      </c>
      <c r="J104" s="37">
        <v>0</v>
      </c>
      <c r="K104" s="66" t="s">
        <v>328</v>
      </c>
      <c r="L104" s="67"/>
    </row>
    <row r="105" spans="1:12" x14ac:dyDescent="0.3">
      <c r="A105" s="65" t="s">
        <v>86</v>
      </c>
      <c r="B105" s="66">
        <v>100</v>
      </c>
      <c r="C105" s="66" t="s">
        <v>54</v>
      </c>
      <c r="D105" s="37">
        <v>1</v>
      </c>
      <c r="E105" s="37">
        <v>0</v>
      </c>
      <c r="F105" s="37">
        <v>0</v>
      </c>
      <c r="G105" s="37">
        <v>0</v>
      </c>
      <c r="H105" s="37">
        <v>0</v>
      </c>
      <c r="I105" s="37">
        <v>0</v>
      </c>
      <c r="J105" s="37">
        <v>0</v>
      </c>
      <c r="K105" s="66" t="s">
        <v>328</v>
      </c>
      <c r="L105" s="67"/>
    </row>
    <row r="106" spans="1:12" x14ac:dyDescent="0.3">
      <c r="A106" s="65" t="s">
        <v>90</v>
      </c>
      <c r="B106" s="66">
        <v>100</v>
      </c>
      <c r="C106" s="66" t="s">
        <v>54</v>
      </c>
      <c r="D106" s="37">
        <v>10</v>
      </c>
      <c r="E106" s="37">
        <v>0</v>
      </c>
      <c r="F106" s="37">
        <v>0</v>
      </c>
      <c r="G106" s="37">
        <v>0</v>
      </c>
      <c r="H106" s="37">
        <v>9</v>
      </c>
      <c r="I106" s="37">
        <v>9</v>
      </c>
      <c r="J106" s="37">
        <v>0</v>
      </c>
      <c r="K106" s="66" t="s">
        <v>328</v>
      </c>
      <c r="L106" s="67"/>
    </row>
    <row r="107" spans="1:12" x14ac:dyDescent="0.3">
      <c r="A107" s="65" t="s">
        <v>95</v>
      </c>
      <c r="B107" s="66">
        <v>100</v>
      </c>
      <c r="C107" s="66" t="s">
        <v>54</v>
      </c>
      <c r="D107" s="37">
        <v>1</v>
      </c>
      <c r="E107" s="37">
        <v>0</v>
      </c>
      <c r="F107" s="37">
        <v>0</v>
      </c>
      <c r="G107" s="37">
        <v>0</v>
      </c>
      <c r="H107" s="37">
        <v>1</v>
      </c>
      <c r="I107" s="37">
        <v>1</v>
      </c>
      <c r="J107" s="37">
        <v>0</v>
      </c>
      <c r="K107" s="66" t="s">
        <v>328</v>
      </c>
      <c r="L107" s="67"/>
    </row>
    <row r="108" spans="1:12" x14ac:dyDescent="0.3">
      <c r="A108" s="65" t="s">
        <v>102</v>
      </c>
      <c r="B108" s="66">
        <v>5000</v>
      </c>
      <c r="C108" s="66" t="s">
        <v>54</v>
      </c>
      <c r="D108" s="37">
        <v>1</v>
      </c>
      <c r="E108" s="37">
        <v>0</v>
      </c>
      <c r="F108" s="37">
        <v>0</v>
      </c>
      <c r="G108" s="37">
        <v>0</v>
      </c>
      <c r="H108" s="37">
        <v>1</v>
      </c>
      <c r="I108" s="37" t="s">
        <v>304</v>
      </c>
      <c r="J108" s="37"/>
      <c r="K108" s="66" t="s">
        <v>304</v>
      </c>
      <c r="L108" s="67"/>
    </row>
    <row r="109" spans="1:12" x14ac:dyDescent="0.3">
      <c r="A109" s="65" t="s">
        <v>114</v>
      </c>
      <c r="B109" s="66">
        <v>100</v>
      </c>
      <c r="C109" s="66" t="s">
        <v>54</v>
      </c>
      <c r="D109" s="37">
        <v>4</v>
      </c>
      <c r="E109" s="37">
        <v>0</v>
      </c>
      <c r="F109" s="37">
        <v>0</v>
      </c>
      <c r="G109" s="37">
        <v>0</v>
      </c>
      <c r="H109" s="37">
        <v>2</v>
      </c>
      <c r="I109" s="37">
        <v>2</v>
      </c>
      <c r="J109" s="37">
        <v>0</v>
      </c>
      <c r="K109" s="66" t="s">
        <v>328</v>
      </c>
      <c r="L109" s="67"/>
    </row>
    <row r="110" spans="1:12" x14ac:dyDescent="0.3">
      <c r="A110" s="65" t="s">
        <v>117</v>
      </c>
      <c r="B110" s="66">
        <v>100</v>
      </c>
      <c r="C110" s="66" t="s">
        <v>54</v>
      </c>
      <c r="D110" s="37">
        <v>10</v>
      </c>
      <c r="E110" s="37">
        <v>0</v>
      </c>
      <c r="F110" s="37">
        <v>0</v>
      </c>
      <c r="G110" s="37">
        <v>0</v>
      </c>
      <c r="H110" s="37">
        <v>7</v>
      </c>
      <c r="I110" s="37">
        <v>7</v>
      </c>
      <c r="J110" s="37">
        <v>0</v>
      </c>
      <c r="K110" s="66" t="s">
        <v>328</v>
      </c>
      <c r="L110" s="67"/>
    </row>
    <row r="111" spans="1:12" x14ac:dyDescent="0.3">
      <c r="A111" s="65" t="s">
        <v>120</v>
      </c>
      <c r="B111" s="66">
        <v>100</v>
      </c>
      <c r="C111" s="66" t="s">
        <v>54</v>
      </c>
      <c r="D111" s="37">
        <v>2</v>
      </c>
      <c r="E111" s="37">
        <v>0</v>
      </c>
      <c r="F111" s="37">
        <v>0</v>
      </c>
      <c r="G111" s="37">
        <v>0</v>
      </c>
      <c r="H111" s="37">
        <v>2</v>
      </c>
      <c r="I111" s="37">
        <v>2</v>
      </c>
      <c r="J111" s="37">
        <v>0</v>
      </c>
      <c r="K111" s="66" t="s">
        <v>328</v>
      </c>
      <c r="L111" s="67"/>
    </row>
    <row r="112" spans="1:12" x14ac:dyDescent="0.3">
      <c r="A112" s="65" t="s">
        <v>134</v>
      </c>
      <c r="B112" s="66">
        <v>100</v>
      </c>
      <c r="C112" s="66" t="s">
        <v>54</v>
      </c>
      <c r="D112" s="37">
        <v>3</v>
      </c>
      <c r="E112" s="37">
        <v>0</v>
      </c>
      <c r="F112" s="37">
        <v>0</v>
      </c>
      <c r="G112" s="37">
        <v>0</v>
      </c>
      <c r="H112" s="37">
        <v>3</v>
      </c>
      <c r="I112" s="37">
        <v>3</v>
      </c>
      <c r="J112" s="37">
        <v>0</v>
      </c>
      <c r="K112" s="66" t="s">
        <v>328</v>
      </c>
      <c r="L112" s="67"/>
    </row>
    <row r="113" spans="1:12" x14ac:dyDescent="0.3">
      <c r="A113" s="65" t="s">
        <v>135</v>
      </c>
      <c r="B113" s="66">
        <v>100</v>
      </c>
      <c r="C113" s="66" t="s">
        <v>54</v>
      </c>
      <c r="D113" s="37">
        <v>4</v>
      </c>
      <c r="E113" s="37">
        <v>0</v>
      </c>
      <c r="F113" s="37">
        <v>0</v>
      </c>
      <c r="G113" s="37">
        <v>0</v>
      </c>
      <c r="H113" s="37">
        <v>4</v>
      </c>
      <c r="I113" s="37">
        <v>4</v>
      </c>
      <c r="J113" s="37">
        <v>0</v>
      </c>
      <c r="K113" s="66" t="s">
        <v>328</v>
      </c>
      <c r="L113" s="67"/>
    </row>
    <row r="114" spans="1:12" x14ac:dyDescent="0.3">
      <c r="A114" s="65" t="s">
        <v>135</v>
      </c>
      <c r="B114" s="66">
        <v>1000</v>
      </c>
      <c r="C114" s="66" t="s">
        <v>54</v>
      </c>
      <c r="D114" s="37">
        <v>1</v>
      </c>
      <c r="E114" s="37">
        <v>0</v>
      </c>
      <c r="F114" s="37">
        <v>0</v>
      </c>
      <c r="G114" s="37">
        <v>0</v>
      </c>
      <c r="H114" s="37">
        <v>1</v>
      </c>
      <c r="I114" s="37">
        <v>1</v>
      </c>
      <c r="J114" s="37">
        <v>0</v>
      </c>
      <c r="K114" s="66" t="s">
        <v>328</v>
      </c>
      <c r="L114" s="67"/>
    </row>
    <row r="115" spans="1:12" x14ac:dyDescent="0.3">
      <c r="A115" s="65" t="s">
        <v>138</v>
      </c>
      <c r="B115" s="66">
        <v>100</v>
      </c>
      <c r="C115" s="66" t="s">
        <v>54</v>
      </c>
      <c r="D115" s="37">
        <v>-12</v>
      </c>
      <c r="E115" s="37">
        <v>0</v>
      </c>
      <c r="F115" s="37">
        <v>0</v>
      </c>
      <c r="G115" s="37">
        <v>0</v>
      </c>
      <c r="H115" s="37">
        <v>1</v>
      </c>
      <c r="I115" s="37">
        <v>1</v>
      </c>
      <c r="J115" s="37">
        <v>0</v>
      </c>
      <c r="K115" s="66" t="s">
        <v>328</v>
      </c>
      <c r="L115" s="67"/>
    </row>
    <row r="116" spans="1:12" x14ac:dyDescent="0.3">
      <c r="A116" s="65" t="s">
        <v>143</v>
      </c>
      <c r="B116" s="66">
        <v>1000</v>
      </c>
      <c r="C116" s="66" t="s">
        <v>54</v>
      </c>
      <c r="D116" s="37">
        <v>1</v>
      </c>
      <c r="E116" s="37">
        <v>0</v>
      </c>
      <c r="F116" s="37">
        <v>0</v>
      </c>
      <c r="G116" s="37">
        <v>0</v>
      </c>
      <c r="H116" s="37">
        <v>1</v>
      </c>
      <c r="I116" s="37">
        <v>1</v>
      </c>
      <c r="J116" s="37">
        <v>0</v>
      </c>
      <c r="K116" s="66" t="s">
        <v>328</v>
      </c>
      <c r="L116" s="67"/>
    </row>
    <row r="117" spans="1:12" x14ac:dyDescent="0.3">
      <c r="A117" s="65" t="s">
        <v>148</v>
      </c>
      <c r="B117" s="66">
        <v>100</v>
      </c>
      <c r="C117" s="66" t="s">
        <v>54</v>
      </c>
      <c r="D117" s="37">
        <v>2</v>
      </c>
      <c r="E117" s="37">
        <v>0</v>
      </c>
      <c r="F117" s="37">
        <v>0</v>
      </c>
      <c r="G117" s="37">
        <v>0</v>
      </c>
      <c r="H117" s="37">
        <v>2</v>
      </c>
      <c r="I117" s="37" t="s">
        <v>327</v>
      </c>
      <c r="J117" s="37"/>
      <c r="K117" s="66" t="s">
        <v>327</v>
      </c>
      <c r="L117" s="67"/>
    </row>
    <row r="118" spans="1:12" x14ac:dyDescent="0.3">
      <c r="A118" s="65" t="s">
        <v>152</v>
      </c>
      <c r="B118" s="66">
        <v>500</v>
      </c>
      <c r="C118" s="66" t="s">
        <v>54</v>
      </c>
      <c r="D118" s="37">
        <v>1</v>
      </c>
      <c r="E118" s="37">
        <v>0</v>
      </c>
      <c r="F118" s="37">
        <v>0</v>
      </c>
      <c r="G118" s="37">
        <v>0</v>
      </c>
      <c r="H118" s="37">
        <v>1</v>
      </c>
      <c r="I118" s="37">
        <v>1</v>
      </c>
      <c r="J118" s="37">
        <v>0</v>
      </c>
      <c r="K118" s="66" t="s">
        <v>328</v>
      </c>
      <c r="L118" s="67"/>
    </row>
    <row r="119" spans="1:12" x14ac:dyDescent="0.3">
      <c r="A119" s="65" t="s">
        <v>157</v>
      </c>
      <c r="B119" s="66">
        <v>100</v>
      </c>
      <c r="C119" s="66" t="s">
        <v>54</v>
      </c>
      <c r="D119" s="37">
        <v>2</v>
      </c>
      <c r="E119" s="37">
        <v>0</v>
      </c>
      <c r="F119" s="37">
        <v>0</v>
      </c>
      <c r="G119" s="37">
        <v>0</v>
      </c>
      <c r="H119" s="37">
        <v>0</v>
      </c>
      <c r="I119" s="37">
        <v>0</v>
      </c>
      <c r="J119" s="37">
        <v>0</v>
      </c>
      <c r="K119" s="66" t="s">
        <v>328</v>
      </c>
      <c r="L119" s="67"/>
    </row>
    <row r="120" spans="1:12" x14ac:dyDescent="0.3">
      <c r="A120" s="65" t="s">
        <v>175</v>
      </c>
      <c r="B120" s="66">
        <v>100</v>
      </c>
      <c r="C120" s="66" t="s">
        <v>54</v>
      </c>
      <c r="D120" s="37">
        <v>4</v>
      </c>
      <c r="E120" s="37">
        <v>0</v>
      </c>
      <c r="F120" s="37">
        <v>0</v>
      </c>
      <c r="G120" s="37">
        <v>0</v>
      </c>
      <c r="H120" s="37">
        <v>1</v>
      </c>
      <c r="I120" s="37">
        <v>1</v>
      </c>
      <c r="J120" s="37">
        <v>0</v>
      </c>
      <c r="K120" s="66" t="s">
        <v>328</v>
      </c>
      <c r="L120" s="67"/>
    </row>
    <row r="121" spans="1:12" x14ac:dyDescent="0.3">
      <c r="A121" s="65" t="s">
        <v>181</v>
      </c>
      <c r="B121" s="66">
        <v>100</v>
      </c>
      <c r="C121" s="66" t="s">
        <v>54</v>
      </c>
      <c r="D121" s="37">
        <v>7</v>
      </c>
      <c r="E121" s="37">
        <v>0</v>
      </c>
      <c r="F121" s="37">
        <v>0</v>
      </c>
      <c r="G121" s="37">
        <v>0</v>
      </c>
      <c r="H121" s="37">
        <v>4</v>
      </c>
      <c r="I121" s="37">
        <v>4</v>
      </c>
      <c r="J121" s="37">
        <v>0</v>
      </c>
      <c r="K121" s="66" t="s">
        <v>328</v>
      </c>
      <c r="L121" s="67"/>
    </row>
    <row r="122" spans="1:12" x14ac:dyDescent="0.3">
      <c r="A122" s="65" t="s">
        <v>186</v>
      </c>
      <c r="B122" s="66">
        <v>100</v>
      </c>
      <c r="C122" s="66" t="s">
        <v>54</v>
      </c>
      <c r="D122" s="37">
        <v>4</v>
      </c>
      <c r="E122" s="37">
        <v>0</v>
      </c>
      <c r="F122" s="37">
        <v>0</v>
      </c>
      <c r="G122" s="37">
        <v>0</v>
      </c>
      <c r="H122" s="37">
        <v>2</v>
      </c>
      <c r="I122" s="37">
        <v>2</v>
      </c>
      <c r="J122" s="37">
        <v>0</v>
      </c>
      <c r="K122" s="66" t="s">
        <v>328</v>
      </c>
      <c r="L122" s="67"/>
    </row>
    <row r="123" spans="1:12" x14ac:dyDescent="0.3">
      <c r="A123" s="65" t="s">
        <v>188</v>
      </c>
      <c r="B123" s="66">
        <v>100</v>
      </c>
      <c r="C123" s="66" t="s">
        <v>54</v>
      </c>
      <c r="D123" s="37">
        <v>3</v>
      </c>
      <c r="E123" s="37">
        <v>0</v>
      </c>
      <c r="F123" s="37">
        <v>0</v>
      </c>
      <c r="G123" s="37">
        <v>0</v>
      </c>
      <c r="H123" s="37">
        <v>3</v>
      </c>
      <c r="I123" s="37">
        <v>3</v>
      </c>
      <c r="J123" s="37">
        <v>0</v>
      </c>
      <c r="K123" s="66" t="s">
        <v>328</v>
      </c>
      <c r="L123" s="67"/>
    </row>
    <row r="124" spans="1:12" x14ac:dyDescent="0.3">
      <c r="A124" s="65" t="s">
        <v>190</v>
      </c>
      <c r="B124" s="66">
        <v>100</v>
      </c>
      <c r="C124" s="66" t="s">
        <v>54</v>
      </c>
      <c r="D124" s="37">
        <v>4</v>
      </c>
      <c r="E124" s="37">
        <v>0</v>
      </c>
      <c r="F124" s="37">
        <v>0</v>
      </c>
      <c r="G124" s="37">
        <v>0</v>
      </c>
      <c r="H124" s="37">
        <v>3</v>
      </c>
      <c r="I124" s="37">
        <v>3</v>
      </c>
      <c r="J124" s="37">
        <v>0</v>
      </c>
      <c r="K124" s="66" t="s">
        <v>328</v>
      </c>
      <c r="L124" s="67"/>
    </row>
    <row r="125" spans="1:12" x14ac:dyDescent="0.3">
      <c r="A125" s="65" t="s">
        <v>193</v>
      </c>
      <c r="B125" s="66">
        <v>100</v>
      </c>
      <c r="C125" s="66" t="s">
        <v>54</v>
      </c>
      <c r="D125" s="37">
        <v>1</v>
      </c>
      <c r="E125" s="37">
        <v>0</v>
      </c>
      <c r="F125" s="37">
        <v>0</v>
      </c>
      <c r="G125" s="37">
        <v>0</v>
      </c>
      <c r="H125" s="37">
        <v>2</v>
      </c>
      <c r="I125" s="37">
        <v>2</v>
      </c>
      <c r="J125" s="37">
        <v>0</v>
      </c>
      <c r="K125" s="66" t="s">
        <v>328</v>
      </c>
      <c r="L125" s="67"/>
    </row>
    <row r="126" spans="1:12" x14ac:dyDescent="0.3">
      <c r="A126" s="65" t="s">
        <v>205</v>
      </c>
      <c r="B126" s="66">
        <v>1000</v>
      </c>
      <c r="C126" s="66" t="s">
        <v>54</v>
      </c>
      <c r="D126" s="37">
        <v>5</v>
      </c>
      <c r="E126" s="37">
        <v>0</v>
      </c>
      <c r="F126" s="37">
        <v>0</v>
      </c>
      <c r="G126" s="37">
        <v>0</v>
      </c>
      <c r="H126" s="37">
        <v>1</v>
      </c>
      <c r="I126" s="37">
        <v>1</v>
      </c>
      <c r="J126" s="37">
        <v>0</v>
      </c>
      <c r="K126" s="66" t="s">
        <v>328</v>
      </c>
      <c r="L126" s="67"/>
    </row>
    <row r="127" spans="1:12" x14ac:dyDescent="0.3">
      <c r="A127" s="65" t="s">
        <v>206</v>
      </c>
      <c r="B127" s="66">
        <v>1000</v>
      </c>
      <c r="C127" s="66" t="s">
        <v>54</v>
      </c>
      <c r="D127" s="37">
        <v>-6</v>
      </c>
      <c r="E127" s="37">
        <v>0</v>
      </c>
      <c r="F127" s="37">
        <v>0</v>
      </c>
      <c r="G127" s="37">
        <v>0</v>
      </c>
      <c r="H127" s="37">
        <v>2</v>
      </c>
      <c r="I127" s="37">
        <v>2</v>
      </c>
      <c r="J127" s="37">
        <v>0</v>
      </c>
      <c r="K127" s="66" t="s">
        <v>328</v>
      </c>
      <c r="L127" s="67"/>
    </row>
    <row r="128" spans="1:12" x14ac:dyDescent="0.3">
      <c r="A128" s="65" t="s">
        <v>209</v>
      </c>
      <c r="B128" s="66">
        <v>100</v>
      </c>
      <c r="C128" s="66" t="s">
        <v>54</v>
      </c>
      <c r="D128" s="37">
        <v>1</v>
      </c>
      <c r="E128" s="37">
        <v>0</v>
      </c>
      <c r="F128" s="37">
        <v>0</v>
      </c>
      <c r="G128" s="37">
        <v>0</v>
      </c>
      <c r="H128" s="37">
        <v>1</v>
      </c>
      <c r="I128" s="37">
        <v>1</v>
      </c>
      <c r="J128" s="37">
        <v>0</v>
      </c>
      <c r="K128" s="66" t="s">
        <v>328</v>
      </c>
      <c r="L128" s="67"/>
    </row>
    <row r="129" spans="1:12" x14ac:dyDescent="0.3">
      <c r="A129" s="65" t="s">
        <v>220</v>
      </c>
      <c r="B129" s="66">
        <v>1000</v>
      </c>
      <c r="C129" s="66" t="s">
        <v>54</v>
      </c>
      <c r="D129" s="37">
        <v>5</v>
      </c>
      <c r="E129" s="37">
        <v>0</v>
      </c>
      <c r="F129" s="37">
        <v>0</v>
      </c>
      <c r="G129" s="37">
        <v>0</v>
      </c>
      <c r="H129" s="37">
        <v>4</v>
      </c>
      <c r="I129" s="37">
        <v>4</v>
      </c>
      <c r="J129" s="37">
        <v>0</v>
      </c>
      <c r="K129" s="66" t="s">
        <v>328</v>
      </c>
      <c r="L129" s="67"/>
    </row>
    <row r="130" spans="1:12" x14ac:dyDescent="0.3">
      <c r="A130" s="65" t="s">
        <v>223</v>
      </c>
      <c r="B130" s="66">
        <v>100</v>
      </c>
      <c r="C130" s="66" t="s">
        <v>54</v>
      </c>
      <c r="D130" s="37">
        <v>1</v>
      </c>
      <c r="E130" s="37">
        <v>0</v>
      </c>
      <c r="F130" s="37">
        <v>0</v>
      </c>
      <c r="G130" s="37">
        <v>0</v>
      </c>
      <c r="H130" s="37">
        <v>1</v>
      </c>
      <c r="I130" s="37">
        <v>1</v>
      </c>
      <c r="J130" s="37">
        <v>0</v>
      </c>
      <c r="K130" s="66" t="s">
        <v>328</v>
      </c>
      <c r="L130" s="67"/>
    </row>
    <row r="131" spans="1:12" x14ac:dyDescent="0.3">
      <c r="A131" s="65" t="s">
        <v>228</v>
      </c>
      <c r="B131" s="66">
        <v>1000</v>
      </c>
      <c r="C131" s="66" t="s">
        <v>54</v>
      </c>
      <c r="D131" s="37">
        <v>5</v>
      </c>
      <c r="E131" s="37">
        <v>0</v>
      </c>
      <c r="F131" s="37">
        <v>0</v>
      </c>
      <c r="G131" s="37">
        <v>0</v>
      </c>
      <c r="H131" s="37">
        <v>5</v>
      </c>
      <c r="I131" s="37">
        <v>5</v>
      </c>
      <c r="J131" s="37">
        <v>0</v>
      </c>
      <c r="K131" s="66" t="s">
        <v>328</v>
      </c>
      <c r="L131" s="67"/>
    </row>
    <row r="132" spans="1:12" x14ac:dyDescent="0.3">
      <c r="A132" s="65" t="s">
        <v>231</v>
      </c>
      <c r="B132" s="66">
        <v>100</v>
      </c>
      <c r="C132" s="66" t="s">
        <v>54</v>
      </c>
      <c r="D132" s="37">
        <v>1</v>
      </c>
      <c r="E132" s="37">
        <v>0</v>
      </c>
      <c r="F132" s="37">
        <v>0</v>
      </c>
      <c r="G132" s="37">
        <v>0</v>
      </c>
      <c r="H132" s="37">
        <v>0</v>
      </c>
      <c r="I132" s="37">
        <v>0</v>
      </c>
      <c r="J132" s="37">
        <v>0</v>
      </c>
      <c r="K132" s="66" t="s">
        <v>328</v>
      </c>
      <c r="L132" s="67"/>
    </row>
    <row r="133" spans="1:12" x14ac:dyDescent="0.3">
      <c r="A133" s="65" t="s">
        <v>233</v>
      </c>
      <c r="B133" s="66">
        <v>100</v>
      </c>
      <c r="C133" s="66" t="s">
        <v>54</v>
      </c>
      <c r="D133" s="37">
        <v>3</v>
      </c>
      <c r="E133" s="37">
        <v>0</v>
      </c>
      <c r="F133" s="37">
        <v>0</v>
      </c>
      <c r="G133" s="37">
        <v>0</v>
      </c>
      <c r="H133" s="37">
        <v>3</v>
      </c>
      <c r="I133" s="37">
        <v>3</v>
      </c>
      <c r="J133" s="37">
        <v>0</v>
      </c>
      <c r="K133" s="66" t="s">
        <v>328</v>
      </c>
      <c r="L133" s="67"/>
    </row>
    <row r="134" spans="1:12" x14ac:dyDescent="0.3">
      <c r="A134" s="65" t="s">
        <v>243</v>
      </c>
      <c r="B134" s="66">
        <v>100000</v>
      </c>
      <c r="C134" s="66" t="s">
        <v>54</v>
      </c>
      <c r="D134" s="37">
        <v>6</v>
      </c>
      <c r="E134" s="37">
        <v>0</v>
      </c>
      <c r="F134" s="37">
        <v>0</v>
      </c>
      <c r="G134" s="37">
        <v>0</v>
      </c>
      <c r="H134" s="37">
        <v>6</v>
      </c>
      <c r="I134" s="37">
        <v>6</v>
      </c>
      <c r="J134" s="37">
        <v>0</v>
      </c>
      <c r="K134" s="66" t="s">
        <v>328</v>
      </c>
      <c r="L134" s="67"/>
    </row>
    <row r="135" spans="1:12" x14ac:dyDescent="0.3">
      <c r="A135" s="65" t="s">
        <v>245</v>
      </c>
      <c r="B135" s="66">
        <v>25000</v>
      </c>
      <c r="C135" s="66" t="s">
        <v>54</v>
      </c>
      <c r="D135" s="37">
        <v>2</v>
      </c>
      <c r="E135" s="37">
        <v>0</v>
      </c>
      <c r="F135" s="37">
        <v>0</v>
      </c>
      <c r="G135" s="37">
        <v>0</v>
      </c>
      <c r="H135" s="37">
        <v>1</v>
      </c>
      <c r="I135" s="37">
        <v>1</v>
      </c>
      <c r="J135" s="37">
        <v>0</v>
      </c>
      <c r="K135" s="66" t="s">
        <v>328</v>
      </c>
      <c r="L135" s="67"/>
    </row>
    <row r="136" spans="1:12" x14ac:dyDescent="0.3">
      <c r="A136" s="65" t="s">
        <v>67</v>
      </c>
      <c r="B136" s="66">
        <v>1000</v>
      </c>
      <c r="C136" s="66" t="s">
        <v>54</v>
      </c>
      <c r="D136" s="37">
        <v>3</v>
      </c>
      <c r="E136" s="37">
        <v>0</v>
      </c>
      <c r="F136" s="37">
        <v>0</v>
      </c>
      <c r="G136" s="37">
        <v>0</v>
      </c>
      <c r="H136" s="37">
        <v>3</v>
      </c>
      <c r="I136" s="37" t="s">
        <v>304</v>
      </c>
      <c r="J136" s="37"/>
      <c r="K136" s="66" t="s">
        <v>304</v>
      </c>
      <c r="L136" s="67"/>
    </row>
    <row r="137" spans="1:12" x14ac:dyDescent="0.3">
      <c r="A137" s="65" t="s">
        <v>69</v>
      </c>
      <c r="B137" s="66">
        <v>100000</v>
      </c>
      <c r="C137" s="66" t="s">
        <v>54</v>
      </c>
      <c r="D137" s="37">
        <v>2</v>
      </c>
      <c r="E137" s="37">
        <v>0</v>
      </c>
      <c r="F137" s="37">
        <v>0</v>
      </c>
      <c r="G137" s="37">
        <v>0</v>
      </c>
      <c r="H137" s="37">
        <v>2</v>
      </c>
      <c r="I137" s="37">
        <v>2</v>
      </c>
      <c r="J137" s="37">
        <v>0</v>
      </c>
      <c r="K137" s="66" t="s">
        <v>328</v>
      </c>
      <c r="L137" s="67"/>
    </row>
    <row r="138" spans="1:12" x14ac:dyDescent="0.3">
      <c r="A138" s="65" t="s">
        <v>75</v>
      </c>
      <c r="B138" s="66">
        <v>1000</v>
      </c>
      <c r="C138" s="66" t="s">
        <v>54</v>
      </c>
      <c r="D138" s="37">
        <v>-2</v>
      </c>
      <c r="E138" s="37">
        <v>0</v>
      </c>
      <c r="F138" s="37">
        <v>0</v>
      </c>
      <c r="G138" s="37">
        <v>0</v>
      </c>
      <c r="H138" s="37">
        <v>2</v>
      </c>
      <c r="I138" s="37">
        <v>2</v>
      </c>
      <c r="J138" s="37">
        <v>0</v>
      </c>
      <c r="K138" s="66" t="s">
        <v>328</v>
      </c>
      <c r="L138" s="67"/>
    </row>
    <row r="139" spans="1:12" x14ac:dyDescent="0.3">
      <c r="A139" s="65" t="s">
        <v>76</v>
      </c>
      <c r="B139" s="66">
        <v>100</v>
      </c>
      <c r="C139" s="66" t="s">
        <v>54</v>
      </c>
      <c r="D139" s="37">
        <v>6</v>
      </c>
      <c r="E139" s="37">
        <v>0</v>
      </c>
      <c r="F139" s="37">
        <v>0</v>
      </c>
      <c r="G139" s="37">
        <v>0</v>
      </c>
      <c r="H139" s="37">
        <v>6</v>
      </c>
      <c r="I139" s="37">
        <v>6</v>
      </c>
      <c r="J139" s="37">
        <v>0</v>
      </c>
      <c r="K139" s="66" t="s">
        <v>328</v>
      </c>
      <c r="L139" s="67"/>
    </row>
    <row r="140" spans="1:12" x14ac:dyDescent="0.3">
      <c r="A140" s="65" t="s">
        <v>82</v>
      </c>
      <c r="B140" s="66">
        <v>1000</v>
      </c>
      <c r="C140" s="66" t="s">
        <v>54</v>
      </c>
      <c r="D140" s="37">
        <v>2</v>
      </c>
      <c r="E140" s="37">
        <v>0</v>
      </c>
      <c r="F140" s="37">
        <v>0</v>
      </c>
      <c r="G140" s="37">
        <v>0</v>
      </c>
      <c r="H140" s="37">
        <v>2</v>
      </c>
      <c r="I140" s="37">
        <v>2</v>
      </c>
      <c r="J140" s="37">
        <v>0</v>
      </c>
      <c r="K140" s="66" t="s">
        <v>328</v>
      </c>
      <c r="L140" s="67"/>
    </row>
    <row r="141" spans="1:12" x14ac:dyDescent="0.3">
      <c r="A141" s="65" t="s">
        <v>85</v>
      </c>
      <c r="B141" s="66">
        <v>1000</v>
      </c>
      <c r="C141" s="66" t="s">
        <v>54</v>
      </c>
      <c r="D141" s="37">
        <v>5</v>
      </c>
      <c r="E141" s="37">
        <v>0</v>
      </c>
      <c r="F141" s="37">
        <v>0</v>
      </c>
      <c r="G141" s="37">
        <v>0</v>
      </c>
      <c r="H141" s="37">
        <v>5</v>
      </c>
      <c r="I141" s="37">
        <v>5</v>
      </c>
      <c r="J141" s="37">
        <v>0</v>
      </c>
      <c r="K141" s="66" t="s">
        <v>328</v>
      </c>
      <c r="L141" s="67"/>
    </row>
    <row r="142" spans="1:12" x14ac:dyDescent="0.3">
      <c r="A142" s="65" t="s">
        <v>87</v>
      </c>
      <c r="B142" s="66">
        <v>100000</v>
      </c>
      <c r="C142" s="66" t="s">
        <v>54</v>
      </c>
      <c r="D142" s="37">
        <v>2</v>
      </c>
      <c r="E142" s="37">
        <v>0</v>
      </c>
      <c r="F142" s="37">
        <v>0</v>
      </c>
      <c r="G142" s="37">
        <v>0</v>
      </c>
      <c r="H142" s="37">
        <v>2</v>
      </c>
      <c r="I142" s="37">
        <v>2</v>
      </c>
      <c r="J142" s="37">
        <v>0</v>
      </c>
      <c r="K142" s="66" t="s">
        <v>328</v>
      </c>
      <c r="L142" s="67"/>
    </row>
    <row r="143" spans="1:12" x14ac:dyDescent="0.3">
      <c r="A143" s="65" t="s">
        <v>88</v>
      </c>
      <c r="B143" s="66">
        <v>100000</v>
      </c>
      <c r="C143" s="66" t="s">
        <v>54</v>
      </c>
      <c r="D143" s="37">
        <v>1</v>
      </c>
      <c r="E143" s="37">
        <v>0</v>
      </c>
      <c r="F143" s="37">
        <v>0</v>
      </c>
      <c r="G143" s="37">
        <v>0</v>
      </c>
      <c r="H143" s="37">
        <v>1</v>
      </c>
      <c r="I143" s="37">
        <v>1</v>
      </c>
      <c r="J143" s="37">
        <v>0</v>
      </c>
      <c r="K143" s="66" t="s">
        <v>328</v>
      </c>
      <c r="L143" s="67"/>
    </row>
    <row r="144" spans="1:12" x14ac:dyDescent="0.3">
      <c r="A144" s="65" t="s">
        <v>92</v>
      </c>
      <c r="B144" s="66">
        <v>100</v>
      </c>
      <c r="C144" s="66" t="s">
        <v>54</v>
      </c>
      <c r="D144" s="37">
        <v>2</v>
      </c>
      <c r="E144" s="37">
        <v>0</v>
      </c>
      <c r="F144" s="37">
        <v>0</v>
      </c>
      <c r="G144" s="37">
        <v>0</v>
      </c>
      <c r="H144" s="37">
        <v>4</v>
      </c>
      <c r="I144" s="37">
        <v>4</v>
      </c>
      <c r="J144" s="37">
        <v>0</v>
      </c>
      <c r="K144" s="66" t="s">
        <v>328</v>
      </c>
      <c r="L144" s="67"/>
    </row>
    <row r="145" spans="1:12" x14ac:dyDescent="0.3">
      <c r="A145" s="65" t="s">
        <v>93</v>
      </c>
      <c r="B145" s="66">
        <v>100000</v>
      </c>
      <c r="C145" s="66" t="s">
        <v>54</v>
      </c>
      <c r="D145" s="37">
        <v>2</v>
      </c>
      <c r="E145" s="37">
        <v>0</v>
      </c>
      <c r="F145" s="37">
        <v>0</v>
      </c>
      <c r="G145" s="37">
        <v>0</v>
      </c>
      <c r="H145" s="37">
        <v>2</v>
      </c>
      <c r="I145" s="37">
        <v>2</v>
      </c>
      <c r="J145" s="37">
        <v>0</v>
      </c>
      <c r="K145" s="66" t="s">
        <v>328</v>
      </c>
      <c r="L145" s="67"/>
    </row>
    <row r="146" spans="1:12" x14ac:dyDescent="0.3">
      <c r="A146" s="65" t="s">
        <v>100</v>
      </c>
      <c r="B146" s="66">
        <v>100</v>
      </c>
      <c r="C146" s="66" t="s">
        <v>54</v>
      </c>
      <c r="D146" s="37">
        <v>3</v>
      </c>
      <c r="E146" s="37">
        <v>0</v>
      </c>
      <c r="F146" s="37">
        <v>0</v>
      </c>
      <c r="G146" s="37">
        <v>0</v>
      </c>
      <c r="H146" s="37">
        <v>3</v>
      </c>
      <c r="I146" s="37">
        <v>3</v>
      </c>
      <c r="J146" s="37">
        <v>0</v>
      </c>
      <c r="K146" s="66" t="s">
        <v>328</v>
      </c>
      <c r="L146" s="67"/>
    </row>
    <row r="147" spans="1:12" x14ac:dyDescent="0.3">
      <c r="A147" s="65" t="s">
        <v>101</v>
      </c>
      <c r="B147" s="66">
        <v>1000</v>
      </c>
      <c r="C147" s="66" t="s">
        <v>54</v>
      </c>
      <c r="D147" s="37">
        <v>7</v>
      </c>
      <c r="E147" s="37">
        <v>0</v>
      </c>
      <c r="F147" s="37">
        <v>0</v>
      </c>
      <c r="G147" s="37">
        <v>0</v>
      </c>
      <c r="H147" s="37">
        <v>3</v>
      </c>
      <c r="I147" s="37">
        <v>3</v>
      </c>
      <c r="J147" s="37">
        <v>0</v>
      </c>
      <c r="K147" s="66" t="s">
        <v>328</v>
      </c>
      <c r="L147" s="67"/>
    </row>
    <row r="148" spans="1:12" x14ac:dyDescent="0.3">
      <c r="A148" s="65" t="s">
        <v>103</v>
      </c>
      <c r="B148" s="66">
        <v>1000</v>
      </c>
      <c r="C148" s="66" t="s">
        <v>54</v>
      </c>
      <c r="D148" s="37">
        <v>1</v>
      </c>
      <c r="E148" s="37">
        <v>0</v>
      </c>
      <c r="F148" s="37">
        <v>0</v>
      </c>
      <c r="G148" s="37">
        <v>0</v>
      </c>
      <c r="H148" s="37">
        <v>1</v>
      </c>
      <c r="I148" s="37" t="s">
        <v>304</v>
      </c>
      <c r="J148" s="37"/>
      <c r="K148" s="66" t="s">
        <v>304</v>
      </c>
      <c r="L148" s="67"/>
    </row>
    <row r="149" spans="1:12" x14ac:dyDescent="0.3">
      <c r="A149" s="65" t="s">
        <v>105</v>
      </c>
      <c r="B149" s="66">
        <v>100000</v>
      </c>
      <c r="C149" s="66" t="s">
        <v>54</v>
      </c>
      <c r="D149" s="37">
        <v>2</v>
      </c>
      <c r="E149" s="37">
        <v>0</v>
      </c>
      <c r="F149" s="37">
        <v>0</v>
      </c>
      <c r="G149" s="37">
        <v>0</v>
      </c>
      <c r="H149" s="37">
        <v>2</v>
      </c>
      <c r="I149" s="37">
        <v>2</v>
      </c>
      <c r="J149" s="37">
        <v>0</v>
      </c>
      <c r="K149" s="66" t="s">
        <v>328</v>
      </c>
      <c r="L149" s="67"/>
    </row>
    <row r="150" spans="1:12" x14ac:dyDescent="0.3">
      <c r="A150" s="65" t="s">
        <v>107</v>
      </c>
      <c r="B150" s="66">
        <v>100000</v>
      </c>
      <c r="C150" s="66" t="s">
        <v>54</v>
      </c>
      <c r="D150" s="37">
        <v>5</v>
      </c>
      <c r="E150" s="37">
        <v>0</v>
      </c>
      <c r="F150" s="37">
        <v>0</v>
      </c>
      <c r="G150" s="37">
        <v>0</v>
      </c>
      <c r="H150" s="37">
        <v>5</v>
      </c>
      <c r="I150" s="37">
        <v>5</v>
      </c>
      <c r="J150" s="37">
        <v>0</v>
      </c>
      <c r="K150" s="66" t="s">
        <v>328</v>
      </c>
      <c r="L150" s="67"/>
    </row>
    <row r="151" spans="1:12" x14ac:dyDescent="0.3">
      <c r="A151" s="65" t="s">
        <v>108</v>
      </c>
      <c r="B151" s="66">
        <v>100</v>
      </c>
      <c r="C151" s="66" t="s">
        <v>54</v>
      </c>
      <c r="D151" s="37">
        <v>3</v>
      </c>
      <c r="E151" s="37">
        <v>0</v>
      </c>
      <c r="F151" s="37">
        <v>0</v>
      </c>
      <c r="G151" s="37">
        <v>0</v>
      </c>
      <c r="H151" s="37">
        <v>3</v>
      </c>
      <c r="I151" s="37">
        <v>3</v>
      </c>
      <c r="J151" s="37">
        <v>0</v>
      </c>
      <c r="K151" s="66" t="s">
        <v>328</v>
      </c>
      <c r="L151" s="67"/>
    </row>
    <row r="152" spans="1:12" x14ac:dyDescent="0.3">
      <c r="A152" s="65" t="s">
        <v>111</v>
      </c>
      <c r="B152" s="66">
        <v>1000</v>
      </c>
      <c r="C152" s="66" t="s">
        <v>54</v>
      </c>
      <c r="D152" s="37">
        <v>3</v>
      </c>
      <c r="E152" s="37">
        <v>0</v>
      </c>
      <c r="F152" s="37">
        <v>0</v>
      </c>
      <c r="G152" s="37">
        <v>0</v>
      </c>
      <c r="H152" s="37">
        <v>3</v>
      </c>
      <c r="I152" s="37">
        <v>3</v>
      </c>
      <c r="J152" s="37">
        <v>0</v>
      </c>
      <c r="K152" s="66" t="s">
        <v>328</v>
      </c>
      <c r="L152" s="67"/>
    </row>
    <row r="153" spans="1:12" x14ac:dyDescent="0.3">
      <c r="A153" s="65" t="s">
        <v>112</v>
      </c>
      <c r="B153" s="66">
        <v>1000</v>
      </c>
      <c r="C153" s="66" t="s">
        <v>54</v>
      </c>
      <c r="D153" s="37">
        <v>2</v>
      </c>
      <c r="E153" s="37">
        <v>0</v>
      </c>
      <c r="F153" s="37">
        <v>0</v>
      </c>
      <c r="G153" s="37">
        <v>0</v>
      </c>
      <c r="H153" s="37">
        <v>2</v>
      </c>
      <c r="I153" s="37" t="s">
        <v>304</v>
      </c>
      <c r="J153" s="37"/>
      <c r="K153" s="66" t="s">
        <v>304</v>
      </c>
      <c r="L153" s="67"/>
    </row>
    <row r="154" spans="1:12" x14ac:dyDescent="0.3">
      <c r="A154" s="65" t="s">
        <v>113</v>
      </c>
      <c r="B154" s="66">
        <v>1000</v>
      </c>
      <c r="C154" s="66" t="s">
        <v>54</v>
      </c>
      <c r="D154" s="37">
        <v>4</v>
      </c>
      <c r="E154" s="37">
        <v>0</v>
      </c>
      <c r="F154" s="37">
        <v>0</v>
      </c>
      <c r="G154" s="37">
        <v>0</v>
      </c>
      <c r="H154" s="37">
        <v>4</v>
      </c>
      <c r="I154" s="37">
        <v>4</v>
      </c>
      <c r="J154" s="37">
        <v>0</v>
      </c>
      <c r="K154" s="66" t="s">
        <v>328</v>
      </c>
      <c r="L154" s="67"/>
    </row>
    <row r="155" spans="1:12" x14ac:dyDescent="0.3">
      <c r="A155" s="65" t="s">
        <v>116</v>
      </c>
      <c r="B155" s="66">
        <v>5000</v>
      </c>
      <c r="C155" s="66" t="s">
        <v>54</v>
      </c>
      <c r="D155" s="37">
        <v>1</v>
      </c>
      <c r="E155" s="37">
        <v>0</v>
      </c>
      <c r="F155" s="37">
        <v>0</v>
      </c>
      <c r="G155" s="37">
        <v>0</v>
      </c>
      <c r="H155" s="37">
        <v>1</v>
      </c>
      <c r="I155" s="37">
        <v>1</v>
      </c>
      <c r="J155" s="37">
        <v>0</v>
      </c>
      <c r="K155" s="66" t="s">
        <v>328</v>
      </c>
      <c r="L155" s="67"/>
    </row>
    <row r="156" spans="1:12" x14ac:dyDescent="0.3">
      <c r="A156" s="65" t="s">
        <v>118</v>
      </c>
      <c r="B156" s="66">
        <v>5000</v>
      </c>
      <c r="C156" s="66" t="s">
        <v>54</v>
      </c>
      <c r="D156" s="37">
        <v>3</v>
      </c>
      <c r="E156" s="37">
        <v>0</v>
      </c>
      <c r="F156" s="37">
        <v>0</v>
      </c>
      <c r="G156" s="37">
        <v>0</v>
      </c>
      <c r="H156" s="37">
        <v>3</v>
      </c>
      <c r="I156" s="37">
        <v>3</v>
      </c>
      <c r="J156" s="37">
        <v>0</v>
      </c>
      <c r="K156" s="66" t="s">
        <v>328</v>
      </c>
      <c r="L156" s="67"/>
    </row>
    <row r="157" spans="1:12" x14ac:dyDescent="0.3">
      <c r="A157" s="65" t="s">
        <v>119</v>
      </c>
      <c r="B157" s="66">
        <v>100</v>
      </c>
      <c r="C157" s="66" t="s">
        <v>54</v>
      </c>
      <c r="D157" s="37">
        <v>-6</v>
      </c>
      <c r="E157" s="37">
        <v>0</v>
      </c>
      <c r="F157" s="37">
        <v>0</v>
      </c>
      <c r="G157" s="37">
        <v>0</v>
      </c>
      <c r="H157" s="37">
        <v>-6</v>
      </c>
      <c r="I157" s="37" t="s">
        <v>304</v>
      </c>
      <c r="J157" s="37"/>
      <c r="K157" s="66" t="s">
        <v>304</v>
      </c>
      <c r="L157" s="67"/>
    </row>
    <row r="158" spans="1:12" x14ac:dyDescent="0.3">
      <c r="A158" s="65" t="s">
        <v>121</v>
      </c>
      <c r="B158" s="66">
        <v>100</v>
      </c>
      <c r="C158" s="66" t="s">
        <v>54</v>
      </c>
      <c r="D158" s="37">
        <v>5</v>
      </c>
      <c r="E158" s="37">
        <v>0</v>
      </c>
      <c r="F158" s="37">
        <v>0</v>
      </c>
      <c r="G158" s="37">
        <v>0</v>
      </c>
      <c r="H158" s="37">
        <v>5</v>
      </c>
      <c r="I158" s="37">
        <v>5</v>
      </c>
      <c r="J158" s="37">
        <v>0</v>
      </c>
      <c r="K158" s="66" t="s">
        <v>328</v>
      </c>
      <c r="L158" s="67"/>
    </row>
    <row r="159" spans="1:12" x14ac:dyDescent="0.3">
      <c r="A159" s="65" t="s">
        <v>122</v>
      </c>
      <c r="B159" s="66">
        <v>1000</v>
      </c>
      <c r="C159" s="66" t="s">
        <v>54</v>
      </c>
      <c r="D159" s="37">
        <v>2</v>
      </c>
      <c r="E159" s="37">
        <v>0</v>
      </c>
      <c r="F159" s="37">
        <v>0</v>
      </c>
      <c r="G159" s="37">
        <v>0</v>
      </c>
      <c r="H159" s="37">
        <v>2</v>
      </c>
      <c r="I159" s="37" t="s">
        <v>304</v>
      </c>
      <c r="J159" s="37"/>
      <c r="K159" s="66" t="s">
        <v>304</v>
      </c>
      <c r="L159" s="67"/>
    </row>
    <row r="160" spans="1:12" x14ac:dyDescent="0.3">
      <c r="A160" s="65" t="s">
        <v>125</v>
      </c>
      <c r="B160" s="66">
        <v>1000</v>
      </c>
      <c r="C160" s="66" t="s">
        <v>54</v>
      </c>
      <c r="D160" s="37">
        <v>4</v>
      </c>
      <c r="E160" s="37">
        <v>0</v>
      </c>
      <c r="F160" s="37">
        <v>0</v>
      </c>
      <c r="G160" s="37">
        <v>0</v>
      </c>
      <c r="H160" s="37">
        <v>2</v>
      </c>
      <c r="I160" s="37">
        <v>2</v>
      </c>
      <c r="J160" s="37">
        <v>0</v>
      </c>
      <c r="K160" s="66" t="s">
        <v>328</v>
      </c>
      <c r="L160" s="67"/>
    </row>
    <row r="161" spans="1:12" x14ac:dyDescent="0.3">
      <c r="A161" s="65" t="s">
        <v>126</v>
      </c>
      <c r="B161" s="66">
        <v>1000</v>
      </c>
      <c r="C161" s="66" t="s">
        <v>54</v>
      </c>
      <c r="D161" s="37">
        <v>0</v>
      </c>
      <c r="E161" s="37">
        <v>0</v>
      </c>
      <c r="F161" s="37">
        <v>0</v>
      </c>
      <c r="G161" s="37">
        <v>0</v>
      </c>
      <c r="H161" s="37">
        <v>3</v>
      </c>
      <c r="I161" s="37">
        <v>3</v>
      </c>
      <c r="J161" s="37">
        <v>0</v>
      </c>
      <c r="K161" s="66" t="s">
        <v>328</v>
      </c>
      <c r="L161" s="67"/>
    </row>
    <row r="162" spans="1:12" x14ac:dyDescent="0.3">
      <c r="A162" s="65" t="s">
        <v>136</v>
      </c>
      <c r="B162" s="66">
        <v>100000</v>
      </c>
      <c r="C162" s="66" t="s">
        <v>54</v>
      </c>
      <c r="D162" s="37">
        <v>1</v>
      </c>
      <c r="E162" s="37">
        <v>0</v>
      </c>
      <c r="F162" s="37">
        <v>1</v>
      </c>
      <c r="G162" s="37">
        <v>0</v>
      </c>
      <c r="H162" s="37">
        <v>1</v>
      </c>
      <c r="I162" s="37">
        <v>1</v>
      </c>
      <c r="J162" s="37">
        <v>0</v>
      </c>
      <c r="K162" s="66" t="s">
        <v>328</v>
      </c>
      <c r="L162" s="67"/>
    </row>
    <row r="163" spans="1:12" x14ac:dyDescent="0.3">
      <c r="A163" s="65" t="s">
        <v>137</v>
      </c>
      <c r="B163" s="66">
        <v>1000</v>
      </c>
      <c r="C163" s="66" t="s">
        <v>54</v>
      </c>
      <c r="D163" s="37">
        <v>5</v>
      </c>
      <c r="E163" s="37">
        <v>0</v>
      </c>
      <c r="F163" s="37">
        <v>0</v>
      </c>
      <c r="G163" s="37">
        <v>0</v>
      </c>
      <c r="H163" s="37">
        <v>5</v>
      </c>
      <c r="I163" s="37">
        <v>5</v>
      </c>
      <c r="J163" s="37">
        <v>0</v>
      </c>
      <c r="K163" s="66" t="s">
        <v>328</v>
      </c>
      <c r="L163" s="67"/>
    </row>
    <row r="164" spans="1:12" x14ac:dyDescent="0.3">
      <c r="A164" s="65" t="s">
        <v>139</v>
      </c>
      <c r="B164" s="66">
        <v>100</v>
      </c>
      <c r="C164" s="66" t="s">
        <v>54</v>
      </c>
      <c r="D164" s="37">
        <v>8</v>
      </c>
      <c r="E164" s="37">
        <v>0</v>
      </c>
      <c r="F164" s="37">
        <v>0</v>
      </c>
      <c r="G164" s="37">
        <v>0</v>
      </c>
      <c r="H164" s="37">
        <v>8</v>
      </c>
      <c r="I164" s="37">
        <v>8</v>
      </c>
      <c r="J164" s="37">
        <v>0</v>
      </c>
      <c r="K164" s="66" t="s">
        <v>328</v>
      </c>
      <c r="L164" s="67"/>
    </row>
    <row r="165" spans="1:12" x14ac:dyDescent="0.3">
      <c r="A165" s="65" t="s">
        <v>140</v>
      </c>
      <c r="B165" s="66">
        <v>1000</v>
      </c>
      <c r="C165" s="66" t="s">
        <v>54</v>
      </c>
      <c r="D165" s="37">
        <v>7</v>
      </c>
      <c r="E165" s="37">
        <v>0</v>
      </c>
      <c r="F165" s="37">
        <v>0</v>
      </c>
      <c r="G165" s="37">
        <v>0</v>
      </c>
      <c r="H165" s="37">
        <v>7</v>
      </c>
      <c r="I165" s="37">
        <v>7</v>
      </c>
      <c r="J165" s="37">
        <v>0</v>
      </c>
      <c r="K165" s="66" t="s">
        <v>328</v>
      </c>
      <c r="L165" s="67"/>
    </row>
    <row r="166" spans="1:12" x14ac:dyDescent="0.3">
      <c r="A166" s="65" t="s">
        <v>144</v>
      </c>
      <c r="B166" s="66">
        <v>1000</v>
      </c>
      <c r="C166" s="66" t="s">
        <v>54</v>
      </c>
      <c r="D166" s="37">
        <v>1</v>
      </c>
      <c r="E166" s="37">
        <v>0</v>
      </c>
      <c r="F166" s="37">
        <v>1</v>
      </c>
      <c r="G166" s="37">
        <v>0</v>
      </c>
      <c r="H166" s="37">
        <v>0</v>
      </c>
      <c r="I166" s="37">
        <v>0</v>
      </c>
      <c r="J166" s="37">
        <v>0</v>
      </c>
      <c r="K166" s="66" t="s">
        <v>328</v>
      </c>
      <c r="L166" s="67"/>
    </row>
    <row r="167" spans="1:12" x14ac:dyDescent="0.3">
      <c r="A167" s="65" t="s">
        <v>145</v>
      </c>
      <c r="B167" s="66">
        <v>1000</v>
      </c>
      <c r="C167" s="66" t="s">
        <v>54</v>
      </c>
      <c r="D167" s="37">
        <v>5</v>
      </c>
      <c r="E167" s="37">
        <v>0</v>
      </c>
      <c r="F167" s="37">
        <v>0</v>
      </c>
      <c r="G167" s="37">
        <v>0</v>
      </c>
      <c r="H167" s="37">
        <v>5</v>
      </c>
      <c r="I167" s="37" t="s">
        <v>304</v>
      </c>
      <c r="J167" s="37"/>
      <c r="K167" s="66" t="s">
        <v>304</v>
      </c>
      <c r="L167" s="67"/>
    </row>
    <row r="168" spans="1:12" x14ac:dyDescent="0.3">
      <c r="A168" s="65" t="s">
        <v>146</v>
      </c>
      <c r="B168" s="66">
        <v>1000</v>
      </c>
      <c r="C168" s="66" t="s">
        <v>54</v>
      </c>
      <c r="D168" s="37">
        <v>0</v>
      </c>
      <c r="E168" s="37">
        <v>0</v>
      </c>
      <c r="F168" s="37">
        <v>0</v>
      </c>
      <c r="G168" s="37">
        <v>0</v>
      </c>
      <c r="H168" s="37">
        <v>0</v>
      </c>
      <c r="I168" s="37" t="s">
        <v>304</v>
      </c>
      <c r="J168" s="37"/>
      <c r="K168" s="66" t="s">
        <v>304</v>
      </c>
      <c r="L168" s="67"/>
    </row>
    <row r="169" spans="1:12" x14ac:dyDescent="0.3">
      <c r="A169" s="65" t="s">
        <v>150</v>
      </c>
      <c r="B169" s="66">
        <v>10000</v>
      </c>
      <c r="C169" s="66" t="s">
        <v>54</v>
      </c>
      <c r="D169" s="37">
        <v>1</v>
      </c>
      <c r="E169" s="37">
        <v>0</v>
      </c>
      <c r="F169" s="37">
        <v>0</v>
      </c>
      <c r="G169" s="37">
        <v>0</v>
      </c>
      <c r="H169" s="37">
        <v>1</v>
      </c>
      <c r="I169" s="37" t="s">
        <v>304</v>
      </c>
      <c r="J169" s="37"/>
      <c r="K169" s="66" t="s">
        <v>304</v>
      </c>
      <c r="L169" s="67"/>
    </row>
    <row r="170" spans="1:12" x14ac:dyDescent="0.3">
      <c r="A170" s="65" t="s">
        <v>151</v>
      </c>
      <c r="B170" s="66">
        <v>100000</v>
      </c>
      <c r="C170" s="66" t="s">
        <v>54</v>
      </c>
      <c r="D170" s="37">
        <v>2</v>
      </c>
      <c r="E170" s="37">
        <v>0</v>
      </c>
      <c r="F170" s="37">
        <v>0</v>
      </c>
      <c r="G170" s="37">
        <v>0</v>
      </c>
      <c r="H170" s="37">
        <v>2</v>
      </c>
      <c r="I170" s="37" t="s">
        <v>304</v>
      </c>
      <c r="J170" s="37"/>
      <c r="K170" s="66" t="s">
        <v>304</v>
      </c>
      <c r="L170" s="67"/>
    </row>
    <row r="171" spans="1:12" x14ac:dyDescent="0.3">
      <c r="A171" s="65" t="s">
        <v>153</v>
      </c>
      <c r="B171" s="66">
        <v>100</v>
      </c>
      <c r="C171" s="66" t="s">
        <v>54</v>
      </c>
      <c r="D171" s="37">
        <v>0</v>
      </c>
      <c r="E171" s="37">
        <v>0</v>
      </c>
      <c r="F171" s="37">
        <v>0</v>
      </c>
      <c r="G171" s="37">
        <v>0</v>
      </c>
      <c r="H171" s="37">
        <v>0</v>
      </c>
      <c r="I171" s="37" t="s">
        <v>304</v>
      </c>
      <c r="J171" s="37"/>
      <c r="K171" s="66" t="s">
        <v>304</v>
      </c>
      <c r="L171" s="67"/>
    </row>
    <row r="172" spans="1:12" x14ac:dyDescent="0.3">
      <c r="A172" s="65" t="s">
        <v>155</v>
      </c>
      <c r="B172" s="66">
        <v>100</v>
      </c>
      <c r="C172" s="66" t="s">
        <v>54</v>
      </c>
      <c r="D172" s="37">
        <v>1</v>
      </c>
      <c r="E172" s="37">
        <v>0</v>
      </c>
      <c r="F172" s="37">
        <v>0</v>
      </c>
      <c r="G172" s="37">
        <v>0</v>
      </c>
      <c r="H172" s="37">
        <v>1</v>
      </c>
      <c r="I172" s="37" t="s">
        <v>304</v>
      </c>
      <c r="J172" s="37"/>
      <c r="K172" s="66" t="s">
        <v>304</v>
      </c>
      <c r="L172" s="67"/>
    </row>
    <row r="173" spans="1:12" x14ac:dyDescent="0.3">
      <c r="A173" s="65" t="s">
        <v>156</v>
      </c>
      <c r="B173" s="66">
        <v>2500</v>
      </c>
      <c r="C173" s="66" t="s">
        <v>54</v>
      </c>
      <c r="D173" s="37">
        <v>-3</v>
      </c>
      <c r="E173" s="37">
        <v>0</v>
      </c>
      <c r="F173" s="37">
        <v>0</v>
      </c>
      <c r="G173" s="37">
        <v>0</v>
      </c>
      <c r="H173" s="37">
        <v>-3</v>
      </c>
      <c r="I173" s="37" t="s">
        <v>304</v>
      </c>
      <c r="J173" s="37"/>
      <c r="K173" s="66" t="s">
        <v>304</v>
      </c>
      <c r="L173" s="67"/>
    </row>
    <row r="174" spans="1:12" x14ac:dyDescent="0.3">
      <c r="A174" s="65" t="s">
        <v>164</v>
      </c>
      <c r="B174" s="66">
        <v>100</v>
      </c>
      <c r="C174" s="66" t="s">
        <v>54</v>
      </c>
      <c r="D174" s="37">
        <v>2</v>
      </c>
      <c r="E174" s="37">
        <v>0</v>
      </c>
      <c r="F174" s="37">
        <v>0</v>
      </c>
      <c r="G174" s="37">
        <v>0</v>
      </c>
      <c r="H174" s="37">
        <v>2</v>
      </c>
      <c r="I174" s="37" t="s">
        <v>304</v>
      </c>
      <c r="J174" s="37"/>
      <c r="K174" s="66" t="s">
        <v>304</v>
      </c>
      <c r="L174" s="67"/>
    </row>
    <row r="175" spans="1:12" x14ac:dyDescent="0.3">
      <c r="A175" s="65" t="s">
        <v>165</v>
      </c>
      <c r="B175" s="66">
        <v>100000</v>
      </c>
      <c r="C175" s="66" t="s">
        <v>54</v>
      </c>
      <c r="D175" s="37">
        <v>2</v>
      </c>
      <c r="E175" s="37">
        <v>0</v>
      </c>
      <c r="F175" s="37">
        <v>0</v>
      </c>
      <c r="G175" s="37">
        <v>0</v>
      </c>
      <c r="H175" s="37">
        <v>2</v>
      </c>
      <c r="I175" s="37" t="s">
        <v>304</v>
      </c>
      <c r="J175" s="37"/>
      <c r="K175" s="66" t="s">
        <v>304</v>
      </c>
      <c r="L175" s="67"/>
    </row>
    <row r="176" spans="1:12" x14ac:dyDescent="0.3">
      <c r="A176" s="65" t="s">
        <v>165</v>
      </c>
      <c r="B176" s="66">
        <v>25000</v>
      </c>
      <c r="C176" s="66" t="s">
        <v>54</v>
      </c>
      <c r="D176" s="37">
        <v>-3</v>
      </c>
      <c r="E176" s="37">
        <v>0</v>
      </c>
      <c r="F176" s="37">
        <v>0</v>
      </c>
      <c r="G176" s="37">
        <v>0</v>
      </c>
      <c r="H176" s="37">
        <v>-3</v>
      </c>
      <c r="I176" s="37" t="s">
        <v>304</v>
      </c>
      <c r="J176" s="37"/>
      <c r="K176" s="66" t="s">
        <v>304</v>
      </c>
      <c r="L176" s="67"/>
    </row>
    <row r="177" spans="1:12" x14ac:dyDescent="0.3">
      <c r="A177" s="65" t="s">
        <v>166</v>
      </c>
      <c r="B177" s="66">
        <v>100000</v>
      </c>
      <c r="C177" s="66" t="s">
        <v>54</v>
      </c>
      <c r="D177" s="37">
        <v>2</v>
      </c>
      <c r="E177" s="37">
        <v>0</v>
      </c>
      <c r="F177" s="37">
        <v>0</v>
      </c>
      <c r="G177" s="37">
        <v>0</v>
      </c>
      <c r="H177" s="37">
        <v>0</v>
      </c>
      <c r="I177" s="37">
        <v>0</v>
      </c>
      <c r="J177" s="37">
        <v>0</v>
      </c>
      <c r="K177" s="66" t="s">
        <v>328</v>
      </c>
      <c r="L177" s="67"/>
    </row>
    <row r="178" spans="1:12" x14ac:dyDescent="0.3">
      <c r="A178" s="65" t="s">
        <v>168</v>
      </c>
      <c r="B178" s="66">
        <v>100</v>
      </c>
      <c r="C178" s="66" t="s">
        <v>54</v>
      </c>
      <c r="D178" s="37">
        <v>1</v>
      </c>
      <c r="E178" s="37">
        <v>0</v>
      </c>
      <c r="F178" s="37">
        <v>0</v>
      </c>
      <c r="G178" s="37">
        <v>0</v>
      </c>
      <c r="H178" s="37">
        <v>1</v>
      </c>
      <c r="I178" s="37" t="s">
        <v>304</v>
      </c>
      <c r="J178" s="37"/>
      <c r="K178" s="66" t="s">
        <v>304</v>
      </c>
      <c r="L178" s="67"/>
    </row>
    <row r="179" spans="1:12" x14ac:dyDescent="0.3">
      <c r="A179" s="65" t="s">
        <v>169</v>
      </c>
      <c r="B179" s="66">
        <v>1000</v>
      </c>
      <c r="C179" s="66" t="s">
        <v>54</v>
      </c>
      <c r="D179" s="37">
        <v>2</v>
      </c>
      <c r="E179" s="37">
        <v>0</v>
      </c>
      <c r="F179" s="37">
        <v>0</v>
      </c>
      <c r="G179" s="37">
        <v>0</v>
      </c>
      <c r="H179" s="37">
        <v>2</v>
      </c>
      <c r="I179" s="37" t="s">
        <v>304</v>
      </c>
      <c r="J179" s="37"/>
      <c r="K179" s="66" t="s">
        <v>304</v>
      </c>
      <c r="L179" s="67"/>
    </row>
    <row r="180" spans="1:12" x14ac:dyDescent="0.3">
      <c r="A180" s="65" t="s">
        <v>172</v>
      </c>
      <c r="B180" s="66">
        <v>100</v>
      </c>
      <c r="C180" s="66" t="s">
        <v>54</v>
      </c>
      <c r="D180" s="37">
        <v>10</v>
      </c>
      <c r="E180" s="37">
        <v>0</v>
      </c>
      <c r="F180" s="37">
        <v>0</v>
      </c>
      <c r="G180" s="37">
        <v>0</v>
      </c>
      <c r="H180" s="37">
        <v>10</v>
      </c>
      <c r="I180" s="37" t="s">
        <v>304</v>
      </c>
      <c r="J180" s="37"/>
      <c r="K180" s="66" t="s">
        <v>304</v>
      </c>
      <c r="L180" s="67"/>
    </row>
    <row r="181" spans="1:12" x14ac:dyDescent="0.3">
      <c r="A181" s="65" t="s">
        <v>173</v>
      </c>
      <c r="B181" s="66">
        <v>100</v>
      </c>
      <c r="C181" s="66" t="s">
        <v>54</v>
      </c>
      <c r="D181" s="37">
        <v>4</v>
      </c>
      <c r="E181" s="37">
        <v>0</v>
      </c>
      <c r="F181" s="37">
        <v>0</v>
      </c>
      <c r="G181" s="37">
        <v>0</v>
      </c>
      <c r="H181" s="37">
        <v>10</v>
      </c>
      <c r="I181" s="37">
        <v>10</v>
      </c>
      <c r="J181" s="37">
        <v>0</v>
      </c>
      <c r="K181" s="66" t="s">
        <v>328</v>
      </c>
      <c r="L181" s="67"/>
    </row>
    <row r="182" spans="1:12" x14ac:dyDescent="0.3">
      <c r="A182" s="65" t="s">
        <v>174</v>
      </c>
      <c r="B182" s="66">
        <v>100</v>
      </c>
      <c r="C182" s="66" t="s">
        <v>54</v>
      </c>
      <c r="D182" s="37">
        <v>4</v>
      </c>
      <c r="E182" s="37">
        <v>0</v>
      </c>
      <c r="F182" s="37">
        <v>0</v>
      </c>
      <c r="G182" s="37">
        <v>0</v>
      </c>
      <c r="H182" s="37">
        <v>4</v>
      </c>
      <c r="I182" s="37" t="s">
        <v>304</v>
      </c>
      <c r="J182" s="37"/>
      <c r="K182" s="66" t="s">
        <v>304</v>
      </c>
      <c r="L182" s="67"/>
    </row>
    <row r="183" spans="1:12" x14ac:dyDescent="0.3">
      <c r="A183" s="65" t="s">
        <v>179</v>
      </c>
      <c r="B183" s="66">
        <v>2500</v>
      </c>
      <c r="C183" s="66" t="s">
        <v>54</v>
      </c>
      <c r="D183" s="37">
        <v>3</v>
      </c>
      <c r="E183" s="37">
        <v>0</v>
      </c>
      <c r="F183" s="37">
        <v>0</v>
      </c>
      <c r="G183" s="37">
        <v>0</v>
      </c>
      <c r="H183" s="37">
        <v>2</v>
      </c>
      <c r="I183" s="37">
        <v>2</v>
      </c>
      <c r="J183" s="37">
        <v>0</v>
      </c>
      <c r="K183" s="66" t="s">
        <v>328</v>
      </c>
      <c r="L183" s="67"/>
    </row>
    <row r="184" spans="1:12" x14ac:dyDescent="0.3">
      <c r="A184" s="65" t="s">
        <v>180</v>
      </c>
      <c r="B184" s="66">
        <v>1000</v>
      </c>
      <c r="C184" s="66" t="s">
        <v>54</v>
      </c>
      <c r="D184" s="37">
        <v>2</v>
      </c>
      <c r="E184" s="37">
        <v>0</v>
      </c>
      <c r="F184" s="37">
        <v>0</v>
      </c>
      <c r="G184" s="37">
        <v>0</v>
      </c>
      <c r="H184" s="37">
        <v>2</v>
      </c>
      <c r="I184" s="37" t="s">
        <v>304</v>
      </c>
      <c r="J184" s="37"/>
      <c r="K184" s="66" t="s">
        <v>304</v>
      </c>
      <c r="L184" s="67"/>
    </row>
    <row r="185" spans="1:12" x14ac:dyDescent="0.3">
      <c r="A185" s="65" t="s">
        <v>182</v>
      </c>
      <c r="B185" s="66">
        <v>1000</v>
      </c>
      <c r="C185" s="66" t="s">
        <v>54</v>
      </c>
      <c r="D185" s="37">
        <v>4</v>
      </c>
      <c r="E185" s="37">
        <v>0</v>
      </c>
      <c r="F185" s="37">
        <v>0</v>
      </c>
      <c r="G185" s="37">
        <v>0</v>
      </c>
      <c r="H185" s="37">
        <v>4</v>
      </c>
      <c r="I185" s="37" t="s">
        <v>304</v>
      </c>
      <c r="J185" s="37"/>
      <c r="K185" s="66" t="s">
        <v>304</v>
      </c>
      <c r="L185" s="67"/>
    </row>
    <row r="186" spans="1:12" x14ac:dyDescent="0.3">
      <c r="A186" s="65" t="s">
        <v>183</v>
      </c>
      <c r="B186" s="66">
        <v>100</v>
      </c>
      <c r="C186" s="66" t="s">
        <v>54</v>
      </c>
      <c r="D186" s="37">
        <v>2</v>
      </c>
      <c r="E186" s="37">
        <v>0</v>
      </c>
      <c r="F186" s="37">
        <v>0</v>
      </c>
      <c r="G186" s="37">
        <v>0</v>
      </c>
      <c r="H186" s="37">
        <v>2</v>
      </c>
      <c r="I186" s="37" t="s">
        <v>304</v>
      </c>
      <c r="J186" s="37"/>
      <c r="K186" s="66" t="s">
        <v>304</v>
      </c>
      <c r="L186" s="67"/>
    </row>
    <row r="187" spans="1:12" x14ac:dyDescent="0.3">
      <c r="A187" s="65" t="s">
        <v>185</v>
      </c>
      <c r="B187" s="66" t="s">
        <v>318</v>
      </c>
      <c r="C187" s="66" t="s">
        <v>54</v>
      </c>
      <c r="D187" s="37">
        <v>6</v>
      </c>
      <c r="E187" s="37">
        <v>0</v>
      </c>
      <c r="F187" s="37">
        <v>0</v>
      </c>
      <c r="G187" s="37">
        <v>0</v>
      </c>
      <c r="H187" s="37">
        <v>6</v>
      </c>
      <c r="I187" s="37" t="s">
        <v>327</v>
      </c>
      <c r="J187" s="37"/>
      <c r="K187" s="66" t="s">
        <v>327</v>
      </c>
      <c r="L187" s="67"/>
    </row>
    <row r="188" spans="1:12" x14ac:dyDescent="0.3">
      <c r="A188" s="65" t="s">
        <v>187</v>
      </c>
      <c r="B188" s="66">
        <v>1000</v>
      </c>
      <c r="C188" s="66" t="s">
        <v>54</v>
      </c>
      <c r="D188" s="37">
        <v>1</v>
      </c>
      <c r="E188" s="37">
        <v>0</v>
      </c>
      <c r="F188" s="37">
        <v>0</v>
      </c>
      <c r="G188" s="37">
        <v>0</v>
      </c>
      <c r="H188" s="37">
        <v>1</v>
      </c>
      <c r="I188" s="37" t="s">
        <v>304</v>
      </c>
      <c r="J188" s="37"/>
      <c r="K188" s="66" t="s">
        <v>304</v>
      </c>
      <c r="L188" s="67"/>
    </row>
    <row r="189" spans="1:12" x14ac:dyDescent="0.3">
      <c r="A189" s="65" t="s">
        <v>189</v>
      </c>
      <c r="B189" s="66">
        <v>100</v>
      </c>
      <c r="C189" s="66" t="s">
        <v>54</v>
      </c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 t="s">
        <v>304</v>
      </c>
      <c r="J189" s="37"/>
      <c r="K189" s="66" t="s">
        <v>304</v>
      </c>
      <c r="L189" s="67"/>
    </row>
    <row r="190" spans="1:12" x14ac:dyDescent="0.3">
      <c r="A190" s="65" t="s">
        <v>191</v>
      </c>
      <c r="B190" s="66">
        <v>100</v>
      </c>
      <c r="C190" s="66" t="s">
        <v>54</v>
      </c>
      <c r="D190" s="37">
        <v>2</v>
      </c>
      <c r="E190" s="37">
        <v>0</v>
      </c>
      <c r="F190" s="37">
        <v>0</v>
      </c>
      <c r="G190" s="37">
        <v>0</v>
      </c>
      <c r="H190" s="37">
        <v>2</v>
      </c>
      <c r="I190" s="37" t="s">
        <v>304</v>
      </c>
      <c r="J190" s="37"/>
      <c r="K190" s="66" t="s">
        <v>304</v>
      </c>
      <c r="L190" s="67"/>
    </row>
    <row r="191" spans="1:12" x14ac:dyDescent="0.3">
      <c r="A191" s="65" t="s">
        <v>195</v>
      </c>
      <c r="B191" s="66">
        <v>1000</v>
      </c>
      <c r="C191" s="66" t="s">
        <v>54</v>
      </c>
      <c r="D191" s="37">
        <v>2</v>
      </c>
      <c r="E191" s="37">
        <v>0</v>
      </c>
      <c r="F191" s="37">
        <v>0</v>
      </c>
      <c r="G191" s="37">
        <v>0</v>
      </c>
      <c r="H191" s="37">
        <v>2</v>
      </c>
      <c r="I191" s="37" t="s">
        <v>304</v>
      </c>
      <c r="J191" s="37"/>
      <c r="K191" s="66" t="s">
        <v>304</v>
      </c>
      <c r="L191" s="67"/>
    </row>
    <row r="192" spans="1:12" x14ac:dyDescent="0.3">
      <c r="A192" s="65" t="s">
        <v>207</v>
      </c>
      <c r="B192" s="66">
        <v>1000</v>
      </c>
      <c r="C192" s="66" t="s">
        <v>54</v>
      </c>
      <c r="D192" s="37">
        <v>3</v>
      </c>
      <c r="E192" s="37">
        <v>0</v>
      </c>
      <c r="F192" s="37">
        <v>0</v>
      </c>
      <c r="G192" s="37">
        <v>0</v>
      </c>
      <c r="H192" s="37">
        <v>3</v>
      </c>
      <c r="I192" s="37" t="s">
        <v>304</v>
      </c>
      <c r="J192" s="37"/>
      <c r="K192" s="66" t="s">
        <v>304</v>
      </c>
      <c r="L192" s="67" t="s">
        <v>329</v>
      </c>
    </row>
    <row r="193" spans="1:12" x14ac:dyDescent="0.3">
      <c r="A193" s="65" t="s">
        <v>208</v>
      </c>
      <c r="B193" s="66">
        <v>1000</v>
      </c>
      <c r="C193" s="66" t="s">
        <v>54</v>
      </c>
      <c r="D193" s="37">
        <v>9</v>
      </c>
      <c r="E193" s="37">
        <v>0</v>
      </c>
      <c r="F193" s="37">
        <v>0</v>
      </c>
      <c r="G193" s="37">
        <v>0</v>
      </c>
      <c r="H193" s="37">
        <v>9</v>
      </c>
      <c r="I193" s="37" t="s">
        <v>304</v>
      </c>
      <c r="J193" s="37"/>
      <c r="K193" s="66" t="s">
        <v>304</v>
      </c>
      <c r="L193" s="67"/>
    </row>
    <row r="194" spans="1:12" x14ac:dyDescent="0.3">
      <c r="A194" s="65" t="s">
        <v>210</v>
      </c>
      <c r="B194" s="66">
        <v>1000</v>
      </c>
      <c r="C194" s="66" t="s">
        <v>54</v>
      </c>
      <c r="D194" s="37">
        <v>3</v>
      </c>
      <c r="E194" s="37">
        <v>0</v>
      </c>
      <c r="F194" s="37">
        <v>0</v>
      </c>
      <c r="G194" s="37">
        <v>0</v>
      </c>
      <c r="H194" s="37">
        <v>3</v>
      </c>
      <c r="I194" s="37" t="s">
        <v>304</v>
      </c>
      <c r="J194" s="37"/>
      <c r="K194" s="66" t="s">
        <v>304</v>
      </c>
      <c r="L194" s="67"/>
    </row>
    <row r="195" spans="1:12" x14ac:dyDescent="0.3">
      <c r="A195" s="65" t="s">
        <v>221</v>
      </c>
      <c r="B195" s="66">
        <v>1000</v>
      </c>
      <c r="C195" s="66" t="s">
        <v>54</v>
      </c>
      <c r="D195" s="37">
        <v>2</v>
      </c>
      <c r="E195" s="37">
        <v>0</v>
      </c>
      <c r="F195" s="37">
        <v>0</v>
      </c>
      <c r="G195" s="37">
        <v>0</v>
      </c>
      <c r="H195" s="37">
        <v>1</v>
      </c>
      <c r="I195" s="37">
        <v>1</v>
      </c>
      <c r="J195" s="37">
        <v>0</v>
      </c>
      <c r="K195" s="66" t="s">
        <v>328</v>
      </c>
      <c r="L195" s="67"/>
    </row>
    <row r="196" spans="1:12" x14ac:dyDescent="0.3">
      <c r="A196" s="65" t="s">
        <v>222</v>
      </c>
      <c r="B196" s="66">
        <v>1000</v>
      </c>
      <c r="C196" s="66" t="s">
        <v>54</v>
      </c>
      <c r="D196" s="37">
        <v>2</v>
      </c>
      <c r="E196" s="37">
        <v>0</v>
      </c>
      <c r="F196" s="37">
        <v>0</v>
      </c>
      <c r="G196" s="37">
        <v>0</v>
      </c>
      <c r="H196" s="37">
        <v>2</v>
      </c>
      <c r="I196" s="37" t="s">
        <v>304</v>
      </c>
      <c r="J196" s="37"/>
      <c r="K196" s="66" t="s">
        <v>304</v>
      </c>
      <c r="L196" s="67"/>
    </row>
    <row r="197" spans="1:12" x14ac:dyDescent="0.3">
      <c r="A197" s="65" t="s">
        <v>226</v>
      </c>
      <c r="B197" s="66">
        <v>100</v>
      </c>
      <c r="C197" s="66" t="s">
        <v>54</v>
      </c>
      <c r="D197" s="37">
        <v>2</v>
      </c>
      <c r="E197" s="37">
        <v>0</v>
      </c>
      <c r="F197" s="37">
        <v>0</v>
      </c>
      <c r="G197" s="37">
        <v>0</v>
      </c>
      <c r="H197" s="37">
        <v>2</v>
      </c>
      <c r="I197" s="37" t="s">
        <v>304</v>
      </c>
      <c r="J197" s="37"/>
      <c r="K197" s="66" t="s">
        <v>304</v>
      </c>
      <c r="L197" s="67"/>
    </row>
    <row r="198" spans="1:12" x14ac:dyDescent="0.3">
      <c r="A198" s="65" t="s">
        <v>229</v>
      </c>
      <c r="B198" s="66">
        <v>100</v>
      </c>
      <c r="C198" s="66" t="s">
        <v>54</v>
      </c>
      <c r="D198" s="37">
        <v>3</v>
      </c>
      <c r="E198" s="37">
        <v>0</v>
      </c>
      <c r="F198" s="37">
        <v>0</v>
      </c>
      <c r="G198" s="37">
        <v>0</v>
      </c>
      <c r="H198" s="37">
        <v>3</v>
      </c>
      <c r="I198" s="37" t="s">
        <v>304</v>
      </c>
      <c r="J198" s="37"/>
      <c r="K198" s="66" t="s">
        <v>304</v>
      </c>
      <c r="L198" s="67"/>
    </row>
    <row r="199" spans="1:12" x14ac:dyDescent="0.3">
      <c r="A199" s="65" t="s">
        <v>230</v>
      </c>
      <c r="B199" s="66">
        <v>1000</v>
      </c>
      <c r="C199" s="66" t="s">
        <v>54</v>
      </c>
      <c r="D199" s="37">
        <v>2</v>
      </c>
      <c r="E199" s="37">
        <v>0</v>
      </c>
      <c r="F199" s="37">
        <v>0</v>
      </c>
      <c r="G199" s="37">
        <v>0</v>
      </c>
      <c r="H199" s="37">
        <v>2</v>
      </c>
      <c r="I199" s="37">
        <v>2</v>
      </c>
      <c r="J199" s="37">
        <v>0</v>
      </c>
      <c r="K199" s="66" t="s">
        <v>328</v>
      </c>
      <c r="L199" s="67" t="s">
        <v>329</v>
      </c>
    </row>
    <row r="200" spans="1:12" x14ac:dyDescent="0.3">
      <c r="A200" s="65" t="s">
        <v>232</v>
      </c>
      <c r="B200" s="66">
        <v>100000</v>
      </c>
      <c r="C200" s="66" t="s">
        <v>54</v>
      </c>
      <c r="D200" s="37">
        <v>2</v>
      </c>
      <c r="E200" s="37">
        <v>0</v>
      </c>
      <c r="F200" s="37">
        <v>0</v>
      </c>
      <c r="G200" s="37">
        <v>0</v>
      </c>
      <c r="H200" s="37">
        <v>2</v>
      </c>
      <c r="I200" s="37" t="s">
        <v>304</v>
      </c>
      <c r="J200" s="37"/>
      <c r="K200" s="66" t="s">
        <v>304</v>
      </c>
      <c r="L200" s="67"/>
    </row>
    <row r="201" spans="1:12" x14ac:dyDescent="0.3">
      <c r="A201" s="65" t="s">
        <v>234</v>
      </c>
      <c r="B201" s="66">
        <v>1000</v>
      </c>
      <c r="C201" s="66" t="s">
        <v>54</v>
      </c>
      <c r="D201" s="37">
        <v>2</v>
      </c>
      <c r="E201" s="37">
        <v>0</v>
      </c>
      <c r="F201" s="37">
        <v>0</v>
      </c>
      <c r="G201" s="37">
        <v>0</v>
      </c>
      <c r="H201" s="37">
        <v>2</v>
      </c>
      <c r="I201" s="37" t="s">
        <v>304</v>
      </c>
      <c r="J201" s="37"/>
      <c r="K201" s="66" t="s">
        <v>304</v>
      </c>
      <c r="L201" s="67"/>
    </row>
    <row r="202" spans="1:12" x14ac:dyDescent="0.3">
      <c r="A202" s="65" t="s">
        <v>235</v>
      </c>
      <c r="B202" s="66">
        <v>100000</v>
      </c>
      <c r="C202" s="66" t="s">
        <v>54</v>
      </c>
      <c r="D202" s="37">
        <v>3</v>
      </c>
      <c r="E202" s="37">
        <v>0</v>
      </c>
      <c r="F202" s="37">
        <v>0</v>
      </c>
      <c r="G202" s="37">
        <v>0</v>
      </c>
      <c r="H202" s="37">
        <v>3</v>
      </c>
      <c r="I202" s="37" t="s">
        <v>304</v>
      </c>
      <c r="J202" s="37"/>
      <c r="K202" s="66" t="s">
        <v>304</v>
      </c>
      <c r="L202" s="67"/>
    </row>
    <row r="203" spans="1:12" x14ac:dyDescent="0.3">
      <c r="A203" s="65" t="s">
        <v>241</v>
      </c>
      <c r="B203" s="66">
        <v>25000</v>
      </c>
      <c r="C203" s="66" t="s">
        <v>54</v>
      </c>
      <c r="D203" s="37">
        <v>-6</v>
      </c>
      <c r="E203" s="37">
        <v>0</v>
      </c>
      <c r="F203" s="37">
        <v>0</v>
      </c>
      <c r="G203" s="37">
        <v>0</v>
      </c>
      <c r="H203" s="37">
        <v>-6</v>
      </c>
      <c r="I203" s="37" t="s">
        <v>304</v>
      </c>
      <c r="J203" s="37"/>
      <c r="K203" s="66" t="s">
        <v>304</v>
      </c>
      <c r="L203" s="67"/>
    </row>
    <row r="204" spans="1:12" x14ac:dyDescent="0.3">
      <c r="A204" s="65" t="s">
        <v>242</v>
      </c>
      <c r="B204" s="66">
        <v>100</v>
      </c>
      <c r="C204" s="66" t="s">
        <v>54</v>
      </c>
      <c r="D204" s="37">
        <v>6</v>
      </c>
      <c r="E204" s="37">
        <v>0</v>
      </c>
      <c r="F204" s="37">
        <v>0</v>
      </c>
      <c r="G204" s="37">
        <v>0</v>
      </c>
      <c r="H204" s="37">
        <v>6</v>
      </c>
      <c r="I204" s="37" t="s">
        <v>304</v>
      </c>
      <c r="J204" s="37"/>
      <c r="K204" s="66" t="s">
        <v>304</v>
      </c>
      <c r="L204" s="67"/>
    </row>
    <row r="206" spans="1:12" x14ac:dyDescent="0.3">
      <c r="A206" s="68" t="s">
        <v>330</v>
      </c>
    </row>
  </sheetData>
  <mergeCells count="6">
    <mergeCell ref="A1:L1"/>
    <mergeCell ref="A2:L2"/>
    <mergeCell ref="E4:H4"/>
    <mergeCell ref="E5:H5"/>
    <mergeCell ref="E6:H6"/>
    <mergeCell ref="E7:H7"/>
  </mergeCells>
  <conditionalFormatting sqref="A10:L204 A206">
    <cfRule type="expression" dxfId="2" priority="1">
      <formula>$K10="DEFICIT"</formula>
    </cfRule>
    <cfRule type="expression" dxfId="1" priority="2">
      <formula>$K10="EXCESS"</formula>
    </cfRule>
    <cfRule type="expression" dxfId="0" priority="3">
      <formula>OR($K10="NOT COUNTED",$K10="NOT IN COUNT")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Dashboard</vt:lpstr>
      <vt:lpstr>Master Products</vt:lpstr>
      <vt:lpstr>26 june</vt:lpstr>
      <vt:lpstr>3-july2026</vt:lpstr>
      <vt:lpstr>10-JULY2026</vt:lpstr>
      <vt:lpstr>17-july2026</vt:lpstr>
      <vt:lpstr>24-july-2026</vt:lpstr>
      <vt:lpstr>31-july-2026</vt:lpstr>
      <vt:lpstr>8-august-2026</vt:lpstr>
      <vt:lpstr>15-august-2026</vt:lpstr>
      <vt:lpstr>21-AUGUST-2026</vt:lpstr>
      <vt:lpstr>29-AUGUST-2026</vt:lpstr>
      <vt:lpstr>5-SEPTEMBER-2026</vt:lpstr>
      <vt:lpstr>RECON 27-29 AUG</vt:lpstr>
      <vt:lpstr>ARUSHA RECON 27-29 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Gardson Kawa Haule</cp:lastModifiedBy>
  <cp:revision>1</cp:revision>
  <dcterms:created xsi:type="dcterms:W3CDTF">2026-09-03T10:08:10Z</dcterms:created>
  <dcterms:modified xsi:type="dcterms:W3CDTF">2026-09-08T17:59:14Z</dcterms:modified>
  <dc:language>en-US</dc:language>
</cp:coreProperties>
</file>